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omments5.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comments6.xml" ContentType="application/vnd.openxmlformats-officedocument.spreadsheetml.comments+xml"/>
  <Override PartName="/xl/charts/chart10.xml" ContentType="application/vnd.openxmlformats-officedocument.drawingml.chart+xml"/>
  <Override PartName="/xl/drawings/drawing12.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drawings/drawing13.xml" ContentType="application/vnd.openxmlformats-officedocument.drawing+xml"/>
  <Override PartName="/xl/comments8.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80" yWindow="2240" windowWidth="12020" windowHeight="7380" tabRatio="877" firstSheet="1" activeTab="6"/>
  </bookViews>
  <sheets>
    <sheet name="VBA Functions" sheetId="19" state="hidden" r:id="rId1"/>
    <sheet name="Title" sheetId="5" r:id="rId2"/>
    <sheet name="Program Overview" sheetId="7" state="hidden" r:id="rId3"/>
    <sheet name="Overview" sheetId="32" state="hidden" r:id="rId4"/>
    <sheet name="Revision Tracker" sheetId="8" state="hidden" r:id="rId5"/>
    <sheet name="CB_DATA_" sheetId="20" state="veryHidden" r:id="rId6"/>
    <sheet name="WBS Summary" sheetId="13" r:id="rId7"/>
    <sheet name="APPN Summary" sheetId="35" state="hidden" r:id="rId8"/>
    <sheet name="Simulation Data" sheetId="30" state="hidden" r:id="rId9"/>
    <sheet name="PMO Budget Charts" sheetId="10" state="hidden" r:id="rId10"/>
    <sheet name="Non PMO Budget Chart" sheetId="42" state="hidden" r:id="rId11"/>
    <sheet name="CCP and APB" sheetId="11" state="hidden" r:id="rId12"/>
    <sheet name="Uncertainty Reports" sheetId="31" state="hidden" r:id="rId13"/>
    <sheet name="Inputs --&gt;" sheetId="16" r:id="rId14"/>
    <sheet name="Global Inputs" sheetId="17" r:id="rId15"/>
    <sheet name="Global Tables" sheetId="45" state="hidden" r:id="rId16"/>
    <sheet name="Profiles" sheetId="18" state="hidden" r:id="rId17"/>
    <sheet name="Sunk Cost" sheetId="36" state="hidden" r:id="rId18"/>
    <sheet name="Budgets" sheetId="28" state="hidden" r:id="rId19"/>
    <sheet name="Labor Rates" sheetId="21" state="hidden" r:id="rId20"/>
    <sheet name="Risk &amp; Uncertainty Inputs" sheetId="23" state="hidden" r:id="rId21"/>
    <sheet name="Correlation" sheetId="40" state="hidden" r:id="rId22"/>
    <sheet name="Analysis --&gt;" sheetId="24" r:id="rId23"/>
    <sheet name="1.1.1.1" sheetId="46" r:id="rId24"/>
    <sheet name="1.1.1.2" sheetId="47" r:id="rId25"/>
    <sheet name="1.1.2" sheetId="68" r:id="rId26"/>
    <sheet name="1.1.3" sheetId="62" r:id="rId27"/>
    <sheet name="1.1.4" sheetId="63" r:id="rId28"/>
    <sheet name="1.1.5" sheetId="64" r:id="rId29"/>
    <sheet name="1.1.6" sheetId="69" r:id="rId30"/>
    <sheet name="1.1.7" sheetId="65" r:id="rId31"/>
    <sheet name="1.1.8" sheetId="66" r:id="rId32"/>
  </sheets>
  <functionGroups builtInGroupCount="17"/>
  <definedNames>
    <definedName name="_AtRisk_SimSetting_AutomaticallyGenerateReports" hidden="1">TRUE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TRUE</definedName>
    <definedName name="_AtRisk_SimSetting_ConvergencePerformStdDeviationTest" hidden="1">FALSE</definedName>
    <definedName name="_AtRisk_SimSetting_ConvergenceTestAllOutputs" hidden="1">TRUE</definedName>
    <definedName name="_AtRisk_SimSetting_ConvergenceTestingPeriod" hidden="1">500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1839</definedName>
    <definedName name="_AtRisk_SimSetting_SimNameCount" hidden="1">0</definedName>
    <definedName name="_AtRisk_SimSetting_SmartSensitivityAnalysisEnabled" hidden="1">FALSE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irframe_UC1Uncert">'1.1.1.2'!$F$86</definedName>
    <definedName name="Base_Year">'Global Inputs'!$C$10</definedName>
    <definedName name="CB_Block_00000000000000000000000000000000" localSheetId="20" hidden="1">"'7.0.0.0"</definedName>
    <definedName name="CB_Block_00000000000000000000000000000000" localSheetId="6" hidden="1">"'7.0.0.0"</definedName>
    <definedName name="CB_Block_00000000000000000000000000000001" localSheetId="5" hidden="1">"'636228592057769187"</definedName>
    <definedName name="CB_Block_00000000000000000000000000000001" localSheetId="20" hidden="1">"'636149901904371084"</definedName>
    <definedName name="CB_Block_00000000000000000000000000000001" localSheetId="6" hidden="1">"'636149896398310533"</definedName>
    <definedName name="CB_Block_00000000000000000000000000000003" localSheetId="20" hidden="1">"'11.1.2391.0"</definedName>
    <definedName name="CB_Block_00000000000000000000000000000003" localSheetId="6" hidden="1">"'11.1.2391.0"</definedName>
    <definedName name="CB_BlockExt_00000000000000000000000000000003" localSheetId="20" hidden="1">"'11.1.2.1.000"</definedName>
    <definedName name="CB_BlockExt_00000000000000000000000000000003" localSheetId="6" hidden="1">"'11.1.2.1.000"</definedName>
    <definedName name="CBWorkbookPriority" localSheetId="5" hidden="1">-484607859</definedName>
    <definedName name="CBx_4c9cd0e4c1674419b02dad419ceeb025" localSheetId="5" hidden="1">"'CB_DATA_'!$A$1"</definedName>
    <definedName name="CBx_f3f654b8c756401aa6fe6eba36cdee85" localSheetId="5" hidden="1">"'TOC'!$A$1"</definedName>
    <definedName name="CBx_Sheet_Guid" localSheetId="22" hidden="1">"'f4d8fd65-ddfe-427d-b765-877cd299f4b4"</definedName>
    <definedName name="CBx_Sheet_Guid" localSheetId="5" hidden="1">"'4c9cd0e4-c167-4419-b02d-ad419ceeb025"</definedName>
    <definedName name="CBx_Sheet_Guid" localSheetId="20" hidden="1">"'a81c7c3e-363b-4bf1-9675-eb93c895b246"</definedName>
    <definedName name="CBx_Sheet_Guid" localSheetId="6" hidden="1">"'dbab30b6-9ef3-4115-b687-4867c2a986cd"</definedName>
    <definedName name="CBx_SheetRef" localSheetId="22" hidden="1">CB_DATA_!$D$14</definedName>
    <definedName name="CBx_SheetRef" localSheetId="5" hidden="1">CB_DATA_!$A$14</definedName>
    <definedName name="CBx_SheetRef" localSheetId="20" hidden="1">CB_DATA_!$C$14</definedName>
    <definedName name="CBx_SheetRef" localSheetId="6" hidden="1">CB_DATA_!$I$14</definedName>
    <definedName name="CBx_StorageType" localSheetId="22" hidden="1">2</definedName>
    <definedName name="CBx_StorageType" localSheetId="5" hidden="1">2</definedName>
    <definedName name="CBx_StorageType" localSheetId="20" hidden="1">2</definedName>
    <definedName name="CBx_StorageType" localSheetId="6" hidden="1">2</definedName>
    <definedName name="Disposal_CY" localSheetId="25">'WBS Summary'!#REF!</definedName>
    <definedName name="Disposal_CY">'WBS Summary'!#REF!</definedName>
    <definedName name="Dummn">'WBS Summary'!#REF!</definedName>
    <definedName name="Dummy">'WBS Summary'!#REF!</definedName>
    <definedName name="DUMMY2">'WBS Summary'!#REF!</definedName>
    <definedName name="Dummy3">'WBS Summary'!#REF!</definedName>
    <definedName name="Dummy4">OFFSET('WBS Summary'!$FA$3,1,0,ROWS(Model[Estimate Type]), COLUMNS([0]!TY_Years))</definedName>
    <definedName name="EMD_ProtoQtyCum">'1.1.1.2'!$D$50:$Y$50</definedName>
    <definedName name="EMD_ProtoQtyPrior">'1.1.1.2'!$D$51:$Y$51</definedName>
    <definedName name="EMD_ProtoQtyTot">'1.1.1.2'!$C$38</definedName>
    <definedName name="EMD_SlopeExp">'1.1.1.2'!$C$48</definedName>
    <definedName name="Estimate_Type">'Global Inputs'!$C$9</definedName>
    <definedName name="First_Year_Sunk">'Global Inputs'!$C$13</definedName>
    <definedName name="Guid_UC1Uncert">'1.1.1.2'!$F$92</definedName>
    <definedName name="IATC_UC1Hrs3rdPartyToolUncert" localSheetId="24">'1.1.1.2'!$F$111</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NAMES_REVISION_DATE_" hidden="1">40357.3801157406</definedName>
    <definedName name="IQ_NTM" hidden="1">6000</definedName>
    <definedName name="IQ_TODAY" hidden="1">0</definedName>
    <definedName name="IQ_WEEK" hidden="1">50000</definedName>
    <definedName name="IQ_YTD" hidden="1">3000</definedName>
    <definedName name="IQ_YTDMONTH" hidden="1">130000</definedName>
    <definedName name="Last_Year_Sunk">'Global Inputs'!$C$14</definedName>
    <definedName name="list_APPN">OFFSET('Global Tables'!$E$5,1,0,COUNTA('Global Tables'!$E$6:$E$106))</definedName>
    <definedName name="list_Est_Type">OFFSET('Global Tables'!$B$5,1,0,COUNTA('Global Tables'!$B$6:$B$106))</definedName>
    <definedName name="list_KTR">OFFSET('Global Tables'!$G$5,1,0,COUNTA('Global Tables'!$G$6:$G$106))</definedName>
    <definedName name="list_Phase">OFFSET('Global Tables'!$C$5,1,0,COUNTA('Global Tables'!$C$6:$C$106))</definedName>
    <definedName name="list_PMO">OFFSET('Global Tables'!$F$5,1,0,COUNTA('Global Tables'!$F$6:$F$106))</definedName>
    <definedName name="list_Service">OFFSET('Global Tables'!$D$5,1,0,COUNTA('Global Tables'!$D$6:$D$106))</definedName>
    <definedName name="MaxXAxis">'Uncertainty Reports'!$G$9</definedName>
    <definedName name="MfgLaborRateUncert">'1.1.1.2'!$F$114</definedName>
    <definedName name="Milcon_CY" localSheetId="25">'WBS Summary'!#REF!</definedName>
    <definedName name="Milcon_CY">'WBS Summary'!#REF!</definedName>
    <definedName name="Milestone">'Global Inputs'!$C$8</definedName>
    <definedName name="MinXAxis">'Uncertainty Reports'!$G$8</definedName>
    <definedName name="Model_First_Year">'Global Inputs'!$C$12</definedName>
    <definedName name="O_S_CY" localSheetId="25">'WBS Summary'!#REF!</definedName>
    <definedName name="O_S_CY">'WBS Summary'!#REF!</definedName>
    <definedName name="Payload_UC1Uncert">'1.1.1.2'!$F$97</definedName>
    <definedName name="PROC_CY" localSheetId="25">'WBS Summary'!#REF!</definedName>
    <definedName name="PROC_CY">'WBS Summary'!#REF!</definedName>
    <definedName name="Program_CY">'WBS Summary'!$U$5</definedName>
    <definedName name="Program_Name">'Global Inputs'!$C$5</definedName>
    <definedName name="Program_Office">'Global Inputs'!$C$7</definedName>
    <definedName name="Program_Short_Name">'Global Inputs'!$C$6</definedName>
    <definedName name="Prop_UC1Uncert">'1.1.1.2'!$F$89</definedName>
    <definedName name="RateSlpExpAirframe">'1.1.1.2'!$E$178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TRUE</definedName>
    <definedName name="RiskMultipleCPUSupportEnabled" hidden="1">FALSE</definedName>
    <definedName name="RiskNumIterations" hidden="1">5000</definedName>
    <definedName name="RiskNumSimulations" hidden="1">1</definedName>
    <definedName name="RiskPauseOnError" hidden="1">TRUE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TRUE</definedName>
    <definedName name="RiskUseFixedSeed" hidden="1">FALSE</definedName>
    <definedName name="RiskUseMultipleCPUs" hidden="1">FALSE</definedName>
    <definedName name="TY_Dollars" localSheetId="25">OFFSET('WBS Summary'!$FA$3,1,0,ROWS(Model[Estimate Type]), COLUMNS([0]!TY_Years))</definedName>
    <definedName name="TY_Dollars">OFFSET('WBS Summary'!$FA$3,1,0,ROWS(Model[Estimate Type]), COLUMNS(TY_Years))</definedName>
    <definedName name="TY_Years">'WBS Summary'!$FA$3:$JP$3</definedName>
    <definedName name="Units">'Global Inputs'!$C$11</definedName>
  </definedNames>
  <calcPr calcId="145621"/>
</workbook>
</file>

<file path=xl/calcChain.xml><?xml version="1.0" encoding="utf-8"?>
<calcChain xmlns="http://schemas.openxmlformats.org/spreadsheetml/2006/main">
  <c r="C58" i="47" l="1"/>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DZ13" i="13"/>
  <c r="EA13" i="13"/>
  <c r="EB13" i="13"/>
  <c r="EC13" i="13"/>
  <c r="ED13" i="13"/>
  <c r="EE13" i="13"/>
  <c r="EF13" i="13"/>
  <c r="EG13" i="13"/>
  <c r="EH13" i="13"/>
  <c r="EI13" i="13"/>
  <c r="EJ13" i="13"/>
  <c r="EK13" i="13"/>
  <c r="EL13" i="13"/>
  <c r="EM13" i="13"/>
  <c r="EN13" i="13"/>
  <c r="EO13" i="13"/>
  <c r="EP13" i="13"/>
  <c r="EQ13" i="13"/>
  <c r="ER13" i="13"/>
  <c r="ES13" i="13"/>
  <c r="ET13" i="13"/>
  <c r="EU13" i="13"/>
  <c r="EV13" i="13"/>
  <c r="EW13" i="13"/>
  <c r="EX13" i="13"/>
  <c r="EY13" i="13"/>
  <c r="EZ13" i="13"/>
  <c r="B5" i="69"/>
  <c r="B9" i="69" s="1"/>
  <c r="C46" i="69"/>
  <c r="AZ5" i="69"/>
  <c r="AZ9" i="69" s="1"/>
  <c r="AY5" i="69"/>
  <c r="AY9" i="69" s="1"/>
  <c r="AX5" i="69"/>
  <c r="AX9" i="69" s="1"/>
  <c r="AW5" i="69"/>
  <c r="AW9" i="69" s="1"/>
  <c r="AV5" i="69"/>
  <c r="AV9" i="69" s="1"/>
  <c r="AU5" i="69"/>
  <c r="AU9" i="69" s="1"/>
  <c r="AT5" i="69"/>
  <c r="AT9" i="69" s="1"/>
  <c r="AS5" i="69"/>
  <c r="AS9" i="69" s="1"/>
  <c r="AR5" i="69"/>
  <c r="AR9" i="69" s="1"/>
  <c r="AQ5" i="69"/>
  <c r="AQ9" i="69" s="1"/>
  <c r="AP5" i="69"/>
  <c r="AP9" i="69" s="1"/>
  <c r="AO5" i="69"/>
  <c r="AO9" i="69" s="1"/>
  <c r="AN5" i="69"/>
  <c r="AN9" i="69" s="1"/>
  <c r="AM5" i="69"/>
  <c r="AM9" i="69" s="1"/>
  <c r="AL5" i="69"/>
  <c r="AL9" i="69" s="1"/>
  <c r="AK5" i="69"/>
  <c r="AK9" i="69" s="1"/>
  <c r="AJ5" i="69"/>
  <c r="AJ9" i="69" s="1"/>
  <c r="AI5" i="69"/>
  <c r="AI9" i="69" s="1"/>
  <c r="AH5" i="69"/>
  <c r="AH9" i="69" s="1"/>
  <c r="AG5" i="69"/>
  <c r="AG9" i="69" s="1"/>
  <c r="AF5" i="69"/>
  <c r="AF9" i="69" s="1"/>
  <c r="AE5" i="69"/>
  <c r="AE9" i="69" s="1"/>
  <c r="AD5" i="69"/>
  <c r="AD9" i="69" s="1"/>
  <c r="AC5" i="69"/>
  <c r="AC9" i="69" s="1"/>
  <c r="AB5" i="69"/>
  <c r="AB9" i="69" s="1"/>
  <c r="AA5" i="69"/>
  <c r="AA9" i="69" s="1"/>
  <c r="Z5" i="69"/>
  <c r="Z9" i="69" s="1"/>
  <c r="C4" i="69"/>
  <c r="B5" i="68"/>
  <c r="B9" i="68" s="1"/>
  <c r="C46" i="68"/>
  <c r="C41" i="68"/>
  <c r="AZ5" i="68"/>
  <c r="AZ9" i="68" s="1"/>
  <c r="AY5" i="68"/>
  <c r="AY9" i="68" s="1"/>
  <c r="AX5" i="68"/>
  <c r="AX9" i="68" s="1"/>
  <c r="AW5" i="68"/>
  <c r="AW9" i="68" s="1"/>
  <c r="AV5" i="68"/>
  <c r="AV9" i="68" s="1"/>
  <c r="AU5" i="68"/>
  <c r="AU9" i="68" s="1"/>
  <c r="AT5" i="68"/>
  <c r="AT9" i="68" s="1"/>
  <c r="AS5" i="68"/>
  <c r="AS9" i="68" s="1"/>
  <c r="AR5" i="68"/>
  <c r="AR9" i="68" s="1"/>
  <c r="AQ5" i="68"/>
  <c r="AQ9" i="68" s="1"/>
  <c r="AP5" i="68"/>
  <c r="AP9" i="68" s="1"/>
  <c r="AO5" i="68"/>
  <c r="AO9" i="68" s="1"/>
  <c r="AN5" i="68"/>
  <c r="AN9" i="68" s="1"/>
  <c r="AM5" i="68"/>
  <c r="AM9" i="68" s="1"/>
  <c r="AL5" i="68"/>
  <c r="AL9" i="68" s="1"/>
  <c r="AK5" i="68"/>
  <c r="AK9" i="68" s="1"/>
  <c r="AJ5" i="68"/>
  <c r="AJ9" i="68" s="1"/>
  <c r="AI5" i="68"/>
  <c r="AI9" i="68" s="1"/>
  <c r="AH5" i="68"/>
  <c r="AH9" i="68" s="1"/>
  <c r="AG5" i="68"/>
  <c r="AG9" i="68" s="1"/>
  <c r="AF5" i="68"/>
  <c r="AF9" i="68" s="1"/>
  <c r="AE5" i="68"/>
  <c r="AE9" i="68" s="1"/>
  <c r="AD5" i="68"/>
  <c r="AD9" i="68" s="1"/>
  <c r="AC5" i="68"/>
  <c r="AC9" i="68" s="1"/>
  <c r="AB5" i="68"/>
  <c r="AB9" i="68" s="1"/>
  <c r="AA5" i="68"/>
  <c r="AA9" i="68" s="1"/>
  <c r="Z5" i="68"/>
  <c r="Z9" i="68" s="1"/>
  <c r="C4" i="68"/>
  <c r="B5" i="66"/>
  <c r="B9" i="66" s="1"/>
  <c r="C46" i="66"/>
  <c r="AZ5" i="66"/>
  <c r="AZ9" i="66" s="1"/>
  <c r="AY5" i="66"/>
  <c r="AY9" i="66" s="1"/>
  <c r="AX5" i="66"/>
  <c r="AX9" i="66" s="1"/>
  <c r="AW5" i="66"/>
  <c r="AW9" i="66" s="1"/>
  <c r="AV5" i="66"/>
  <c r="AV9" i="66" s="1"/>
  <c r="AU5" i="66"/>
  <c r="AU9" i="66" s="1"/>
  <c r="AT5" i="66"/>
  <c r="AT9" i="66" s="1"/>
  <c r="AS5" i="66"/>
  <c r="AS9" i="66" s="1"/>
  <c r="AR5" i="66"/>
  <c r="AR9" i="66" s="1"/>
  <c r="AQ5" i="66"/>
  <c r="AQ9" i="66" s="1"/>
  <c r="AP5" i="66"/>
  <c r="AP9" i="66" s="1"/>
  <c r="AO5" i="66"/>
  <c r="AO9" i="66" s="1"/>
  <c r="AN5" i="66"/>
  <c r="AN9" i="66" s="1"/>
  <c r="AM5" i="66"/>
  <c r="AM9" i="66" s="1"/>
  <c r="AL5" i="66"/>
  <c r="AL9" i="66" s="1"/>
  <c r="AK5" i="66"/>
  <c r="AK9" i="66" s="1"/>
  <c r="AJ5" i="66"/>
  <c r="AJ9" i="66" s="1"/>
  <c r="AI5" i="66"/>
  <c r="AI9" i="66" s="1"/>
  <c r="AH5" i="66"/>
  <c r="AH9" i="66" s="1"/>
  <c r="AG5" i="66"/>
  <c r="AG9" i="66" s="1"/>
  <c r="AF5" i="66"/>
  <c r="AF9" i="66" s="1"/>
  <c r="AE5" i="66"/>
  <c r="AE9" i="66" s="1"/>
  <c r="AD5" i="66"/>
  <c r="AD9" i="66" s="1"/>
  <c r="AC5" i="66"/>
  <c r="AC9" i="66" s="1"/>
  <c r="AB5" i="66"/>
  <c r="AB9" i="66" s="1"/>
  <c r="AA5" i="66"/>
  <c r="AA9" i="66" s="1"/>
  <c r="Z5" i="66"/>
  <c r="Z9" i="66" s="1"/>
  <c r="C4" i="66"/>
  <c r="B5" i="65"/>
  <c r="B9" i="65" s="1"/>
  <c r="C46" i="65"/>
  <c r="AZ5" i="65"/>
  <c r="AZ9" i="65" s="1"/>
  <c r="AY5" i="65"/>
  <c r="AY9" i="65" s="1"/>
  <c r="AX5" i="65"/>
  <c r="AX9" i="65" s="1"/>
  <c r="AW5" i="65"/>
  <c r="AW9" i="65" s="1"/>
  <c r="AV5" i="65"/>
  <c r="AV9" i="65" s="1"/>
  <c r="AU5" i="65"/>
  <c r="AU9" i="65" s="1"/>
  <c r="AT5" i="65"/>
  <c r="AT9" i="65" s="1"/>
  <c r="AS5" i="65"/>
  <c r="AS9" i="65" s="1"/>
  <c r="AR5" i="65"/>
  <c r="AR9" i="65" s="1"/>
  <c r="AQ5" i="65"/>
  <c r="AQ9" i="65" s="1"/>
  <c r="AP5" i="65"/>
  <c r="AP9" i="65" s="1"/>
  <c r="AO5" i="65"/>
  <c r="AO9" i="65" s="1"/>
  <c r="AN5" i="65"/>
  <c r="AN9" i="65" s="1"/>
  <c r="AM5" i="65"/>
  <c r="AM9" i="65" s="1"/>
  <c r="AL5" i="65"/>
  <c r="AL9" i="65" s="1"/>
  <c r="AK5" i="65"/>
  <c r="AK9" i="65" s="1"/>
  <c r="AJ5" i="65"/>
  <c r="AJ9" i="65" s="1"/>
  <c r="AI5" i="65"/>
  <c r="AI9" i="65" s="1"/>
  <c r="AH5" i="65"/>
  <c r="AH9" i="65" s="1"/>
  <c r="AG5" i="65"/>
  <c r="AG9" i="65" s="1"/>
  <c r="AF5" i="65"/>
  <c r="AF9" i="65" s="1"/>
  <c r="AE5" i="65"/>
  <c r="AE9" i="65" s="1"/>
  <c r="AD5" i="65"/>
  <c r="AD9" i="65" s="1"/>
  <c r="AC5" i="65"/>
  <c r="AC9" i="65" s="1"/>
  <c r="AB5" i="65"/>
  <c r="AB9" i="65" s="1"/>
  <c r="AA5" i="65"/>
  <c r="AA9" i="65" s="1"/>
  <c r="Z5" i="65"/>
  <c r="Z9" i="65" s="1"/>
  <c r="C4" i="65"/>
  <c r="B5" i="64"/>
  <c r="B9" i="64" s="1"/>
  <c r="C46" i="64"/>
  <c r="AZ5" i="64"/>
  <c r="AZ9" i="64" s="1"/>
  <c r="AY5" i="64"/>
  <c r="AY9" i="64" s="1"/>
  <c r="AX5" i="64"/>
  <c r="AX9" i="64" s="1"/>
  <c r="AW5" i="64"/>
  <c r="AW9" i="64" s="1"/>
  <c r="AV5" i="64"/>
  <c r="AV9" i="64" s="1"/>
  <c r="AU5" i="64"/>
  <c r="AU9" i="64" s="1"/>
  <c r="AT5" i="64"/>
  <c r="AT9" i="64" s="1"/>
  <c r="AS5" i="64"/>
  <c r="AS9" i="64" s="1"/>
  <c r="AR5" i="64"/>
  <c r="AR9" i="64" s="1"/>
  <c r="AQ5" i="64"/>
  <c r="AQ9" i="64" s="1"/>
  <c r="AP5" i="64"/>
  <c r="AP9" i="64" s="1"/>
  <c r="AO5" i="64"/>
  <c r="AO9" i="64" s="1"/>
  <c r="AN5" i="64"/>
  <c r="AN9" i="64" s="1"/>
  <c r="AM5" i="64"/>
  <c r="AM9" i="64" s="1"/>
  <c r="AL5" i="64"/>
  <c r="AL9" i="64" s="1"/>
  <c r="AK5" i="64"/>
  <c r="AK9" i="64" s="1"/>
  <c r="AJ5" i="64"/>
  <c r="AJ9" i="64" s="1"/>
  <c r="AI5" i="64"/>
  <c r="AI9" i="64" s="1"/>
  <c r="AH5" i="64"/>
  <c r="AH9" i="64" s="1"/>
  <c r="AG5" i="64"/>
  <c r="AG9" i="64" s="1"/>
  <c r="AF5" i="64"/>
  <c r="AF9" i="64" s="1"/>
  <c r="AE5" i="64"/>
  <c r="AE9" i="64" s="1"/>
  <c r="AD5" i="64"/>
  <c r="AD9" i="64" s="1"/>
  <c r="AC5" i="64"/>
  <c r="AC9" i="64" s="1"/>
  <c r="AB5" i="64"/>
  <c r="AB9" i="64" s="1"/>
  <c r="AA5" i="64"/>
  <c r="AA9" i="64" s="1"/>
  <c r="Z5" i="64"/>
  <c r="Z9" i="64" s="1"/>
  <c r="C4" i="64"/>
  <c r="B5" i="63"/>
  <c r="B9" i="63" s="1"/>
  <c r="Y44" i="63"/>
  <c r="Y5" i="63" s="1"/>
  <c r="Y9" i="63" s="1"/>
  <c r="X44" i="63"/>
  <c r="X5" i="63" s="1"/>
  <c r="X9" i="63" s="1"/>
  <c r="W44" i="63"/>
  <c r="W5" i="63" s="1"/>
  <c r="W9" i="63" s="1"/>
  <c r="V44" i="63"/>
  <c r="V5" i="63" s="1"/>
  <c r="V9" i="63" s="1"/>
  <c r="U44" i="63"/>
  <c r="U5" i="63" s="1"/>
  <c r="U9" i="63" s="1"/>
  <c r="T44" i="63"/>
  <c r="T5" i="63" s="1"/>
  <c r="T9" i="63" s="1"/>
  <c r="S44" i="63"/>
  <c r="S5" i="63" s="1"/>
  <c r="S9" i="63" s="1"/>
  <c r="R44" i="63"/>
  <c r="R5" i="63" s="1"/>
  <c r="R9" i="63" s="1"/>
  <c r="Q44" i="63"/>
  <c r="Q5" i="63" s="1"/>
  <c r="Q9" i="63" s="1"/>
  <c r="P44" i="63"/>
  <c r="P5" i="63" s="1"/>
  <c r="P9" i="63" s="1"/>
  <c r="O44" i="63"/>
  <c r="O5" i="63" s="1"/>
  <c r="O9" i="63" s="1"/>
  <c r="N44" i="63"/>
  <c r="N5" i="63" s="1"/>
  <c r="N9" i="63" s="1"/>
  <c r="M44" i="63"/>
  <c r="M5" i="63" s="1"/>
  <c r="M9" i="63" s="1"/>
  <c r="L44" i="63"/>
  <c r="L5" i="63" s="1"/>
  <c r="L9" i="63" s="1"/>
  <c r="K44" i="63"/>
  <c r="K5" i="63" s="1"/>
  <c r="K9" i="63" s="1"/>
  <c r="J44" i="63"/>
  <c r="J5" i="63" s="1"/>
  <c r="J9" i="63" s="1"/>
  <c r="FX11" i="13" s="1"/>
  <c r="I44" i="63"/>
  <c r="I5" i="63" s="1"/>
  <c r="I9" i="63" s="1"/>
  <c r="FW11" i="13" s="1"/>
  <c r="H44" i="63"/>
  <c r="H5" i="63" s="1"/>
  <c r="H9" i="63" s="1"/>
  <c r="FV11" i="13" s="1"/>
  <c r="G44" i="63"/>
  <c r="G5" i="63" s="1"/>
  <c r="G9" i="63" s="1"/>
  <c r="FU11" i="13" s="1"/>
  <c r="F44" i="63"/>
  <c r="F5" i="63" s="1"/>
  <c r="E44" i="63"/>
  <c r="E5" i="63" s="1"/>
  <c r="D44" i="63"/>
  <c r="D5" i="63" s="1"/>
  <c r="BD11" i="13" s="1"/>
  <c r="C40" i="63"/>
  <c r="AZ5" i="63"/>
  <c r="AZ9" i="63" s="1"/>
  <c r="AY5" i="63"/>
  <c r="AY9" i="63" s="1"/>
  <c r="AX5" i="63"/>
  <c r="AX9" i="63" s="1"/>
  <c r="AW5" i="63"/>
  <c r="AW9" i="63" s="1"/>
  <c r="AV5" i="63"/>
  <c r="AV9" i="63" s="1"/>
  <c r="AU5" i="63"/>
  <c r="AU9" i="63" s="1"/>
  <c r="AT5" i="63"/>
  <c r="AT9" i="63" s="1"/>
  <c r="AS5" i="63"/>
  <c r="AS9" i="63" s="1"/>
  <c r="AR5" i="63"/>
  <c r="AR9" i="63" s="1"/>
  <c r="AQ5" i="63"/>
  <c r="AQ9" i="63" s="1"/>
  <c r="AP5" i="63"/>
  <c r="AP9" i="63" s="1"/>
  <c r="AO5" i="63"/>
  <c r="AO9" i="63" s="1"/>
  <c r="AN5" i="63"/>
  <c r="AN9" i="63" s="1"/>
  <c r="AM5" i="63"/>
  <c r="AM9" i="63" s="1"/>
  <c r="AL5" i="63"/>
  <c r="AL9" i="63" s="1"/>
  <c r="AK5" i="63"/>
  <c r="AK9" i="63" s="1"/>
  <c r="AJ5" i="63"/>
  <c r="AJ9" i="63" s="1"/>
  <c r="AI5" i="63"/>
  <c r="AI9" i="63" s="1"/>
  <c r="AH5" i="63"/>
  <c r="AH9" i="63" s="1"/>
  <c r="AG5" i="63"/>
  <c r="AG9" i="63" s="1"/>
  <c r="AF5" i="63"/>
  <c r="AF9" i="63" s="1"/>
  <c r="AE5" i="63"/>
  <c r="AE9" i="63" s="1"/>
  <c r="AD5" i="63"/>
  <c r="AD9" i="63" s="1"/>
  <c r="AC5" i="63"/>
  <c r="AC9" i="63" s="1"/>
  <c r="AB5" i="63"/>
  <c r="AB9" i="63" s="1"/>
  <c r="AA5" i="63"/>
  <c r="AA9" i="63" s="1"/>
  <c r="Z5" i="63"/>
  <c r="Z9" i="63" s="1"/>
  <c r="C4" i="63"/>
  <c r="AZ5" i="62"/>
  <c r="AZ9" i="62" s="1"/>
  <c r="AY5" i="62"/>
  <c r="AY9" i="62" s="1"/>
  <c r="AX5" i="62"/>
  <c r="AX9" i="62" s="1"/>
  <c r="AW5" i="62"/>
  <c r="AV5" i="62"/>
  <c r="AV9" i="62" s="1"/>
  <c r="AU5" i="62"/>
  <c r="AT5" i="62"/>
  <c r="AT9" i="62" s="1"/>
  <c r="AS5" i="62"/>
  <c r="AS9" i="62" s="1"/>
  <c r="AR5" i="62"/>
  <c r="AQ5" i="62"/>
  <c r="AQ9" i="62" s="1"/>
  <c r="AP5" i="62"/>
  <c r="AP9" i="62" s="1"/>
  <c r="AO5" i="62"/>
  <c r="AO9" i="62" s="1"/>
  <c r="AN5" i="62"/>
  <c r="AN9" i="62" s="1"/>
  <c r="AM5" i="62"/>
  <c r="AM9" i="62" s="1"/>
  <c r="AL5" i="62"/>
  <c r="AL9" i="62" s="1"/>
  <c r="AK5" i="62"/>
  <c r="AK9" i="62" s="1"/>
  <c r="AJ5" i="62"/>
  <c r="AJ9" i="62" s="1"/>
  <c r="AI5" i="62"/>
  <c r="AI9" i="62" s="1"/>
  <c r="AH5" i="62"/>
  <c r="AH9" i="62" s="1"/>
  <c r="AG5" i="62"/>
  <c r="AG9" i="62" s="1"/>
  <c r="AF5" i="62"/>
  <c r="AF9" i="62" s="1"/>
  <c r="AE5" i="62"/>
  <c r="AE9" i="62" s="1"/>
  <c r="AD5" i="62"/>
  <c r="AD9" i="62" s="1"/>
  <c r="AC5" i="62"/>
  <c r="AB5" i="62"/>
  <c r="AB9" i="62" s="1"/>
  <c r="AA5" i="62"/>
  <c r="AA9" i="62" s="1"/>
  <c r="Z5" i="62"/>
  <c r="Z9" i="62" s="1"/>
  <c r="AR9" i="62"/>
  <c r="AU9" i="62"/>
  <c r="E44" i="62"/>
  <c r="E5" i="62" s="1"/>
  <c r="BE10" i="13" s="1"/>
  <c r="F44" i="62"/>
  <c r="F5" i="62" s="1"/>
  <c r="BF10" i="13" s="1"/>
  <c r="G44" i="62"/>
  <c r="G5" i="62" s="1"/>
  <c r="BG10" i="13" s="1"/>
  <c r="H44" i="62"/>
  <c r="H5" i="62" s="1"/>
  <c r="BH10" i="13" s="1"/>
  <c r="I44" i="62"/>
  <c r="I5" i="62" s="1"/>
  <c r="BI10" i="13" s="1"/>
  <c r="J44" i="62"/>
  <c r="J5" i="62" s="1"/>
  <c r="BJ10" i="13" s="1"/>
  <c r="K44" i="62"/>
  <c r="K5" i="62" s="1"/>
  <c r="L44" i="62"/>
  <c r="L5" i="62" s="1"/>
  <c r="M44" i="62"/>
  <c r="M5" i="62" s="1"/>
  <c r="N44" i="62"/>
  <c r="N5" i="62" s="1"/>
  <c r="O44" i="62"/>
  <c r="O5" i="62" s="1"/>
  <c r="P44" i="62"/>
  <c r="P5" i="62" s="1"/>
  <c r="Q44" i="62"/>
  <c r="Q5" i="62" s="1"/>
  <c r="R44" i="62"/>
  <c r="R5" i="62" s="1"/>
  <c r="S44" i="62"/>
  <c r="S5" i="62" s="1"/>
  <c r="T44" i="62"/>
  <c r="T5" i="62" s="1"/>
  <c r="U44" i="62"/>
  <c r="U5" i="62" s="1"/>
  <c r="V44" i="62"/>
  <c r="V5" i="62" s="1"/>
  <c r="W44" i="62"/>
  <c r="W5" i="62" s="1"/>
  <c r="X44" i="62"/>
  <c r="X5" i="62" s="1"/>
  <c r="Y44" i="62"/>
  <c r="Y5" i="62" s="1"/>
  <c r="D44" i="62"/>
  <c r="D5" i="62" s="1"/>
  <c r="BD10" i="13" s="1"/>
  <c r="C40" i="62"/>
  <c r="B5" i="62"/>
  <c r="B9" i="62" s="1"/>
  <c r="AW9" i="62"/>
  <c r="AC9" i="62"/>
  <c r="C4" i="62"/>
  <c r="U2" i="13"/>
  <c r="CZ13" i="13" l="1"/>
  <c r="CR13" i="13"/>
  <c r="CF13" i="13"/>
  <c r="W51" i="68"/>
  <c r="W5" i="68" s="1"/>
  <c r="W9" i="68" s="1"/>
  <c r="CN13" i="13"/>
  <c r="CC13" i="13"/>
  <c r="CV13" i="13"/>
  <c r="CK13" i="13"/>
  <c r="CB13" i="13"/>
  <c r="CS13" i="13"/>
  <c r="CJ13" i="13"/>
  <c r="BH11" i="13"/>
  <c r="CW13" i="13"/>
  <c r="CO13" i="13"/>
  <c r="CG13" i="13"/>
  <c r="Y51" i="68"/>
  <c r="Y5" i="68" s="1"/>
  <c r="Y9" i="68" s="1"/>
  <c r="BI11" i="13"/>
  <c r="CX13" i="13"/>
  <c r="CT13" i="13"/>
  <c r="CP13" i="13"/>
  <c r="CL13" i="13"/>
  <c r="CH13" i="13"/>
  <c r="CD13" i="13"/>
  <c r="BZ13" i="13"/>
  <c r="CY13" i="13"/>
  <c r="CU13" i="13"/>
  <c r="CQ13" i="13"/>
  <c r="CM13" i="13"/>
  <c r="CI13" i="13"/>
  <c r="CE13" i="13"/>
  <c r="CA13" i="13"/>
  <c r="E9" i="63"/>
  <c r="FS11" i="13" s="1"/>
  <c r="BE11" i="13"/>
  <c r="F9" i="63"/>
  <c r="FT11" i="13" s="1"/>
  <c r="BF11" i="13"/>
  <c r="BG11" i="13"/>
  <c r="BJ11" i="13"/>
  <c r="G51" i="68"/>
  <c r="G5" i="68" s="1"/>
  <c r="K51" i="68"/>
  <c r="K5" i="68" s="1"/>
  <c r="K9" i="68" s="1"/>
  <c r="S51" i="68"/>
  <c r="S5" i="68" s="1"/>
  <c r="S9" i="68" s="1"/>
  <c r="O51" i="68"/>
  <c r="O5" i="68" s="1"/>
  <c r="O9" i="68" s="1"/>
  <c r="F51" i="68"/>
  <c r="F5" i="68" s="1"/>
  <c r="J51" i="68"/>
  <c r="J5" i="68" s="1"/>
  <c r="N51" i="68"/>
  <c r="N5" i="68" s="1"/>
  <c r="N9" i="68" s="1"/>
  <c r="R51" i="68"/>
  <c r="R5" i="68" s="1"/>
  <c r="R9" i="68" s="1"/>
  <c r="V51" i="68"/>
  <c r="V5" i="68" s="1"/>
  <c r="V9" i="68" s="1"/>
  <c r="D51" i="68"/>
  <c r="H51" i="68"/>
  <c r="H5" i="68" s="1"/>
  <c r="L51" i="68"/>
  <c r="L5" i="68" s="1"/>
  <c r="L9" i="68" s="1"/>
  <c r="P51" i="68"/>
  <c r="P5" i="68" s="1"/>
  <c r="P9" i="68" s="1"/>
  <c r="T51" i="68"/>
  <c r="T5" i="68" s="1"/>
  <c r="T9" i="68" s="1"/>
  <c r="X51" i="68"/>
  <c r="X5" i="68" s="1"/>
  <c r="X9" i="68" s="1"/>
  <c r="E51" i="68"/>
  <c r="E5" i="68" s="1"/>
  <c r="I51" i="68"/>
  <c r="I5" i="68" s="1"/>
  <c r="M51" i="68"/>
  <c r="M5" i="68" s="1"/>
  <c r="M9" i="68" s="1"/>
  <c r="Q51" i="68"/>
  <c r="Q5" i="68" s="1"/>
  <c r="Q9" i="68" s="1"/>
  <c r="U51" i="68"/>
  <c r="U5" i="68" s="1"/>
  <c r="U9" i="68" s="1"/>
  <c r="C44" i="63"/>
  <c r="D9" i="63"/>
  <c r="FR11" i="13" s="1"/>
  <c r="C5" i="63"/>
  <c r="C44" i="62"/>
  <c r="Y9" i="62"/>
  <c r="U9" i="62"/>
  <c r="Q9" i="62"/>
  <c r="M9" i="62"/>
  <c r="I9" i="62"/>
  <c r="FW10" i="13" s="1"/>
  <c r="E9" i="62"/>
  <c r="FS10" i="13" s="1"/>
  <c r="S9" i="62"/>
  <c r="O9" i="62"/>
  <c r="K9" i="62"/>
  <c r="G9" i="62"/>
  <c r="FU10" i="13" s="1"/>
  <c r="V9" i="62"/>
  <c r="R9" i="62"/>
  <c r="N9" i="62"/>
  <c r="J9" i="62"/>
  <c r="FX10" i="13" s="1"/>
  <c r="F9" i="62"/>
  <c r="FT10" i="13" s="1"/>
  <c r="X9" i="62"/>
  <c r="T9" i="62"/>
  <c r="P9" i="62"/>
  <c r="L9" i="62"/>
  <c r="H9" i="62"/>
  <c r="FV10" i="13" s="1"/>
  <c r="W9" i="62"/>
  <c r="J9" i="68" l="1"/>
  <c r="FX9" i="13" s="1"/>
  <c r="BJ9" i="13"/>
  <c r="I9" i="68"/>
  <c r="FW9" i="13" s="1"/>
  <c r="BI9" i="13"/>
  <c r="F9" i="68"/>
  <c r="FT9" i="13" s="1"/>
  <c r="BF9" i="13"/>
  <c r="G9" i="68"/>
  <c r="FU9" i="13" s="1"/>
  <c r="BG9" i="13"/>
  <c r="H9" i="68"/>
  <c r="FV9" i="13" s="1"/>
  <c r="BH9" i="13"/>
  <c r="E9" i="68"/>
  <c r="FS9" i="13" s="1"/>
  <c r="BE9" i="13"/>
  <c r="C9" i="63"/>
  <c r="D5" i="68"/>
  <c r="BD9" i="13" s="1"/>
  <c r="C51" i="68"/>
  <c r="D9" i="68" l="1"/>
  <c r="C5" i="68"/>
  <c r="D9" i="62"/>
  <c r="C5" i="62"/>
  <c r="C9" i="68" l="1"/>
  <c r="FR9" i="13"/>
  <c r="C9" i="62"/>
  <c r="FR10" i="13"/>
  <c r="G53" i="47"/>
  <c r="I53" i="47"/>
  <c r="J53" i="47"/>
  <c r="K53" i="47"/>
  <c r="L53" i="47"/>
  <c r="M53" i="47"/>
  <c r="N53" i="47"/>
  <c r="O53" i="47"/>
  <c r="P53" i="47"/>
  <c r="Q53" i="47"/>
  <c r="R53" i="47"/>
  <c r="S53" i="47"/>
  <c r="T53" i="47"/>
  <c r="U53" i="47"/>
  <c r="V53" i="47"/>
  <c r="W53" i="47"/>
  <c r="X53" i="47"/>
  <c r="Y53" i="47"/>
  <c r="H53" i="47"/>
  <c r="Z5" i="47"/>
  <c r="Z9" i="47" s="1"/>
  <c r="AA5" i="47"/>
  <c r="AA9" i="47" s="1"/>
  <c r="AB5" i="47"/>
  <c r="AB9" i="47" s="1"/>
  <c r="AC5" i="47"/>
  <c r="AC9" i="47" s="1"/>
  <c r="AD5" i="47"/>
  <c r="AD9" i="47" s="1"/>
  <c r="AE5" i="47"/>
  <c r="AE9" i="47" s="1"/>
  <c r="AF5" i="47"/>
  <c r="AF9" i="47" s="1"/>
  <c r="AG5" i="47"/>
  <c r="AG9" i="47" s="1"/>
  <c r="AH5" i="47"/>
  <c r="AH9" i="47" s="1"/>
  <c r="AI5" i="47"/>
  <c r="AI9" i="47" s="1"/>
  <c r="AJ5" i="47"/>
  <c r="AJ9" i="47" s="1"/>
  <c r="AK5" i="47"/>
  <c r="AK9" i="47" s="1"/>
  <c r="AL5" i="47"/>
  <c r="AL9" i="47" s="1"/>
  <c r="AM5" i="47"/>
  <c r="AM9" i="47" s="1"/>
  <c r="AN5" i="47"/>
  <c r="AN9" i="47" s="1"/>
  <c r="AO5" i="47"/>
  <c r="AO9" i="47" s="1"/>
  <c r="AP5" i="47"/>
  <c r="AP9" i="47" s="1"/>
  <c r="AQ5" i="47"/>
  <c r="AQ9" i="47" s="1"/>
  <c r="AR5" i="47"/>
  <c r="AR9" i="47" s="1"/>
  <c r="AS5" i="47"/>
  <c r="AS9" i="47" s="1"/>
  <c r="AT5" i="47"/>
  <c r="AT9" i="47" s="1"/>
  <c r="AU5" i="47"/>
  <c r="AU9" i="47" s="1"/>
  <c r="AV5" i="47"/>
  <c r="AV9" i="47" s="1"/>
  <c r="AW5" i="47"/>
  <c r="AW9" i="47" s="1"/>
  <c r="AX5" i="47"/>
  <c r="AX9" i="47" s="1"/>
  <c r="AY5" i="47"/>
  <c r="AY9" i="47" s="1"/>
  <c r="AZ5" i="47"/>
  <c r="AZ9" i="47" s="1"/>
  <c r="C4" i="47"/>
  <c r="C59" i="47"/>
  <c r="C60" i="47" s="1"/>
  <c r="B59" i="47"/>
  <c r="F53" i="47"/>
  <c r="Z5" i="46"/>
  <c r="Z9" i="46" s="1"/>
  <c r="AA5" i="46"/>
  <c r="AA9" i="46" s="1"/>
  <c r="AB5" i="46"/>
  <c r="AB9" i="46" s="1"/>
  <c r="AC5" i="46"/>
  <c r="AC9" i="46" s="1"/>
  <c r="AD5" i="46"/>
  <c r="AD9" i="46" s="1"/>
  <c r="AE5" i="46"/>
  <c r="AE9" i="46" s="1"/>
  <c r="AF5" i="46"/>
  <c r="AF9" i="46" s="1"/>
  <c r="AG5" i="46"/>
  <c r="AG9" i="46" s="1"/>
  <c r="AH5" i="46"/>
  <c r="AH9" i="46" s="1"/>
  <c r="AI5" i="46"/>
  <c r="AI9" i="46" s="1"/>
  <c r="AJ5" i="46"/>
  <c r="AJ9" i="46" s="1"/>
  <c r="AK5" i="46"/>
  <c r="AK9" i="46" s="1"/>
  <c r="AL5" i="46"/>
  <c r="AL9" i="46" s="1"/>
  <c r="AM5" i="46"/>
  <c r="AM9" i="46" s="1"/>
  <c r="AN5" i="46"/>
  <c r="AN9" i="46" s="1"/>
  <c r="AO5" i="46"/>
  <c r="AO9" i="46" s="1"/>
  <c r="AP5" i="46"/>
  <c r="AP9" i="46" s="1"/>
  <c r="AQ5" i="46"/>
  <c r="AQ9" i="46" s="1"/>
  <c r="AR5" i="46"/>
  <c r="AR9" i="46" s="1"/>
  <c r="AS5" i="46"/>
  <c r="AS9" i="46" s="1"/>
  <c r="AT5" i="46"/>
  <c r="AT9" i="46" s="1"/>
  <c r="AU5" i="46"/>
  <c r="AU9" i="46" s="1"/>
  <c r="AV5" i="46"/>
  <c r="AV9" i="46" s="1"/>
  <c r="AW5" i="46"/>
  <c r="AW9" i="46" s="1"/>
  <c r="AX5" i="46"/>
  <c r="AX9" i="46" s="1"/>
  <c r="AY5" i="46"/>
  <c r="AY9" i="46" s="1"/>
  <c r="AZ5" i="46"/>
  <c r="AZ9" i="46" s="1"/>
  <c r="D4" i="46"/>
  <c r="D21" i="46"/>
  <c r="E21" i="46" s="1"/>
  <c r="C43" i="46"/>
  <c r="C38" i="46"/>
  <c r="E44" i="46" s="1"/>
  <c r="E5" i="46" s="1"/>
  <c r="D4" i="68" l="1"/>
  <c r="D8" i="68" s="1"/>
  <c r="D4" i="69"/>
  <c r="D8" i="69" s="1"/>
  <c r="E9" i="46"/>
  <c r="FS7" i="13" s="1"/>
  <c r="BE7" i="13"/>
  <c r="D8" i="46"/>
  <c r="D4" i="65"/>
  <c r="D8" i="65" s="1"/>
  <c r="D4" i="66"/>
  <c r="D8" i="66" s="1"/>
  <c r="D4" i="63"/>
  <c r="D8" i="63" s="1"/>
  <c r="D4" i="62"/>
  <c r="D8" i="62" s="1"/>
  <c r="D4" i="64"/>
  <c r="D8" i="64" s="1"/>
  <c r="D4" i="47"/>
  <c r="D8" i="47" s="1"/>
  <c r="F65" i="47"/>
  <c r="F5" i="47" s="1"/>
  <c r="J65" i="47"/>
  <c r="J5" i="47" s="1"/>
  <c r="N65" i="47"/>
  <c r="N5" i="47" s="1"/>
  <c r="N9" i="47" s="1"/>
  <c r="R65" i="47"/>
  <c r="R5" i="47" s="1"/>
  <c r="R9" i="47" s="1"/>
  <c r="V65" i="47"/>
  <c r="V5" i="47" s="1"/>
  <c r="V9" i="47" s="1"/>
  <c r="D65" i="47"/>
  <c r="D5" i="47" s="1"/>
  <c r="G65" i="47"/>
  <c r="G5" i="47" s="1"/>
  <c r="BG8" i="13" s="1"/>
  <c r="K65" i="47"/>
  <c r="K5" i="47" s="1"/>
  <c r="K9" i="47" s="1"/>
  <c r="O65" i="47"/>
  <c r="O5" i="47" s="1"/>
  <c r="O9" i="47" s="1"/>
  <c r="S65" i="47"/>
  <c r="S5" i="47" s="1"/>
  <c r="S9" i="47" s="1"/>
  <c r="W65" i="47"/>
  <c r="W5" i="47" s="1"/>
  <c r="W9" i="47" s="1"/>
  <c r="H65" i="47"/>
  <c r="H5" i="47" s="1"/>
  <c r="L65" i="47"/>
  <c r="L5" i="47" s="1"/>
  <c r="L9" i="47" s="1"/>
  <c r="P65" i="47"/>
  <c r="P5" i="47" s="1"/>
  <c r="P9" i="47" s="1"/>
  <c r="T65" i="47"/>
  <c r="T5" i="47" s="1"/>
  <c r="T9" i="47" s="1"/>
  <c r="X65" i="47"/>
  <c r="X5" i="47" s="1"/>
  <c r="X9" i="47" s="1"/>
  <c r="E65" i="47"/>
  <c r="E5" i="47" s="1"/>
  <c r="I65" i="47"/>
  <c r="I5" i="47" s="1"/>
  <c r="M65" i="47"/>
  <c r="M5" i="47" s="1"/>
  <c r="M9" i="47" s="1"/>
  <c r="Q65" i="47"/>
  <c r="Q5" i="47" s="1"/>
  <c r="Q9" i="47" s="1"/>
  <c r="U65" i="47"/>
  <c r="U5" i="47" s="1"/>
  <c r="U9" i="47" s="1"/>
  <c r="Y65" i="47"/>
  <c r="Y5" i="47" s="1"/>
  <c r="Y9" i="47" s="1"/>
  <c r="E4" i="46"/>
  <c r="F21" i="46"/>
  <c r="T44" i="46"/>
  <c r="T5" i="46" s="1"/>
  <c r="T9" i="46" s="1"/>
  <c r="P44" i="46"/>
  <c r="P5" i="46" s="1"/>
  <c r="P9" i="46" s="1"/>
  <c r="L44" i="46"/>
  <c r="L5" i="46" s="1"/>
  <c r="L9" i="46" s="1"/>
  <c r="X44" i="46"/>
  <c r="X5" i="46" s="1"/>
  <c r="X9" i="46" s="1"/>
  <c r="H44" i="46"/>
  <c r="H5" i="46" s="1"/>
  <c r="W44" i="46"/>
  <c r="W5" i="46" s="1"/>
  <c r="W9" i="46" s="1"/>
  <c r="S44" i="46"/>
  <c r="S5" i="46" s="1"/>
  <c r="S9" i="46" s="1"/>
  <c r="O44" i="46"/>
  <c r="O5" i="46" s="1"/>
  <c r="O9" i="46" s="1"/>
  <c r="K44" i="46"/>
  <c r="K5" i="46" s="1"/>
  <c r="K9" i="46" s="1"/>
  <c r="G44" i="46"/>
  <c r="G5" i="46" s="1"/>
  <c r="D44" i="46"/>
  <c r="D5" i="46" s="1"/>
  <c r="V44" i="46"/>
  <c r="V5" i="46" s="1"/>
  <c r="V9" i="46" s="1"/>
  <c r="R44" i="46"/>
  <c r="R5" i="46" s="1"/>
  <c r="R9" i="46" s="1"/>
  <c r="N44" i="46"/>
  <c r="N5" i="46" s="1"/>
  <c r="N9" i="46" s="1"/>
  <c r="J44" i="46"/>
  <c r="J5" i="46" s="1"/>
  <c r="F44" i="46"/>
  <c r="F5" i="46" s="1"/>
  <c r="Y44" i="46"/>
  <c r="Y5" i="46" s="1"/>
  <c r="Y9" i="46" s="1"/>
  <c r="U44" i="46"/>
  <c r="U5" i="46" s="1"/>
  <c r="U9" i="46" s="1"/>
  <c r="Q44" i="46"/>
  <c r="Q5" i="46" s="1"/>
  <c r="Q9" i="46" s="1"/>
  <c r="M44" i="46"/>
  <c r="M5" i="46" s="1"/>
  <c r="M9" i="46" s="1"/>
  <c r="I44" i="46"/>
  <c r="I5" i="46" s="1"/>
  <c r="E4" i="68" l="1"/>
  <c r="E8" i="68" s="1"/>
  <c r="E4" i="69"/>
  <c r="E8" i="69" s="1"/>
  <c r="I9" i="47"/>
  <c r="FW8" i="13" s="1"/>
  <c r="BI8" i="13"/>
  <c r="D9" i="47"/>
  <c r="FR8" i="13" s="1"/>
  <c r="BD8" i="13"/>
  <c r="J9" i="47"/>
  <c r="FX8" i="13" s="1"/>
  <c r="BJ8" i="13"/>
  <c r="E9" i="47"/>
  <c r="FS8" i="13" s="1"/>
  <c r="FS6" i="13" s="1"/>
  <c r="BE8" i="13"/>
  <c r="BE6" i="13" s="1"/>
  <c r="F9" i="47"/>
  <c r="FT8" i="13" s="1"/>
  <c r="BF8" i="13"/>
  <c r="H9" i="47"/>
  <c r="FV8" i="13" s="1"/>
  <c r="BH8" i="13"/>
  <c r="D9" i="46"/>
  <c r="FR7" i="13" s="1"/>
  <c r="FR6" i="13" s="1"/>
  <c r="BD7" i="13"/>
  <c r="G9" i="46"/>
  <c r="FU7" i="13" s="1"/>
  <c r="BG7" i="13"/>
  <c r="BG6" i="13" s="1"/>
  <c r="H9" i="46"/>
  <c r="FV7" i="13" s="1"/>
  <c r="FV6" i="13" s="1"/>
  <c r="BH7" i="13"/>
  <c r="J9" i="46"/>
  <c r="FX7" i="13" s="1"/>
  <c r="BJ7" i="13"/>
  <c r="I9" i="46"/>
  <c r="FW7" i="13" s="1"/>
  <c r="FW6" i="13" s="1"/>
  <c r="BI7" i="13"/>
  <c r="BI6" i="13" s="1"/>
  <c r="F9" i="46"/>
  <c r="FT7" i="13" s="1"/>
  <c r="BF7" i="13"/>
  <c r="E4" i="65"/>
  <c r="E8" i="65" s="1"/>
  <c r="E4" i="64"/>
  <c r="E8" i="64" s="1"/>
  <c r="E4" i="63"/>
  <c r="E8" i="63" s="1"/>
  <c r="E4" i="62"/>
  <c r="E8" i="62" s="1"/>
  <c r="E4" i="66"/>
  <c r="E8" i="66" s="1"/>
  <c r="C5" i="47"/>
  <c r="G9" i="47"/>
  <c r="FU8" i="13" s="1"/>
  <c r="E8" i="46"/>
  <c r="E4" i="47"/>
  <c r="E8" i="47" s="1"/>
  <c r="C65" i="47"/>
  <c r="F4" i="46"/>
  <c r="C5" i="46"/>
  <c r="G21" i="46"/>
  <c r="C44" i="46"/>
  <c r="BF6" i="13" l="1"/>
  <c r="BJ6" i="13"/>
  <c r="FT6" i="13"/>
  <c r="FX6" i="13"/>
  <c r="FU6" i="13"/>
  <c r="BH6" i="13"/>
  <c r="BD6" i="13"/>
  <c r="F4" i="68"/>
  <c r="F8" i="68" s="1"/>
  <c r="F4" i="69"/>
  <c r="F8" i="69" s="1"/>
  <c r="C9" i="46"/>
  <c r="C9" i="47"/>
  <c r="C38" i="66"/>
  <c r="C41" i="66" s="1"/>
  <c r="C38" i="64"/>
  <c r="C41" i="64" s="1"/>
  <c r="C38" i="69"/>
  <c r="C41" i="69" s="1"/>
  <c r="C38" i="65"/>
  <c r="C41" i="65" s="1"/>
  <c r="F4" i="47"/>
  <c r="F8" i="47" s="1"/>
  <c r="F4" i="65"/>
  <c r="F8" i="65" s="1"/>
  <c r="F4" i="64"/>
  <c r="F8" i="64" s="1"/>
  <c r="F4" i="66"/>
  <c r="F8" i="66" s="1"/>
  <c r="F4" i="63"/>
  <c r="F8" i="63" s="1"/>
  <c r="F4" i="62"/>
  <c r="F8" i="62" s="1"/>
  <c r="F8" i="46"/>
  <c r="G4" i="46"/>
  <c r="H21" i="46"/>
  <c r="G4" i="68" l="1"/>
  <c r="G8" i="68" s="1"/>
  <c r="G4" i="69"/>
  <c r="G8" i="69" s="1"/>
  <c r="X51" i="64"/>
  <c r="X5" i="64" s="1"/>
  <c r="X9" i="64" s="1"/>
  <c r="T51" i="64"/>
  <c r="T5" i="64" s="1"/>
  <c r="T9" i="64" s="1"/>
  <c r="P51" i="64"/>
  <c r="P5" i="64" s="1"/>
  <c r="P9" i="64" s="1"/>
  <c r="L51" i="64"/>
  <c r="L5" i="64" s="1"/>
  <c r="L9" i="64" s="1"/>
  <c r="H51" i="64"/>
  <c r="H5" i="64" s="1"/>
  <c r="D51" i="64"/>
  <c r="U51" i="64"/>
  <c r="U5" i="64" s="1"/>
  <c r="U9" i="64" s="1"/>
  <c r="M51" i="64"/>
  <c r="M5" i="64" s="1"/>
  <c r="M9" i="64" s="1"/>
  <c r="E51" i="64"/>
  <c r="E5" i="64" s="1"/>
  <c r="W51" i="64"/>
  <c r="W5" i="64" s="1"/>
  <c r="W9" i="64" s="1"/>
  <c r="S51" i="64"/>
  <c r="S5" i="64" s="1"/>
  <c r="S9" i="64" s="1"/>
  <c r="O51" i="64"/>
  <c r="O5" i="64" s="1"/>
  <c r="O9" i="64" s="1"/>
  <c r="K51" i="64"/>
  <c r="K5" i="64" s="1"/>
  <c r="K9" i="64" s="1"/>
  <c r="G51" i="64"/>
  <c r="G5" i="64" s="1"/>
  <c r="V51" i="64"/>
  <c r="V5" i="64" s="1"/>
  <c r="V9" i="64" s="1"/>
  <c r="R51" i="64"/>
  <c r="R5" i="64" s="1"/>
  <c r="R9" i="64" s="1"/>
  <c r="N51" i="64"/>
  <c r="N5" i="64" s="1"/>
  <c r="N9" i="64" s="1"/>
  <c r="J51" i="64"/>
  <c r="J5" i="64" s="1"/>
  <c r="F51" i="64"/>
  <c r="F5" i="64" s="1"/>
  <c r="Y51" i="64"/>
  <c r="Y5" i="64" s="1"/>
  <c r="Y9" i="64" s="1"/>
  <c r="Q51" i="64"/>
  <c r="Q5" i="64" s="1"/>
  <c r="Q9" i="64" s="1"/>
  <c r="I51" i="64"/>
  <c r="I5" i="64" s="1"/>
  <c r="Y51" i="66"/>
  <c r="Y5" i="66" s="1"/>
  <c r="Y9" i="66" s="1"/>
  <c r="V51" i="66"/>
  <c r="V5" i="66" s="1"/>
  <c r="V9" i="66" s="1"/>
  <c r="R51" i="66"/>
  <c r="R5" i="66" s="1"/>
  <c r="R9" i="66" s="1"/>
  <c r="S51" i="66"/>
  <c r="S5" i="66" s="1"/>
  <c r="S9" i="66" s="1"/>
  <c r="L51" i="66"/>
  <c r="L5" i="66" s="1"/>
  <c r="L9" i="66" s="1"/>
  <c r="E51" i="66"/>
  <c r="E5" i="66" s="1"/>
  <c r="U51" i="66"/>
  <c r="U5" i="66" s="1"/>
  <c r="U9" i="66" s="1"/>
  <c r="F51" i="66"/>
  <c r="F5" i="66" s="1"/>
  <c r="G51" i="66"/>
  <c r="G5" i="66" s="1"/>
  <c r="W51" i="66"/>
  <c r="W5" i="66" s="1"/>
  <c r="W9" i="66" s="1"/>
  <c r="P51" i="66"/>
  <c r="P5" i="66" s="1"/>
  <c r="P9" i="66" s="1"/>
  <c r="I51" i="66"/>
  <c r="I5" i="66" s="1"/>
  <c r="J51" i="66"/>
  <c r="J5" i="66" s="1"/>
  <c r="K51" i="66"/>
  <c r="K5" i="66" s="1"/>
  <c r="K9" i="66" s="1"/>
  <c r="D51" i="66"/>
  <c r="T51" i="66"/>
  <c r="T5" i="66" s="1"/>
  <c r="T9" i="66" s="1"/>
  <c r="M51" i="66"/>
  <c r="M5" i="66" s="1"/>
  <c r="M9" i="66" s="1"/>
  <c r="N51" i="66"/>
  <c r="N5" i="66" s="1"/>
  <c r="N9" i="66" s="1"/>
  <c r="O51" i="66"/>
  <c r="O5" i="66" s="1"/>
  <c r="O9" i="66" s="1"/>
  <c r="H51" i="66"/>
  <c r="H5" i="66" s="1"/>
  <c r="X51" i="66"/>
  <c r="X5" i="66" s="1"/>
  <c r="X9" i="66" s="1"/>
  <c r="Q51" i="66"/>
  <c r="Q5" i="66" s="1"/>
  <c r="Q9" i="66" s="1"/>
  <c r="R51" i="65"/>
  <c r="R5" i="65" s="1"/>
  <c r="R9" i="65" s="1"/>
  <c r="I51" i="65"/>
  <c r="I5" i="65" s="1"/>
  <c r="H51" i="65"/>
  <c r="H5" i="65" s="1"/>
  <c r="U51" i="65"/>
  <c r="U5" i="65" s="1"/>
  <c r="U9" i="65" s="1"/>
  <c r="E51" i="65"/>
  <c r="E5" i="65" s="1"/>
  <c r="T51" i="65"/>
  <c r="T5" i="65" s="1"/>
  <c r="T9" i="65" s="1"/>
  <c r="D51" i="65"/>
  <c r="K51" i="65"/>
  <c r="K5" i="65" s="1"/>
  <c r="K9" i="65" s="1"/>
  <c r="F51" i="65"/>
  <c r="F5" i="65" s="1"/>
  <c r="Q51" i="65"/>
  <c r="Q5" i="65" s="1"/>
  <c r="Q9" i="65" s="1"/>
  <c r="P51" i="65"/>
  <c r="P5" i="65" s="1"/>
  <c r="P9" i="65" s="1"/>
  <c r="W51" i="65"/>
  <c r="W5" i="65" s="1"/>
  <c r="W9" i="65" s="1"/>
  <c r="G51" i="65"/>
  <c r="G5" i="65" s="1"/>
  <c r="M51" i="65"/>
  <c r="M5" i="65" s="1"/>
  <c r="M9" i="65" s="1"/>
  <c r="J51" i="65"/>
  <c r="J5" i="65" s="1"/>
  <c r="L51" i="65"/>
  <c r="L5" i="65" s="1"/>
  <c r="L9" i="65" s="1"/>
  <c r="S51" i="65"/>
  <c r="S5" i="65" s="1"/>
  <c r="S9" i="65" s="1"/>
  <c r="V51" i="65"/>
  <c r="V5" i="65" s="1"/>
  <c r="V9" i="65" s="1"/>
  <c r="Y51" i="65"/>
  <c r="Y5" i="65" s="1"/>
  <c r="Y9" i="65" s="1"/>
  <c r="X51" i="65"/>
  <c r="X5" i="65" s="1"/>
  <c r="X9" i="65" s="1"/>
  <c r="O51" i="65"/>
  <c r="O5" i="65" s="1"/>
  <c r="O9" i="65" s="1"/>
  <c r="N51" i="65"/>
  <c r="N5" i="65" s="1"/>
  <c r="N9" i="65" s="1"/>
  <c r="Y51" i="69"/>
  <c r="Y5" i="69" s="1"/>
  <c r="V51" i="69"/>
  <c r="V5" i="69" s="1"/>
  <c r="S51" i="69"/>
  <c r="S5" i="69" s="1"/>
  <c r="T51" i="69"/>
  <c r="T5" i="69" s="1"/>
  <c r="N51" i="69"/>
  <c r="N5" i="69" s="1"/>
  <c r="O51" i="69"/>
  <c r="O5" i="69" s="1"/>
  <c r="H51" i="69"/>
  <c r="H5" i="69" s="1"/>
  <c r="X51" i="69"/>
  <c r="X5" i="69" s="1"/>
  <c r="Q51" i="69"/>
  <c r="Q5" i="69" s="1"/>
  <c r="R51" i="69"/>
  <c r="R5" i="69" s="1"/>
  <c r="L51" i="69"/>
  <c r="L5" i="69" s="1"/>
  <c r="E51" i="69"/>
  <c r="E5" i="69" s="1"/>
  <c r="U51" i="69"/>
  <c r="U5" i="69" s="1"/>
  <c r="F51" i="69"/>
  <c r="F5" i="69" s="1"/>
  <c r="G51" i="69"/>
  <c r="G5" i="69" s="1"/>
  <c r="W51" i="69"/>
  <c r="W5" i="69" s="1"/>
  <c r="P51" i="69"/>
  <c r="P5" i="69" s="1"/>
  <c r="I51" i="69"/>
  <c r="I5" i="69" s="1"/>
  <c r="J51" i="69"/>
  <c r="J5" i="69" s="1"/>
  <c r="K51" i="69"/>
  <c r="K5" i="69" s="1"/>
  <c r="D51" i="69"/>
  <c r="M51" i="69"/>
  <c r="M5" i="69" s="1"/>
  <c r="G4" i="47"/>
  <c r="G8" i="47" s="1"/>
  <c r="G4" i="66"/>
  <c r="G8" i="66" s="1"/>
  <c r="G4" i="65"/>
  <c r="G8" i="65" s="1"/>
  <c r="G4" i="64"/>
  <c r="G8" i="64" s="1"/>
  <c r="G4" i="63"/>
  <c r="G8" i="63" s="1"/>
  <c r="G4" i="62"/>
  <c r="G8" i="62" s="1"/>
  <c r="G8" i="46"/>
  <c r="H4" i="46"/>
  <c r="I21" i="46"/>
  <c r="H4" i="68" l="1"/>
  <c r="H8" i="68" s="1"/>
  <c r="H4" i="69"/>
  <c r="H8" i="69" s="1"/>
  <c r="E9" i="66"/>
  <c r="FS15" i="13" s="1"/>
  <c r="BE15" i="13"/>
  <c r="J9" i="66"/>
  <c r="FX15" i="13" s="1"/>
  <c r="BJ15" i="13"/>
  <c r="F9" i="64"/>
  <c r="FT12" i="13" s="1"/>
  <c r="FT5" i="13" s="1"/>
  <c r="FT4" i="13" s="1"/>
  <c r="BF12" i="13"/>
  <c r="H9" i="66"/>
  <c r="FV15" i="13" s="1"/>
  <c r="BH15" i="13"/>
  <c r="I9" i="66"/>
  <c r="FW15" i="13" s="1"/>
  <c r="BI15" i="13"/>
  <c r="F9" i="66"/>
  <c r="FT15" i="13" s="1"/>
  <c r="BF15" i="13"/>
  <c r="I9" i="64"/>
  <c r="FW12" i="13" s="1"/>
  <c r="BI12" i="13"/>
  <c r="J9" i="64"/>
  <c r="FX12" i="13" s="1"/>
  <c r="BJ12" i="13"/>
  <c r="G9" i="64"/>
  <c r="FU12" i="13" s="1"/>
  <c r="BG12" i="13"/>
  <c r="D5" i="64"/>
  <c r="C51" i="64"/>
  <c r="G9" i="66"/>
  <c r="FU15" i="13" s="1"/>
  <c r="BG15" i="13"/>
  <c r="D5" i="66"/>
  <c r="C51" i="66"/>
  <c r="E9" i="64"/>
  <c r="FS12" i="13" s="1"/>
  <c r="BE12" i="13"/>
  <c r="H9" i="64"/>
  <c r="FV12" i="13" s="1"/>
  <c r="BH12" i="13"/>
  <c r="M9" i="69"/>
  <c r="BM13" i="13"/>
  <c r="I9" i="69"/>
  <c r="FW13" i="13" s="1"/>
  <c r="BI13" i="13"/>
  <c r="R9" i="69"/>
  <c r="BR13" i="13"/>
  <c r="O9" i="69"/>
  <c r="BO13" i="13"/>
  <c r="V9" i="69"/>
  <c r="BV13" i="13"/>
  <c r="D5" i="69"/>
  <c r="C51" i="69"/>
  <c r="P9" i="69"/>
  <c r="BP13" i="13"/>
  <c r="Q9" i="69"/>
  <c r="BQ13" i="13"/>
  <c r="N9" i="69"/>
  <c r="BN13" i="13"/>
  <c r="Y9" i="69"/>
  <c r="BY13" i="13"/>
  <c r="BJ14" i="13"/>
  <c r="J9" i="65"/>
  <c r="FX14" i="13" s="1"/>
  <c r="D5" i="65"/>
  <c r="C51" i="65"/>
  <c r="BH14" i="13"/>
  <c r="H9" i="65"/>
  <c r="FV14" i="13" s="1"/>
  <c r="K9" i="69"/>
  <c r="BK13" i="13"/>
  <c r="W9" i="69"/>
  <c r="BW13" i="13"/>
  <c r="E9" i="69"/>
  <c r="FS13" i="13" s="1"/>
  <c r="BE13" i="13"/>
  <c r="X9" i="69"/>
  <c r="BX13" i="13"/>
  <c r="T9" i="69"/>
  <c r="BT13" i="13"/>
  <c r="I9" i="65"/>
  <c r="FW14" i="13" s="1"/>
  <c r="BI14" i="13"/>
  <c r="F9" i="69"/>
  <c r="FT13" i="13" s="1"/>
  <c r="BF13" i="13"/>
  <c r="U9" i="69"/>
  <c r="BU13" i="13"/>
  <c r="J9" i="69"/>
  <c r="FX13" i="13" s="1"/>
  <c r="BJ13" i="13"/>
  <c r="G9" i="69"/>
  <c r="FU13" i="13" s="1"/>
  <c r="BG13" i="13"/>
  <c r="L9" i="69"/>
  <c r="BL13" i="13"/>
  <c r="H9" i="69"/>
  <c r="FV13" i="13" s="1"/>
  <c r="BH13" i="13"/>
  <c r="S9" i="69"/>
  <c r="BS13" i="13"/>
  <c r="G9" i="65"/>
  <c r="FU14" i="13" s="1"/>
  <c r="BG14" i="13"/>
  <c r="BF14" i="13"/>
  <c r="F9" i="65"/>
  <c r="FT14" i="13" s="1"/>
  <c r="E9" i="65"/>
  <c r="FS14" i="13" s="1"/>
  <c r="BE14" i="13"/>
  <c r="H4" i="47"/>
  <c r="H8" i="47" s="1"/>
  <c r="H4" i="65"/>
  <c r="H8" i="65" s="1"/>
  <c r="H4" i="63"/>
  <c r="H8" i="63" s="1"/>
  <c r="H4" i="62"/>
  <c r="H8" i="62" s="1"/>
  <c r="H4" i="66"/>
  <c r="H8" i="66" s="1"/>
  <c r="H4" i="64"/>
  <c r="H8" i="64" s="1"/>
  <c r="H8" i="46"/>
  <c r="I4" i="46"/>
  <c r="I8" i="46" s="1"/>
  <c r="J21" i="46"/>
  <c r="BF5" i="13" l="1"/>
  <c r="BF4" i="13" s="1"/>
  <c r="BE5" i="13"/>
  <c r="BE4" i="13" s="1"/>
  <c r="BG5" i="13"/>
  <c r="BG4" i="13" s="1"/>
  <c r="BI5" i="13"/>
  <c r="BI4" i="13" s="1"/>
  <c r="BH5" i="13"/>
  <c r="BH4" i="13" s="1"/>
  <c r="BJ5" i="13"/>
  <c r="BJ4" i="13" s="1"/>
  <c r="FS5" i="13"/>
  <c r="FS4" i="13" s="1"/>
  <c r="FU5" i="13"/>
  <c r="FU4" i="13" s="1"/>
  <c r="FW5" i="13"/>
  <c r="FW4" i="13" s="1"/>
  <c r="FV5" i="13"/>
  <c r="FV4" i="13" s="1"/>
  <c r="FX5" i="13"/>
  <c r="FX4" i="13" s="1"/>
  <c r="I4" i="68"/>
  <c r="I8" i="68" s="1"/>
  <c r="I4" i="69"/>
  <c r="I8" i="69" s="1"/>
  <c r="BD12" i="13"/>
  <c r="D9" i="64"/>
  <c r="C5" i="64"/>
  <c r="BD15" i="13"/>
  <c r="D9" i="66"/>
  <c r="C5" i="66"/>
  <c r="BD14" i="13"/>
  <c r="D9" i="65"/>
  <c r="C5" i="65"/>
  <c r="BD13" i="13"/>
  <c r="C5" i="69"/>
  <c r="D9" i="69"/>
  <c r="I4" i="47"/>
  <c r="I8" i="47" s="1"/>
  <c r="I4" i="66"/>
  <c r="I8" i="66" s="1"/>
  <c r="I4" i="64"/>
  <c r="I8" i="64" s="1"/>
  <c r="I4" i="65"/>
  <c r="I8" i="65" s="1"/>
  <c r="I4" i="62"/>
  <c r="I8" i="62" s="1"/>
  <c r="I4" i="63"/>
  <c r="I8" i="63" s="1"/>
  <c r="J4" i="46"/>
  <c r="K21" i="46"/>
  <c r="FR2" i="13"/>
  <c r="BD2" i="13"/>
  <c r="BD5" i="13" l="1"/>
  <c r="BD4" i="13" s="1"/>
  <c r="C9" i="65"/>
  <c r="FR14" i="13"/>
  <c r="J4" i="68"/>
  <c r="J8" i="68" s="1"/>
  <c r="J4" i="69"/>
  <c r="J8" i="69" s="1"/>
  <c r="C9" i="64"/>
  <c r="FR12" i="13"/>
  <c r="C9" i="66"/>
  <c r="FR15" i="13"/>
  <c r="C9" i="69"/>
  <c r="FR13" i="13"/>
  <c r="J4" i="47"/>
  <c r="J8" i="47" s="1"/>
  <c r="J4" i="64"/>
  <c r="J8" i="64" s="1"/>
  <c r="J4" i="65"/>
  <c r="J8" i="65" s="1"/>
  <c r="J4" i="63"/>
  <c r="J8" i="63" s="1"/>
  <c r="J4" i="66"/>
  <c r="J8" i="66" s="1"/>
  <c r="J4" i="62"/>
  <c r="J8" i="62" s="1"/>
  <c r="J8" i="46"/>
  <c r="K4" i="46"/>
  <c r="L21" i="46"/>
  <c r="G8" i="5"/>
  <c r="FR5" i="13" l="1"/>
  <c r="FR4" i="13" s="1"/>
  <c r="K4" i="68"/>
  <c r="K8" i="68" s="1"/>
  <c r="K4" i="69"/>
  <c r="K8" i="69" s="1"/>
  <c r="K4" i="47"/>
  <c r="K8" i="47" s="1"/>
  <c r="K4" i="66"/>
  <c r="K8" i="66" s="1"/>
  <c r="K4" i="64"/>
  <c r="K8" i="64" s="1"/>
  <c r="K4" i="65"/>
  <c r="K8" i="65" s="1"/>
  <c r="K4" i="63"/>
  <c r="K8" i="63" s="1"/>
  <c r="K4" i="62"/>
  <c r="K8" i="62" s="1"/>
  <c r="K8" i="46"/>
  <c r="L4" i="46"/>
  <c r="M21" i="46"/>
  <c r="L4" i="68" l="1"/>
  <c r="L8" i="68" s="1"/>
  <c r="L4" i="69"/>
  <c r="L8" i="69" s="1"/>
  <c r="L4" i="47"/>
  <c r="L8" i="47" s="1"/>
  <c r="L4" i="65"/>
  <c r="L8" i="65" s="1"/>
  <c r="L4" i="63"/>
  <c r="L8" i="63" s="1"/>
  <c r="L4" i="62"/>
  <c r="L8" i="62" s="1"/>
  <c r="L4" i="66"/>
  <c r="L8" i="66" s="1"/>
  <c r="L4" i="64"/>
  <c r="L8" i="64" s="1"/>
  <c r="M4" i="46"/>
  <c r="L8" i="46"/>
  <c r="N21" i="46"/>
  <c r="M8" i="8"/>
  <c r="N8" i="8"/>
  <c r="O8" i="8"/>
  <c r="P8" i="8"/>
  <c r="M7" i="8"/>
  <c r="N7" i="8"/>
  <c r="O7" i="8"/>
  <c r="P7" i="8"/>
  <c r="M6" i="8"/>
  <c r="N6" i="8"/>
  <c r="O6" i="8"/>
  <c r="P6" i="8"/>
  <c r="M5" i="8"/>
  <c r="N5" i="8"/>
  <c r="O5" i="8"/>
  <c r="P5" i="8"/>
  <c r="M34" i="8"/>
  <c r="N34" i="8"/>
  <c r="O34" i="8"/>
  <c r="P34" i="8"/>
  <c r="M33" i="8"/>
  <c r="N33" i="8"/>
  <c r="O33" i="8"/>
  <c r="P33" i="8"/>
  <c r="M32" i="8"/>
  <c r="N32" i="8"/>
  <c r="O32" i="8"/>
  <c r="P32" i="8"/>
  <c r="M31" i="8"/>
  <c r="N31" i="8"/>
  <c r="O31" i="8"/>
  <c r="P31" i="8"/>
  <c r="M30" i="8"/>
  <c r="N30" i="8"/>
  <c r="O30" i="8"/>
  <c r="P30" i="8"/>
  <c r="M29" i="8"/>
  <c r="N29" i="8"/>
  <c r="O29" i="8"/>
  <c r="P29" i="8"/>
  <c r="M28" i="8"/>
  <c r="N28" i="8"/>
  <c r="O28" i="8"/>
  <c r="P28" i="8"/>
  <c r="M27" i="8"/>
  <c r="N27" i="8"/>
  <c r="O27" i="8"/>
  <c r="P27" i="8"/>
  <c r="M26" i="8"/>
  <c r="N26" i="8"/>
  <c r="O26" i="8"/>
  <c r="P26" i="8"/>
  <c r="M25" i="8"/>
  <c r="N25" i="8"/>
  <c r="O25" i="8"/>
  <c r="P25" i="8"/>
  <c r="M24" i="8"/>
  <c r="N24" i="8"/>
  <c r="O24" i="8"/>
  <c r="P24" i="8"/>
  <c r="M23" i="8"/>
  <c r="N23" i="8"/>
  <c r="O23" i="8"/>
  <c r="P23" i="8"/>
  <c r="M22" i="8"/>
  <c r="N22" i="8"/>
  <c r="O22" i="8"/>
  <c r="P22" i="8"/>
  <c r="M21" i="8"/>
  <c r="N21" i="8"/>
  <c r="O21" i="8"/>
  <c r="P21" i="8"/>
  <c r="M20" i="8"/>
  <c r="N20" i="8"/>
  <c r="O20" i="8"/>
  <c r="P20" i="8"/>
  <c r="M19" i="8"/>
  <c r="N19" i="8"/>
  <c r="O19" i="8"/>
  <c r="P19" i="8"/>
  <c r="M18" i="8"/>
  <c r="N18" i="8"/>
  <c r="O18" i="8"/>
  <c r="P18" i="8"/>
  <c r="M17" i="8"/>
  <c r="N17" i="8"/>
  <c r="O17" i="8"/>
  <c r="P17" i="8"/>
  <c r="M16" i="8"/>
  <c r="N16" i="8"/>
  <c r="O16" i="8"/>
  <c r="P16" i="8"/>
  <c r="M15" i="8"/>
  <c r="N15" i="8"/>
  <c r="O15" i="8"/>
  <c r="P15" i="8"/>
  <c r="M14" i="8"/>
  <c r="N14" i="8"/>
  <c r="O14" i="8"/>
  <c r="P14" i="8"/>
  <c r="M13" i="8"/>
  <c r="N13" i="8"/>
  <c r="O13" i="8"/>
  <c r="P13" i="8"/>
  <c r="M12" i="8"/>
  <c r="N12" i="8"/>
  <c r="O12" i="8"/>
  <c r="P12" i="8"/>
  <c r="M11" i="8"/>
  <c r="N11" i="8"/>
  <c r="O11" i="8"/>
  <c r="P11" i="8"/>
  <c r="M10" i="8"/>
  <c r="N10" i="8"/>
  <c r="O10" i="8"/>
  <c r="P10" i="8"/>
  <c r="M9" i="8"/>
  <c r="N9" i="8"/>
  <c r="O9" i="8"/>
  <c r="P9" i="8"/>
  <c r="AN6" i="8"/>
  <c r="AO6" i="8"/>
  <c r="AP6" i="8"/>
  <c r="AQ6" i="8"/>
  <c r="AN7" i="8"/>
  <c r="AO7" i="8"/>
  <c r="AP7" i="8"/>
  <c r="AQ7" i="8"/>
  <c r="AN8" i="8"/>
  <c r="AO8" i="8"/>
  <c r="AP8" i="8"/>
  <c r="AQ8" i="8"/>
  <c r="AN9" i="8"/>
  <c r="AO9" i="8"/>
  <c r="AP9" i="8"/>
  <c r="AQ9" i="8"/>
  <c r="AN10" i="8"/>
  <c r="AO10" i="8"/>
  <c r="AP10" i="8"/>
  <c r="AQ10" i="8"/>
  <c r="AN11" i="8"/>
  <c r="AO11" i="8"/>
  <c r="AP11" i="8"/>
  <c r="AQ11" i="8"/>
  <c r="AN12" i="8"/>
  <c r="AO12" i="8"/>
  <c r="AP12" i="8"/>
  <c r="AQ12" i="8"/>
  <c r="AN13" i="8"/>
  <c r="AO13" i="8"/>
  <c r="AP13" i="8"/>
  <c r="AQ13" i="8"/>
  <c r="AN14" i="8"/>
  <c r="AO14" i="8"/>
  <c r="AP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5" i="8"/>
  <c r="AP5" i="8"/>
  <c r="AO5" i="8"/>
  <c r="AN5" i="8"/>
  <c r="AE6" i="8"/>
  <c r="AF6" i="8"/>
  <c r="AG6" i="8"/>
  <c r="AH6" i="8"/>
  <c r="AE7" i="8"/>
  <c r="AF7" i="8"/>
  <c r="AG7" i="8"/>
  <c r="AH7" i="8"/>
  <c r="AE8" i="8"/>
  <c r="AF8" i="8"/>
  <c r="AG8" i="8"/>
  <c r="AH8" i="8"/>
  <c r="AE9" i="8"/>
  <c r="AF9" i="8"/>
  <c r="AG9" i="8"/>
  <c r="AH9" i="8"/>
  <c r="AE10" i="8"/>
  <c r="AF10" i="8"/>
  <c r="AG10" i="8"/>
  <c r="AH10" i="8"/>
  <c r="AE11" i="8"/>
  <c r="AF11" i="8"/>
  <c r="AG11" i="8"/>
  <c r="AH11" i="8"/>
  <c r="AE12" i="8"/>
  <c r="AF12" i="8"/>
  <c r="AG12" i="8"/>
  <c r="AH12" i="8"/>
  <c r="AE13" i="8"/>
  <c r="AF13" i="8"/>
  <c r="AG13" i="8"/>
  <c r="AH13" i="8"/>
  <c r="AE14" i="8"/>
  <c r="AF14" i="8"/>
  <c r="AG14" i="8"/>
  <c r="AH14" i="8"/>
  <c r="AE15" i="8"/>
  <c r="AF15" i="8"/>
  <c r="AG15" i="8"/>
  <c r="AH15" i="8"/>
  <c r="AE16" i="8"/>
  <c r="AF16" i="8"/>
  <c r="AG16" i="8"/>
  <c r="AH16" i="8"/>
  <c r="AE17" i="8"/>
  <c r="AF17" i="8"/>
  <c r="AG17" i="8"/>
  <c r="AH17" i="8"/>
  <c r="AE18" i="8"/>
  <c r="AF18" i="8"/>
  <c r="AG18" i="8"/>
  <c r="AH18" i="8"/>
  <c r="AE19" i="8"/>
  <c r="AF19" i="8"/>
  <c r="AG19" i="8"/>
  <c r="AH19" i="8"/>
  <c r="AE20" i="8"/>
  <c r="AF20" i="8"/>
  <c r="AG20" i="8"/>
  <c r="AH20" i="8"/>
  <c r="AE21" i="8"/>
  <c r="AF21" i="8"/>
  <c r="AG21" i="8"/>
  <c r="AH21" i="8"/>
  <c r="AE22" i="8"/>
  <c r="AF22" i="8"/>
  <c r="AG22" i="8"/>
  <c r="AH22" i="8"/>
  <c r="AE23" i="8"/>
  <c r="AF23" i="8"/>
  <c r="AG23" i="8"/>
  <c r="AH23" i="8"/>
  <c r="AE24" i="8"/>
  <c r="AF24" i="8"/>
  <c r="AG24" i="8"/>
  <c r="AH24" i="8"/>
  <c r="AE25" i="8"/>
  <c r="AF25" i="8"/>
  <c r="AG25" i="8"/>
  <c r="AH25" i="8"/>
  <c r="AE26" i="8"/>
  <c r="AF26" i="8"/>
  <c r="AG26" i="8"/>
  <c r="AH26" i="8"/>
  <c r="AE27" i="8"/>
  <c r="AF27" i="8"/>
  <c r="AG27" i="8"/>
  <c r="AH27" i="8"/>
  <c r="AE28" i="8"/>
  <c r="AF28" i="8"/>
  <c r="AG28" i="8"/>
  <c r="AH28" i="8"/>
  <c r="AE29" i="8"/>
  <c r="AF29" i="8"/>
  <c r="AG29" i="8"/>
  <c r="AH29" i="8"/>
  <c r="AE30" i="8"/>
  <c r="AF30" i="8"/>
  <c r="AG30" i="8"/>
  <c r="AH30" i="8"/>
  <c r="AE31" i="8"/>
  <c r="AF31" i="8"/>
  <c r="AG31" i="8"/>
  <c r="AH31" i="8"/>
  <c r="AE32" i="8"/>
  <c r="AF32" i="8"/>
  <c r="AG32" i="8"/>
  <c r="AH32" i="8"/>
  <c r="AE33" i="8"/>
  <c r="AF33" i="8"/>
  <c r="AG33" i="8"/>
  <c r="AH33" i="8"/>
  <c r="AE34" i="8"/>
  <c r="AF34" i="8"/>
  <c r="AG34" i="8"/>
  <c r="AH34" i="8"/>
  <c r="AE5" i="8"/>
  <c r="AF5" i="8"/>
  <c r="AG5" i="8"/>
  <c r="AH5" i="8"/>
  <c r="V6" i="8"/>
  <c r="W6" i="8"/>
  <c r="X6" i="8"/>
  <c r="Y6" i="8"/>
  <c r="V7" i="8"/>
  <c r="W7" i="8"/>
  <c r="X7" i="8"/>
  <c r="Y7" i="8"/>
  <c r="V8" i="8"/>
  <c r="W8" i="8"/>
  <c r="X8" i="8"/>
  <c r="Y8" i="8"/>
  <c r="V9" i="8"/>
  <c r="W9" i="8"/>
  <c r="X9" i="8"/>
  <c r="Y9" i="8"/>
  <c r="V10" i="8"/>
  <c r="W10" i="8"/>
  <c r="X10" i="8"/>
  <c r="Y10" i="8"/>
  <c r="V11" i="8"/>
  <c r="W11" i="8"/>
  <c r="X11" i="8"/>
  <c r="Y11" i="8"/>
  <c r="V12" i="8"/>
  <c r="W12" i="8"/>
  <c r="X12" i="8"/>
  <c r="Y12" i="8"/>
  <c r="V13" i="8"/>
  <c r="W13" i="8"/>
  <c r="X13" i="8"/>
  <c r="Y13" i="8"/>
  <c r="V14" i="8"/>
  <c r="W14" i="8"/>
  <c r="X14" i="8"/>
  <c r="Y14" i="8"/>
  <c r="V15" i="8"/>
  <c r="W15" i="8"/>
  <c r="X15" i="8"/>
  <c r="Y15" i="8"/>
  <c r="V16" i="8"/>
  <c r="W16" i="8"/>
  <c r="X16" i="8"/>
  <c r="Y16" i="8"/>
  <c r="V17" i="8"/>
  <c r="W17" i="8"/>
  <c r="X17" i="8"/>
  <c r="Y17" i="8"/>
  <c r="V18" i="8"/>
  <c r="W18" i="8"/>
  <c r="X18" i="8"/>
  <c r="Y18" i="8"/>
  <c r="V19" i="8"/>
  <c r="W19" i="8"/>
  <c r="X19" i="8"/>
  <c r="Y19" i="8"/>
  <c r="V20" i="8"/>
  <c r="W20" i="8"/>
  <c r="X20" i="8"/>
  <c r="Y20" i="8"/>
  <c r="V21" i="8"/>
  <c r="W21" i="8"/>
  <c r="X21" i="8"/>
  <c r="Y21" i="8"/>
  <c r="V22" i="8"/>
  <c r="W22" i="8"/>
  <c r="X22" i="8"/>
  <c r="Y22" i="8"/>
  <c r="V23" i="8"/>
  <c r="W23" i="8"/>
  <c r="X23" i="8"/>
  <c r="Y23" i="8"/>
  <c r="V24" i="8"/>
  <c r="W24" i="8"/>
  <c r="X24" i="8"/>
  <c r="Y24" i="8"/>
  <c r="V25" i="8"/>
  <c r="W25" i="8"/>
  <c r="X25" i="8"/>
  <c r="Y25" i="8"/>
  <c r="V26" i="8"/>
  <c r="W26" i="8"/>
  <c r="X26" i="8"/>
  <c r="Y26" i="8"/>
  <c r="V27" i="8"/>
  <c r="W27" i="8"/>
  <c r="X27" i="8"/>
  <c r="Y27" i="8"/>
  <c r="V28" i="8"/>
  <c r="W28" i="8"/>
  <c r="X28" i="8"/>
  <c r="Y28" i="8"/>
  <c r="V29" i="8"/>
  <c r="W29" i="8"/>
  <c r="X29" i="8"/>
  <c r="Y29" i="8"/>
  <c r="V30" i="8"/>
  <c r="W30" i="8"/>
  <c r="X30" i="8"/>
  <c r="Y30" i="8"/>
  <c r="V31" i="8"/>
  <c r="W31" i="8"/>
  <c r="X31" i="8"/>
  <c r="Y31" i="8"/>
  <c r="V32" i="8"/>
  <c r="W32" i="8"/>
  <c r="X32" i="8"/>
  <c r="Y32" i="8"/>
  <c r="V33" i="8"/>
  <c r="W33" i="8"/>
  <c r="X33" i="8"/>
  <c r="Y33" i="8"/>
  <c r="V34" i="8"/>
  <c r="W34" i="8"/>
  <c r="X34" i="8"/>
  <c r="Y34" i="8"/>
  <c r="V5" i="8"/>
  <c r="W5" i="8"/>
  <c r="X5" i="8"/>
  <c r="Y5" i="8"/>
  <c r="D37" i="11"/>
  <c r="E37" i="11" s="1"/>
  <c r="D32" i="11"/>
  <c r="D34" i="11" s="1"/>
  <c r="D42" i="11"/>
  <c r="F25" i="11"/>
  <c r="F20" i="11"/>
  <c r="F42" i="11"/>
  <c r="D25" i="11"/>
  <c r="D20" i="11"/>
  <c r="C3" i="11"/>
  <c r="C12" i="18"/>
  <c r="C41" i="11" s="1"/>
  <c r="C9" i="18"/>
  <c r="C40" i="11" s="1"/>
  <c r="F37" i="11"/>
  <c r="G37" i="11" s="1"/>
  <c r="F32" i="11"/>
  <c r="F34" i="11" s="1"/>
  <c r="G33" i="11"/>
  <c r="G31" i="11"/>
  <c r="G30" i="11"/>
  <c r="G29" i="11"/>
  <c r="G28" i="11"/>
  <c r="E33" i="11"/>
  <c r="E31" i="11"/>
  <c r="E30" i="11"/>
  <c r="E29" i="11"/>
  <c r="E28" i="11"/>
  <c r="U7" i="13"/>
  <c r="U8" i="13"/>
  <c r="X8" i="13" s="1"/>
  <c r="U9" i="13"/>
  <c r="U10" i="13"/>
  <c r="U11" i="13"/>
  <c r="U12" i="13"/>
  <c r="U13" i="13"/>
  <c r="U14" i="13"/>
  <c r="U15" i="13"/>
  <c r="W16" i="13"/>
  <c r="U4" i="13"/>
  <c r="X4" i="13" s="1"/>
  <c r="D4" i="13"/>
  <c r="D5" i="13"/>
  <c r="D6" i="13"/>
  <c r="D7" i="13"/>
  <c r="D8" i="13"/>
  <c r="D9" i="13"/>
  <c r="D10" i="13"/>
  <c r="D11" i="13"/>
  <c r="D12" i="13"/>
  <c r="D13" i="13"/>
  <c r="D14" i="13"/>
  <c r="D15" i="13"/>
  <c r="V16" i="13"/>
  <c r="Y16" i="13" s="1"/>
  <c r="V15" i="13"/>
  <c r="Y15" i="13" s="1"/>
  <c r="V14" i="13"/>
  <c r="Y14" i="13" s="1"/>
  <c r="V13" i="13"/>
  <c r="Y13" i="13" s="1"/>
  <c r="V12" i="13"/>
  <c r="Y12" i="13" s="1"/>
  <c r="V11" i="13"/>
  <c r="Y11" i="13" s="1"/>
  <c r="V10" i="13"/>
  <c r="Y10" i="13" s="1"/>
  <c r="V9" i="13"/>
  <c r="Y9" i="13" s="1"/>
  <c r="V8" i="13"/>
  <c r="Y8" i="13" s="1"/>
  <c r="V7" i="13"/>
  <c r="V4" i="13"/>
  <c r="Y4" i="13" s="1"/>
  <c r="T13" i="42"/>
  <c r="AA34" i="42"/>
  <c r="AA32" i="42"/>
  <c r="R29" i="42"/>
  <c r="AA48" i="42"/>
  <c r="AB47" i="42"/>
  <c r="Z47" i="42"/>
  <c r="AA46" i="42"/>
  <c r="R43" i="42"/>
  <c r="AA27" i="42"/>
  <c r="AA25" i="42"/>
  <c r="R22" i="42"/>
  <c r="AA20" i="42"/>
  <c r="AA18" i="42"/>
  <c r="R15" i="42"/>
  <c r="R13" i="42"/>
  <c r="T2" i="42"/>
  <c r="AA42" i="10"/>
  <c r="AB41" i="10"/>
  <c r="Z41" i="10"/>
  <c r="AA40" i="10"/>
  <c r="AA28" i="10"/>
  <c r="AA26" i="10"/>
  <c r="D43" i="42"/>
  <c r="D36" i="42"/>
  <c r="D29" i="42"/>
  <c r="D22" i="42"/>
  <c r="M34" i="42"/>
  <c r="M32" i="42"/>
  <c r="M27" i="42"/>
  <c r="M25" i="42"/>
  <c r="M20" i="42"/>
  <c r="M18" i="42"/>
  <c r="F2" i="42"/>
  <c r="G2" i="42" s="1"/>
  <c r="H2" i="42" s="1"/>
  <c r="I2" i="42" s="1"/>
  <c r="J2" i="42" s="1"/>
  <c r="K2" i="42" s="1"/>
  <c r="E5" i="42"/>
  <c r="S5" i="42" s="1"/>
  <c r="T5" i="42" s="1"/>
  <c r="P44" i="42" s="1"/>
  <c r="R44" i="42" s="1"/>
  <c r="E6" i="42"/>
  <c r="S6" i="42" s="1"/>
  <c r="T6" i="42" s="1"/>
  <c r="P31" i="42" s="1"/>
  <c r="R31" i="42" s="1"/>
  <c r="E7" i="42"/>
  <c r="S7" i="42" s="1"/>
  <c r="E8" i="42"/>
  <c r="D13" i="42"/>
  <c r="F13" i="42"/>
  <c r="E14" i="42"/>
  <c r="M14" i="42"/>
  <c r="N14" i="42"/>
  <c r="D15" i="42"/>
  <c r="E46" i="42"/>
  <c r="F46" i="42"/>
  <c r="G46" i="42"/>
  <c r="H46" i="42"/>
  <c r="I46" i="42"/>
  <c r="J46" i="42"/>
  <c r="K46" i="42"/>
  <c r="L46" i="42"/>
  <c r="M46" i="42"/>
  <c r="E48" i="42"/>
  <c r="F48" i="42"/>
  <c r="G48" i="42"/>
  <c r="H48" i="42"/>
  <c r="I48" i="42"/>
  <c r="J48" i="42"/>
  <c r="K48" i="42"/>
  <c r="L48" i="42"/>
  <c r="M48" i="42"/>
  <c r="R37" i="10"/>
  <c r="R23" i="10"/>
  <c r="AA21" i="10"/>
  <c r="AA19" i="10"/>
  <c r="R16" i="10"/>
  <c r="T14" i="10"/>
  <c r="R14" i="10"/>
  <c r="T2" i="10"/>
  <c r="U2" i="10" s="1"/>
  <c r="V2" i="10" s="1"/>
  <c r="V15" i="10" s="1"/>
  <c r="D23" i="10"/>
  <c r="M26" i="10"/>
  <c r="M28" i="10"/>
  <c r="D219" i="31"/>
  <c r="E219" i="31" s="1"/>
  <c r="F219" i="31" s="1"/>
  <c r="G219" i="31" s="1"/>
  <c r="H219" i="31" s="1"/>
  <c r="I219" i="31" s="1"/>
  <c r="G225" i="31"/>
  <c r="D225" i="31"/>
  <c r="H225" i="31"/>
  <c r="E225" i="31"/>
  <c r="I225" i="31"/>
  <c r="F225" i="31"/>
  <c r="E8" i="10"/>
  <c r="E7" i="10"/>
  <c r="S7" i="10" s="1"/>
  <c r="E6" i="10"/>
  <c r="S6" i="10" s="1"/>
  <c r="E5" i="10"/>
  <c r="S5" i="10" s="1"/>
  <c r="T5" i="10" s="1"/>
  <c r="U30" i="23"/>
  <c r="Z29" i="23"/>
  <c r="Y29" i="23"/>
  <c r="X29" i="23"/>
  <c r="W29" i="23"/>
  <c r="V29" i="23"/>
  <c r="U29" i="23"/>
  <c r="Z28" i="23"/>
  <c r="Y28" i="23"/>
  <c r="X28" i="23"/>
  <c r="W28" i="23"/>
  <c r="V28" i="23"/>
  <c r="U28" i="23"/>
  <c r="Z27" i="23"/>
  <c r="Y27" i="23"/>
  <c r="X27" i="23"/>
  <c r="W27" i="23"/>
  <c r="V27" i="23"/>
  <c r="U27" i="23"/>
  <c r="Q5" i="28"/>
  <c r="R5" i="28" s="1"/>
  <c r="S5" i="28" s="1"/>
  <c r="T5" i="28" s="1"/>
  <c r="U5" i="28" s="1"/>
  <c r="V5" i="28" s="1"/>
  <c r="W5" i="28" s="1"/>
  <c r="X5" i="28" s="1"/>
  <c r="Y5" i="28" s="1"/>
  <c r="Z5" i="28" s="1"/>
  <c r="AA5" i="28" s="1"/>
  <c r="AB5" i="28" s="1"/>
  <c r="AC5" i="28" s="1"/>
  <c r="AD5" i="28" s="1"/>
  <c r="AE5" i="28" s="1"/>
  <c r="AF5" i="28" s="1"/>
  <c r="AG5" i="28" s="1"/>
  <c r="AH5" i="28" s="1"/>
  <c r="AI5" i="28" s="1"/>
  <c r="AJ5" i="28" s="1"/>
  <c r="AK5" i="28" s="1"/>
  <c r="AL5" i="28" s="1"/>
  <c r="AM5" i="28" s="1"/>
  <c r="AN5" i="28" s="1"/>
  <c r="AO5" i="28" s="1"/>
  <c r="AP5" i="28" s="1"/>
  <c r="AQ5" i="28" s="1"/>
  <c r="AR5" i="28" s="1"/>
  <c r="AS5" i="28" s="1"/>
  <c r="AT5" i="28" s="1"/>
  <c r="AU5" i="28" s="1"/>
  <c r="AV5" i="28" s="1"/>
  <c r="AW5" i="28" s="1"/>
  <c r="AX5" i="28" s="1"/>
  <c r="C13" i="36"/>
  <c r="C12" i="36"/>
  <c r="C11" i="36"/>
  <c r="C8" i="36"/>
  <c r="C7" i="36"/>
  <c r="C6" i="36"/>
  <c r="E5" i="36"/>
  <c r="E10" i="36" s="1"/>
  <c r="F10" i="36" s="1"/>
  <c r="G10" i="36" s="1"/>
  <c r="H10" i="36" s="1"/>
  <c r="I10" i="36" s="1"/>
  <c r="J10" i="36" s="1"/>
  <c r="K10" i="36" s="1"/>
  <c r="L10" i="36" s="1"/>
  <c r="M10" i="36" s="1"/>
  <c r="N10" i="36" s="1"/>
  <c r="O10" i="36" s="1"/>
  <c r="P10" i="36" s="1"/>
  <c r="Q10" i="36" s="1"/>
  <c r="R10" i="36" s="1"/>
  <c r="S10" i="36" s="1"/>
  <c r="T10" i="36" s="1"/>
  <c r="U10" i="36" s="1"/>
  <c r="V10" i="36" s="1"/>
  <c r="W10" i="36" s="1"/>
  <c r="X10" i="36" s="1"/>
  <c r="Y10" i="36" s="1"/>
  <c r="Z10" i="36" s="1"/>
  <c r="AA10" i="36" s="1"/>
  <c r="AB10" i="36" s="1"/>
  <c r="AC10" i="36" s="1"/>
  <c r="AD10" i="36" s="1"/>
  <c r="AE10" i="36" s="1"/>
  <c r="AF10" i="36" s="1"/>
  <c r="AG10" i="36" s="1"/>
  <c r="C14" i="18"/>
  <c r="C13" i="18"/>
  <c r="C11" i="18"/>
  <c r="C10" i="18"/>
  <c r="E8" i="18"/>
  <c r="F8" i="18" s="1"/>
  <c r="G8" i="18" s="1"/>
  <c r="H8" i="18" s="1"/>
  <c r="I8" i="18" s="1"/>
  <c r="J8" i="18" s="1"/>
  <c r="K8" i="18" s="1"/>
  <c r="L8" i="18" s="1"/>
  <c r="M8" i="18" s="1"/>
  <c r="N8" i="18" s="1"/>
  <c r="O8" i="18" s="1"/>
  <c r="P8" i="18" s="1"/>
  <c r="Q8" i="18" s="1"/>
  <c r="R8" i="18" s="1"/>
  <c r="S8" i="18" s="1"/>
  <c r="T8" i="18" s="1"/>
  <c r="U8" i="18" s="1"/>
  <c r="V8" i="18" s="1"/>
  <c r="W8" i="18" s="1"/>
  <c r="X8" i="18" s="1"/>
  <c r="Y8" i="18" s="1"/>
  <c r="Z8" i="18" s="1"/>
  <c r="AA8" i="18" s="1"/>
  <c r="AB8" i="18" s="1"/>
  <c r="D23" i="17"/>
  <c r="B26" i="42" s="1"/>
  <c r="D26" i="42" s="1"/>
  <c r="D22" i="17"/>
  <c r="B31" i="42" s="1"/>
  <c r="D31" i="42" s="1"/>
  <c r="D21" i="17"/>
  <c r="B16" i="42" s="1"/>
  <c r="D31" i="31"/>
  <c r="D30" i="31"/>
  <c r="D29" i="31"/>
  <c r="D28" i="31"/>
  <c r="D27" i="31"/>
  <c r="D26" i="31"/>
  <c r="D25" i="31"/>
  <c r="D24" i="31"/>
  <c r="N23" i="31"/>
  <c r="D23" i="31"/>
  <c r="N22" i="31"/>
  <c r="D22" i="31"/>
  <c r="N21" i="31"/>
  <c r="G9" i="31" s="1"/>
  <c r="D21" i="31"/>
  <c r="D20" i="31"/>
  <c r="D19" i="31"/>
  <c r="D18" i="31"/>
  <c r="D17" i="31"/>
  <c r="D16" i="31"/>
  <c r="D15" i="31"/>
  <c r="D14" i="31"/>
  <c r="D13" i="31"/>
  <c r="G6" i="31"/>
  <c r="B27" i="11"/>
  <c r="F13" i="11"/>
  <c r="D13" i="11"/>
  <c r="M42" i="10"/>
  <c r="M40" i="10"/>
  <c r="D37" i="10"/>
  <c r="M21" i="10"/>
  <c r="M19" i="10"/>
  <c r="D16" i="10"/>
  <c r="F14" i="10"/>
  <c r="D14" i="10"/>
  <c r="F2" i="10"/>
  <c r="G2" i="10" s="1"/>
  <c r="H2" i="10" s="1"/>
  <c r="I2" i="10" s="1"/>
  <c r="I15" i="10" s="1"/>
  <c r="I14" i="42" s="1"/>
  <c r="HB37" i="35"/>
  <c r="HA37" i="35"/>
  <c r="GZ37" i="35"/>
  <c r="GY37" i="35"/>
  <c r="GX37" i="35"/>
  <c r="GW37" i="35"/>
  <c r="GV37" i="35"/>
  <c r="GU37" i="35"/>
  <c r="GT37" i="35"/>
  <c r="GS37" i="35"/>
  <c r="GR37" i="35"/>
  <c r="GQ37" i="35"/>
  <c r="GP37" i="35"/>
  <c r="GO37" i="35"/>
  <c r="GN37" i="35"/>
  <c r="GM37" i="35"/>
  <c r="GL37" i="35"/>
  <c r="GK37" i="35"/>
  <c r="GJ37" i="35"/>
  <c r="GI37" i="35"/>
  <c r="GH37" i="35"/>
  <c r="GG37" i="35"/>
  <c r="GF37" i="35"/>
  <c r="GE37" i="35"/>
  <c r="GD37" i="35"/>
  <c r="GC37" i="35"/>
  <c r="GB37" i="35"/>
  <c r="GA37" i="35"/>
  <c r="FZ37" i="35"/>
  <c r="FY37" i="35"/>
  <c r="FX37" i="35"/>
  <c r="FW37" i="35"/>
  <c r="FV37" i="35"/>
  <c r="FU37" i="35"/>
  <c r="FT37" i="35"/>
  <c r="FS37" i="35"/>
  <c r="FR37" i="35"/>
  <c r="FQ37" i="35"/>
  <c r="FP37" i="35"/>
  <c r="FO37" i="35"/>
  <c r="FN37" i="35"/>
  <c r="FM37" i="35"/>
  <c r="FL37" i="35"/>
  <c r="FK37" i="35"/>
  <c r="FJ37" i="35"/>
  <c r="FI37" i="35"/>
  <c r="FH37" i="35"/>
  <c r="FG37" i="35"/>
  <c r="FF37" i="35"/>
  <c r="FE37" i="35"/>
  <c r="FD37" i="35"/>
  <c r="FC37" i="35"/>
  <c r="FB37" i="35"/>
  <c r="FA37" i="35"/>
  <c r="EZ37" i="35"/>
  <c r="EY37" i="35"/>
  <c r="EX37" i="35"/>
  <c r="EW37" i="35"/>
  <c r="EV37" i="35"/>
  <c r="EU37" i="35"/>
  <c r="ET37" i="35"/>
  <c r="ES37" i="35"/>
  <c r="ER37" i="35"/>
  <c r="EQ37" i="35"/>
  <c r="EP37" i="35"/>
  <c r="EO37" i="35"/>
  <c r="EN37" i="35"/>
  <c r="EM37" i="35"/>
  <c r="EL37" i="35"/>
  <c r="EK37" i="35"/>
  <c r="EJ37" i="35"/>
  <c r="EI37" i="35"/>
  <c r="EH37" i="35"/>
  <c r="EG37" i="35"/>
  <c r="EF37" i="35"/>
  <c r="EE37" i="35"/>
  <c r="ED37" i="35"/>
  <c r="EC37" i="35"/>
  <c r="EB37" i="35"/>
  <c r="EA37" i="35"/>
  <c r="DZ37" i="35"/>
  <c r="DY37" i="35"/>
  <c r="DX37" i="35"/>
  <c r="DW37" i="35"/>
  <c r="DV37" i="35"/>
  <c r="DU37" i="35"/>
  <c r="DT37" i="35"/>
  <c r="DS37" i="35"/>
  <c r="DR37" i="35"/>
  <c r="DQ37" i="35"/>
  <c r="DP37" i="35"/>
  <c r="DO37" i="35"/>
  <c r="DN37" i="35"/>
  <c r="DM37" i="35"/>
  <c r="DL37" i="35"/>
  <c r="DK37" i="35"/>
  <c r="DJ37" i="35"/>
  <c r="DI37" i="35"/>
  <c r="DH37" i="35"/>
  <c r="DG37" i="35"/>
  <c r="DE37" i="35"/>
  <c r="DD37" i="35"/>
  <c r="DC37" i="35"/>
  <c r="DB37" i="35"/>
  <c r="DA37" i="35"/>
  <c r="CZ37" i="35"/>
  <c r="CY37" i="35"/>
  <c r="CX37" i="35"/>
  <c r="CW37" i="35"/>
  <c r="CV37" i="35"/>
  <c r="CU37" i="35"/>
  <c r="CT37" i="35"/>
  <c r="CS37" i="35"/>
  <c r="CR37" i="35"/>
  <c r="CQ37" i="35"/>
  <c r="CP37" i="35"/>
  <c r="CO37" i="35"/>
  <c r="CN37" i="35"/>
  <c r="CM37" i="35"/>
  <c r="CL37" i="35"/>
  <c r="CK37" i="35"/>
  <c r="CJ37" i="35"/>
  <c r="CI37" i="35"/>
  <c r="CH37" i="35"/>
  <c r="CG37" i="35"/>
  <c r="CF37" i="35"/>
  <c r="CE37" i="35"/>
  <c r="CD37" i="35"/>
  <c r="CC37" i="35"/>
  <c r="CB37" i="35"/>
  <c r="CA37" i="35"/>
  <c r="BZ37" i="35"/>
  <c r="BY37" i="35"/>
  <c r="BX37" i="35"/>
  <c r="BW37" i="35"/>
  <c r="BV37" i="35"/>
  <c r="BU37" i="35"/>
  <c r="BT37" i="35"/>
  <c r="BS37" i="35"/>
  <c r="BR37" i="35"/>
  <c r="BQ37" i="35"/>
  <c r="BP37" i="35"/>
  <c r="BO37" i="35"/>
  <c r="BN37" i="35"/>
  <c r="BM37" i="35"/>
  <c r="BL37" i="35"/>
  <c r="BK37" i="35"/>
  <c r="BJ37" i="35"/>
  <c r="BI37" i="35"/>
  <c r="BH37" i="35"/>
  <c r="BG37" i="35"/>
  <c r="BF37" i="35"/>
  <c r="BE37" i="35"/>
  <c r="BD37" i="35"/>
  <c r="BC37" i="35"/>
  <c r="BB37" i="35"/>
  <c r="BA37" i="35"/>
  <c r="AZ37" i="35"/>
  <c r="AY37" i="35"/>
  <c r="AX37" i="35"/>
  <c r="AW37" i="35"/>
  <c r="AV37" i="35"/>
  <c r="AU37" i="35"/>
  <c r="AT37" i="35"/>
  <c r="AS37" i="35"/>
  <c r="AR37" i="35"/>
  <c r="AQ37" i="35"/>
  <c r="AP37" i="35"/>
  <c r="AO37" i="35"/>
  <c r="AN37" i="35"/>
  <c r="AM37" i="35"/>
  <c r="AL37" i="35"/>
  <c r="AK37" i="35"/>
  <c r="AJ37" i="35"/>
  <c r="AI37" i="35"/>
  <c r="AH37" i="35"/>
  <c r="AG37" i="35"/>
  <c r="AF37" i="35"/>
  <c r="AE37" i="35"/>
  <c r="AD37" i="35"/>
  <c r="AC37" i="35"/>
  <c r="AB37" i="35"/>
  <c r="AA37" i="35"/>
  <c r="Z37" i="35"/>
  <c r="Y37" i="35"/>
  <c r="X37" i="35"/>
  <c r="W37" i="35"/>
  <c r="V37" i="35"/>
  <c r="U37" i="35"/>
  <c r="T37" i="35"/>
  <c r="S37" i="35"/>
  <c r="R37" i="35"/>
  <c r="Q37" i="35"/>
  <c r="P37" i="35"/>
  <c r="O37" i="35"/>
  <c r="N37" i="35"/>
  <c r="M37" i="35"/>
  <c r="L37" i="35"/>
  <c r="K37" i="35"/>
  <c r="J37" i="35"/>
  <c r="HB36" i="35"/>
  <c r="HA36" i="35"/>
  <c r="GZ36" i="35"/>
  <c r="GY36" i="35"/>
  <c r="GX36" i="35"/>
  <c r="GW36" i="35"/>
  <c r="GV36" i="35"/>
  <c r="GU36" i="35"/>
  <c r="GT36" i="35"/>
  <c r="GS36" i="35"/>
  <c r="GR36" i="35"/>
  <c r="GQ36" i="35"/>
  <c r="GP36" i="35"/>
  <c r="GO36" i="35"/>
  <c r="GN36" i="35"/>
  <c r="GM36" i="35"/>
  <c r="GL36" i="35"/>
  <c r="GK36" i="35"/>
  <c r="GJ36" i="35"/>
  <c r="GI36" i="35"/>
  <c r="GH36" i="35"/>
  <c r="GG36" i="35"/>
  <c r="GF36" i="35"/>
  <c r="GE36" i="35"/>
  <c r="GD36" i="35"/>
  <c r="GC36" i="35"/>
  <c r="GB36" i="35"/>
  <c r="GA36" i="35"/>
  <c r="FZ36" i="35"/>
  <c r="FY36" i="35"/>
  <c r="FX36" i="35"/>
  <c r="FW36" i="35"/>
  <c r="FV36" i="35"/>
  <c r="FU36" i="35"/>
  <c r="FT36" i="35"/>
  <c r="FS36" i="35"/>
  <c r="FR36" i="35"/>
  <c r="FQ36" i="35"/>
  <c r="FP36" i="35"/>
  <c r="FO36" i="35"/>
  <c r="FN36" i="35"/>
  <c r="FM36" i="35"/>
  <c r="FL36" i="35"/>
  <c r="FK36" i="35"/>
  <c r="FJ36" i="35"/>
  <c r="FI36" i="35"/>
  <c r="FH36" i="35"/>
  <c r="FG36" i="35"/>
  <c r="FF36" i="35"/>
  <c r="FE36" i="35"/>
  <c r="FD36" i="35"/>
  <c r="FC36" i="35"/>
  <c r="FB36" i="35"/>
  <c r="FA36" i="35"/>
  <c r="EZ36" i="35"/>
  <c r="EY36" i="35"/>
  <c r="EX36" i="35"/>
  <c r="EW36" i="35"/>
  <c r="EV36" i="35"/>
  <c r="EU36" i="35"/>
  <c r="ET36" i="35"/>
  <c r="ES36" i="35"/>
  <c r="ER36" i="35"/>
  <c r="EQ36" i="35"/>
  <c r="EP36" i="35"/>
  <c r="EO36" i="35"/>
  <c r="EN36" i="35"/>
  <c r="EM36" i="35"/>
  <c r="EL36" i="35"/>
  <c r="EK36" i="35"/>
  <c r="EJ36" i="35"/>
  <c r="EI36" i="35"/>
  <c r="EH36" i="35"/>
  <c r="EG36" i="35"/>
  <c r="EF36" i="35"/>
  <c r="EE36" i="35"/>
  <c r="ED36" i="35"/>
  <c r="EC36" i="35"/>
  <c r="EB36" i="35"/>
  <c r="EA36" i="35"/>
  <c r="DZ36" i="35"/>
  <c r="DY36" i="35"/>
  <c r="DX36" i="35"/>
  <c r="DW36" i="35"/>
  <c r="DV36" i="35"/>
  <c r="DU36" i="35"/>
  <c r="DT36" i="35"/>
  <c r="DS36" i="35"/>
  <c r="DR36" i="35"/>
  <c r="DQ36" i="35"/>
  <c r="DP36" i="35"/>
  <c r="DO36" i="35"/>
  <c r="DN36" i="35"/>
  <c r="DM36" i="35"/>
  <c r="DL36" i="35"/>
  <c r="DK36" i="35"/>
  <c r="DJ36" i="35"/>
  <c r="DI36" i="35"/>
  <c r="DH36" i="35"/>
  <c r="DG36" i="35"/>
  <c r="DE36" i="35"/>
  <c r="DD36" i="35"/>
  <c r="DC36" i="35"/>
  <c r="DB36" i="35"/>
  <c r="DA36" i="35"/>
  <c r="CZ36" i="35"/>
  <c r="CY36" i="35"/>
  <c r="CX36" i="35"/>
  <c r="CW36" i="35"/>
  <c r="CV36" i="35"/>
  <c r="CU36" i="35"/>
  <c r="CT36" i="35"/>
  <c r="CS36" i="35"/>
  <c r="CR36" i="35"/>
  <c r="CQ36" i="35"/>
  <c r="CP36" i="35"/>
  <c r="CO36" i="35"/>
  <c r="CN36" i="35"/>
  <c r="CM36" i="35"/>
  <c r="CL36" i="35"/>
  <c r="CK36" i="35"/>
  <c r="CJ36" i="35"/>
  <c r="CI36" i="35"/>
  <c r="CH36" i="35"/>
  <c r="CG36" i="35"/>
  <c r="CF36" i="35"/>
  <c r="CE36" i="35"/>
  <c r="CD36" i="35"/>
  <c r="CC36" i="35"/>
  <c r="CB36" i="35"/>
  <c r="CA36" i="35"/>
  <c r="BZ36" i="35"/>
  <c r="BY36" i="35"/>
  <c r="BX36" i="35"/>
  <c r="BW36" i="35"/>
  <c r="BV36" i="35"/>
  <c r="BU36" i="35"/>
  <c r="BT36" i="35"/>
  <c r="BS36" i="35"/>
  <c r="BR36" i="35"/>
  <c r="BQ36" i="35"/>
  <c r="BP36" i="35"/>
  <c r="BO36" i="35"/>
  <c r="BN36" i="35"/>
  <c r="BM36" i="35"/>
  <c r="BL36" i="35"/>
  <c r="BK36" i="35"/>
  <c r="BJ36" i="35"/>
  <c r="BI36" i="35"/>
  <c r="BH36" i="35"/>
  <c r="BG36" i="35"/>
  <c r="BF36" i="35"/>
  <c r="BE36" i="35"/>
  <c r="BD36" i="35"/>
  <c r="BC36" i="35"/>
  <c r="BB36" i="35"/>
  <c r="BA36" i="35"/>
  <c r="AZ36" i="35"/>
  <c r="AY36" i="35"/>
  <c r="AX36" i="35"/>
  <c r="AW36" i="35"/>
  <c r="AV36" i="35"/>
  <c r="AU36" i="35"/>
  <c r="AT36" i="35"/>
  <c r="AS36" i="35"/>
  <c r="AR36" i="35"/>
  <c r="AQ36" i="35"/>
  <c r="AP36" i="35"/>
  <c r="AO36" i="35"/>
  <c r="AN36" i="35"/>
  <c r="AM36" i="35"/>
  <c r="AL36" i="35"/>
  <c r="AK36" i="35"/>
  <c r="AJ36" i="35"/>
  <c r="AI36" i="35"/>
  <c r="AH36" i="35"/>
  <c r="AG36" i="35"/>
  <c r="AF36" i="35"/>
  <c r="AE36" i="35"/>
  <c r="AD36" i="35"/>
  <c r="AC36" i="35"/>
  <c r="AB36" i="35"/>
  <c r="AA36" i="35"/>
  <c r="Z36" i="35"/>
  <c r="Y36" i="35"/>
  <c r="X36" i="35"/>
  <c r="W36" i="35"/>
  <c r="V36" i="35"/>
  <c r="U36" i="35"/>
  <c r="T36" i="35"/>
  <c r="S36" i="35"/>
  <c r="R36" i="35"/>
  <c r="Q36" i="35"/>
  <c r="P36" i="35"/>
  <c r="O36" i="35"/>
  <c r="N36" i="35"/>
  <c r="M36" i="35"/>
  <c r="L36" i="35"/>
  <c r="K36" i="35"/>
  <c r="J36" i="35"/>
  <c r="HB35" i="35"/>
  <c r="HA35" i="35"/>
  <c r="GZ35" i="35"/>
  <c r="GY35" i="35"/>
  <c r="GX35" i="35"/>
  <c r="GW35" i="35"/>
  <c r="GV35" i="35"/>
  <c r="GU35" i="35"/>
  <c r="GT35" i="35"/>
  <c r="GS35" i="35"/>
  <c r="GR35" i="35"/>
  <c r="GQ35" i="35"/>
  <c r="GP35" i="35"/>
  <c r="GO35" i="35"/>
  <c r="GN35" i="35"/>
  <c r="GM35" i="35"/>
  <c r="GL35" i="35"/>
  <c r="GK35" i="35"/>
  <c r="GJ35" i="35"/>
  <c r="GI35" i="35"/>
  <c r="GH35" i="35"/>
  <c r="GG35" i="35"/>
  <c r="GF35" i="35"/>
  <c r="GE35" i="35"/>
  <c r="GD35" i="35"/>
  <c r="GC35" i="35"/>
  <c r="GB35" i="35"/>
  <c r="GA35" i="35"/>
  <c r="FZ35" i="35"/>
  <c r="FY35" i="35"/>
  <c r="FX35" i="35"/>
  <c r="FW35" i="35"/>
  <c r="FV35" i="35"/>
  <c r="FU35" i="35"/>
  <c r="FT35" i="35"/>
  <c r="FS35" i="35"/>
  <c r="FR35" i="35"/>
  <c r="FQ35" i="35"/>
  <c r="FP35" i="35"/>
  <c r="FO35" i="35"/>
  <c r="FN35" i="35"/>
  <c r="FM35" i="35"/>
  <c r="FL35" i="35"/>
  <c r="FK35" i="35"/>
  <c r="FJ35" i="35"/>
  <c r="FI35" i="35"/>
  <c r="FH35" i="35"/>
  <c r="FG35" i="35"/>
  <c r="FF35" i="35"/>
  <c r="FE35" i="35"/>
  <c r="FD35" i="35"/>
  <c r="FC35" i="35"/>
  <c r="FB35" i="35"/>
  <c r="FA35" i="35"/>
  <c r="EZ35" i="35"/>
  <c r="EY35" i="35"/>
  <c r="EX35" i="35"/>
  <c r="EW35" i="35"/>
  <c r="EV35" i="35"/>
  <c r="EU35" i="35"/>
  <c r="ET35" i="35"/>
  <c r="ES35" i="35"/>
  <c r="ER35" i="35"/>
  <c r="EQ35" i="35"/>
  <c r="EP35" i="35"/>
  <c r="EO35" i="35"/>
  <c r="EN35" i="35"/>
  <c r="EM35" i="35"/>
  <c r="EL35" i="35"/>
  <c r="EK35" i="35"/>
  <c r="EJ35" i="35"/>
  <c r="EI35" i="35"/>
  <c r="EH35" i="35"/>
  <c r="EG35" i="35"/>
  <c r="EF35" i="35"/>
  <c r="EE35" i="35"/>
  <c r="ED35" i="35"/>
  <c r="EC35" i="35"/>
  <c r="EB35" i="35"/>
  <c r="EA35" i="35"/>
  <c r="DZ35" i="35"/>
  <c r="DY35" i="35"/>
  <c r="DX35" i="35"/>
  <c r="DW35" i="35"/>
  <c r="DV35" i="35"/>
  <c r="DU35" i="35"/>
  <c r="DT35" i="35"/>
  <c r="DS35" i="35"/>
  <c r="DR35" i="35"/>
  <c r="DQ35" i="35"/>
  <c r="DP35" i="35"/>
  <c r="DO35" i="35"/>
  <c r="DN35" i="35"/>
  <c r="DM35" i="35"/>
  <c r="DL35" i="35"/>
  <c r="DK35" i="35"/>
  <c r="DJ35" i="35"/>
  <c r="DI35" i="35"/>
  <c r="DH35" i="35"/>
  <c r="DG35" i="35"/>
  <c r="DE35" i="35"/>
  <c r="DD35" i="35"/>
  <c r="DC35" i="35"/>
  <c r="DB35" i="35"/>
  <c r="DA35" i="35"/>
  <c r="CZ35" i="35"/>
  <c r="CY35" i="35"/>
  <c r="CX35" i="35"/>
  <c r="CW35" i="35"/>
  <c r="CV35" i="35"/>
  <c r="CU35" i="35"/>
  <c r="CT35" i="35"/>
  <c r="CS35" i="35"/>
  <c r="CR35" i="35"/>
  <c r="CQ35" i="35"/>
  <c r="CP35" i="35"/>
  <c r="CO35" i="35"/>
  <c r="CN35" i="35"/>
  <c r="CM35" i="35"/>
  <c r="CL35" i="35"/>
  <c r="CK35" i="35"/>
  <c r="CJ35" i="35"/>
  <c r="CI35" i="35"/>
  <c r="CH35" i="35"/>
  <c r="CG35" i="35"/>
  <c r="CF35" i="35"/>
  <c r="CE35" i="35"/>
  <c r="CD35" i="35"/>
  <c r="CC35" i="35"/>
  <c r="CB35" i="35"/>
  <c r="CA35" i="35"/>
  <c r="BZ35" i="35"/>
  <c r="BY35" i="35"/>
  <c r="BX35" i="35"/>
  <c r="BW35" i="35"/>
  <c r="BV35" i="35"/>
  <c r="BU35" i="35"/>
  <c r="BT35" i="35"/>
  <c r="BS35" i="35"/>
  <c r="BR35" i="35"/>
  <c r="BQ35" i="35"/>
  <c r="BP35" i="35"/>
  <c r="BO35" i="35"/>
  <c r="BN35" i="35"/>
  <c r="BM35" i="35"/>
  <c r="BL35" i="35"/>
  <c r="BK35" i="35"/>
  <c r="BJ35" i="35"/>
  <c r="BI35" i="35"/>
  <c r="BH35" i="35"/>
  <c r="BG35" i="35"/>
  <c r="BF35" i="35"/>
  <c r="BE35" i="35"/>
  <c r="BD35" i="35"/>
  <c r="BC35" i="35"/>
  <c r="BB35" i="35"/>
  <c r="BA35" i="35"/>
  <c r="AZ35" i="35"/>
  <c r="AY35" i="35"/>
  <c r="AX35" i="35"/>
  <c r="AW35" i="35"/>
  <c r="AV35" i="35"/>
  <c r="AU35" i="35"/>
  <c r="AT35" i="35"/>
  <c r="AS35" i="35"/>
  <c r="AR35" i="35"/>
  <c r="AQ35" i="35"/>
  <c r="AP35" i="35"/>
  <c r="AO35" i="35"/>
  <c r="AN35" i="35"/>
  <c r="AM35" i="35"/>
  <c r="AL35" i="35"/>
  <c r="AK35" i="35"/>
  <c r="AJ35" i="35"/>
  <c r="AI35" i="35"/>
  <c r="AH35" i="35"/>
  <c r="AG35" i="35"/>
  <c r="AF35" i="35"/>
  <c r="AE35" i="35"/>
  <c r="AD35" i="35"/>
  <c r="AC35" i="35"/>
  <c r="AB35" i="35"/>
  <c r="AA35" i="35"/>
  <c r="Z35" i="35"/>
  <c r="Y35" i="35"/>
  <c r="X35" i="35"/>
  <c r="W35" i="35"/>
  <c r="V35" i="35"/>
  <c r="U35" i="35"/>
  <c r="T35" i="35"/>
  <c r="S35" i="35"/>
  <c r="R35" i="35"/>
  <c r="Q35" i="35"/>
  <c r="P35" i="35"/>
  <c r="O35" i="35"/>
  <c r="N35" i="35"/>
  <c r="M35" i="35"/>
  <c r="L35" i="35"/>
  <c r="K35" i="35"/>
  <c r="J35" i="35"/>
  <c r="HB34" i="35"/>
  <c r="HA34" i="35"/>
  <c r="GZ34" i="35"/>
  <c r="GY34" i="35"/>
  <c r="GX34" i="35"/>
  <c r="GW34" i="35"/>
  <c r="GV34" i="35"/>
  <c r="GU34" i="35"/>
  <c r="GT34" i="35"/>
  <c r="GS34" i="35"/>
  <c r="GR34" i="35"/>
  <c r="GQ34" i="35"/>
  <c r="GP34" i="35"/>
  <c r="GO34" i="35"/>
  <c r="GN34" i="35"/>
  <c r="GM34" i="35"/>
  <c r="GL34" i="35"/>
  <c r="GK34" i="35"/>
  <c r="GJ34" i="35"/>
  <c r="GI34" i="35"/>
  <c r="GH34" i="35"/>
  <c r="GG34" i="35"/>
  <c r="GF34" i="35"/>
  <c r="GE34" i="35"/>
  <c r="GD34" i="35"/>
  <c r="GC34" i="35"/>
  <c r="GB34" i="35"/>
  <c r="GA34" i="35"/>
  <c r="FZ34" i="35"/>
  <c r="FY34" i="35"/>
  <c r="FX34" i="35"/>
  <c r="FW34" i="35"/>
  <c r="FV34" i="35"/>
  <c r="FU34" i="35"/>
  <c r="FT34" i="35"/>
  <c r="FS34" i="35"/>
  <c r="FR34" i="35"/>
  <c r="FQ34" i="35"/>
  <c r="FP34" i="35"/>
  <c r="FO34" i="35"/>
  <c r="FN34" i="35"/>
  <c r="FM34" i="35"/>
  <c r="FL34" i="35"/>
  <c r="FK34" i="35"/>
  <c r="FJ34" i="35"/>
  <c r="FI34" i="35"/>
  <c r="FH34" i="35"/>
  <c r="FG34" i="35"/>
  <c r="FF34" i="35"/>
  <c r="FE34" i="35"/>
  <c r="FD34" i="35"/>
  <c r="FC34" i="35"/>
  <c r="FB34" i="35"/>
  <c r="FA34" i="35"/>
  <c r="EZ34" i="35"/>
  <c r="EY34" i="35"/>
  <c r="EX34" i="35"/>
  <c r="EW34" i="35"/>
  <c r="EV34" i="35"/>
  <c r="EU34" i="35"/>
  <c r="ET34" i="35"/>
  <c r="ES34" i="35"/>
  <c r="ER34" i="35"/>
  <c r="EQ34" i="35"/>
  <c r="EP34" i="35"/>
  <c r="EO34" i="35"/>
  <c r="EN34" i="35"/>
  <c r="EM34" i="35"/>
  <c r="EL34" i="35"/>
  <c r="EK34" i="35"/>
  <c r="EJ34" i="35"/>
  <c r="EI34" i="35"/>
  <c r="EH34" i="35"/>
  <c r="EG34" i="35"/>
  <c r="EF34" i="35"/>
  <c r="EE34" i="35"/>
  <c r="ED34" i="35"/>
  <c r="EC34" i="35"/>
  <c r="EB34" i="35"/>
  <c r="EA34" i="35"/>
  <c r="DZ34" i="35"/>
  <c r="DY34" i="35"/>
  <c r="DX34" i="35"/>
  <c r="DW34" i="35"/>
  <c r="DV34" i="35"/>
  <c r="DU34" i="35"/>
  <c r="DT34" i="35"/>
  <c r="DS34" i="35"/>
  <c r="DR34" i="35"/>
  <c r="DQ34" i="35"/>
  <c r="DP34" i="35"/>
  <c r="DO34" i="35"/>
  <c r="DN34" i="35"/>
  <c r="DM34" i="35"/>
  <c r="DL34" i="35"/>
  <c r="DK34" i="35"/>
  <c r="DJ34" i="35"/>
  <c r="DI34" i="35"/>
  <c r="DH34" i="35"/>
  <c r="DG34" i="35"/>
  <c r="DE34" i="35"/>
  <c r="DD34" i="35"/>
  <c r="DC34" i="35"/>
  <c r="DB34" i="35"/>
  <c r="DA34" i="35"/>
  <c r="CZ34" i="35"/>
  <c r="CY34" i="35"/>
  <c r="CX34" i="35"/>
  <c r="CW34" i="35"/>
  <c r="CV34" i="35"/>
  <c r="CU34" i="35"/>
  <c r="CT34" i="35"/>
  <c r="CS34" i="35"/>
  <c r="CR34" i="35"/>
  <c r="CQ34" i="35"/>
  <c r="CP34" i="35"/>
  <c r="CO34" i="35"/>
  <c r="CN34" i="35"/>
  <c r="CM34" i="35"/>
  <c r="CL34" i="35"/>
  <c r="CK34" i="35"/>
  <c r="CJ34" i="35"/>
  <c r="CI34" i="35"/>
  <c r="CH34" i="35"/>
  <c r="CG34" i="35"/>
  <c r="CF34" i="35"/>
  <c r="CE34" i="35"/>
  <c r="CD34" i="35"/>
  <c r="CC34" i="35"/>
  <c r="CB34" i="35"/>
  <c r="CA34" i="35"/>
  <c r="BZ34" i="35"/>
  <c r="BY34" i="35"/>
  <c r="BX34" i="35"/>
  <c r="BW34" i="35"/>
  <c r="BV34" i="35"/>
  <c r="BU34" i="35"/>
  <c r="BT34" i="35"/>
  <c r="BS34" i="35"/>
  <c r="BR34" i="35"/>
  <c r="BQ34" i="35"/>
  <c r="BP34" i="35"/>
  <c r="BO34" i="35"/>
  <c r="BN34" i="35"/>
  <c r="BM34" i="35"/>
  <c r="BL34" i="35"/>
  <c r="BK34" i="35"/>
  <c r="BJ34" i="35"/>
  <c r="BI34" i="35"/>
  <c r="BH34" i="35"/>
  <c r="BG34" i="35"/>
  <c r="BF34" i="35"/>
  <c r="BE34" i="35"/>
  <c r="BD34" i="35"/>
  <c r="BC34" i="35"/>
  <c r="BB34" i="35"/>
  <c r="BA34" i="35"/>
  <c r="AZ34" i="35"/>
  <c r="AY34" i="35"/>
  <c r="AX34" i="35"/>
  <c r="AW34" i="35"/>
  <c r="AV34" i="35"/>
  <c r="AU34" i="35"/>
  <c r="AT34" i="35"/>
  <c r="AS34" i="35"/>
  <c r="AR34" i="35"/>
  <c r="AQ34" i="35"/>
  <c r="AP34" i="35"/>
  <c r="AO34" i="35"/>
  <c r="AN34" i="35"/>
  <c r="AM34" i="35"/>
  <c r="AL34" i="35"/>
  <c r="AK34" i="35"/>
  <c r="AJ34" i="35"/>
  <c r="AI34" i="35"/>
  <c r="AH34" i="35"/>
  <c r="AG34" i="35"/>
  <c r="AF34" i="35"/>
  <c r="AE34" i="35"/>
  <c r="AD34" i="35"/>
  <c r="AC34" i="35"/>
  <c r="AB34" i="35"/>
  <c r="AA34" i="35"/>
  <c r="Z34" i="35"/>
  <c r="Y34" i="35"/>
  <c r="X34" i="35"/>
  <c r="W34" i="35"/>
  <c r="V34" i="35"/>
  <c r="U34" i="35"/>
  <c r="T34" i="35"/>
  <c r="S34" i="35"/>
  <c r="R34" i="35"/>
  <c r="Q34" i="35"/>
  <c r="P34" i="35"/>
  <c r="O34" i="35"/>
  <c r="N34" i="35"/>
  <c r="M34" i="35"/>
  <c r="L34" i="35"/>
  <c r="K34" i="35"/>
  <c r="J34" i="35"/>
  <c r="HB33" i="35"/>
  <c r="HA33" i="35"/>
  <c r="GZ33" i="35"/>
  <c r="GY33" i="35"/>
  <c r="GX33" i="35"/>
  <c r="GW33" i="35"/>
  <c r="GV33" i="35"/>
  <c r="GU33" i="35"/>
  <c r="GT33" i="35"/>
  <c r="GS33" i="35"/>
  <c r="GR33" i="35"/>
  <c r="GQ33" i="35"/>
  <c r="GP33" i="35"/>
  <c r="GO33" i="35"/>
  <c r="GN33" i="35"/>
  <c r="GM33" i="35"/>
  <c r="GL33" i="35"/>
  <c r="GK33" i="35"/>
  <c r="GJ33" i="35"/>
  <c r="GI33" i="35"/>
  <c r="GH33" i="35"/>
  <c r="GG33" i="35"/>
  <c r="GF33" i="35"/>
  <c r="GE33" i="35"/>
  <c r="GD33" i="35"/>
  <c r="GC33" i="35"/>
  <c r="GB33" i="35"/>
  <c r="GA33" i="35"/>
  <c r="FZ33" i="35"/>
  <c r="FY33" i="35"/>
  <c r="FX33" i="35"/>
  <c r="FW33" i="35"/>
  <c r="FV33" i="35"/>
  <c r="FU33" i="35"/>
  <c r="FU32" i="35" s="1"/>
  <c r="FT33" i="35"/>
  <c r="FT32" i="35" s="1"/>
  <c r="FS33" i="35"/>
  <c r="FS32" i="35" s="1"/>
  <c r="FR33" i="35"/>
  <c r="FQ33" i="35"/>
  <c r="FQ32" i="35" s="1"/>
  <c r="FP33" i="35"/>
  <c r="FP32" i="35" s="1"/>
  <c r="FO33" i="35"/>
  <c r="FO32" i="35" s="1"/>
  <c r="FN33" i="35"/>
  <c r="FM33" i="35"/>
  <c r="FM32" i="35" s="1"/>
  <c r="FL33" i="35"/>
  <c r="FL32" i="35" s="1"/>
  <c r="FK33" i="35"/>
  <c r="FK32" i="35" s="1"/>
  <c r="FJ33" i="35"/>
  <c r="FI33" i="35"/>
  <c r="FH33" i="35"/>
  <c r="FH32" i="35" s="1"/>
  <c r="FG33" i="35"/>
  <c r="FF33" i="35"/>
  <c r="FE33" i="35"/>
  <c r="FD33" i="35"/>
  <c r="FD32" i="35" s="1"/>
  <c r="FC33" i="35"/>
  <c r="FB33" i="35"/>
  <c r="FA33" i="35"/>
  <c r="EZ33" i="35"/>
  <c r="EZ32" i="35" s="1"/>
  <c r="EY33" i="35"/>
  <c r="EX33" i="35"/>
  <c r="EW33" i="35"/>
  <c r="EV33" i="35"/>
  <c r="EV32" i="35" s="1"/>
  <c r="EU33" i="35"/>
  <c r="ET33" i="35"/>
  <c r="ES33" i="35"/>
  <c r="ER33" i="35"/>
  <c r="ER32" i="35" s="1"/>
  <c r="EQ33" i="35"/>
  <c r="EP33" i="35"/>
  <c r="EO33" i="35"/>
  <c r="EN33" i="35"/>
  <c r="EN32" i="35" s="1"/>
  <c r="EM33" i="35"/>
  <c r="EL33" i="35"/>
  <c r="EK33" i="35"/>
  <c r="EJ33" i="35"/>
  <c r="EJ32" i="35" s="1"/>
  <c r="EI33" i="35"/>
  <c r="EH33" i="35"/>
  <c r="EG33" i="35"/>
  <c r="EF33" i="35"/>
  <c r="EF32" i="35" s="1"/>
  <c r="EE33" i="35"/>
  <c r="ED33" i="35"/>
  <c r="EC33" i="35"/>
  <c r="EB33" i="35"/>
  <c r="EB32" i="35" s="1"/>
  <c r="EA33" i="35"/>
  <c r="DZ33" i="35"/>
  <c r="DY33" i="35"/>
  <c r="DX33" i="35"/>
  <c r="DX32" i="35" s="1"/>
  <c r="DW33" i="35"/>
  <c r="DV33" i="35"/>
  <c r="DU33" i="35"/>
  <c r="DT33" i="35"/>
  <c r="DT32" i="35" s="1"/>
  <c r="DS33" i="35"/>
  <c r="DR33" i="35"/>
  <c r="DQ33" i="35"/>
  <c r="DP33" i="35"/>
  <c r="DP32" i="35" s="1"/>
  <c r="DO33" i="35"/>
  <c r="DN33" i="35"/>
  <c r="DM33" i="35"/>
  <c r="DL33" i="35"/>
  <c r="DL32" i="35" s="1"/>
  <c r="DK33" i="35"/>
  <c r="DJ33" i="35"/>
  <c r="DI33" i="35"/>
  <c r="DI32" i="35" s="1"/>
  <c r="DH33" i="35"/>
  <c r="DH32" i="35" s="1"/>
  <c r="DG33" i="35"/>
  <c r="DE33" i="35"/>
  <c r="DD33" i="35"/>
  <c r="DC33" i="35"/>
  <c r="DC32" i="35" s="1"/>
  <c r="DB33" i="35"/>
  <c r="DA33" i="35"/>
  <c r="CZ33" i="35"/>
  <c r="CY33" i="35"/>
  <c r="CY32" i="35" s="1"/>
  <c r="CX33" i="35"/>
  <c r="CW33" i="35"/>
  <c r="CV33" i="35"/>
  <c r="CU33" i="35"/>
  <c r="CU32" i="35" s="1"/>
  <c r="CT33" i="35"/>
  <c r="CS33" i="35"/>
  <c r="CR33" i="35"/>
  <c r="CQ33" i="35"/>
  <c r="CQ32" i="35" s="1"/>
  <c r="CP33" i="35"/>
  <c r="CO33" i="35"/>
  <c r="CN33" i="35"/>
  <c r="CM33" i="35"/>
  <c r="CM32" i="35" s="1"/>
  <c r="CL33" i="35"/>
  <c r="CK33" i="35"/>
  <c r="CJ33" i="35"/>
  <c r="CI33" i="35"/>
  <c r="CH33" i="35"/>
  <c r="CG33" i="35"/>
  <c r="CF33" i="35"/>
  <c r="CE33" i="35"/>
  <c r="CE32" i="35" s="1"/>
  <c r="CD33" i="35"/>
  <c r="CC33" i="35"/>
  <c r="CB33" i="35"/>
  <c r="CA33" i="35"/>
  <c r="CA32" i="35" s="1"/>
  <c r="BZ33" i="35"/>
  <c r="BY33" i="35"/>
  <c r="BX33" i="35"/>
  <c r="BW33" i="35"/>
  <c r="BW32" i="35" s="1"/>
  <c r="BV33" i="35"/>
  <c r="BU33" i="35"/>
  <c r="BT33" i="35"/>
  <c r="BS33" i="35"/>
  <c r="BR33" i="35"/>
  <c r="BQ33" i="35"/>
  <c r="BP33" i="35"/>
  <c r="BO33" i="35"/>
  <c r="BO32" i="35" s="1"/>
  <c r="BN33" i="35"/>
  <c r="BM33" i="35"/>
  <c r="BL33" i="35"/>
  <c r="BK33" i="35"/>
  <c r="BK32" i="35" s="1"/>
  <c r="BJ33" i="35"/>
  <c r="BI33" i="35"/>
  <c r="BH33" i="35"/>
  <c r="BG33" i="35"/>
  <c r="BG32" i="35" s="1"/>
  <c r="BF33" i="35"/>
  <c r="BE33" i="35"/>
  <c r="BD33" i="35"/>
  <c r="BD32" i="35" s="1"/>
  <c r="BC33" i="35"/>
  <c r="BB33" i="35"/>
  <c r="BA33" i="35"/>
  <c r="AZ33" i="35"/>
  <c r="AY33" i="35"/>
  <c r="AX33" i="35"/>
  <c r="AW33" i="35"/>
  <c r="AV33" i="35"/>
  <c r="AU33" i="35"/>
  <c r="AT33" i="35"/>
  <c r="AS33" i="35"/>
  <c r="AR33" i="35"/>
  <c r="AQ33" i="35"/>
  <c r="AP33" i="35"/>
  <c r="AO33" i="35"/>
  <c r="AN33" i="35"/>
  <c r="AM33" i="35"/>
  <c r="AL33" i="35"/>
  <c r="AK33" i="35"/>
  <c r="AJ33" i="35"/>
  <c r="AI33" i="35"/>
  <c r="AH33" i="35"/>
  <c r="AG33" i="35"/>
  <c r="AF33" i="35"/>
  <c r="AE33" i="35"/>
  <c r="AD33" i="35"/>
  <c r="AC33" i="35"/>
  <c r="AB33" i="35"/>
  <c r="AA33" i="35"/>
  <c r="Z33" i="35"/>
  <c r="Y33" i="35"/>
  <c r="X33" i="35"/>
  <c r="W33" i="35"/>
  <c r="V33" i="35"/>
  <c r="U33" i="35"/>
  <c r="T33" i="35"/>
  <c r="S33" i="35"/>
  <c r="R33" i="35"/>
  <c r="Q33" i="35"/>
  <c r="P33" i="35"/>
  <c r="O33" i="35"/>
  <c r="O32" i="35" s="1"/>
  <c r="N33" i="35"/>
  <c r="M33" i="35"/>
  <c r="L33" i="35"/>
  <c r="K33" i="35"/>
  <c r="K32" i="35" s="1"/>
  <c r="J33" i="35"/>
  <c r="HB31" i="35"/>
  <c r="HA31" i="35"/>
  <c r="GZ31" i="35"/>
  <c r="GY31" i="35"/>
  <c r="GX31" i="35"/>
  <c r="GW31" i="35"/>
  <c r="GV31" i="35"/>
  <c r="GU31" i="35"/>
  <c r="GT31" i="35"/>
  <c r="GS31" i="35"/>
  <c r="GR31" i="35"/>
  <c r="GQ31" i="35"/>
  <c r="GP31" i="35"/>
  <c r="GO31" i="35"/>
  <c r="GN31" i="35"/>
  <c r="GM31" i="35"/>
  <c r="GL31" i="35"/>
  <c r="GK31" i="35"/>
  <c r="GJ31" i="35"/>
  <c r="GI31" i="35"/>
  <c r="GH31" i="35"/>
  <c r="GG31" i="35"/>
  <c r="GF31" i="35"/>
  <c r="GE31" i="35"/>
  <c r="GD31" i="35"/>
  <c r="GC31" i="35"/>
  <c r="GB31" i="35"/>
  <c r="GA31" i="35"/>
  <c r="FZ31" i="35"/>
  <c r="FY31" i="35"/>
  <c r="FX31" i="35"/>
  <c r="FW31" i="35"/>
  <c r="FV31" i="35"/>
  <c r="FU31" i="35"/>
  <c r="FT31" i="35"/>
  <c r="FS31" i="35"/>
  <c r="FR31" i="35"/>
  <c r="FQ31" i="35"/>
  <c r="FP31" i="35"/>
  <c r="FO31" i="35"/>
  <c r="FN31" i="35"/>
  <c r="FM31" i="35"/>
  <c r="FL31" i="35"/>
  <c r="FK31" i="35"/>
  <c r="FJ31" i="35"/>
  <c r="FI31" i="35"/>
  <c r="FH31" i="35"/>
  <c r="FG31" i="35"/>
  <c r="FF31" i="35"/>
  <c r="FE31" i="35"/>
  <c r="FD31" i="35"/>
  <c r="FC31" i="35"/>
  <c r="FB31" i="35"/>
  <c r="FA31" i="35"/>
  <c r="EZ31" i="35"/>
  <c r="EY31" i="35"/>
  <c r="EX31" i="35"/>
  <c r="EW31" i="35"/>
  <c r="EV31" i="35"/>
  <c r="EU31" i="35"/>
  <c r="ET31" i="35"/>
  <c r="ES31" i="35"/>
  <c r="ER31" i="35"/>
  <c r="EQ31" i="35"/>
  <c r="EP31" i="35"/>
  <c r="EO31" i="35"/>
  <c r="EN31" i="35"/>
  <c r="EM31" i="35"/>
  <c r="EL31" i="35"/>
  <c r="EK31" i="35"/>
  <c r="EJ31" i="35"/>
  <c r="EI31" i="35"/>
  <c r="EH31" i="35"/>
  <c r="EG31" i="35"/>
  <c r="EF31" i="35"/>
  <c r="EE31" i="35"/>
  <c r="ED31" i="35"/>
  <c r="EC31" i="35"/>
  <c r="EB31" i="35"/>
  <c r="EA31" i="35"/>
  <c r="DZ31" i="35"/>
  <c r="DY31" i="35"/>
  <c r="DX31" i="35"/>
  <c r="DW31" i="35"/>
  <c r="DV31" i="35"/>
  <c r="DU31" i="35"/>
  <c r="DT31" i="35"/>
  <c r="DS31" i="35"/>
  <c r="DR31" i="35"/>
  <c r="DQ31" i="35"/>
  <c r="DP31" i="35"/>
  <c r="DO31" i="35"/>
  <c r="DN31" i="35"/>
  <c r="DM31" i="35"/>
  <c r="DL31" i="35"/>
  <c r="DK31" i="35"/>
  <c r="DJ31" i="35"/>
  <c r="DI31" i="35"/>
  <c r="DH31" i="35"/>
  <c r="DG31" i="35"/>
  <c r="DE31" i="35"/>
  <c r="DD31" i="35"/>
  <c r="DC31" i="35"/>
  <c r="DB31" i="35"/>
  <c r="DA31" i="35"/>
  <c r="CZ31" i="35"/>
  <c r="CY31" i="35"/>
  <c r="CX31" i="35"/>
  <c r="CW31" i="35"/>
  <c r="CV31" i="35"/>
  <c r="CU31" i="35"/>
  <c r="CT31" i="35"/>
  <c r="CS31" i="35"/>
  <c r="CR31" i="35"/>
  <c r="CQ31" i="35"/>
  <c r="CP31" i="35"/>
  <c r="CO31" i="35"/>
  <c r="CN31" i="35"/>
  <c r="CM31" i="35"/>
  <c r="CL31" i="35"/>
  <c r="CK31" i="35"/>
  <c r="CJ31" i="35"/>
  <c r="CI31" i="35"/>
  <c r="CH31" i="35"/>
  <c r="CG31" i="35"/>
  <c r="CF31" i="35"/>
  <c r="CE31" i="35"/>
  <c r="CD31" i="35"/>
  <c r="CC31" i="35"/>
  <c r="CB31" i="35"/>
  <c r="CA31" i="35"/>
  <c r="BZ31" i="35"/>
  <c r="BY31" i="35"/>
  <c r="BX31" i="35"/>
  <c r="BW31" i="35"/>
  <c r="BV31" i="35"/>
  <c r="BU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L31" i="35"/>
  <c r="K31" i="35"/>
  <c r="J31" i="35"/>
  <c r="HB30" i="35"/>
  <c r="HA30" i="35"/>
  <c r="GZ30" i="35"/>
  <c r="GY30" i="35"/>
  <c r="GX30" i="35"/>
  <c r="GW30" i="35"/>
  <c r="GV30" i="35"/>
  <c r="GU30" i="35"/>
  <c r="GT30" i="35"/>
  <c r="GS30" i="35"/>
  <c r="GR30" i="35"/>
  <c r="GQ30" i="35"/>
  <c r="GP30" i="35"/>
  <c r="GO30" i="35"/>
  <c r="GN30" i="35"/>
  <c r="GM30" i="35"/>
  <c r="GL30" i="35"/>
  <c r="GK30" i="35"/>
  <c r="GJ30" i="35"/>
  <c r="GI30" i="35"/>
  <c r="GH30" i="35"/>
  <c r="GG30" i="35"/>
  <c r="GF30" i="35"/>
  <c r="GE30" i="35"/>
  <c r="GD30" i="35"/>
  <c r="GC30" i="35"/>
  <c r="GB30" i="35"/>
  <c r="GA30" i="35"/>
  <c r="FZ30" i="35"/>
  <c r="FY30" i="35"/>
  <c r="FX30" i="35"/>
  <c r="FW30" i="35"/>
  <c r="FV30" i="35"/>
  <c r="FU30" i="35"/>
  <c r="FT30" i="35"/>
  <c r="FS30" i="35"/>
  <c r="FR30" i="35"/>
  <c r="FQ30" i="35"/>
  <c r="FP30" i="35"/>
  <c r="FO30" i="35"/>
  <c r="FN30" i="35"/>
  <c r="FM30" i="35"/>
  <c r="FL30" i="35"/>
  <c r="FK30" i="35"/>
  <c r="FJ30" i="35"/>
  <c r="FI30" i="35"/>
  <c r="FH30" i="35"/>
  <c r="FG30" i="35"/>
  <c r="FF30" i="35"/>
  <c r="FE30" i="35"/>
  <c r="FD30" i="35"/>
  <c r="FC30" i="35"/>
  <c r="FB30" i="35"/>
  <c r="FA30" i="35"/>
  <c r="EZ30" i="35"/>
  <c r="EY30" i="35"/>
  <c r="EX30" i="35"/>
  <c r="EW30" i="35"/>
  <c r="EV30" i="35"/>
  <c r="EU30" i="35"/>
  <c r="ET30" i="35"/>
  <c r="ES30" i="35"/>
  <c r="ER30" i="35"/>
  <c r="EQ30" i="35"/>
  <c r="EP30" i="35"/>
  <c r="EO30" i="35"/>
  <c r="EN30" i="35"/>
  <c r="EM30" i="35"/>
  <c r="EL30" i="35"/>
  <c r="EK30" i="35"/>
  <c r="EJ30" i="35"/>
  <c r="EI30" i="35"/>
  <c r="EH30" i="35"/>
  <c r="EG30" i="35"/>
  <c r="EF30" i="35"/>
  <c r="EE30" i="35"/>
  <c r="ED30" i="35"/>
  <c r="EC30" i="35"/>
  <c r="EB30" i="35"/>
  <c r="EA30" i="35"/>
  <c r="DZ30" i="35"/>
  <c r="DY30" i="35"/>
  <c r="DX30" i="35"/>
  <c r="DW30" i="35"/>
  <c r="DV30" i="35"/>
  <c r="DU30" i="35"/>
  <c r="DT30" i="35"/>
  <c r="DS30" i="35"/>
  <c r="DR30" i="35"/>
  <c r="DQ30" i="35"/>
  <c r="DP30" i="35"/>
  <c r="DO30" i="35"/>
  <c r="DN30" i="35"/>
  <c r="DM30" i="35"/>
  <c r="DL30" i="35"/>
  <c r="DK30" i="35"/>
  <c r="DJ30" i="35"/>
  <c r="DI30" i="35"/>
  <c r="DH30" i="35"/>
  <c r="DG30" i="35"/>
  <c r="DE30" i="35"/>
  <c r="DD30" i="35"/>
  <c r="DC30" i="35"/>
  <c r="DB30" i="35"/>
  <c r="DA30" i="35"/>
  <c r="CZ30" i="35"/>
  <c r="CY30" i="35"/>
  <c r="CX30" i="35"/>
  <c r="CW30" i="35"/>
  <c r="CV30" i="35"/>
  <c r="CU30" i="35"/>
  <c r="CT30" i="35"/>
  <c r="CS30" i="35"/>
  <c r="CR30" i="35"/>
  <c r="CQ30" i="35"/>
  <c r="CP30" i="35"/>
  <c r="CO30" i="35"/>
  <c r="CN30" i="35"/>
  <c r="CM30" i="35"/>
  <c r="CL30" i="35"/>
  <c r="CK30" i="35"/>
  <c r="CJ30" i="35"/>
  <c r="CI30" i="35"/>
  <c r="CH30" i="35"/>
  <c r="CG30" i="35"/>
  <c r="CF30" i="35"/>
  <c r="CE30" i="35"/>
  <c r="CD30" i="35"/>
  <c r="CC30" i="35"/>
  <c r="CB30" i="35"/>
  <c r="CA30" i="35"/>
  <c r="BZ30" i="35"/>
  <c r="BY30" i="35"/>
  <c r="BX30" i="35"/>
  <c r="BW30" i="35"/>
  <c r="BV30" i="35"/>
  <c r="BU30"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L30" i="35"/>
  <c r="K30" i="35"/>
  <c r="J30" i="35"/>
  <c r="HB29" i="35"/>
  <c r="HA29" i="35"/>
  <c r="GZ29" i="35"/>
  <c r="GY29" i="35"/>
  <c r="GX29" i="35"/>
  <c r="GW29" i="35"/>
  <c r="GV29" i="35"/>
  <c r="GU29" i="35"/>
  <c r="GT29" i="35"/>
  <c r="GS29" i="35"/>
  <c r="GR29" i="35"/>
  <c r="GQ29" i="35"/>
  <c r="GP29" i="35"/>
  <c r="GO29" i="35"/>
  <c r="GN29" i="35"/>
  <c r="GM29" i="35"/>
  <c r="GL29" i="35"/>
  <c r="GK29" i="35"/>
  <c r="GJ29" i="35"/>
  <c r="GI29" i="35"/>
  <c r="GH29" i="35"/>
  <c r="GG29" i="35"/>
  <c r="GF29" i="35"/>
  <c r="GE29" i="35"/>
  <c r="GD29" i="35"/>
  <c r="GC29" i="35"/>
  <c r="GB29" i="35"/>
  <c r="GA29" i="35"/>
  <c r="FZ29" i="35"/>
  <c r="FY29" i="35"/>
  <c r="FX29" i="35"/>
  <c r="FW29" i="35"/>
  <c r="FV29" i="35"/>
  <c r="FU29" i="35"/>
  <c r="FT29" i="35"/>
  <c r="FS29" i="35"/>
  <c r="FR29" i="35"/>
  <c r="FQ29" i="35"/>
  <c r="FP29" i="35"/>
  <c r="FO29" i="35"/>
  <c r="FN29" i="35"/>
  <c r="FM29" i="35"/>
  <c r="FL29" i="35"/>
  <c r="FK29" i="35"/>
  <c r="FJ29" i="35"/>
  <c r="FI29" i="35"/>
  <c r="FH29" i="35"/>
  <c r="FG29" i="35"/>
  <c r="FF29" i="35"/>
  <c r="FE29" i="35"/>
  <c r="FD29" i="35"/>
  <c r="FC29" i="35"/>
  <c r="FB29" i="35"/>
  <c r="FA29" i="35"/>
  <c r="EZ29" i="35"/>
  <c r="EY29" i="35"/>
  <c r="EX29" i="35"/>
  <c r="EW29" i="35"/>
  <c r="EV29" i="35"/>
  <c r="EU29" i="35"/>
  <c r="ET29" i="35"/>
  <c r="ES29" i="35"/>
  <c r="ER29" i="35"/>
  <c r="EQ29" i="35"/>
  <c r="EP29" i="35"/>
  <c r="EO29" i="35"/>
  <c r="EN29" i="35"/>
  <c r="EM29" i="35"/>
  <c r="EL29" i="35"/>
  <c r="EK29" i="35"/>
  <c r="EJ29" i="35"/>
  <c r="EI29" i="35"/>
  <c r="EH29" i="35"/>
  <c r="EG29" i="35"/>
  <c r="EF29" i="35"/>
  <c r="EE29" i="35"/>
  <c r="ED29" i="35"/>
  <c r="EC29" i="35"/>
  <c r="EB29" i="35"/>
  <c r="EA29" i="35"/>
  <c r="DZ29" i="35"/>
  <c r="DY29" i="35"/>
  <c r="DX29" i="35"/>
  <c r="DW29" i="35"/>
  <c r="DV29" i="35"/>
  <c r="DU29" i="35"/>
  <c r="DT29" i="35"/>
  <c r="DS29" i="35"/>
  <c r="DR29" i="35"/>
  <c r="DQ29" i="35"/>
  <c r="DP29" i="35"/>
  <c r="DO29" i="35"/>
  <c r="DN29" i="35"/>
  <c r="DM29" i="35"/>
  <c r="DL29" i="35"/>
  <c r="DK29" i="35"/>
  <c r="DJ29" i="35"/>
  <c r="DI29" i="35"/>
  <c r="DH29" i="35"/>
  <c r="DG29" i="35"/>
  <c r="DE29" i="35"/>
  <c r="DD29" i="35"/>
  <c r="DC29" i="35"/>
  <c r="DB29" i="35"/>
  <c r="DA29" i="35"/>
  <c r="CZ29" i="35"/>
  <c r="CY29" i="35"/>
  <c r="CX29" i="35"/>
  <c r="CW29" i="35"/>
  <c r="CV29" i="35"/>
  <c r="CU29" i="35"/>
  <c r="CT29" i="35"/>
  <c r="CS29" i="35"/>
  <c r="CR29" i="35"/>
  <c r="CQ29" i="35"/>
  <c r="CP29" i="35"/>
  <c r="CO29" i="35"/>
  <c r="CN29" i="35"/>
  <c r="CM29" i="35"/>
  <c r="CL29" i="35"/>
  <c r="CK29" i="35"/>
  <c r="CJ29" i="35"/>
  <c r="CI29" i="35"/>
  <c r="CH29" i="35"/>
  <c r="CG29" i="35"/>
  <c r="CF29" i="35"/>
  <c r="CE29" i="35"/>
  <c r="CD29" i="35"/>
  <c r="CC29" i="35"/>
  <c r="CB29" i="35"/>
  <c r="CA29" i="35"/>
  <c r="BZ29" i="35"/>
  <c r="BY29" i="35"/>
  <c r="BX29" i="35"/>
  <c r="BW29" i="35"/>
  <c r="BV29" i="35"/>
  <c r="BU29" i="35"/>
  <c r="BT29" i="35"/>
  <c r="BS29" i="35"/>
  <c r="BR29" i="35"/>
  <c r="BQ29" i="35"/>
  <c r="BP29" i="35"/>
  <c r="BO29" i="35"/>
  <c r="BN29" i="35"/>
  <c r="BM29" i="35"/>
  <c r="BL29" i="35"/>
  <c r="BK29" i="35"/>
  <c r="BJ29" i="35"/>
  <c r="BI29" i="35"/>
  <c r="BH29" i="35"/>
  <c r="BG29" i="35"/>
  <c r="BF29" i="35"/>
  <c r="BE29" i="35"/>
  <c r="BD29" i="35"/>
  <c r="BC29" i="35"/>
  <c r="BB29" i="35"/>
  <c r="BA29" i="35"/>
  <c r="AZ29" i="35"/>
  <c r="AY29" i="35"/>
  <c r="AX29" i="35"/>
  <c r="AW29" i="35"/>
  <c r="AV29" i="35"/>
  <c r="AU29" i="35"/>
  <c r="AT29" i="35"/>
  <c r="AS29" i="35"/>
  <c r="AR29" i="35"/>
  <c r="AQ29" i="35"/>
  <c r="AP29" i="35"/>
  <c r="AO29" i="35"/>
  <c r="AN29" i="35"/>
  <c r="AM29" i="35"/>
  <c r="AL29" i="35"/>
  <c r="AK29" i="35"/>
  <c r="AJ29" i="35"/>
  <c r="AI29" i="35"/>
  <c r="AH29" i="35"/>
  <c r="AG29" i="35"/>
  <c r="AF29" i="35"/>
  <c r="AE29" i="35"/>
  <c r="AD29" i="35"/>
  <c r="AC29" i="35"/>
  <c r="AB29" i="35"/>
  <c r="AA29" i="35"/>
  <c r="Z29" i="35"/>
  <c r="Y29" i="35"/>
  <c r="X29" i="35"/>
  <c r="W29" i="35"/>
  <c r="V29" i="35"/>
  <c r="U29" i="35"/>
  <c r="T29" i="35"/>
  <c r="S29" i="35"/>
  <c r="R29" i="35"/>
  <c r="Q29" i="35"/>
  <c r="P29" i="35"/>
  <c r="O29" i="35"/>
  <c r="N29" i="35"/>
  <c r="M29" i="35"/>
  <c r="L29" i="35"/>
  <c r="K29" i="35"/>
  <c r="J29" i="35"/>
  <c r="HB28" i="35"/>
  <c r="HA28" i="35"/>
  <c r="GZ28" i="35"/>
  <c r="GY28" i="35"/>
  <c r="GX28" i="35"/>
  <c r="GW28" i="35"/>
  <c r="GV28" i="35"/>
  <c r="GU28" i="35"/>
  <c r="GT28" i="35"/>
  <c r="GS28" i="35"/>
  <c r="GR28" i="35"/>
  <c r="GQ28" i="35"/>
  <c r="GP28" i="35"/>
  <c r="GO28" i="35"/>
  <c r="GN28" i="35"/>
  <c r="GM28" i="35"/>
  <c r="GL28" i="35"/>
  <c r="GK28" i="35"/>
  <c r="GJ28" i="35"/>
  <c r="GI28" i="35"/>
  <c r="GH28" i="35"/>
  <c r="GG28" i="35"/>
  <c r="GF28" i="35"/>
  <c r="GE28" i="35"/>
  <c r="GD28" i="35"/>
  <c r="GC28" i="35"/>
  <c r="GB28" i="35"/>
  <c r="GA28" i="35"/>
  <c r="FZ28" i="35"/>
  <c r="FY28" i="35"/>
  <c r="FX28" i="35"/>
  <c r="FW28" i="35"/>
  <c r="FV28" i="35"/>
  <c r="FU28" i="35"/>
  <c r="FT28" i="35"/>
  <c r="FS28" i="35"/>
  <c r="FR28" i="35"/>
  <c r="FQ28" i="35"/>
  <c r="FP28" i="35"/>
  <c r="FO28" i="35"/>
  <c r="FN28" i="35"/>
  <c r="FM28" i="35"/>
  <c r="FL28" i="35"/>
  <c r="FK28" i="35"/>
  <c r="FJ28" i="35"/>
  <c r="FI28" i="35"/>
  <c r="FH28" i="35"/>
  <c r="FG28" i="35"/>
  <c r="FF28" i="35"/>
  <c r="FE28" i="35"/>
  <c r="FD28" i="35"/>
  <c r="FC28" i="35"/>
  <c r="FB28" i="35"/>
  <c r="FA28" i="35"/>
  <c r="EZ28" i="35"/>
  <c r="EY28" i="35"/>
  <c r="EX28" i="35"/>
  <c r="EW28" i="35"/>
  <c r="EV28" i="35"/>
  <c r="EU28" i="35"/>
  <c r="ET28" i="35"/>
  <c r="ES28" i="35"/>
  <c r="ER28" i="35"/>
  <c r="EQ28" i="35"/>
  <c r="EP28" i="35"/>
  <c r="EO28" i="35"/>
  <c r="EN28" i="35"/>
  <c r="EM28" i="35"/>
  <c r="EL28" i="35"/>
  <c r="EK28" i="35"/>
  <c r="EJ28" i="35"/>
  <c r="EI28" i="35"/>
  <c r="EH28" i="35"/>
  <c r="EG28" i="35"/>
  <c r="EF28" i="35"/>
  <c r="EE28" i="35"/>
  <c r="ED28" i="35"/>
  <c r="EC28" i="35"/>
  <c r="EB28" i="35"/>
  <c r="EA28" i="35"/>
  <c r="DZ28" i="35"/>
  <c r="DY28" i="35"/>
  <c r="DX28" i="35"/>
  <c r="DW28" i="35"/>
  <c r="DV28" i="35"/>
  <c r="DU28" i="35"/>
  <c r="DT28" i="35"/>
  <c r="DS28" i="35"/>
  <c r="DR28" i="35"/>
  <c r="DQ28" i="35"/>
  <c r="DP28" i="35"/>
  <c r="DO28" i="35"/>
  <c r="DN28" i="35"/>
  <c r="DM28" i="35"/>
  <c r="DL28" i="35"/>
  <c r="DK28" i="35"/>
  <c r="DJ28" i="35"/>
  <c r="DI28" i="35"/>
  <c r="DH28" i="35"/>
  <c r="DG28" i="35"/>
  <c r="DE28" i="35"/>
  <c r="DD28" i="35"/>
  <c r="DC28" i="35"/>
  <c r="DB28" i="35"/>
  <c r="DA28" i="35"/>
  <c r="CZ28" i="35"/>
  <c r="CY28" i="35"/>
  <c r="CX28" i="35"/>
  <c r="CW28" i="35"/>
  <c r="CV28" i="35"/>
  <c r="CU28" i="35"/>
  <c r="CT28" i="35"/>
  <c r="CS28" i="35"/>
  <c r="CR28" i="35"/>
  <c r="CQ28" i="35"/>
  <c r="CP28" i="35"/>
  <c r="CO28" i="35"/>
  <c r="CN28" i="35"/>
  <c r="CM28" i="35"/>
  <c r="CL28" i="35"/>
  <c r="CK28" i="35"/>
  <c r="CJ28" i="35"/>
  <c r="CI28" i="35"/>
  <c r="CH28" i="35"/>
  <c r="CG28" i="35"/>
  <c r="CF28" i="35"/>
  <c r="CE28" i="35"/>
  <c r="CD28" i="35"/>
  <c r="CC28" i="35"/>
  <c r="CB28" i="35"/>
  <c r="CA28" i="35"/>
  <c r="BZ28" i="35"/>
  <c r="BY28" i="35"/>
  <c r="BX28" i="35"/>
  <c r="BW28" i="35"/>
  <c r="BV28" i="35"/>
  <c r="BU28" i="35"/>
  <c r="BT28" i="35"/>
  <c r="BS28" i="35"/>
  <c r="BR28" i="35"/>
  <c r="BQ28" i="35"/>
  <c r="BP28" i="35"/>
  <c r="BO28" i="35"/>
  <c r="BN28" i="35"/>
  <c r="BM28" i="35"/>
  <c r="BL28" i="35"/>
  <c r="BK28" i="35"/>
  <c r="BJ28" i="35"/>
  <c r="BI28" i="35"/>
  <c r="BH28" i="35"/>
  <c r="BG28" i="35"/>
  <c r="BF28" i="35"/>
  <c r="BE28" i="35"/>
  <c r="BD28" i="35"/>
  <c r="BC28" i="35"/>
  <c r="BB28" i="35"/>
  <c r="BA28" i="35"/>
  <c r="AZ28" i="35"/>
  <c r="AY28" i="35"/>
  <c r="AX28" i="35"/>
  <c r="AW28" i="35"/>
  <c r="AV28" i="35"/>
  <c r="AU28" i="35"/>
  <c r="AT28" i="35"/>
  <c r="AS28" i="35"/>
  <c r="AR28" i="35"/>
  <c r="AQ28" i="35"/>
  <c r="AP28" i="35"/>
  <c r="AO28" i="35"/>
  <c r="AN28" i="35"/>
  <c r="AM28" i="35"/>
  <c r="AL28" i="35"/>
  <c r="AK28" i="35"/>
  <c r="AJ28" i="35"/>
  <c r="AI28" i="35"/>
  <c r="AH28" i="35"/>
  <c r="AG28" i="35"/>
  <c r="AF28" i="35"/>
  <c r="AE28" i="35"/>
  <c r="AD28" i="35"/>
  <c r="AC28" i="35"/>
  <c r="AB28" i="35"/>
  <c r="AA28" i="35"/>
  <c r="Z28" i="35"/>
  <c r="Y28" i="35"/>
  <c r="X28" i="35"/>
  <c r="W28" i="35"/>
  <c r="V28" i="35"/>
  <c r="U28" i="35"/>
  <c r="T28" i="35"/>
  <c r="S28" i="35"/>
  <c r="R28" i="35"/>
  <c r="Q28" i="35"/>
  <c r="P28" i="35"/>
  <c r="O28" i="35"/>
  <c r="N28" i="35"/>
  <c r="M28" i="35"/>
  <c r="L28" i="35"/>
  <c r="K28" i="35"/>
  <c r="J28" i="35"/>
  <c r="HB27" i="35"/>
  <c r="HA27" i="35"/>
  <c r="GZ27" i="35"/>
  <c r="GY27" i="35"/>
  <c r="GX27" i="35"/>
  <c r="GW27" i="35"/>
  <c r="GV27" i="35"/>
  <c r="GU27" i="35"/>
  <c r="GT27" i="35"/>
  <c r="GS27" i="35"/>
  <c r="GR27" i="35"/>
  <c r="GQ27" i="35"/>
  <c r="GP27" i="35"/>
  <c r="GO27" i="35"/>
  <c r="GN27" i="35"/>
  <c r="GM27" i="35"/>
  <c r="GL27" i="35"/>
  <c r="GK27" i="35"/>
  <c r="GJ27" i="35"/>
  <c r="GI27" i="35"/>
  <c r="GH27" i="35"/>
  <c r="GG27" i="35"/>
  <c r="GF27" i="35"/>
  <c r="GE27" i="35"/>
  <c r="GD27" i="35"/>
  <c r="GC27" i="35"/>
  <c r="GB27" i="35"/>
  <c r="GA27" i="35"/>
  <c r="FZ27" i="35"/>
  <c r="FY27" i="35"/>
  <c r="FX27" i="35"/>
  <c r="FW27" i="35"/>
  <c r="FV27" i="35"/>
  <c r="FU27" i="35"/>
  <c r="FU26" i="35" s="1"/>
  <c r="FT27" i="35"/>
  <c r="FS27" i="35"/>
  <c r="FS26" i="35" s="1"/>
  <c r="FR27" i="35"/>
  <c r="FQ27" i="35"/>
  <c r="FQ26" i="35" s="1"/>
  <c r="FP27" i="35"/>
  <c r="FO27" i="35"/>
  <c r="FN27" i="35"/>
  <c r="FM27" i="35"/>
  <c r="FM26" i="35" s="1"/>
  <c r="FL27" i="35"/>
  <c r="FK27" i="35"/>
  <c r="FK26" i="35" s="1"/>
  <c r="FK25" i="35" s="1"/>
  <c r="FJ27" i="35"/>
  <c r="FI27" i="35"/>
  <c r="FH27" i="35"/>
  <c r="FG27" i="35"/>
  <c r="FF27" i="35"/>
  <c r="FE27" i="35"/>
  <c r="FD27" i="35"/>
  <c r="FC27" i="35"/>
  <c r="FB27" i="35"/>
  <c r="FA27" i="35"/>
  <c r="FA26" i="35" s="1"/>
  <c r="EZ27" i="35"/>
  <c r="EY27" i="35"/>
  <c r="EX27" i="35"/>
  <c r="EW27" i="35"/>
  <c r="EV27" i="35"/>
  <c r="EU27" i="35"/>
  <c r="ET27" i="35"/>
  <c r="ES27" i="35"/>
  <c r="ER27" i="35"/>
  <c r="EQ27" i="35"/>
  <c r="EP27" i="35"/>
  <c r="EO27" i="35"/>
  <c r="EN27" i="35"/>
  <c r="EM27" i="35"/>
  <c r="EL27" i="35"/>
  <c r="EK27" i="35"/>
  <c r="EK26" i="35" s="1"/>
  <c r="EJ27" i="35"/>
  <c r="EI27" i="35"/>
  <c r="EH27" i="35"/>
  <c r="EG27" i="35"/>
  <c r="EG26" i="35" s="1"/>
  <c r="EF27" i="35"/>
  <c r="EE27" i="35"/>
  <c r="ED27" i="35"/>
  <c r="EC27" i="35"/>
  <c r="EB27" i="35"/>
  <c r="EA27" i="35"/>
  <c r="DZ27" i="35"/>
  <c r="DY27" i="35"/>
  <c r="DX27" i="35"/>
  <c r="DW27" i="35"/>
  <c r="DV27" i="35"/>
  <c r="DU27" i="35"/>
  <c r="DU26" i="35" s="1"/>
  <c r="DT27" i="35"/>
  <c r="DS27" i="35"/>
  <c r="DR27" i="35"/>
  <c r="DQ27" i="35"/>
  <c r="DQ26" i="35" s="1"/>
  <c r="DP27" i="35"/>
  <c r="DO27" i="35"/>
  <c r="DN27" i="35"/>
  <c r="DN26" i="35" s="1"/>
  <c r="DM27" i="35"/>
  <c r="DL27" i="35"/>
  <c r="DK27" i="35"/>
  <c r="DJ27" i="35"/>
  <c r="DI27" i="35"/>
  <c r="DH27" i="35"/>
  <c r="DG27" i="35"/>
  <c r="DE27" i="35"/>
  <c r="DD27" i="35"/>
  <c r="DC27" i="35"/>
  <c r="DB27" i="35"/>
  <c r="DA27" i="35"/>
  <c r="CZ27" i="35"/>
  <c r="CY27" i="35"/>
  <c r="CX27" i="35"/>
  <c r="CW27" i="35"/>
  <c r="CV27" i="35"/>
  <c r="CU27" i="35"/>
  <c r="CT27" i="35"/>
  <c r="CS27" i="35"/>
  <c r="CR27" i="35"/>
  <c r="CQ27" i="35"/>
  <c r="CP27" i="35"/>
  <c r="CO27" i="35"/>
  <c r="CN27" i="35"/>
  <c r="CM27" i="35"/>
  <c r="CL27" i="35"/>
  <c r="CK27" i="35"/>
  <c r="CJ27" i="35"/>
  <c r="CI27" i="35"/>
  <c r="CH27" i="35"/>
  <c r="CG27" i="35"/>
  <c r="CF27" i="35"/>
  <c r="CE27" i="35"/>
  <c r="CD27" i="35"/>
  <c r="CC27" i="35"/>
  <c r="CB27" i="35"/>
  <c r="CA27" i="35"/>
  <c r="BZ27" i="35"/>
  <c r="BY27" i="35"/>
  <c r="BX27" i="35"/>
  <c r="BW27" i="35"/>
  <c r="BV27" i="35"/>
  <c r="BU27" i="35"/>
  <c r="BT27" i="35"/>
  <c r="BS27" i="35"/>
  <c r="BR27" i="35"/>
  <c r="BQ27" i="35"/>
  <c r="BP27" i="35"/>
  <c r="BO27" i="35"/>
  <c r="BN27" i="35"/>
  <c r="BM27" i="35"/>
  <c r="BL27" i="35"/>
  <c r="BK27" i="35"/>
  <c r="BK26" i="35" s="1"/>
  <c r="BJ27" i="35"/>
  <c r="BI27" i="35"/>
  <c r="BH27" i="35"/>
  <c r="BG27" i="35"/>
  <c r="BF27" i="35"/>
  <c r="BE27" i="35"/>
  <c r="BD27" i="35"/>
  <c r="BC27" i="35"/>
  <c r="BB27" i="35"/>
  <c r="BA27" i="35"/>
  <c r="AZ27" i="35"/>
  <c r="AY27" i="35"/>
  <c r="AX27" i="35"/>
  <c r="AW27" i="35"/>
  <c r="AV27" i="35"/>
  <c r="AU27" i="35"/>
  <c r="AT27" i="35"/>
  <c r="AS27" i="35"/>
  <c r="AR27" i="35"/>
  <c r="AQ27" i="35"/>
  <c r="AP27" i="35"/>
  <c r="AO27" i="35"/>
  <c r="AN27" i="35"/>
  <c r="AM27" i="35"/>
  <c r="AL27" i="35"/>
  <c r="AK27" i="35"/>
  <c r="AJ27" i="35"/>
  <c r="AI27" i="35"/>
  <c r="AH27" i="35"/>
  <c r="AG27" i="35"/>
  <c r="AF27" i="35"/>
  <c r="AE27" i="35"/>
  <c r="AE26" i="35" s="1"/>
  <c r="AD27" i="35"/>
  <c r="AC27" i="35"/>
  <c r="AB27" i="35"/>
  <c r="AA27" i="35"/>
  <c r="Z27" i="35"/>
  <c r="Y27" i="35"/>
  <c r="X27" i="35"/>
  <c r="W27" i="35"/>
  <c r="V27" i="35"/>
  <c r="V26" i="35" s="1"/>
  <c r="U27" i="35"/>
  <c r="T27" i="35"/>
  <c r="S27" i="35"/>
  <c r="R27" i="35"/>
  <c r="R26" i="35" s="1"/>
  <c r="Q27" i="35"/>
  <c r="P27" i="35"/>
  <c r="O27" i="35"/>
  <c r="O26" i="35" s="1"/>
  <c r="N27" i="35"/>
  <c r="M27" i="35"/>
  <c r="L27" i="35"/>
  <c r="K27" i="35"/>
  <c r="J27" i="35"/>
  <c r="J24" i="35"/>
  <c r="HB20" i="35"/>
  <c r="HA20" i="35"/>
  <c r="GZ20" i="35"/>
  <c r="GY20" i="35"/>
  <c r="GX20" i="35"/>
  <c r="GW20" i="35"/>
  <c r="GV20" i="35"/>
  <c r="GU20" i="35"/>
  <c r="GT20" i="35"/>
  <c r="GS20" i="35"/>
  <c r="GR20" i="35"/>
  <c r="GQ20" i="35"/>
  <c r="GP20" i="35"/>
  <c r="GO20" i="35"/>
  <c r="GN20" i="35"/>
  <c r="GM20" i="35"/>
  <c r="GL20" i="35"/>
  <c r="GK20" i="35"/>
  <c r="GJ20" i="35"/>
  <c r="GI20" i="35"/>
  <c r="GH20" i="35"/>
  <c r="GG20" i="35"/>
  <c r="GF20" i="35"/>
  <c r="GE20" i="35"/>
  <c r="GD20" i="35"/>
  <c r="GC20" i="35"/>
  <c r="GB20" i="35"/>
  <c r="GA20" i="35"/>
  <c r="FZ20" i="35"/>
  <c r="FY20" i="35"/>
  <c r="FX20" i="35"/>
  <c r="FW20" i="35"/>
  <c r="FV20" i="35"/>
  <c r="FU20" i="35"/>
  <c r="FT20" i="35"/>
  <c r="FS20" i="35"/>
  <c r="FR20" i="35"/>
  <c r="FQ20" i="35"/>
  <c r="FP20" i="35"/>
  <c r="FO20" i="35"/>
  <c r="FN20" i="35"/>
  <c r="FM20" i="35"/>
  <c r="FL20" i="35"/>
  <c r="FK20" i="35"/>
  <c r="FJ20" i="35"/>
  <c r="FI20" i="35"/>
  <c r="FH20" i="35"/>
  <c r="FG20" i="35"/>
  <c r="FF20" i="35"/>
  <c r="FE20" i="35"/>
  <c r="FD20" i="35"/>
  <c r="FC20" i="35"/>
  <c r="FB20" i="35"/>
  <c r="FA20" i="35"/>
  <c r="EZ20" i="35"/>
  <c r="EY20" i="35"/>
  <c r="EX20" i="35"/>
  <c r="EW20" i="35"/>
  <c r="EV20" i="35"/>
  <c r="EU20" i="35"/>
  <c r="ET20" i="35"/>
  <c r="ES20" i="35"/>
  <c r="ER20" i="35"/>
  <c r="EQ20" i="35"/>
  <c r="EP20" i="35"/>
  <c r="EO20" i="35"/>
  <c r="EN20" i="35"/>
  <c r="EM20" i="35"/>
  <c r="EL20" i="35"/>
  <c r="EK20" i="35"/>
  <c r="EJ20" i="35"/>
  <c r="EI20" i="35"/>
  <c r="EH20" i="35"/>
  <c r="EG20" i="35"/>
  <c r="EF20" i="35"/>
  <c r="EE20" i="35"/>
  <c r="ED20" i="35"/>
  <c r="EC20" i="35"/>
  <c r="EB20" i="35"/>
  <c r="EA20" i="35"/>
  <c r="DZ20" i="35"/>
  <c r="DY20" i="35"/>
  <c r="DX20" i="35"/>
  <c r="DW20" i="35"/>
  <c r="DV20" i="35"/>
  <c r="DU20" i="35"/>
  <c r="DT20" i="35"/>
  <c r="DS20" i="35"/>
  <c r="DR20" i="35"/>
  <c r="DQ20" i="35"/>
  <c r="DP20" i="35"/>
  <c r="DO20" i="35"/>
  <c r="DN20" i="35"/>
  <c r="DM20" i="35"/>
  <c r="DL20" i="35"/>
  <c r="DK20" i="35"/>
  <c r="DJ20" i="35"/>
  <c r="DI20" i="35"/>
  <c r="DH20" i="35"/>
  <c r="DG20" i="35"/>
  <c r="DE20" i="35"/>
  <c r="DD20" i="35"/>
  <c r="DC20" i="35"/>
  <c r="DB20" i="35"/>
  <c r="DA20" i="35"/>
  <c r="CZ20" i="35"/>
  <c r="CY20" i="35"/>
  <c r="CX20" i="35"/>
  <c r="CW20" i="35"/>
  <c r="CV20" i="35"/>
  <c r="CU20" i="35"/>
  <c r="CT20" i="35"/>
  <c r="CS20" i="35"/>
  <c r="CR20" i="35"/>
  <c r="CQ20" i="35"/>
  <c r="CP20" i="35"/>
  <c r="CO20" i="35"/>
  <c r="CN20" i="35"/>
  <c r="CM20" i="35"/>
  <c r="CL20" i="35"/>
  <c r="CK20" i="35"/>
  <c r="CJ20" i="35"/>
  <c r="CI20" i="35"/>
  <c r="CH20" i="35"/>
  <c r="CG20" i="35"/>
  <c r="CF20" i="35"/>
  <c r="CE20" i="35"/>
  <c r="CD20" i="35"/>
  <c r="CC20" i="35"/>
  <c r="CB20" i="35"/>
  <c r="CA20" i="35"/>
  <c r="BZ20" i="35"/>
  <c r="BY20" i="35"/>
  <c r="BX20" i="35"/>
  <c r="BW20" i="35"/>
  <c r="BV20" i="35"/>
  <c r="BU20" i="35"/>
  <c r="BT20" i="35"/>
  <c r="BS20" i="35"/>
  <c r="BR20" i="35"/>
  <c r="BQ20" i="35"/>
  <c r="BP20" i="35"/>
  <c r="BO20" i="35"/>
  <c r="BN20" i="35"/>
  <c r="BM20" i="35"/>
  <c r="BL20" i="35"/>
  <c r="BK20" i="35"/>
  <c r="BJ20" i="35"/>
  <c r="BI20" i="35"/>
  <c r="BH20" i="35"/>
  <c r="BG20" i="35"/>
  <c r="BF20" i="35"/>
  <c r="BE20" i="35"/>
  <c r="BD20" i="35"/>
  <c r="BC20" i="35"/>
  <c r="BB20" i="35"/>
  <c r="BA20" i="35"/>
  <c r="AZ20" i="35"/>
  <c r="AY20" i="35"/>
  <c r="AX20" i="35"/>
  <c r="AW20" i="35"/>
  <c r="AV20" i="35"/>
  <c r="AU20" i="35"/>
  <c r="AT20" i="35"/>
  <c r="AS20" i="35"/>
  <c r="AR20" i="35"/>
  <c r="AQ20" i="35"/>
  <c r="AP20" i="35"/>
  <c r="AO20" i="35"/>
  <c r="AN20" i="35"/>
  <c r="AM20" i="35"/>
  <c r="AL20" i="35"/>
  <c r="AK20" i="35"/>
  <c r="AJ20" i="35"/>
  <c r="AI20" i="35"/>
  <c r="AH20" i="35"/>
  <c r="AG20" i="35"/>
  <c r="AF20" i="35"/>
  <c r="AE20" i="35"/>
  <c r="AD20" i="35"/>
  <c r="AC20" i="35"/>
  <c r="AB20" i="35"/>
  <c r="AA20" i="35"/>
  <c r="Z20" i="35"/>
  <c r="Y20" i="35"/>
  <c r="X20" i="35"/>
  <c r="W20" i="35"/>
  <c r="V20" i="35"/>
  <c r="U20" i="35"/>
  <c r="T20" i="35"/>
  <c r="S20" i="35"/>
  <c r="R20" i="35"/>
  <c r="Q20" i="35"/>
  <c r="P20" i="35"/>
  <c r="O20" i="35"/>
  <c r="N20" i="35"/>
  <c r="M20" i="35"/>
  <c r="L20" i="35"/>
  <c r="K20" i="35"/>
  <c r="J20" i="35"/>
  <c r="HB19" i="35"/>
  <c r="HA19" i="35"/>
  <c r="GZ19" i="35"/>
  <c r="GY19" i="35"/>
  <c r="GX19" i="35"/>
  <c r="GW19" i="35"/>
  <c r="GV19" i="35"/>
  <c r="GU19" i="35"/>
  <c r="GT19" i="35"/>
  <c r="GS19" i="35"/>
  <c r="GR19" i="35"/>
  <c r="GQ19" i="35"/>
  <c r="GP19" i="35"/>
  <c r="GO19" i="35"/>
  <c r="GN19" i="35"/>
  <c r="GM19" i="35"/>
  <c r="GL19" i="35"/>
  <c r="GK19" i="35"/>
  <c r="GJ19" i="35"/>
  <c r="GI19" i="35"/>
  <c r="GH19" i="35"/>
  <c r="GG19" i="35"/>
  <c r="GF19" i="35"/>
  <c r="GE19" i="35"/>
  <c r="GD19" i="35"/>
  <c r="GC19" i="35"/>
  <c r="GB19" i="35"/>
  <c r="GA19" i="35"/>
  <c r="FZ19" i="35"/>
  <c r="FY19" i="35"/>
  <c r="FX19" i="35"/>
  <c r="FW19" i="35"/>
  <c r="FV19" i="35"/>
  <c r="FU19" i="35"/>
  <c r="FT19" i="35"/>
  <c r="FS19" i="35"/>
  <c r="FR19" i="35"/>
  <c r="FQ19" i="35"/>
  <c r="FP19" i="35"/>
  <c r="FO19" i="35"/>
  <c r="FN19" i="35"/>
  <c r="FM19" i="35"/>
  <c r="FL19" i="35"/>
  <c r="FK19" i="35"/>
  <c r="FJ19" i="35"/>
  <c r="FI19" i="35"/>
  <c r="FH19" i="35"/>
  <c r="FG19" i="35"/>
  <c r="FF19" i="35"/>
  <c r="FE19" i="35"/>
  <c r="FD19" i="35"/>
  <c r="FC19" i="35"/>
  <c r="FB19" i="35"/>
  <c r="FA19" i="35"/>
  <c r="EZ19" i="35"/>
  <c r="EY19" i="35"/>
  <c r="EX19" i="35"/>
  <c r="EW19" i="35"/>
  <c r="EV19" i="35"/>
  <c r="EU19" i="35"/>
  <c r="ET19" i="35"/>
  <c r="ES19" i="35"/>
  <c r="ER19" i="35"/>
  <c r="EQ19" i="35"/>
  <c r="EP19" i="35"/>
  <c r="EO19" i="35"/>
  <c r="EN19" i="35"/>
  <c r="EM19" i="35"/>
  <c r="EL19" i="35"/>
  <c r="EK19" i="35"/>
  <c r="EJ19" i="35"/>
  <c r="EI19" i="35"/>
  <c r="EH19" i="35"/>
  <c r="EG19" i="35"/>
  <c r="EF19" i="35"/>
  <c r="EE19" i="35"/>
  <c r="ED19" i="35"/>
  <c r="EC19" i="35"/>
  <c r="EB19" i="35"/>
  <c r="EA19" i="35"/>
  <c r="DZ19" i="35"/>
  <c r="DY19" i="35"/>
  <c r="DX19" i="35"/>
  <c r="DW19" i="35"/>
  <c r="DV19" i="35"/>
  <c r="DU19" i="35"/>
  <c r="DT19" i="35"/>
  <c r="DS19" i="35"/>
  <c r="DR19" i="35"/>
  <c r="DQ19" i="35"/>
  <c r="DP19" i="35"/>
  <c r="DO19" i="35"/>
  <c r="DN19" i="35"/>
  <c r="DM19" i="35"/>
  <c r="DL19" i="35"/>
  <c r="DK19" i="35"/>
  <c r="DJ19" i="35"/>
  <c r="DI19" i="35"/>
  <c r="DH19" i="35"/>
  <c r="DG19" i="35"/>
  <c r="DE19" i="35"/>
  <c r="DD19" i="35"/>
  <c r="DC19" i="35"/>
  <c r="DB19" i="35"/>
  <c r="DA19" i="35"/>
  <c r="CZ19" i="35"/>
  <c r="CY19" i="35"/>
  <c r="CX19" i="35"/>
  <c r="CW19" i="35"/>
  <c r="CV19" i="35"/>
  <c r="CU19" i="35"/>
  <c r="CT19" i="35"/>
  <c r="CS19" i="35"/>
  <c r="CR19" i="35"/>
  <c r="CQ19" i="35"/>
  <c r="CP19" i="35"/>
  <c r="CO19" i="35"/>
  <c r="CN19" i="35"/>
  <c r="CM19" i="35"/>
  <c r="CL19" i="35"/>
  <c r="CK19" i="35"/>
  <c r="CJ19" i="35"/>
  <c r="CI19" i="35"/>
  <c r="CH19" i="35"/>
  <c r="CG19" i="35"/>
  <c r="CF19" i="35"/>
  <c r="CE19" i="35"/>
  <c r="CD19" i="35"/>
  <c r="CC19" i="35"/>
  <c r="CB19" i="35"/>
  <c r="CA19" i="35"/>
  <c r="BZ19" i="35"/>
  <c r="BY19" i="35"/>
  <c r="BX19" i="35"/>
  <c r="BW19" i="35"/>
  <c r="BV19" i="35"/>
  <c r="BU19" i="35"/>
  <c r="BT19" i="35"/>
  <c r="BS19" i="35"/>
  <c r="BR19" i="35"/>
  <c r="BQ19" i="35"/>
  <c r="BP19" i="35"/>
  <c r="BO19" i="35"/>
  <c r="BN19" i="35"/>
  <c r="BM19" i="35"/>
  <c r="BL19" i="35"/>
  <c r="BK19" i="35"/>
  <c r="BJ19" i="35"/>
  <c r="BI19" i="35"/>
  <c r="BH19" i="35"/>
  <c r="BG19" i="35"/>
  <c r="BF19" i="35"/>
  <c r="BE19" i="35"/>
  <c r="BD19" i="35"/>
  <c r="BC19" i="35"/>
  <c r="BB19" i="35"/>
  <c r="BA19" i="35"/>
  <c r="AZ19" i="35"/>
  <c r="AY19" i="35"/>
  <c r="AX19" i="35"/>
  <c r="AW19" i="35"/>
  <c r="AV19" i="35"/>
  <c r="AU19" i="35"/>
  <c r="AT19" i="35"/>
  <c r="AS19" i="35"/>
  <c r="AR19" i="35"/>
  <c r="AQ19" i="35"/>
  <c r="AP19" i="35"/>
  <c r="AO19" i="35"/>
  <c r="AN19" i="35"/>
  <c r="AM19" i="35"/>
  <c r="AL19" i="35"/>
  <c r="AK19" i="35"/>
  <c r="AJ19" i="35"/>
  <c r="AI19" i="35"/>
  <c r="AH19" i="35"/>
  <c r="AG19" i="35"/>
  <c r="AF19" i="35"/>
  <c r="AE19" i="35"/>
  <c r="AD19" i="35"/>
  <c r="AC19" i="35"/>
  <c r="AB19" i="35"/>
  <c r="AA19" i="35"/>
  <c r="Z19" i="35"/>
  <c r="Y19" i="35"/>
  <c r="X19" i="35"/>
  <c r="W19" i="35"/>
  <c r="V19" i="35"/>
  <c r="U19" i="35"/>
  <c r="T19" i="35"/>
  <c r="S19" i="35"/>
  <c r="R19" i="35"/>
  <c r="Q19" i="35"/>
  <c r="P19" i="35"/>
  <c r="O19" i="35"/>
  <c r="N19" i="35"/>
  <c r="M19" i="35"/>
  <c r="L19" i="35"/>
  <c r="K19" i="35"/>
  <c r="J19" i="35"/>
  <c r="HB18" i="35"/>
  <c r="HA18" i="35"/>
  <c r="GZ18" i="35"/>
  <c r="GY18" i="35"/>
  <c r="GX18" i="35"/>
  <c r="GW18" i="35"/>
  <c r="GV18" i="35"/>
  <c r="GU18" i="35"/>
  <c r="GT18" i="35"/>
  <c r="GS18" i="35"/>
  <c r="GR18" i="35"/>
  <c r="GQ18" i="35"/>
  <c r="GP18" i="35"/>
  <c r="GO18" i="35"/>
  <c r="GN18" i="35"/>
  <c r="GM18" i="35"/>
  <c r="GL18" i="35"/>
  <c r="GK18" i="35"/>
  <c r="GJ18" i="35"/>
  <c r="GI18" i="35"/>
  <c r="GH18" i="35"/>
  <c r="GG18" i="35"/>
  <c r="GF18" i="35"/>
  <c r="GE18" i="35"/>
  <c r="GD18" i="35"/>
  <c r="GC18" i="35"/>
  <c r="GB18" i="35"/>
  <c r="GA18" i="35"/>
  <c r="FZ18" i="35"/>
  <c r="FY18" i="35"/>
  <c r="FX18" i="35"/>
  <c r="FW18" i="35"/>
  <c r="FV18" i="35"/>
  <c r="FU18" i="35"/>
  <c r="FT18" i="35"/>
  <c r="FS18" i="35"/>
  <c r="FR18" i="35"/>
  <c r="FQ18" i="35"/>
  <c r="FP18" i="35"/>
  <c r="FO18" i="35"/>
  <c r="FN18" i="35"/>
  <c r="FM18" i="35"/>
  <c r="FL18" i="35"/>
  <c r="FK18" i="35"/>
  <c r="FJ18" i="35"/>
  <c r="FI18" i="35"/>
  <c r="FH18" i="35"/>
  <c r="FG18" i="35"/>
  <c r="FF18" i="35"/>
  <c r="FE18" i="35"/>
  <c r="FD18" i="35"/>
  <c r="FC18" i="35"/>
  <c r="FB18" i="35"/>
  <c r="FA18" i="35"/>
  <c r="EZ18" i="35"/>
  <c r="EY18" i="35"/>
  <c r="EX18" i="35"/>
  <c r="EW18" i="35"/>
  <c r="EV18" i="35"/>
  <c r="EU18" i="35"/>
  <c r="ET18" i="35"/>
  <c r="ES18" i="35"/>
  <c r="ER18" i="35"/>
  <c r="EQ18" i="35"/>
  <c r="EP18" i="35"/>
  <c r="EO18" i="35"/>
  <c r="EN18" i="35"/>
  <c r="EM18" i="35"/>
  <c r="EL18" i="35"/>
  <c r="EK18" i="35"/>
  <c r="EJ18" i="35"/>
  <c r="EI18" i="35"/>
  <c r="EH18" i="35"/>
  <c r="EG18" i="35"/>
  <c r="EF18" i="35"/>
  <c r="EE18" i="35"/>
  <c r="ED18" i="35"/>
  <c r="EC18" i="35"/>
  <c r="EB18" i="35"/>
  <c r="EA18" i="35"/>
  <c r="DZ18" i="35"/>
  <c r="DY18" i="35"/>
  <c r="DX18" i="35"/>
  <c r="DW18" i="35"/>
  <c r="DV18" i="35"/>
  <c r="DU18" i="35"/>
  <c r="DT18" i="35"/>
  <c r="DS18" i="35"/>
  <c r="DR18" i="35"/>
  <c r="DQ18" i="35"/>
  <c r="DP18" i="35"/>
  <c r="DO18" i="35"/>
  <c r="DN18" i="35"/>
  <c r="DM18" i="35"/>
  <c r="DL18" i="35"/>
  <c r="DK18" i="35"/>
  <c r="DJ18" i="35"/>
  <c r="DI18" i="35"/>
  <c r="DH18" i="35"/>
  <c r="DG18" i="35"/>
  <c r="DE18" i="35"/>
  <c r="DD18" i="35"/>
  <c r="DC18" i="35"/>
  <c r="DB18" i="35"/>
  <c r="DA18" i="35"/>
  <c r="CZ18" i="35"/>
  <c r="CY18" i="35"/>
  <c r="CX18" i="35"/>
  <c r="CW18" i="35"/>
  <c r="CV18" i="35"/>
  <c r="CU18" i="35"/>
  <c r="CT18" i="35"/>
  <c r="CS18" i="35"/>
  <c r="CR18" i="35"/>
  <c r="CQ18" i="35"/>
  <c r="CP18" i="35"/>
  <c r="CO18" i="35"/>
  <c r="CN18" i="35"/>
  <c r="CM18" i="35"/>
  <c r="CL18" i="35"/>
  <c r="CK18" i="35"/>
  <c r="CJ18" i="35"/>
  <c r="CI18" i="35"/>
  <c r="CH18" i="35"/>
  <c r="CG18" i="35"/>
  <c r="CF18" i="35"/>
  <c r="CE18" i="35"/>
  <c r="CD18" i="35"/>
  <c r="CC18" i="35"/>
  <c r="CB18" i="35"/>
  <c r="CA18" i="35"/>
  <c r="BZ18" i="35"/>
  <c r="BY18" i="35"/>
  <c r="BX18" i="35"/>
  <c r="BW18" i="35"/>
  <c r="BV18" i="35"/>
  <c r="BU18" i="35"/>
  <c r="BT18" i="35"/>
  <c r="BS18" i="35"/>
  <c r="BR18" i="35"/>
  <c r="BQ18" i="35"/>
  <c r="BP18" i="35"/>
  <c r="BO18" i="35"/>
  <c r="BN18" i="35"/>
  <c r="BM18" i="35"/>
  <c r="BL18" i="35"/>
  <c r="BK18" i="35"/>
  <c r="BJ18" i="35"/>
  <c r="BI18" i="35"/>
  <c r="BH18" i="35"/>
  <c r="BG18" i="35"/>
  <c r="BF18" i="35"/>
  <c r="BE18" i="35"/>
  <c r="BD18" i="35"/>
  <c r="BC18" i="35"/>
  <c r="BB18" i="35"/>
  <c r="BA18" i="35"/>
  <c r="AZ18" i="35"/>
  <c r="AY18" i="35"/>
  <c r="AX18" i="35"/>
  <c r="AW18" i="35"/>
  <c r="AV18" i="35"/>
  <c r="AU18" i="35"/>
  <c r="AT18" i="35"/>
  <c r="AS18" i="35"/>
  <c r="AR18" i="35"/>
  <c r="AQ18" i="35"/>
  <c r="AP18" i="35"/>
  <c r="AO18" i="35"/>
  <c r="AN18" i="35"/>
  <c r="AM18" i="35"/>
  <c r="AL18" i="35"/>
  <c r="AK18" i="35"/>
  <c r="AJ18" i="35"/>
  <c r="AI18" i="35"/>
  <c r="AH18" i="35"/>
  <c r="AG18" i="35"/>
  <c r="AF18" i="35"/>
  <c r="AE18" i="35"/>
  <c r="AD18" i="35"/>
  <c r="AC18" i="35"/>
  <c r="AB18" i="35"/>
  <c r="AA18" i="35"/>
  <c r="Z18" i="35"/>
  <c r="Y18" i="35"/>
  <c r="X18" i="35"/>
  <c r="W18" i="35"/>
  <c r="V18" i="35"/>
  <c r="U18" i="35"/>
  <c r="T18" i="35"/>
  <c r="S18" i="35"/>
  <c r="R18" i="35"/>
  <c r="Q18" i="35"/>
  <c r="P18" i="35"/>
  <c r="O18" i="35"/>
  <c r="N18" i="35"/>
  <c r="M18" i="35"/>
  <c r="L18" i="35"/>
  <c r="K18" i="35"/>
  <c r="J18" i="35"/>
  <c r="HB17" i="35"/>
  <c r="HA17" i="35"/>
  <c r="GZ17" i="35"/>
  <c r="GY17" i="35"/>
  <c r="GX17" i="35"/>
  <c r="GW17" i="35"/>
  <c r="GV17" i="35"/>
  <c r="GU17" i="35"/>
  <c r="GT17" i="35"/>
  <c r="GS17" i="35"/>
  <c r="GR17" i="35"/>
  <c r="GQ17" i="35"/>
  <c r="GP17" i="35"/>
  <c r="GO17" i="35"/>
  <c r="GN17" i="35"/>
  <c r="GM17" i="35"/>
  <c r="GL17" i="35"/>
  <c r="GK17" i="35"/>
  <c r="GJ17" i="35"/>
  <c r="GI17" i="35"/>
  <c r="GH17" i="35"/>
  <c r="GG17" i="35"/>
  <c r="GF17" i="35"/>
  <c r="GE17" i="35"/>
  <c r="GD17" i="35"/>
  <c r="GC17" i="35"/>
  <c r="GB17" i="35"/>
  <c r="GA17" i="35"/>
  <c r="FZ17" i="35"/>
  <c r="FY17" i="35"/>
  <c r="FX17" i="35"/>
  <c r="FW17" i="35"/>
  <c r="FV17" i="35"/>
  <c r="FU17" i="35"/>
  <c r="FT17" i="35"/>
  <c r="FS17" i="35"/>
  <c r="FR17" i="35"/>
  <c r="FQ17" i="35"/>
  <c r="FP17" i="35"/>
  <c r="FO17" i="35"/>
  <c r="FN17" i="35"/>
  <c r="FM17" i="35"/>
  <c r="FL17" i="35"/>
  <c r="FK17" i="35"/>
  <c r="FJ17" i="35"/>
  <c r="FI17" i="35"/>
  <c r="FH17" i="35"/>
  <c r="FG17" i="35"/>
  <c r="FF17" i="35"/>
  <c r="FE17" i="35"/>
  <c r="FD17" i="35"/>
  <c r="FC17" i="35"/>
  <c r="FB17" i="35"/>
  <c r="FA17" i="35"/>
  <c r="EZ17" i="35"/>
  <c r="EY17" i="35"/>
  <c r="EX17" i="35"/>
  <c r="EW17" i="35"/>
  <c r="EV17" i="35"/>
  <c r="EU17" i="35"/>
  <c r="ET17" i="35"/>
  <c r="ES17" i="35"/>
  <c r="ER17" i="35"/>
  <c r="EQ17" i="35"/>
  <c r="EP17" i="35"/>
  <c r="EO17" i="35"/>
  <c r="EN17" i="35"/>
  <c r="EM17" i="35"/>
  <c r="EL17" i="35"/>
  <c r="EK17" i="35"/>
  <c r="EJ17" i="35"/>
  <c r="EI17" i="35"/>
  <c r="EH17" i="35"/>
  <c r="EG17" i="35"/>
  <c r="EF17" i="35"/>
  <c r="EE17" i="35"/>
  <c r="ED17" i="35"/>
  <c r="EC17" i="35"/>
  <c r="EB17" i="35"/>
  <c r="EA17" i="35"/>
  <c r="DZ17" i="35"/>
  <c r="DY17" i="35"/>
  <c r="DX17" i="35"/>
  <c r="DW17" i="35"/>
  <c r="DV17" i="35"/>
  <c r="DU17" i="35"/>
  <c r="DT17" i="35"/>
  <c r="DS17" i="35"/>
  <c r="DR17" i="35"/>
  <c r="DQ17" i="35"/>
  <c r="DP17" i="35"/>
  <c r="DO17" i="35"/>
  <c r="DN17" i="35"/>
  <c r="DM17" i="35"/>
  <c r="DL17" i="35"/>
  <c r="DK17" i="35"/>
  <c r="DJ17" i="35"/>
  <c r="DI17" i="35"/>
  <c r="DH17" i="35"/>
  <c r="DG17" i="35"/>
  <c r="DE17" i="35"/>
  <c r="DD17" i="35"/>
  <c r="DC17" i="35"/>
  <c r="DB17" i="35"/>
  <c r="DA17" i="35"/>
  <c r="CZ17" i="35"/>
  <c r="CY17" i="35"/>
  <c r="CX17" i="35"/>
  <c r="CW17" i="35"/>
  <c r="CV17" i="35"/>
  <c r="CU17" i="35"/>
  <c r="CT17" i="35"/>
  <c r="CS17" i="35"/>
  <c r="CR17" i="35"/>
  <c r="CQ17" i="35"/>
  <c r="CP17" i="35"/>
  <c r="CO17" i="35"/>
  <c r="CN17" i="35"/>
  <c r="CM17" i="35"/>
  <c r="CL17" i="35"/>
  <c r="CK17" i="35"/>
  <c r="CJ17" i="35"/>
  <c r="CI17" i="35"/>
  <c r="CH17" i="35"/>
  <c r="CG17" i="35"/>
  <c r="CF17" i="35"/>
  <c r="CE17" i="35"/>
  <c r="CD17" i="35"/>
  <c r="CC17" i="35"/>
  <c r="CB17" i="35"/>
  <c r="CA17" i="35"/>
  <c r="BZ17" i="35"/>
  <c r="BY17" i="35"/>
  <c r="BX17" i="35"/>
  <c r="BW17" i="35"/>
  <c r="BV17" i="35"/>
  <c r="BU17" i="35"/>
  <c r="BT17" i="35"/>
  <c r="BS17" i="35"/>
  <c r="BR17" i="35"/>
  <c r="BQ17" i="35"/>
  <c r="BP17" i="35"/>
  <c r="BO17" i="35"/>
  <c r="BN17" i="35"/>
  <c r="BM17" i="35"/>
  <c r="BL17" i="35"/>
  <c r="BK17" i="35"/>
  <c r="BJ17" i="35"/>
  <c r="BI17" i="35"/>
  <c r="BH17" i="35"/>
  <c r="BG17" i="35"/>
  <c r="BF17" i="35"/>
  <c r="BE17" i="35"/>
  <c r="BD17" i="35"/>
  <c r="BC17" i="35"/>
  <c r="BB17" i="35"/>
  <c r="BA17" i="35"/>
  <c r="AZ17" i="35"/>
  <c r="AY17" i="35"/>
  <c r="AX17" i="35"/>
  <c r="AW17" i="35"/>
  <c r="AV17" i="35"/>
  <c r="AU17" i="35"/>
  <c r="AT17" i="35"/>
  <c r="AS17" i="35"/>
  <c r="AR17" i="35"/>
  <c r="AQ17" i="35"/>
  <c r="AP17" i="35"/>
  <c r="AO17" i="35"/>
  <c r="AN17" i="35"/>
  <c r="AM17" i="35"/>
  <c r="AL17" i="35"/>
  <c r="AK17" i="35"/>
  <c r="AJ17" i="35"/>
  <c r="AI17" i="35"/>
  <c r="AH17" i="35"/>
  <c r="AG17" i="35"/>
  <c r="AF17" i="35"/>
  <c r="AE17" i="35"/>
  <c r="AD17" i="35"/>
  <c r="AC17" i="35"/>
  <c r="AB17" i="35"/>
  <c r="AA17" i="35"/>
  <c r="Z17" i="35"/>
  <c r="Y17" i="35"/>
  <c r="X17" i="35"/>
  <c r="W17" i="35"/>
  <c r="V17" i="35"/>
  <c r="U17" i="35"/>
  <c r="T17" i="35"/>
  <c r="S17" i="35"/>
  <c r="R17" i="35"/>
  <c r="Q17" i="35"/>
  <c r="P17" i="35"/>
  <c r="O17" i="35"/>
  <c r="N17" i="35"/>
  <c r="M17" i="35"/>
  <c r="L17" i="35"/>
  <c r="K17" i="35"/>
  <c r="J17" i="35"/>
  <c r="HB16" i="35"/>
  <c r="HA16" i="35"/>
  <c r="GZ16" i="35"/>
  <c r="GY16" i="35"/>
  <c r="GX16" i="35"/>
  <c r="GW16" i="35"/>
  <c r="GV16" i="35"/>
  <c r="GU16" i="35"/>
  <c r="GT16" i="35"/>
  <c r="GS16" i="35"/>
  <c r="GR16" i="35"/>
  <c r="GQ16" i="35"/>
  <c r="GP16" i="35"/>
  <c r="GO16" i="35"/>
  <c r="GN16" i="35"/>
  <c r="GM16" i="35"/>
  <c r="GL16" i="35"/>
  <c r="GK16" i="35"/>
  <c r="GJ16" i="35"/>
  <c r="GI16" i="35"/>
  <c r="GH16" i="35"/>
  <c r="GG16" i="35"/>
  <c r="GF16" i="35"/>
  <c r="GE16" i="35"/>
  <c r="GD16" i="35"/>
  <c r="GC16" i="35"/>
  <c r="GB16" i="35"/>
  <c r="GA16" i="35"/>
  <c r="FZ16" i="35"/>
  <c r="FY16" i="35"/>
  <c r="FX16" i="35"/>
  <c r="FW16" i="35"/>
  <c r="FV16" i="35"/>
  <c r="FU16" i="35"/>
  <c r="FU15" i="35" s="1"/>
  <c r="FT16" i="35"/>
  <c r="FS16" i="35"/>
  <c r="FR16" i="35"/>
  <c r="FR15" i="35" s="1"/>
  <c r="FQ16" i="35"/>
  <c r="FP16" i="35"/>
  <c r="FP15" i="35" s="1"/>
  <c r="FO16" i="35"/>
  <c r="FN16" i="35"/>
  <c r="FN15" i="35" s="1"/>
  <c r="FM16" i="35"/>
  <c r="FL16" i="35"/>
  <c r="FL15" i="35" s="1"/>
  <c r="FK16" i="35"/>
  <c r="FK15" i="35" s="1"/>
  <c r="FJ16" i="35"/>
  <c r="FI16" i="35"/>
  <c r="FH16" i="35"/>
  <c r="FH15" i="35" s="1"/>
  <c r="FG16" i="35"/>
  <c r="FF16" i="35"/>
  <c r="FF15" i="35" s="1"/>
  <c r="FE16" i="35"/>
  <c r="FD16" i="35"/>
  <c r="FD15" i="35" s="1"/>
  <c r="FC16" i="35"/>
  <c r="FC15" i="35" s="1"/>
  <c r="FB16" i="35"/>
  <c r="FA16" i="35"/>
  <c r="EZ16" i="35"/>
  <c r="EZ15" i="35" s="1"/>
  <c r="EY16" i="35"/>
  <c r="EX16" i="35"/>
  <c r="EW16" i="35"/>
  <c r="EV16" i="35"/>
  <c r="EV15" i="35" s="1"/>
  <c r="EU16" i="35"/>
  <c r="ET16" i="35"/>
  <c r="ES16" i="35"/>
  <c r="ER16" i="35"/>
  <c r="ER15" i="35" s="1"/>
  <c r="EQ16" i="35"/>
  <c r="EP16" i="35"/>
  <c r="EO16" i="35"/>
  <c r="EN16" i="35"/>
  <c r="EN15" i="35" s="1"/>
  <c r="EM16" i="35"/>
  <c r="EL16" i="35"/>
  <c r="EK16" i="35"/>
  <c r="EJ16" i="35"/>
  <c r="EJ15" i="35" s="1"/>
  <c r="EI16" i="35"/>
  <c r="EH16" i="35"/>
  <c r="EG16" i="35"/>
  <c r="EF16" i="35"/>
  <c r="EF15" i="35" s="1"/>
  <c r="EE16" i="35"/>
  <c r="ED16" i="35"/>
  <c r="EC16" i="35"/>
  <c r="EB16" i="35"/>
  <c r="EA16" i="35"/>
  <c r="DZ16" i="35"/>
  <c r="DY16" i="35"/>
  <c r="DX16" i="35"/>
  <c r="DW16" i="35"/>
  <c r="DV16" i="35"/>
  <c r="DU16" i="35"/>
  <c r="DT16" i="35"/>
  <c r="DS16" i="35"/>
  <c r="DR16" i="35"/>
  <c r="DR15" i="35" s="1"/>
  <c r="DQ16" i="35"/>
  <c r="DP16" i="35"/>
  <c r="DO16" i="35"/>
  <c r="DN16" i="35"/>
  <c r="DN15" i="35" s="1"/>
  <c r="DM16" i="35"/>
  <c r="DL16" i="35"/>
  <c r="DK16" i="35"/>
  <c r="DJ16" i="35"/>
  <c r="DI16" i="35"/>
  <c r="DH16" i="35"/>
  <c r="DG16" i="35"/>
  <c r="DE16" i="35"/>
  <c r="DD16" i="35"/>
  <c r="DC16" i="35"/>
  <c r="DB16" i="35"/>
  <c r="DA16" i="35"/>
  <c r="DA15" i="35" s="1"/>
  <c r="CZ16" i="35"/>
  <c r="CY16" i="35"/>
  <c r="CX16" i="35"/>
  <c r="CW16" i="35"/>
  <c r="CV16" i="35"/>
  <c r="CU16" i="35"/>
  <c r="CT16" i="35"/>
  <c r="CS16" i="35"/>
  <c r="CR16" i="35"/>
  <c r="CQ16" i="35"/>
  <c r="CP16" i="35"/>
  <c r="CO16" i="35"/>
  <c r="CN16" i="35"/>
  <c r="CM16" i="35"/>
  <c r="CL16" i="35"/>
  <c r="CK16" i="35"/>
  <c r="CJ16" i="35"/>
  <c r="CI16" i="35"/>
  <c r="CH16" i="35"/>
  <c r="CG16" i="35"/>
  <c r="CF16" i="35"/>
  <c r="CE16" i="35"/>
  <c r="CD16" i="35"/>
  <c r="CC16" i="35"/>
  <c r="CC15" i="35" s="1"/>
  <c r="CB16" i="35"/>
  <c r="CA16" i="35"/>
  <c r="BZ16" i="35"/>
  <c r="BY16" i="35"/>
  <c r="BX16" i="35"/>
  <c r="BW16" i="35"/>
  <c r="BV16" i="35"/>
  <c r="BU16" i="35"/>
  <c r="BU15" i="35" s="1"/>
  <c r="BT16" i="35"/>
  <c r="BS16" i="35"/>
  <c r="BR16" i="35"/>
  <c r="BQ16" i="35"/>
  <c r="BP16" i="35"/>
  <c r="BO16" i="35"/>
  <c r="BN16" i="35"/>
  <c r="BM16" i="35"/>
  <c r="BL16" i="35"/>
  <c r="BL15" i="35" s="1"/>
  <c r="BK16" i="35"/>
  <c r="BJ16" i="35"/>
  <c r="BI16" i="35"/>
  <c r="BH16" i="35"/>
  <c r="BG16" i="35"/>
  <c r="BF16" i="35"/>
  <c r="BE16" i="35"/>
  <c r="BD16" i="35"/>
  <c r="BC16" i="35"/>
  <c r="BB16" i="35"/>
  <c r="BA16" i="35"/>
  <c r="AZ16" i="35"/>
  <c r="AY16" i="35"/>
  <c r="AX16" i="35"/>
  <c r="AW16" i="35"/>
  <c r="AV16" i="35"/>
  <c r="AU16" i="35"/>
  <c r="AT16" i="35"/>
  <c r="AS16" i="35"/>
  <c r="AR16" i="35"/>
  <c r="AQ16" i="35"/>
  <c r="AP16" i="35"/>
  <c r="AO16" i="35"/>
  <c r="AN16" i="35"/>
  <c r="AM16" i="35"/>
  <c r="AL16" i="35"/>
  <c r="AK16" i="35"/>
  <c r="AJ16" i="35"/>
  <c r="AI16" i="35"/>
  <c r="AH16" i="35"/>
  <c r="AG16" i="35"/>
  <c r="AF16" i="35"/>
  <c r="AE16" i="35"/>
  <c r="AD16" i="35"/>
  <c r="AC16" i="35"/>
  <c r="AB16" i="35"/>
  <c r="AA16" i="35"/>
  <c r="Z16" i="35"/>
  <c r="Y16" i="35"/>
  <c r="X16" i="35"/>
  <c r="W16" i="35"/>
  <c r="V16" i="35"/>
  <c r="U16" i="35"/>
  <c r="T16" i="35"/>
  <c r="S16" i="35"/>
  <c r="R16" i="35"/>
  <c r="Q16" i="35"/>
  <c r="P16" i="35"/>
  <c r="O16" i="35"/>
  <c r="N16" i="35"/>
  <c r="M16" i="35"/>
  <c r="M15" i="35" s="1"/>
  <c r="L16" i="35"/>
  <c r="K16" i="35"/>
  <c r="J16" i="35"/>
  <c r="HB14" i="35"/>
  <c r="HA14" i="35"/>
  <c r="GZ14" i="35"/>
  <c r="GY14" i="35"/>
  <c r="GX14" i="35"/>
  <c r="GW14" i="35"/>
  <c r="GV14" i="35"/>
  <c r="GU14" i="35"/>
  <c r="GT14" i="35"/>
  <c r="GS14" i="35"/>
  <c r="GR14" i="35"/>
  <c r="GQ14" i="35"/>
  <c r="GP14" i="35"/>
  <c r="GO14" i="35"/>
  <c r="GN14" i="35"/>
  <c r="GM14" i="35"/>
  <c r="GL14" i="35"/>
  <c r="GK14" i="35"/>
  <c r="GJ14" i="35"/>
  <c r="GI14" i="35"/>
  <c r="GH14" i="35"/>
  <c r="GG14" i="35"/>
  <c r="GF14" i="35"/>
  <c r="GE14" i="35"/>
  <c r="GD14" i="35"/>
  <c r="GC14" i="35"/>
  <c r="GB14" i="35"/>
  <c r="GA14" i="35"/>
  <c r="FZ14" i="35"/>
  <c r="FY14" i="35"/>
  <c r="FX14" i="35"/>
  <c r="FW14" i="35"/>
  <c r="FV14" i="35"/>
  <c r="FU14" i="35"/>
  <c r="FT14" i="35"/>
  <c r="FS14" i="35"/>
  <c r="FR14" i="35"/>
  <c r="FQ14" i="35"/>
  <c r="FP14" i="35"/>
  <c r="FO14" i="35"/>
  <c r="FN14" i="35"/>
  <c r="FM14" i="35"/>
  <c r="FL14" i="35"/>
  <c r="FK14" i="35"/>
  <c r="FJ14" i="35"/>
  <c r="FI14" i="35"/>
  <c r="FH14" i="35"/>
  <c r="FG14" i="35"/>
  <c r="FF14" i="35"/>
  <c r="FE14" i="35"/>
  <c r="FD14" i="35"/>
  <c r="FC14" i="35"/>
  <c r="FB14" i="35"/>
  <c r="FA14" i="35"/>
  <c r="EZ14" i="35"/>
  <c r="EY14" i="35"/>
  <c r="EX14" i="35"/>
  <c r="EW14" i="35"/>
  <c r="EV14" i="35"/>
  <c r="EU14" i="35"/>
  <c r="ET14" i="35"/>
  <c r="ES14" i="35"/>
  <c r="ER14" i="35"/>
  <c r="EQ14" i="35"/>
  <c r="EP14" i="35"/>
  <c r="EO14" i="35"/>
  <c r="EN14" i="35"/>
  <c r="EM14" i="35"/>
  <c r="EL14" i="35"/>
  <c r="EK14" i="35"/>
  <c r="EJ14" i="35"/>
  <c r="EI14" i="35"/>
  <c r="EH14" i="35"/>
  <c r="EG14" i="35"/>
  <c r="EF14" i="35"/>
  <c r="EE14" i="35"/>
  <c r="ED14" i="35"/>
  <c r="EC14" i="35"/>
  <c r="EB14" i="35"/>
  <c r="EA14" i="35"/>
  <c r="DZ14" i="35"/>
  <c r="DY14" i="35"/>
  <c r="DX14" i="35"/>
  <c r="DW14" i="35"/>
  <c r="DV14" i="35"/>
  <c r="DU14" i="35"/>
  <c r="DT14" i="35"/>
  <c r="DS14" i="35"/>
  <c r="DR14" i="35"/>
  <c r="DQ14" i="35"/>
  <c r="DP14" i="35"/>
  <c r="DO14" i="35"/>
  <c r="DN14" i="35"/>
  <c r="DM14" i="35"/>
  <c r="DL14" i="35"/>
  <c r="DK14" i="35"/>
  <c r="DJ14" i="35"/>
  <c r="DI14" i="35"/>
  <c r="DH14" i="35"/>
  <c r="DG14" i="35"/>
  <c r="DE14" i="35"/>
  <c r="DD14" i="35"/>
  <c r="DC14" i="35"/>
  <c r="DB14" i="35"/>
  <c r="DA14" i="35"/>
  <c r="CZ14" i="35"/>
  <c r="CY14" i="35"/>
  <c r="CX14" i="35"/>
  <c r="CW14" i="35"/>
  <c r="CV14" i="35"/>
  <c r="CU14" i="35"/>
  <c r="CT14" i="35"/>
  <c r="CS14" i="35"/>
  <c r="CR14" i="35"/>
  <c r="CQ14" i="35"/>
  <c r="CP14" i="35"/>
  <c r="CO14" i="35"/>
  <c r="CN14" i="35"/>
  <c r="CM14" i="35"/>
  <c r="CL14" i="35"/>
  <c r="CK14" i="35"/>
  <c r="CJ14" i="35"/>
  <c r="CI14" i="35"/>
  <c r="CH14" i="35"/>
  <c r="CG14" i="35"/>
  <c r="CF14" i="35"/>
  <c r="CE14" i="35"/>
  <c r="CD14" i="35"/>
  <c r="CC14" i="35"/>
  <c r="CB14" i="35"/>
  <c r="CA14" i="35"/>
  <c r="BZ14" i="35"/>
  <c r="BY14" i="35"/>
  <c r="BX14" i="35"/>
  <c r="BW14" i="35"/>
  <c r="BV14" i="35"/>
  <c r="BU14" i="35"/>
  <c r="BT14" i="35"/>
  <c r="BS14" i="35"/>
  <c r="BR14" i="35"/>
  <c r="BQ14" i="35"/>
  <c r="BP14" i="35"/>
  <c r="BO14" i="35"/>
  <c r="BN14" i="35"/>
  <c r="BM14" i="35"/>
  <c r="BL14" i="35"/>
  <c r="BK14" i="35"/>
  <c r="BJ14" i="35"/>
  <c r="BI14" i="35"/>
  <c r="BH14" i="35"/>
  <c r="BG14" i="35"/>
  <c r="BF14" i="35"/>
  <c r="BE14" i="35"/>
  <c r="BD14" i="35"/>
  <c r="BC14" i="35"/>
  <c r="BB14" i="35"/>
  <c r="BA14" i="35"/>
  <c r="AZ14" i="35"/>
  <c r="AY14" i="35"/>
  <c r="AX14" i="35"/>
  <c r="AW14" i="35"/>
  <c r="AV14" i="35"/>
  <c r="AU14" i="35"/>
  <c r="AT14" i="35"/>
  <c r="AS14" i="35"/>
  <c r="AR14" i="35"/>
  <c r="AQ14" i="35"/>
  <c r="AP14" i="35"/>
  <c r="AO14" i="35"/>
  <c r="AN14" i="35"/>
  <c r="AM14" i="35"/>
  <c r="AL14" i="35"/>
  <c r="AK14" i="35"/>
  <c r="AJ14" i="35"/>
  <c r="AI14" i="35"/>
  <c r="AH14" i="35"/>
  <c r="AG14" i="35"/>
  <c r="AF14" i="35"/>
  <c r="AE14" i="35"/>
  <c r="AD14" i="35"/>
  <c r="AC14" i="35"/>
  <c r="AB14" i="35"/>
  <c r="AA14" i="35"/>
  <c r="Z14" i="35"/>
  <c r="Y14" i="35"/>
  <c r="X14" i="35"/>
  <c r="W14" i="35"/>
  <c r="V14" i="35"/>
  <c r="U14" i="35"/>
  <c r="T14" i="35"/>
  <c r="S14" i="35"/>
  <c r="R14" i="35"/>
  <c r="Q14" i="35"/>
  <c r="P14" i="35"/>
  <c r="O14" i="35"/>
  <c r="N14" i="35"/>
  <c r="M14" i="35"/>
  <c r="L14" i="35"/>
  <c r="K14" i="35"/>
  <c r="J14" i="35"/>
  <c r="HB13" i="35"/>
  <c r="HA13" i="35"/>
  <c r="GZ13" i="35"/>
  <c r="GY13" i="35"/>
  <c r="GX13" i="35"/>
  <c r="GW13" i="35"/>
  <c r="GV13" i="35"/>
  <c r="GU13" i="35"/>
  <c r="GT13" i="35"/>
  <c r="GS13" i="35"/>
  <c r="GR13" i="35"/>
  <c r="GQ13" i="35"/>
  <c r="GP13" i="35"/>
  <c r="GO13" i="35"/>
  <c r="GN13" i="35"/>
  <c r="GM13" i="35"/>
  <c r="GL13" i="35"/>
  <c r="GK13" i="35"/>
  <c r="GJ13" i="35"/>
  <c r="GI13" i="35"/>
  <c r="GH13" i="35"/>
  <c r="GG13" i="35"/>
  <c r="GF13" i="35"/>
  <c r="GE13" i="35"/>
  <c r="GD13" i="35"/>
  <c r="GC13" i="35"/>
  <c r="GB13" i="35"/>
  <c r="GA13" i="35"/>
  <c r="FZ13" i="35"/>
  <c r="FY13" i="35"/>
  <c r="FX13" i="35"/>
  <c r="FW13" i="35"/>
  <c r="FV13" i="35"/>
  <c r="FU13" i="35"/>
  <c r="FT13" i="35"/>
  <c r="FS13" i="35"/>
  <c r="FR13" i="35"/>
  <c r="FQ13" i="35"/>
  <c r="FP13" i="35"/>
  <c r="FO13" i="35"/>
  <c r="FN13" i="35"/>
  <c r="FM13" i="35"/>
  <c r="FL13" i="35"/>
  <c r="FK13" i="35"/>
  <c r="FJ13" i="35"/>
  <c r="FI13" i="35"/>
  <c r="FH13" i="35"/>
  <c r="FG13" i="35"/>
  <c r="FF13" i="35"/>
  <c r="FE13" i="35"/>
  <c r="FD13" i="35"/>
  <c r="FC13" i="35"/>
  <c r="FB13" i="35"/>
  <c r="FA13" i="35"/>
  <c r="EZ13" i="35"/>
  <c r="EY13" i="35"/>
  <c r="EX13" i="35"/>
  <c r="EW13" i="35"/>
  <c r="EV13" i="35"/>
  <c r="EU13" i="35"/>
  <c r="ET13" i="35"/>
  <c r="ES13" i="35"/>
  <c r="ER13" i="35"/>
  <c r="EQ13" i="35"/>
  <c r="EP13" i="35"/>
  <c r="EO13" i="35"/>
  <c r="EN13" i="35"/>
  <c r="EM13" i="35"/>
  <c r="EL13" i="35"/>
  <c r="EK13" i="35"/>
  <c r="EJ13" i="35"/>
  <c r="EI13" i="35"/>
  <c r="EH13" i="35"/>
  <c r="EG13" i="35"/>
  <c r="EF13" i="35"/>
  <c r="EE13" i="35"/>
  <c r="ED13" i="35"/>
  <c r="EC13" i="35"/>
  <c r="EB13" i="35"/>
  <c r="EA13" i="35"/>
  <c r="DZ13" i="35"/>
  <c r="DY13" i="35"/>
  <c r="DX13" i="35"/>
  <c r="DW13" i="35"/>
  <c r="DV13" i="35"/>
  <c r="DU13" i="35"/>
  <c r="DT13" i="35"/>
  <c r="DS13" i="35"/>
  <c r="DR13" i="35"/>
  <c r="DQ13" i="35"/>
  <c r="DP13" i="35"/>
  <c r="DO13" i="35"/>
  <c r="DN13" i="35"/>
  <c r="DM13" i="35"/>
  <c r="DL13" i="35"/>
  <c r="DK13" i="35"/>
  <c r="DJ13" i="35"/>
  <c r="DI13" i="35"/>
  <c r="DH13" i="35"/>
  <c r="DG13" i="35"/>
  <c r="DE13" i="35"/>
  <c r="DD13" i="35"/>
  <c r="DC13" i="35"/>
  <c r="DB13" i="35"/>
  <c r="DA13" i="35"/>
  <c r="CZ13" i="35"/>
  <c r="CY13" i="35"/>
  <c r="CX13" i="35"/>
  <c r="CW13" i="35"/>
  <c r="CV13" i="35"/>
  <c r="CU13" i="35"/>
  <c r="CT13" i="35"/>
  <c r="CS13" i="35"/>
  <c r="CR13" i="35"/>
  <c r="CQ13" i="35"/>
  <c r="CP13" i="35"/>
  <c r="CO13" i="35"/>
  <c r="CN13" i="35"/>
  <c r="CM13" i="35"/>
  <c r="CL13" i="35"/>
  <c r="CK13" i="35"/>
  <c r="CJ13" i="35"/>
  <c r="CI13" i="35"/>
  <c r="CH13" i="35"/>
  <c r="CG13" i="35"/>
  <c r="CF13" i="35"/>
  <c r="CE13" i="35"/>
  <c r="CD13" i="35"/>
  <c r="CC13" i="35"/>
  <c r="CB13" i="35"/>
  <c r="CA13" i="35"/>
  <c r="BZ13" i="35"/>
  <c r="BY13" i="35"/>
  <c r="BX13" i="35"/>
  <c r="BW13" i="35"/>
  <c r="BV13" i="35"/>
  <c r="BU13" i="35"/>
  <c r="BT13" i="35"/>
  <c r="BS13" i="35"/>
  <c r="BR13" i="35"/>
  <c r="BQ13" i="35"/>
  <c r="BP13" i="35"/>
  <c r="BO13" i="35"/>
  <c r="BN13" i="35"/>
  <c r="BM13" i="35"/>
  <c r="BL13" i="35"/>
  <c r="BK13" i="35"/>
  <c r="BJ13" i="35"/>
  <c r="BI13" i="35"/>
  <c r="BH13" i="35"/>
  <c r="BG13" i="35"/>
  <c r="BF13" i="35"/>
  <c r="BE13" i="35"/>
  <c r="BD13" i="35"/>
  <c r="BC13" i="35"/>
  <c r="BB13" i="35"/>
  <c r="BA13" i="35"/>
  <c r="AZ13" i="35"/>
  <c r="AY13" i="35"/>
  <c r="AX13" i="35"/>
  <c r="AW13" i="35"/>
  <c r="AV13" i="35"/>
  <c r="AU13" i="35"/>
  <c r="AT13" i="35"/>
  <c r="AS13" i="35"/>
  <c r="AR13" i="35"/>
  <c r="AQ13" i="35"/>
  <c r="AP13" i="35"/>
  <c r="AO13" i="35"/>
  <c r="AN13" i="35"/>
  <c r="AM13" i="35"/>
  <c r="AL13" i="35"/>
  <c r="AK13" i="35"/>
  <c r="AJ13" i="35"/>
  <c r="AI13" i="35"/>
  <c r="AH13" i="35"/>
  <c r="AG13" i="35"/>
  <c r="AF13" i="35"/>
  <c r="AE13" i="35"/>
  <c r="AD13" i="35"/>
  <c r="AC13" i="35"/>
  <c r="AB13" i="35"/>
  <c r="AA13" i="35"/>
  <c r="Z13" i="35"/>
  <c r="Y13" i="35"/>
  <c r="X13" i="35"/>
  <c r="W13" i="35"/>
  <c r="V13" i="35"/>
  <c r="U13" i="35"/>
  <c r="T13" i="35"/>
  <c r="S13" i="35"/>
  <c r="R13" i="35"/>
  <c r="Q13" i="35"/>
  <c r="P13" i="35"/>
  <c r="O13" i="35"/>
  <c r="N13" i="35"/>
  <c r="M13" i="35"/>
  <c r="L13" i="35"/>
  <c r="K13" i="35"/>
  <c r="J13" i="35"/>
  <c r="HB12" i="35"/>
  <c r="HA12" i="35"/>
  <c r="GZ12" i="35"/>
  <c r="GY12" i="35"/>
  <c r="GX12" i="35"/>
  <c r="GW12" i="35"/>
  <c r="GV12" i="35"/>
  <c r="GU12" i="35"/>
  <c r="GT12" i="35"/>
  <c r="GS12" i="35"/>
  <c r="GR12" i="35"/>
  <c r="GQ12" i="35"/>
  <c r="GP12" i="35"/>
  <c r="GO12" i="35"/>
  <c r="GN12" i="35"/>
  <c r="GM12" i="35"/>
  <c r="GL12" i="35"/>
  <c r="GK12" i="35"/>
  <c r="GJ12" i="35"/>
  <c r="GI12" i="35"/>
  <c r="GH12" i="35"/>
  <c r="GG12" i="35"/>
  <c r="GF12" i="35"/>
  <c r="GE12" i="35"/>
  <c r="GD12" i="35"/>
  <c r="GC12" i="35"/>
  <c r="GB12" i="35"/>
  <c r="GA12" i="35"/>
  <c r="FZ12" i="35"/>
  <c r="FY12" i="35"/>
  <c r="FX12" i="35"/>
  <c r="FW12" i="35"/>
  <c r="FV12" i="35"/>
  <c r="FU12" i="35"/>
  <c r="FT12" i="35"/>
  <c r="FS12" i="35"/>
  <c r="FR12" i="35"/>
  <c r="FQ12" i="35"/>
  <c r="FP12" i="35"/>
  <c r="FO12" i="35"/>
  <c r="FN12" i="35"/>
  <c r="FM12" i="35"/>
  <c r="FL12" i="35"/>
  <c r="FK12" i="35"/>
  <c r="FJ12" i="35"/>
  <c r="FI12" i="35"/>
  <c r="FH12" i="35"/>
  <c r="FG12" i="35"/>
  <c r="FF12" i="35"/>
  <c r="FE12" i="35"/>
  <c r="FD12" i="35"/>
  <c r="FC12" i="35"/>
  <c r="FB12" i="35"/>
  <c r="FA12" i="35"/>
  <c r="EZ12" i="35"/>
  <c r="EY12" i="35"/>
  <c r="EX12" i="35"/>
  <c r="EW12" i="35"/>
  <c r="EV12" i="35"/>
  <c r="EU12" i="35"/>
  <c r="ET12" i="35"/>
  <c r="ES12" i="35"/>
  <c r="ER12" i="35"/>
  <c r="EQ12" i="35"/>
  <c r="EP12" i="35"/>
  <c r="EO12" i="35"/>
  <c r="EN12" i="35"/>
  <c r="EM12" i="35"/>
  <c r="EL12" i="35"/>
  <c r="EK12" i="35"/>
  <c r="EJ12" i="35"/>
  <c r="EI12" i="35"/>
  <c r="EH12" i="35"/>
  <c r="EG12" i="35"/>
  <c r="EF12" i="35"/>
  <c r="EE12" i="35"/>
  <c r="ED12" i="35"/>
  <c r="EC12" i="35"/>
  <c r="EB12" i="35"/>
  <c r="EA12" i="35"/>
  <c r="DZ12" i="35"/>
  <c r="DY12" i="35"/>
  <c r="DX12" i="35"/>
  <c r="DW12" i="35"/>
  <c r="DV12" i="35"/>
  <c r="DU12" i="35"/>
  <c r="DT12" i="35"/>
  <c r="DS12" i="35"/>
  <c r="DR12" i="35"/>
  <c r="DQ12" i="35"/>
  <c r="DP12" i="35"/>
  <c r="DO12" i="35"/>
  <c r="DN12" i="35"/>
  <c r="DM12" i="35"/>
  <c r="DL12" i="35"/>
  <c r="DK12" i="35"/>
  <c r="DJ12" i="35"/>
  <c r="DI12" i="35"/>
  <c r="DH12" i="35"/>
  <c r="DG12" i="35"/>
  <c r="DE12" i="35"/>
  <c r="DD12" i="35"/>
  <c r="DC12" i="35"/>
  <c r="DB12" i="35"/>
  <c r="DA12" i="35"/>
  <c r="CZ12" i="35"/>
  <c r="CY12" i="35"/>
  <c r="CX12" i="35"/>
  <c r="CW12" i="35"/>
  <c r="CV12" i="35"/>
  <c r="CU12" i="35"/>
  <c r="CT12" i="35"/>
  <c r="CS12" i="35"/>
  <c r="CR12" i="35"/>
  <c r="CQ12" i="35"/>
  <c r="CP12" i="35"/>
  <c r="CO12" i="35"/>
  <c r="CN12" i="35"/>
  <c r="CM12" i="35"/>
  <c r="CL12" i="35"/>
  <c r="CK12" i="35"/>
  <c r="CJ12" i="35"/>
  <c r="CI12" i="35"/>
  <c r="CH12" i="35"/>
  <c r="CG12" i="35"/>
  <c r="CF12" i="35"/>
  <c r="CE12" i="35"/>
  <c r="CD12" i="35"/>
  <c r="CC12" i="35"/>
  <c r="CB12" i="35"/>
  <c r="CA12" i="35"/>
  <c r="BZ12" i="35"/>
  <c r="BY12" i="35"/>
  <c r="BX12" i="35"/>
  <c r="BW12" i="35"/>
  <c r="BV12" i="35"/>
  <c r="BU12" i="35"/>
  <c r="BT12" i="35"/>
  <c r="BS12" i="35"/>
  <c r="BR12" i="35"/>
  <c r="BQ12" i="35"/>
  <c r="BP12" i="35"/>
  <c r="BO12" i="35"/>
  <c r="BN12" i="35"/>
  <c r="BM12" i="35"/>
  <c r="BL12" i="35"/>
  <c r="BK12" i="35"/>
  <c r="BJ12" i="35"/>
  <c r="BI12" i="35"/>
  <c r="BH12" i="35"/>
  <c r="BG12" i="35"/>
  <c r="BF12" i="35"/>
  <c r="BE12" i="35"/>
  <c r="BD12" i="35"/>
  <c r="BC12" i="35"/>
  <c r="BB12" i="35"/>
  <c r="BA12" i="35"/>
  <c r="AZ12" i="35"/>
  <c r="AY12" i="35"/>
  <c r="AX12" i="35"/>
  <c r="AW12" i="35"/>
  <c r="AV12" i="35"/>
  <c r="AU12" i="35"/>
  <c r="AT12" i="35"/>
  <c r="AS12" i="35"/>
  <c r="AR12" i="35"/>
  <c r="AQ12" i="35"/>
  <c r="AP12" i="35"/>
  <c r="AO12" i="35"/>
  <c r="AN12" i="35"/>
  <c r="AM12" i="35"/>
  <c r="AL12" i="35"/>
  <c r="AK12" i="35"/>
  <c r="AJ12" i="35"/>
  <c r="AI12" i="35"/>
  <c r="AH12" i="35"/>
  <c r="AG12" i="35"/>
  <c r="AF12" i="35"/>
  <c r="AE12" i="35"/>
  <c r="AD12" i="35"/>
  <c r="AC12" i="35"/>
  <c r="AB12" i="35"/>
  <c r="AA12" i="35"/>
  <c r="Z12" i="35"/>
  <c r="Y12" i="35"/>
  <c r="X12" i="35"/>
  <c r="W12" i="35"/>
  <c r="V12" i="35"/>
  <c r="U12" i="35"/>
  <c r="T12" i="35"/>
  <c r="S12" i="35"/>
  <c r="R12" i="35"/>
  <c r="Q12" i="35"/>
  <c r="P12" i="35"/>
  <c r="O12" i="35"/>
  <c r="N12" i="35"/>
  <c r="M12" i="35"/>
  <c r="L12" i="35"/>
  <c r="K12" i="35"/>
  <c r="J12" i="35"/>
  <c r="HB11" i="35"/>
  <c r="HA11" i="35"/>
  <c r="GZ11" i="35"/>
  <c r="GY11" i="35"/>
  <c r="GX11" i="35"/>
  <c r="GW11" i="35"/>
  <c r="GV11" i="35"/>
  <c r="GU11" i="35"/>
  <c r="GT11" i="35"/>
  <c r="GS11" i="35"/>
  <c r="GR11" i="35"/>
  <c r="GQ11" i="35"/>
  <c r="GP11" i="35"/>
  <c r="GO11" i="35"/>
  <c r="GN11" i="35"/>
  <c r="GM11" i="35"/>
  <c r="GL11" i="35"/>
  <c r="GK11" i="35"/>
  <c r="GJ11" i="35"/>
  <c r="GI11" i="35"/>
  <c r="GH11" i="35"/>
  <c r="GG11" i="35"/>
  <c r="GF11" i="35"/>
  <c r="GE11" i="35"/>
  <c r="GD11" i="35"/>
  <c r="GC11" i="35"/>
  <c r="GB11" i="35"/>
  <c r="GA11" i="35"/>
  <c r="FZ11" i="35"/>
  <c r="FY11" i="35"/>
  <c r="FX11" i="35"/>
  <c r="FW11" i="35"/>
  <c r="FV11" i="35"/>
  <c r="FU11" i="35"/>
  <c r="FT11" i="35"/>
  <c r="FS11" i="35"/>
  <c r="FR11" i="35"/>
  <c r="FQ11" i="35"/>
  <c r="FP11" i="35"/>
  <c r="FO11" i="35"/>
  <c r="FN11" i="35"/>
  <c r="FM11" i="35"/>
  <c r="FL11" i="35"/>
  <c r="FK11" i="35"/>
  <c r="FJ11" i="35"/>
  <c r="FI11" i="35"/>
  <c r="FH11" i="35"/>
  <c r="FG11" i="35"/>
  <c r="FF11" i="35"/>
  <c r="FE11" i="35"/>
  <c r="FD11" i="35"/>
  <c r="FC11" i="35"/>
  <c r="FB11" i="35"/>
  <c r="FA11" i="35"/>
  <c r="EZ11" i="35"/>
  <c r="EY11" i="35"/>
  <c r="EX11" i="35"/>
  <c r="EW11" i="35"/>
  <c r="EV11" i="35"/>
  <c r="EU11" i="35"/>
  <c r="ET11" i="35"/>
  <c r="ES11" i="35"/>
  <c r="ER11" i="35"/>
  <c r="EQ11" i="35"/>
  <c r="EP11" i="35"/>
  <c r="EO11" i="35"/>
  <c r="EN11" i="35"/>
  <c r="EM11" i="35"/>
  <c r="EL11" i="35"/>
  <c r="EK11" i="35"/>
  <c r="EJ11" i="35"/>
  <c r="EI11" i="35"/>
  <c r="EH11" i="35"/>
  <c r="EG11" i="35"/>
  <c r="EF11" i="35"/>
  <c r="EE11" i="35"/>
  <c r="ED11" i="35"/>
  <c r="EC11" i="35"/>
  <c r="EB11" i="35"/>
  <c r="EA11" i="35"/>
  <c r="DZ11" i="35"/>
  <c r="DY11" i="35"/>
  <c r="DX11" i="35"/>
  <c r="DW11" i="35"/>
  <c r="DV11" i="35"/>
  <c r="DU11" i="35"/>
  <c r="DT11" i="35"/>
  <c r="DS11" i="35"/>
  <c r="DR11" i="35"/>
  <c r="DQ11" i="35"/>
  <c r="DP11" i="35"/>
  <c r="DO11" i="35"/>
  <c r="DN11" i="35"/>
  <c r="DM11" i="35"/>
  <c r="DL11" i="35"/>
  <c r="DK11" i="35"/>
  <c r="DJ11" i="35"/>
  <c r="DI11" i="35"/>
  <c r="DH11" i="35"/>
  <c r="DG11" i="35"/>
  <c r="DE11" i="35"/>
  <c r="DD11" i="35"/>
  <c r="DC11" i="35"/>
  <c r="DB11" i="35"/>
  <c r="DA11" i="35"/>
  <c r="CZ11" i="35"/>
  <c r="CY11" i="35"/>
  <c r="CX11" i="35"/>
  <c r="CW11" i="35"/>
  <c r="CV11" i="35"/>
  <c r="CU11" i="35"/>
  <c r="CT11" i="35"/>
  <c r="CS11" i="35"/>
  <c r="CR11" i="35"/>
  <c r="CQ11" i="35"/>
  <c r="CP11" i="35"/>
  <c r="CO11" i="35"/>
  <c r="CN11" i="35"/>
  <c r="CM11" i="35"/>
  <c r="CL11" i="35"/>
  <c r="CK11" i="35"/>
  <c r="CJ11" i="35"/>
  <c r="CI11" i="35"/>
  <c r="CH11" i="35"/>
  <c r="CG11" i="35"/>
  <c r="CF11" i="35"/>
  <c r="CE11" i="35"/>
  <c r="CD11" i="35"/>
  <c r="CC11" i="35"/>
  <c r="CB11" i="35"/>
  <c r="CA11" i="35"/>
  <c r="BZ11" i="35"/>
  <c r="BY11" i="35"/>
  <c r="BX11" i="35"/>
  <c r="BW11" i="35"/>
  <c r="BV11" i="35"/>
  <c r="BU11" i="35"/>
  <c r="BT11" i="35"/>
  <c r="BS11" i="35"/>
  <c r="BR11" i="35"/>
  <c r="BQ11" i="35"/>
  <c r="BP11" i="35"/>
  <c r="BO11" i="35"/>
  <c r="BN11" i="35"/>
  <c r="BM11" i="35"/>
  <c r="BL11" i="35"/>
  <c r="BK11" i="35"/>
  <c r="BJ11" i="35"/>
  <c r="BI11" i="35"/>
  <c r="BH11" i="35"/>
  <c r="BG11" i="35"/>
  <c r="BF11" i="35"/>
  <c r="BE11" i="35"/>
  <c r="BD11" i="35"/>
  <c r="BC11" i="35"/>
  <c r="BB11" i="35"/>
  <c r="BA11" i="35"/>
  <c r="AZ11" i="35"/>
  <c r="AY11" i="35"/>
  <c r="AX11" i="35"/>
  <c r="AW11" i="35"/>
  <c r="AV11" i="35"/>
  <c r="AU11" i="35"/>
  <c r="AT11" i="35"/>
  <c r="AS11" i="35"/>
  <c r="AR11" i="35"/>
  <c r="AQ11" i="35"/>
  <c r="AP11" i="35"/>
  <c r="AO11" i="35"/>
  <c r="AN11" i="35"/>
  <c r="AM11" i="35"/>
  <c r="AL11" i="35"/>
  <c r="AK11" i="35"/>
  <c r="AJ11" i="35"/>
  <c r="AI11" i="35"/>
  <c r="AH11" i="35"/>
  <c r="AG11" i="35"/>
  <c r="AF11" i="35"/>
  <c r="AE11" i="35"/>
  <c r="AD11" i="35"/>
  <c r="AC11" i="35"/>
  <c r="AB11" i="35"/>
  <c r="AA11" i="35"/>
  <c r="Z11" i="35"/>
  <c r="Y11" i="35"/>
  <c r="X11" i="35"/>
  <c r="W11" i="35"/>
  <c r="V11" i="35"/>
  <c r="U11" i="35"/>
  <c r="T11" i="35"/>
  <c r="S11" i="35"/>
  <c r="R11" i="35"/>
  <c r="Q11" i="35"/>
  <c r="P11" i="35"/>
  <c r="O11" i="35"/>
  <c r="N11" i="35"/>
  <c r="M11" i="35"/>
  <c r="L11" i="35"/>
  <c r="K11" i="35"/>
  <c r="J11" i="35"/>
  <c r="HB10" i="35"/>
  <c r="HA10" i="35"/>
  <c r="GZ10" i="35"/>
  <c r="GY10" i="35"/>
  <c r="GX10" i="35"/>
  <c r="GW10" i="35"/>
  <c r="GV10" i="35"/>
  <c r="GU10" i="35"/>
  <c r="GT10" i="35"/>
  <c r="GS10" i="35"/>
  <c r="GR10" i="35"/>
  <c r="GQ10" i="35"/>
  <c r="GP10" i="35"/>
  <c r="GO10" i="35"/>
  <c r="GN10" i="35"/>
  <c r="GM10" i="35"/>
  <c r="GL10" i="35"/>
  <c r="GK10" i="35"/>
  <c r="GJ10" i="35"/>
  <c r="GI10" i="35"/>
  <c r="GH10" i="35"/>
  <c r="GG10" i="35"/>
  <c r="GF10" i="35"/>
  <c r="GE10" i="35"/>
  <c r="GD10" i="35"/>
  <c r="GC10" i="35"/>
  <c r="GB10" i="35"/>
  <c r="GA10" i="35"/>
  <c r="FZ10" i="35"/>
  <c r="FY10" i="35"/>
  <c r="FX10" i="35"/>
  <c r="FW10" i="35"/>
  <c r="FV10" i="35"/>
  <c r="FU10" i="35"/>
  <c r="FU9" i="35" s="1"/>
  <c r="FT10" i="35"/>
  <c r="FT9" i="35" s="1"/>
  <c r="FS10" i="35"/>
  <c r="FS9" i="35" s="1"/>
  <c r="FR10" i="35"/>
  <c r="FQ10" i="35"/>
  <c r="FQ9" i="35" s="1"/>
  <c r="FP10" i="35"/>
  <c r="FO10" i="35"/>
  <c r="FO9" i="35" s="1"/>
  <c r="FN10" i="35"/>
  <c r="FM10" i="35"/>
  <c r="FM9" i="35" s="1"/>
  <c r="FL10" i="35"/>
  <c r="FK10" i="35"/>
  <c r="FJ10" i="35"/>
  <c r="FJ9" i="35" s="1"/>
  <c r="FI10" i="35"/>
  <c r="FH10" i="35"/>
  <c r="FG10" i="35"/>
  <c r="FF10" i="35"/>
  <c r="FE10" i="35"/>
  <c r="FD10" i="35"/>
  <c r="FC10" i="35"/>
  <c r="FB10" i="35"/>
  <c r="FA10" i="35"/>
  <c r="EZ10" i="35"/>
  <c r="EY10" i="35"/>
  <c r="EX10" i="35"/>
  <c r="EW10" i="35"/>
  <c r="EV10" i="35"/>
  <c r="EU10" i="35"/>
  <c r="ET10" i="35"/>
  <c r="ES10" i="35"/>
  <c r="ER10" i="35"/>
  <c r="EQ10" i="35"/>
  <c r="EP10" i="35"/>
  <c r="EO10" i="35"/>
  <c r="EN10" i="35"/>
  <c r="EM10" i="35"/>
  <c r="EL10" i="35"/>
  <c r="EK10" i="35"/>
  <c r="EK9" i="35" s="1"/>
  <c r="EJ10" i="35"/>
  <c r="EI10" i="35"/>
  <c r="EH10" i="35"/>
  <c r="EG10" i="35"/>
  <c r="EF10" i="35"/>
  <c r="EE10" i="35"/>
  <c r="ED10" i="35"/>
  <c r="EC10" i="35"/>
  <c r="EB10" i="35"/>
  <c r="EA10" i="35"/>
  <c r="DZ10" i="35"/>
  <c r="DY10" i="35"/>
  <c r="DX10" i="35"/>
  <c r="DW10" i="35"/>
  <c r="DV10" i="35"/>
  <c r="DU10" i="35"/>
  <c r="DT10" i="35"/>
  <c r="DS10" i="35"/>
  <c r="DR10" i="35"/>
  <c r="DQ10" i="35"/>
  <c r="DP10" i="35"/>
  <c r="DO10" i="35"/>
  <c r="DN10" i="35"/>
  <c r="DM10" i="35"/>
  <c r="DL10" i="35"/>
  <c r="DK10" i="35"/>
  <c r="DJ10" i="35"/>
  <c r="DI10" i="35"/>
  <c r="DH10" i="35"/>
  <c r="DG10" i="35"/>
  <c r="DE10" i="35"/>
  <c r="DD10" i="35"/>
  <c r="DC10" i="35"/>
  <c r="DB10" i="35"/>
  <c r="DA10" i="35"/>
  <c r="CZ10" i="35"/>
  <c r="CY10" i="35"/>
  <c r="CX10" i="35"/>
  <c r="CW10" i="35"/>
  <c r="CV10" i="35"/>
  <c r="CU10" i="35"/>
  <c r="CT10" i="35"/>
  <c r="CS10" i="35"/>
  <c r="CR10" i="35"/>
  <c r="CQ10" i="35"/>
  <c r="CP10" i="35"/>
  <c r="CO10" i="35"/>
  <c r="CN10" i="35"/>
  <c r="CM10" i="35"/>
  <c r="CL10" i="35"/>
  <c r="CK10" i="35"/>
  <c r="CJ10" i="35"/>
  <c r="CI10" i="35"/>
  <c r="CH10" i="35"/>
  <c r="CG10" i="35"/>
  <c r="CF10" i="35"/>
  <c r="CE10" i="35"/>
  <c r="CD10" i="35"/>
  <c r="CC10" i="35"/>
  <c r="CB10" i="35"/>
  <c r="CA10" i="35"/>
  <c r="BZ10" i="35"/>
  <c r="BY10" i="35"/>
  <c r="BX10" i="35"/>
  <c r="BW10" i="35"/>
  <c r="BV10" i="35"/>
  <c r="BU10" i="35"/>
  <c r="BT10" i="35"/>
  <c r="BS10" i="35"/>
  <c r="BR10" i="35"/>
  <c r="BQ10" i="35"/>
  <c r="BP10" i="35"/>
  <c r="BO10" i="35"/>
  <c r="BN10" i="35"/>
  <c r="BM10" i="35"/>
  <c r="BL10" i="35"/>
  <c r="BK10" i="35"/>
  <c r="BJ10" i="35"/>
  <c r="BI10" i="35"/>
  <c r="BH10" i="35"/>
  <c r="BG10" i="35"/>
  <c r="BF10" i="35"/>
  <c r="BE10" i="35"/>
  <c r="BD10" i="35"/>
  <c r="BC10" i="35"/>
  <c r="BB10" i="35"/>
  <c r="BA10" i="35"/>
  <c r="AZ10" i="35"/>
  <c r="AY10" i="35"/>
  <c r="AX10" i="35"/>
  <c r="AW10" i="35"/>
  <c r="AV10" i="35"/>
  <c r="AU10" i="35"/>
  <c r="AT10" i="35"/>
  <c r="AS10" i="35"/>
  <c r="AR10" i="35"/>
  <c r="AQ10" i="35"/>
  <c r="AP10" i="35"/>
  <c r="AO10" i="35"/>
  <c r="AO9" i="35" s="1"/>
  <c r="AN10" i="35"/>
  <c r="AM10" i="35"/>
  <c r="AL10" i="35"/>
  <c r="AK10" i="35"/>
  <c r="AJ10" i="35"/>
  <c r="AI10" i="35"/>
  <c r="AH10" i="35"/>
  <c r="AG10" i="35"/>
  <c r="AF10" i="35"/>
  <c r="AE10" i="35"/>
  <c r="AD10" i="35"/>
  <c r="AC10" i="35"/>
  <c r="AB10" i="35"/>
  <c r="AA10" i="35"/>
  <c r="Z10" i="35"/>
  <c r="Y10" i="35"/>
  <c r="X10" i="35"/>
  <c r="W10" i="35"/>
  <c r="V10" i="35"/>
  <c r="U10" i="35"/>
  <c r="T10" i="35"/>
  <c r="S10" i="35"/>
  <c r="R10" i="35"/>
  <c r="Q10" i="35"/>
  <c r="P10" i="35"/>
  <c r="O10" i="35"/>
  <c r="N10" i="35"/>
  <c r="M10" i="35"/>
  <c r="L10" i="35"/>
  <c r="K10" i="35"/>
  <c r="J10" i="35"/>
  <c r="J7" i="35"/>
  <c r="BD3" i="13"/>
  <c r="FR3" i="13" s="1"/>
  <c r="FQ3" i="13" s="1"/>
  <c r="FP3" i="13" s="1"/>
  <c r="FO3" i="13" s="1"/>
  <c r="FN3" i="13" s="1"/>
  <c r="FM3" i="13" s="1"/>
  <c r="FL3" i="13" s="1"/>
  <c r="FK3" i="13" s="1"/>
  <c r="FJ3" i="13" s="1"/>
  <c r="FI3" i="13" s="1"/>
  <c r="FH3" i="13" s="1"/>
  <c r="FG3" i="13" s="1"/>
  <c r="FF3" i="13" s="1"/>
  <c r="FE3" i="13" s="1"/>
  <c r="FD3" i="13" s="1"/>
  <c r="FC3" i="13" s="1"/>
  <c r="FB3" i="13" s="1"/>
  <c r="FA3" i="13" s="1"/>
  <c r="A11" i="20"/>
  <c r="G6" i="5"/>
  <c r="N41" i="10"/>
  <c r="L41" i="10"/>
  <c r="G6" i="23"/>
  <c r="G18" i="23"/>
  <c r="G19" i="23"/>
  <c r="G11" i="23"/>
  <c r="G15" i="23"/>
  <c r="G16" i="23"/>
  <c r="G12" i="23"/>
  <c r="G8" i="23"/>
  <c r="G21" i="23"/>
  <c r="G14" i="23"/>
  <c r="G5" i="23"/>
  <c r="G7" i="23"/>
  <c r="G9" i="23"/>
  <c r="G17" i="23"/>
  <c r="G20" i="23"/>
  <c r="G13" i="23"/>
  <c r="G22" i="23"/>
  <c r="G10" i="23"/>
  <c r="M4" i="68" l="1"/>
  <c r="M8" i="68" s="1"/>
  <c r="M4" i="69"/>
  <c r="M8" i="69" s="1"/>
  <c r="M4" i="47"/>
  <c r="M8" i="47" s="1"/>
  <c r="M4" i="65"/>
  <c r="M8" i="65" s="1"/>
  <c r="M4" i="66"/>
  <c r="M8" i="66" s="1"/>
  <c r="M4" i="64"/>
  <c r="M8" i="64" s="1"/>
  <c r="M4" i="63"/>
  <c r="M8" i="63" s="1"/>
  <c r="M4" i="62"/>
  <c r="M8" i="62" s="1"/>
  <c r="N4" i="46"/>
  <c r="EW26" i="35"/>
  <c r="AU26" i="35"/>
  <c r="FS15" i="35"/>
  <c r="FS8" i="35" s="1"/>
  <c r="G7" i="31"/>
  <c r="M8" i="46"/>
  <c r="B24" i="10"/>
  <c r="D24" i="10" s="1"/>
  <c r="CI32" i="35"/>
  <c r="FT15" i="35"/>
  <c r="FT8" i="35" s="1"/>
  <c r="O21" i="46"/>
  <c r="X15" i="13"/>
  <c r="F15" i="10"/>
  <c r="F14" i="42" s="1"/>
  <c r="B37" i="42"/>
  <c r="D37" i="42" s="1"/>
  <c r="B32" i="10"/>
  <c r="D32" i="10" s="1"/>
  <c r="F6" i="42"/>
  <c r="B38" i="42"/>
  <c r="D38" i="42" s="1"/>
  <c r="F6" i="10"/>
  <c r="B24" i="42"/>
  <c r="D24" i="42" s="1"/>
  <c r="B17" i="42"/>
  <c r="D17" i="42" s="1"/>
  <c r="B39" i="10"/>
  <c r="D39" i="10" s="1"/>
  <c r="B33" i="42"/>
  <c r="D33" i="42" s="1"/>
  <c r="B18" i="10"/>
  <c r="D18" i="10" s="1"/>
  <c r="B25" i="10"/>
  <c r="D25" i="10" s="1"/>
  <c r="B45" i="42"/>
  <c r="D45" i="42" s="1"/>
  <c r="BC3" i="13"/>
  <c r="BB3" i="13" s="1"/>
  <c r="BA3" i="13" s="1"/>
  <c r="AZ3" i="13" s="1"/>
  <c r="AY3" i="13" s="1"/>
  <c r="AX3" i="13" s="1"/>
  <c r="AW3" i="13" s="1"/>
  <c r="AV3" i="13" s="1"/>
  <c r="AU3" i="13" s="1"/>
  <c r="AT3" i="13" s="1"/>
  <c r="AS3" i="13" s="1"/>
  <c r="AR3" i="13" s="1"/>
  <c r="AQ3" i="13" s="1"/>
  <c r="AP3" i="13" s="1"/>
  <c r="AO3" i="13" s="1"/>
  <c r="AN3" i="13" s="1"/>
  <c r="AM3" i="13" s="1"/>
  <c r="F5" i="36"/>
  <c r="G5" i="36" s="1"/>
  <c r="H5" i="36" s="1"/>
  <c r="I5" i="36" s="1"/>
  <c r="J5" i="36" s="1"/>
  <c r="K5" i="36" s="1"/>
  <c r="L5" i="36" s="1"/>
  <c r="M5" i="36" s="1"/>
  <c r="N5" i="36" s="1"/>
  <c r="O5" i="36" s="1"/>
  <c r="P5" i="36" s="1"/>
  <c r="Q5" i="36" s="1"/>
  <c r="R5" i="36" s="1"/>
  <c r="S5" i="36" s="1"/>
  <c r="T5" i="36" s="1"/>
  <c r="U5" i="36" s="1"/>
  <c r="V5" i="36" s="1"/>
  <c r="W5" i="36" s="1"/>
  <c r="X5" i="36" s="1"/>
  <c r="Y5" i="36" s="1"/>
  <c r="Z5" i="36" s="1"/>
  <c r="AA5" i="36" s="1"/>
  <c r="AB5" i="36" s="1"/>
  <c r="AC5" i="36" s="1"/>
  <c r="AD5" i="36" s="1"/>
  <c r="AE5" i="36" s="1"/>
  <c r="AF5" i="36" s="1"/>
  <c r="AG5" i="36" s="1"/>
  <c r="B27" i="10"/>
  <c r="D27" i="10" s="1"/>
  <c r="B17" i="10"/>
  <c r="D17" i="10" s="1"/>
  <c r="F5" i="42"/>
  <c r="DH15" i="35"/>
  <c r="G29" i="35"/>
  <c r="AU9" i="35"/>
  <c r="AH15" i="35"/>
  <c r="AX15" i="35"/>
  <c r="BF15" i="35"/>
  <c r="BR15" i="35"/>
  <c r="BV15" i="35"/>
  <c r="CX15" i="35"/>
  <c r="F35" i="35"/>
  <c r="G35" i="35"/>
  <c r="G36" i="35"/>
  <c r="P45" i="42"/>
  <c r="R45" i="42" s="1"/>
  <c r="L9" i="35"/>
  <c r="P9" i="35"/>
  <c r="X9" i="35"/>
  <c r="AB9" i="35"/>
  <c r="AF9" i="35"/>
  <c r="AJ9" i="35"/>
  <c r="AN9" i="35"/>
  <c r="AR9" i="35"/>
  <c r="AV9" i="35"/>
  <c r="AZ9" i="35"/>
  <c r="BD9" i="35"/>
  <c r="BH9" i="35"/>
  <c r="BL9" i="35"/>
  <c r="BL8" i="35" s="1"/>
  <c r="BP9" i="35"/>
  <c r="BT9" i="35"/>
  <c r="BX9" i="35"/>
  <c r="CB9" i="35"/>
  <c r="CF9" i="35"/>
  <c r="CJ9" i="35"/>
  <c r="CN9" i="35"/>
  <c r="CR9" i="35"/>
  <c r="CV9" i="35"/>
  <c r="CZ9" i="35"/>
  <c r="DD9" i="35"/>
  <c r="DI9" i="35"/>
  <c r="DM9" i="35"/>
  <c r="DQ9" i="35"/>
  <c r="DU9" i="35"/>
  <c r="DY9" i="35"/>
  <c r="EC9" i="35"/>
  <c r="EG9" i="35"/>
  <c r="DL15" i="35"/>
  <c r="BY9" i="35"/>
  <c r="F5" i="10"/>
  <c r="B23" i="42"/>
  <c r="D23" i="42" s="1"/>
  <c r="F11" i="35"/>
  <c r="CY9" i="35"/>
  <c r="K15" i="35"/>
  <c r="O15" i="35"/>
  <c r="S15" i="35"/>
  <c r="W15" i="35"/>
  <c r="AA15" i="35"/>
  <c r="AE15" i="35"/>
  <c r="AI15" i="35"/>
  <c r="AM15" i="35"/>
  <c r="AQ15" i="35"/>
  <c r="AU15" i="35"/>
  <c r="AY15" i="35"/>
  <c r="BC15" i="35"/>
  <c r="BG15" i="35"/>
  <c r="BK15" i="35"/>
  <c r="F27" i="35"/>
  <c r="BE3" i="13"/>
  <c r="BF3" i="13" s="1"/>
  <c r="BG3" i="13" s="1"/>
  <c r="B31" i="10"/>
  <c r="D31" i="10" s="1"/>
  <c r="AG9" i="35"/>
  <c r="BU26" i="35"/>
  <c r="DA26" i="35"/>
  <c r="DE26" i="35"/>
  <c r="DJ26" i="35"/>
  <c r="AV26" i="35"/>
  <c r="BD26" i="35"/>
  <c r="BD25" i="35" s="1"/>
  <c r="G31" i="35"/>
  <c r="X32" i="35"/>
  <c r="AB32" i="35"/>
  <c r="AF32" i="35"/>
  <c r="AJ32" i="35"/>
  <c r="AN32" i="35"/>
  <c r="AR32" i="35"/>
  <c r="AV32" i="35"/>
  <c r="AZ32" i="35"/>
  <c r="F34" i="35"/>
  <c r="F36" i="35"/>
  <c r="F37" i="35"/>
  <c r="B38" i="10"/>
  <c r="D38" i="10" s="1"/>
  <c r="B30" i="42"/>
  <c r="D30" i="42" s="1"/>
  <c r="B44" i="42"/>
  <c r="D44" i="42" s="1"/>
  <c r="K7" i="35"/>
  <c r="L7" i="35" s="1"/>
  <c r="DG7" i="35"/>
  <c r="X10" i="13"/>
  <c r="X7" i="13"/>
  <c r="AB26" i="35"/>
  <c r="AR26" i="35"/>
  <c r="CK26" i="35"/>
  <c r="EH26" i="35"/>
  <c r="EX26" i="35"/>
  <c r="S9" i="35"/>
  <c r="W9" i="35"/>
  <c r="AA9" i="35"/>
  <c r="AE9" i="35"/>
  <c r="AI9" i="35"/>
  <c r="DX9" i="35"/>
  <c r="Y26" i="35"/>
  <c r="AC26" i="35"/>
  <c r="AG26" i="35"/>
  <c r="AZ26" i="35"/>
  <c r="X26" i="35"/>
  <c r="AF26" i="35"/>
  <c r="AN26" i="35"/>
  <c r="AY9" i="35"/>
  <c r="EN9" i="35"/>
  <c r="EN8" i="35" s="1"/>
  <c r="ER9" i="35"/>
  <c r="ER8" i="35" s="1"/>
  <c r="EV9" i="35"/>
  <c r="EV8" i="35" s="1"/>
  <c r="BO15" i="35"/>
  <c r="BS15" i="35"/>
  <c r="BW15" i="35"/>
  <c r="DP15" i="35"/>
  <c r="EE15" i="35"/>
  <c r="BH26" i="35"/>
  <c r="BL26" i="35"/>
  <c r="BP26" i="35"/>
  <c r="BT26" i="35"/>
  <c r="FS25" i="35"/>
  <c r="AH26" i="35"/>
  <c r="BN26" i="35"/>
  <c r="DG26" i="35"/>
  <c r="J32" i="35"/>
  <c r="N32" i="35"/>
  <c r="R32" i="35"/>
  <c r="R25" i="35" s="1"/>
  <c r="V32" i="35"/>
  <c r="V25" i="35" s="1"/>
  <c r="Z32" i="35"/>
  <c r="AD32" i="35"/>
  <c r="AH32" i="35"/>
  <c r="AL32" i="35"/>
  <c r="AP32" i="35"/>
  <c r="AT32" i="35"/>
  <c r="AX32" i="35"/>
  <c r="BB32" i="35"/>
  <c r="EG32" i="35"/>
  <c r="EG25" i="35" s="1"/>
  <c r="BW9" i="35"/>
  <c r="CO9" i="35"/>
  <c r="CS9" i="35"/>
  <c r="DE9" i="35"/>
  <c r="DR9" i="35"/>
  <c r="DR8" i="35" s="1"/>
  <c r="EO9" i="35"/>
  <c r="ES9" i="35"/>
  <c r="EW9" i="35"/>
  <c r="FA9" i="35"/>
  <c r="FE9" i="35"/>
  <c r="FI9" i="35"/>
  <c r="J9" i="35"/>
  <c r="AL9" i="35"/>
  <c r="AX9" i="35"/>
  <c r="BV9" i="35"/>
  <c r="DS9" i="35"/>
  <c r="FG9" i="35"/>
  <c r="J15" i="35"/>
  <c r="Z15" i="35"/>
  <c r="DM15" i="35"/>
  <c r="DT15" i="35"/>
  <c r="DX15" i="35"/>
  <c r="EB15" i="35"/>
  <c r="EU15" i="35"/>
  <c r="EY15" i="35"/>
  <c r="CS15" i="35"/>
  <c r="DE15" i="35"/>
  <c r="L26" i="35"/>
  <c r="P26" i="35"/>
  <c r="T26" i="35"/>
  <c r="BE26" i="35"/>
  <c r="BI26" i="35"/>
  <c r="BM26" i="35"/>
  <c r="BQ26" i="35"/>
  <c r="BX26" i="35"/>
  <c r="CJ26" i="35"/>
  <c r="CN26" i="35"/>
  <c r="CZ26" i="35"/>
  <c r="DD26" i="35"/>
  <c r="W32" i="35"/>
  <c r="AM32" i="35"/>
  <c r="AU32" i="35"/>
  <c r="AU25" i="35" s="1"/>
  <c r="BC32" i="35"/>
  <c r="BF32" i="35"/>
  <c r="BJ32" i="35"/>
  <c r="BN32" i="35"/>
  <c r="BR32" i="35"/>
  <c r="BV32" i="35"/>
  <c r="BZ32" i="35"/>
  <c r="CD32" i="35"/>
  <c r="CH32" i="35"/>
  <c r="CL32" i="35"/>
  <c r="CP32" i="35"/>
  <c r="CT32" i="35"/>
  <c r="CX32" i="35"/>
  <c r="DB32" i="35"/>
  <c r="DG32" i="35"/>
  <c r="DK32" i="35"/>
  <c r="DO32" i="35"/>
  <c r="DS32" i="35"/>
  <c r="DW32" i="35"/>
  <c r="EA32" i="35"/>
  <c r="EE32" i="35"/>
  <c r="EI32" i="35"/>
  <c r="EM32" i="35"/>
  <c r="EQ32" i="35"/>
  <c r="EU32" i="35"/>
  <c r="EY32" i="35"/>
  <c r="FC32" i="35"/>
  <c r="FG32" i="35"/>
  <c r="DW9" i="35"/>
  <c r="EA9" i="35"/>
  <c r="EE9" i="35"/>
  <c r="BR9" i="35"/>
  <c r="DB9" i="35"/>
  <c r="AX26" i="35"/>
  <c r="BB26" i="35"/>
  <c r="R9" i="35"/>
  <c r="V9" i="35"/>
  <c r="Z9" i="35"/>
  <c r="AD9" i="35"/>
  <c r="BO9" i="35"/>
  <c r="DH9" i="35"/>
  <c r="DL9" i="35"/>
  <c r="DP9" i="35"/>
  <c r="AB15" i="35"/>
  <c r="BY15" i="35"/>
  <c r="DV15" i="35"/>
  <c r="DY15" i="35"/>
  <c r="CT15" i="35"/>
  <c r="BF26" i="35"/>
  <c r="BJ26" i="35"/>
  <c r="EY26" i="35"/>
  <c r="FC26" i="35"/>
  <c r="FG26" i="35"/>
  <c r="FO26" i="35"/>
  <c r="FO25" i="35" s="1"/>
  <c r="BH32" i="35"/>
  <c r="BL32" i="35"/>
  <c r="BP32" i="35"/>
  <c r="BT32" i="35"/>
  <c r="BX32" i="35"/>
  <c r="CB32" i="35"/>
  <c r="CF32" i="35"/>
  <c r="CJ32" i="35"/>
  <c r="CN32" i="35"/>
  <c r="CR32" i="35"/>
  <c r="CV32" i="35"/>
  <c r="CZ32" i="35"/>
  <c r="DD32" i="35"/>
  <c r="DM32" i="35"/>
  <c r="DQ32" i="35"/>
  <c r="DQ25" i="35" s="1"/>
  <c r="Q15" i="35"/>
  <c r="AC15" i="35"/>
  <c r="AG15" i="35"/>
  <c r="CG15" i="35"/>
  <c r="CK15" i="35"/>
  <c r="CO15" i="35"/>
  <c r="BB9" i="35"/>
  <c r="CD9" i="35"/>
  <c r="EU9" i="35"/>
  <c r="AK15" i="35"/>
  <c r="AO15" i="35"/>
  <c r="AO8" i="35" s="1"/>
  <c r="AS15" i="35"/>
  <c r="AW15" i="35"/>
  <c r="CW15" i="35"/>
  <c r="DJ15" i="35"/>
  <c r="EH15" i="35"/>
  <c r="EL15" i="35"/>
  <c r="EP15" i="35"/>
  <c r="EX15" i="35"/>
  <c r="FB15" i="35"/>
  <c r="Z26" i="35"/>
  <c r="AD26" i="35"/>
  <c r="CL26" i="35"/>
  <c r="CP26" i="35"/>
  <c r="CT26" i="35"/>
  <c r="DB26" i="35"/>
  <c r="DK26" i="35"/>
  <c r="DR26" i="35"/>
  <c r="DV26" i="35"/>
  <c r="DZ26" i="35"/>
  <c r="ED26" i="35"/>
  <c r="U2" i="42"/>
  <c r="T14" i="42"/>
  <c r="M26" i="35"/>
  <c r="Q26" i="35"/>
  <c r="AK26" i="35"/>
  <c r="AO26" i="35"/>
  <c r="AS26" i="35"/>
  <c r="BY26" i="35"/>
  <c r="CC26" i="35"/>
  <c r="CG26" i="35"/>
  <c r="DS26" i="35"/>
  <c r="DW26" i="35"/>
  <c r="EA26" i="35"/>
  <c r="EL26" i="35"/>
  <c r="EP26" i="35"/>
  <c r="ET26" i="35"/>
  <c r="FQ25" i="35"/>
  <c r="CK32" i="35"/>
  <c r="DJ32" i="35"/>
  <c r="DY32" i="35"/>
  <c r="EC32" i="35"/>
  <c r="X16" i="13"/>
  <c r="CI9" i="35"/>
  <c r="CM9" i="35"/>
  <c r="CQ9" i="35"/>
  <c r="CX9" i="35"/>
  <c r="DZ9" i="35"/>
  <c r="ED9" i="35"/>
  <c r="EH9" i="35"/>
  <c r="FD9" i="35"/>
  <c r="FD8" i="35" s="1"/>
  <c r="AP15" i="35"/>
  <c r="BA15" i="35"/>
  <c r="BE15" i="35"/>
  <c r="BI15" i="35"/>
  <c r="CD15" i="35"/>
  <c r="CH15" i="35"/>
  <c r="CL15" i="35"/>
  <c r="CP15" i="35"/>
  <c r="DZ15" i="35"/>
  <c r="J26" i="35"/>
  <c r="N26" i="35"/>
  <c r="U26" i="35"/>
  <c r="AL26" i="35"/>
  <c r="AP26" i="35"/>
  <c r="AT26" i="35"/>
  <c r="AW26" i="35"/>
  <c r="BA26" i="35"/>
  <c r="BV26" i="35"/>
  <c r="BZ26" i="35"/>
  <c r="CD26" i="35"/>
  <c r="CO26" i="35"/>
  <c r="CS26" i="35"/>
  <c r="CW26" i="35"/>
  <c r="EI26" i="35"/>
  <c r="EM26" i="35"/>
  <c r="EQ26" i="35"/>
  <c r="FB26" i="35"/>
  <c r="FF26" i="35"/>
  <c r="FJ26" i="35"/>
  <c r="FN26" i="35"/>
  <c r="FR26" i="35"/>
  <c r="FU25" i="35"/>
  <c r="L32" i="35"/>
  <c r="P32" i="35"/>
  <c r="T32" i="35"/>
  <c r="EK32" i="35"/>
  <c r="EK25" i="35" s="1"/>
  <c r="EO32" i="35"/>
  <c r="ES32" i="35"/>
  <c r="EW32" i="35"/>
  <c r="EW25" i="35" s="1"/>
  <c r="FA32" i="35"/>
  <c r="FA25" i="35" s="1"/>
  <c r="FE32" i="35"/>
  <c r="FI32" i="35"/>
  <c r="X11" i="13"/>
  <c r="J2" i="10"/>
  <c r="K2" i="10" s="1"/>
  <c r="K15" i="10" s="1"/>
  <c r="K14" i="42" s="1"/>
  <c r="V15" i="35"/>
  <c r="AL15" i="35"/>
  <c r="BB15" i="35"/>
  <c r="BJ15" i="35"/>
  <c r="BZ15" i="35"/>
  <c r="DB15" i="35"/>
  <c r="M9" i="35"/>
  <c r="M8" i="35" s="1"/>
  <c r="Y9" i="35"/>
  <c r="AW9" i="35"/>
  <c r="BE9" i="35"/>
  <c r="BU9" i="35"/>
  <c r="BU8" i="35" s="1"/>
  <c r="DN9" i="35"/>
  <c r="DN8" i="35" s="1"/>
  <c r="EP9" i="35"/>
  <c r="ET9" i="35"/>
  <c r="FF9" i="35"/>
  <c r="FF8" i="35" s="1"/>
  <c r="G8" i="31"/>
  <c r="AH9" i="35"/>
  <c r="CT9" i="35"/>
  <c r="G11" i="35"/>
  <c r="EQ9" i="35"/>
  <c r="EY9" i="35"/>
  <c r="FC9" i="35"/>
  <c r="FC8" i="35" s="1"/>
  <c r="G12" i="35"/>
  <c r="G13" i="35"/>
  <c r="F17" i="35"/>
  <c r="AJ15" i="35"/>
  <c r="AN15" i="35"/>
  <c r="AR15" i="35"/>
  <c r="AV15" i="35"/>
  <c r="CJ15" i="35"/>
  <c r="CR15" i="35"/>
  <c r="CZ15" i="35"/>
  <c r="EW15" i="35"/>
  <c r="FA15" i="35"/>
  <c r="FM15" i="35"/>
  <c r="FM8" i="35" s="1"/>
  <c r="F19" i="35"/>
  <c r="O25" i="35"/>
  <c r="AQ9" i="35"/>
  <c r="BC9" i="35"/>
  <c r="BG9" i="35"/>
  <c r="BN15" i="35"/>
  <c r="DG15" i="35"/>
  <c r="DW15" i="35"/>
  <c r="FG15" i="35"/>
  <c r="AJ26" i="35"/>
  <c r="BS26" i="35"/>
  <c r="BW26" i="35"/>
  <c r="BW25" i="35" s="1"/>
  <c r="CA26" i="35"/>
  <c r="CA25" i="35" s="1"/>
  <c r="CE26" i="35"/>
  <c r="CE25" i="35" s="1"/>
  <c r="CI26" i="35"/>
  <c r="CU26" i="35"/>
  <c r="CU25" i="35" s="1"/>
  <c r="CY26" i="35"/>
  <c r="CY25" i="35" s="1"/>
  <c r="DC26" i="35"/>
  <c r="DC25" i="35" s="1"/>
  <c r="DL26" i="35"/>
  <c r="DL25" i="35" s="1"/>
  <c r="DP26" i="35"/>
  <c r="DP25" i="35" s="1"/>
  <c r="EB26" i="35"/>
  <c r="EB25" i="35" s="1"/>
  <c r="EF26" i="35"/>
  <c r="EF25" i="35" s="1"/>
  <c r="EJ26" i="35"/>
  <c r="EJ25" i="35" s="1"/>
  <c r="EN26" i="35"/>
  <c r="EN25" i="35" s="1"/>
  <c r="ER26" i="35"/>
  <c r="ER25" i="35" s="1"/>
  <c r="EV26" i="35"/>
  <c r="EV25" i="35" s="1"/>
  <c r="FH26" i="35"/>
  <c r="FH25" i="35" s="1"/>
  <c r="F29" i="35"/>
  <c r="F30" i="35"/>
  <c r="G30" i="35"/>
  <c r="F31" i="35"/>
  <c r="M32" i="35"/>
  <c r="BM32" i="35"/>
  <c r="BQ32" i="35"/>
  <c r="CC32" i="35"/>
  <c r="CG32" i="35"/>
  <c r="CS32" i="35"/>
  <c r="CW32" i="35"/>
  <c r="G34" i="35"/>
  <c r="EL32" i="35"/>
  <c r="EP32" i="35"/>
  <c r="FB32" i="35"/>
  <c r="FF32" i="35"/>
  <c r="G37" i="35"/>
  <c r="C31" i="11"/>
  <c r="C21" i="11"/>
  <c r="F24" i="11"/>
  <c r="F22" i="11"/>
  <c r="V6" i="13"/>
  <c r="Y6" i="13" s="1"/>
  <c r="AP9" i="35"/>
  <c r="BM9" i="35"/>
  <c r="DJ9" i="35"/>
  <c r="FB9" i="35"/>
  <c r="FU8" i="35"/>
  <c r="T15" i="35"/>
  <c r="AF15" i="35"/>
  <c r="BD15" i="35"/>
  <c r="CB15" i="35"/>
  <c r="CM26" i="35"/>
  <c r="CM25" i="35" s="1"/>
  <c r="EZ26" i="35"/>
  <c r="EZ25" i="35" s="1"/>
  <c r="FD26" i="35"/>
  <c r="FD25" i="35" s="1"/>
  <c r="AS9" i="35"/>
  <c r="BI9" i="35"/>
  <c r="H15" i="10"/>
  <c r="H14" i="42" s="1"/>
  <c r="G15" i="10"/>
  <c r="G27" i="35"/>
  <c r="AT9" i="35"/>
  <c r="BF9" i="35"/>
  <c r="BJ9" i="35"/>
  <c r="BZ9" i="35"/>
  <c r="CC9" i="35"/>
  <c r="CC8" i="35" s="1"/>
  <c r="EI9" i="35"/>
  <c r="EL9" i="35"/>
  <c r="AM9" i="35"/>
  <c r="BS9" i="35"/>
  <c r="P15" i="35"/>
  <c r="X15" i="35"/>
  <c r="AZ15" i="35"/>
  <c r="CF15" i="35"/>
  <c r="CV15" i="35"/>
  <c r="ES15" i="35"/>
  <c r="FE15" i="35"/>
  <c r="FI15" i="35"/>
  <c r="G20" i="35"/>
  <c r="K26" i="35"/>
  <c r="K25" i="35" s="1"/>
  <c r="CQ26" i="35"/>
  <c r="CQ25" i="35" s="1"/>
  <c r="DT26" i="35"/>
  <c r="DT25" i="35" s="1"/>
  <c r="DX26" i="35"/>
  <c r="DX25" i="35" s="1"/>
  <c r="K9" i="35"/>
  <c r="N9" i="35"/>
  <c r="Q9" i="35"/>
  <c r="BN9" i="35"/>
  <c r="CA9" i="35"/>
  <c r="CW9" i="35"/>
  <c r="DK9" i="35"/>
  <c r="DO9" i="35"/>
  <c r="DT9" i="35"/>
  <c r="EJ9" i="35"/>
  <c r="EJ8" i="35" s="1"/>
  <c r="EM9" i="35"/>
  <c r="FK9" i="35"/>
  <c r="FK8" i="35" s="1"/>
  <c r="R15" i="35"/>
  <c r="DO15" i="35"/>
  <c r="FO15" i="35"/>
  <c r="FO8" i="35" s="1"/>
  <c r="W26" i="35"/>
  <c r="AM26" i="35"/>
  <c r="BC26" i="35"/>
  <c r="C30" i="11"/>
  <c r="P30" i="42"/>
  <c r="R30" i="42" s="1"/>
  <c r="CK9" i="35"/>
  <c r="DA9" i="35"/>
  <c r="DA8" i="35" s="1"/>
  <c r="EX9" i="35"/>
  <c r="F12" i="35"/>
  <c r="F13" i="35"/>
  <c r="G14" i="35"/>
  <c r="AD15" i="35"/>
  <c r="AT15" i="35"/>
  <c r="FM25" i="35"/>
  <c r="B47" i="42"/>
  <c r="D47" i="42" s="1"/>
  <c r="F7" i="10"/>
  <c r="T7" i="10" s="1"/>
  <c r="P41" i="10" s="1"/>
  <c r="R41" i="10" s="1"/>
  <c r="B34" i="10"/>
  <c r="D34" i="10" s="1"/>
  <c r="Y7" i="13"/>
  <c r="DV32" i="35"/>
  <c r="DZ32" i="35"/>
  <c r="FR32" i="35"/>
  <c r="P24" i="10"/>
  <c r="R24" i="10" s="1"/>
  <c r="P38" i="10"/>
  <c r="R38" i="10" s="1"/>
  <c r="N48" i="42"/>
  <c r="O9" i="35"/>
  <c r="BK9" i="35"/>
  <c r="CE9" i="35"/>
  <c r="CH9" i="35"/>
  <c r="CL9" i="35"/>
  <c r="CP9" i="35"/>
  <c r="CU9" i="35"/>
  <c r="DC9" i="35"/>
  <c r="EB9" i="35"/>
  <c r="EF9" i="35"/>
  <c r="EF8" i="35" s="1"/>
  <c r="EZ9" i="35"/>
  <c r="EZ8" i="35" s="1"/>
  <c r="FL9" i="35"/>
  <c r="FL8" i="35" s="1"/>
  <c r="FR9" i="35"/>
  <c r="FR8" i="35" s="1"/>
  <c r="U15" i="35"/>
  <c r="Y15" i="35"/>
  <c r="BM15" i="35"/>
  <c r="BQ15" i="35"/>
  <c r="ED15" i="35"/>
  <c r="ET15" i="35"/>
  <c r="FJ15" i="35"/>
  <c r="FJ8" i="35" s="1"/>
  <c r="CA15" i="35"/>
  <c r="CE15" i="35"/>
  <c r="CI15" i="35"/>
  <c r="CM15" i="35"/>
  <c r="CQ15" i="35"/>
  <c r="CU15" i="35"/>
  <c r="CY15" i="35"/>
  <c r="DC15" i="35"/>
  <c r="BR26" i="35"/>
  <c r="CB26" i="35"/>
  <c r="CH26" i="35"/>
  <c r="CR26" i="35"/>
  <c r="CX26" i="35"/>
  <c r="DI26" i="35"/>
  <c r="DI25" i="35" s="1"/>
  <c r="DO26" i="35"/>
  <c r="DY26" i="35"/>
  <c r="EE26" i="35"/>
  <c r="EO26" i="35"/>
  <c r="EU26" i="35"/>
  <c r="FE26" i="35"/>
  <c r="S32" i="35"/>
  <c r="AE32" i="35"/>
  <c r="AE25" i="35" s="1"/>
  <c r="BS32" i="35"/>
  <c r="U15" i="10"/>
  <c r="CF26" i="35"/>
  <c r="CV26" i="35"/>
  <c r="DM26" i="35"/>
  <c r="EC26" i="35"/>
  <c r="ES26" i="35"/>
  <c r="FI26" i="35"/>
  <c r="W2" i="10"/>
  <c r="X2" i="10" s="1"/>
  <c r="T15" i="10"/>
  <c r="AA32" i="35"/>
  <c r="AI32" i="35"/>
  <c r="AQ32" i="35"/>
  <c r="AY32" i="35"/>
  <c r="DR32" i="35"/>
  <c r="X12" i="13"/>
  <c r="F36" i="11"/>
  <c r="G36" i="11" s="1"/>
  <c r="E19" i="23"/>
  <c r="E15" i="23"/>
  <c r="DU32" i="35"/>
  <c r="DU25" i="35" s="1"/>
  <c r="G33" i="35"/>
  <c r="T6" i="10"/>
  <c r="D24" i="11"/>
  <c r="D22" i="11"/>
  <c r="F10" i="35"/>
  <c r="T9" i="35"/>
  <c r="BT15" i="35"/>
  <c r="CN15" i="35"/>
  <c r="DD15" i="35"/>
  <c r="BK25" i="35"/>
  <c r="D16" i="42"/>
  <c r="F28" i="35"/>
  <c r="AC9" i="35"/>
  <c r="AK9" i="35"/>
  <c r="BA9" i="35"/>
  <c r="F14" i="35"/>
  <c r="BH15" i="35"/>
  <c r="G16" i="35"/>
  <c r="DU15" i="35"/>
  <c r="EG15" i="35"/>
  <c r="EM15" i="35"/>
  <c r="S26" i="35"/>
  <c r="AA26" i="35"/>
  <c r="AI26" i="35"/>
  <c r="AQ26" i="35"/>
  <c r="AY26" i="35"/>
  <c r="BG26" i="35"/>
  <c r="BG25" i="35" s="1"/>
  <c r="BO26" i="35"/>
  <c r="BO25" i="35" s="1"/>
  <c r="U32" i="35"/>
  <c r="F33" i="35"/>
  <c r="AC32" i="35"/>
  <c r="AK32" i="35"/>
  <c r="AS32" i="35"/>
  <c r="BA32" i="35"/>
  <c r="BI32" i="35"/>
  <c r="L15" i="35"/>
  <c r="BX15" i="35"/>
  <c r="DQ15" i="35"/>
  <c r="EK15" i="35"/>
  <c r="EK8" i="35" s="1"/>
  <c r="G28" i="35"/>
  <c r="DH26" i="35"/>
  <c r="B41" i="10"/>
  <c r="D41" i="10" s="1"/>
  <c r="F7" i="42"/>
  <c r="T7" i="42" s="1"/>
  <c r="B40" i="42"/>
  <c r="B19" i="42"/>
  <c r="B20" i="10"/>
  <c r="F16" i="35"/>
  <c r="BQ9" i="35"/>
  <c r="DG9" i="35"/>
  <c r="G10" i="35"/>
  <c r="FN9" i="35"/>
  <c r="FN8" i="35" s="1"/>
  <c r="BP15" i="35"/>
  <c r="DI15" i="35"/>
  <c r="EC15" i="35"/>
  <c r="EO15" i="35"/>
  <c r="FQ15" i="35"/>
  <c r="FQ8" i="35" s="1"/>
  <c r="G17" i="35"/>
  <c r="F18" i="35"/>
  <c r="G18" i="35"/>
  <c r="G19" i="35"/>
  <c r="F20" i="35"/>
  <c r="DG24" i="35"/>
  <c r="K24" i="35"/>
  <c r="ET32" i="35"/>
  <c r="U9" i="35"/>
  <c r="CG9" i="35"/>
  <c r="DV9" i="35"/>
  <c r="FH9" i="35"/>
  <c r="FH8" i="35" s="1"/>
  <c r="FP9" i="35"/>
  <c r="FP8" i="35" s="1"/>
  <c r="N15" i="35"/>
  <c r="DK15" i="35"/>
  <c r="DS15" i="35"/>
  <c r="EA15" i="35"/>
  <c r="EI15" i="35"/>
  <c r="EQ15" i="35"/>
  <c r="FP26" i="35"/>
  <c r="FP25" i="35" s="1"/>
  <c r="BU32" i="35"/>
  <c r="DE32" i="35"/>
  <c r="ED32" i="35"/>
  <c r="FN32" i="35"/>
  <c r="FL26" i="35"/>
  <c r="FL25" i="35" s="1"/>
  <c r="FT26" i="35"/>
  <c r="FT25" i="35" s="1"/>
  <c r="BY32" i="35"/>
  <c r="DA32" i="35"/>
  <c r="EH32" i="35"/>
  <c r="FJ32" i="35"/>
  <c r="Q32" i="35"/>
  <c r="Y32" i="35"/>
  <c r="AG32" i="35"/>
  <c r="AO32" i="35"/>
  <c r="AW32" i="35"/>
  <c r="BE32" i="35"/>
  <c r="CO32" i="35"/>
  <c r="DN32" i="35"/>
  <c r="DN25" i="35" s="1"/>
  <c r="EX32" i="35"/>
  <c r="P16" i="42"/>
  <c r="R16" i="42" s="1"/>
  <c r="P37" i="42"/>
  <c r="P23" i="42"/>
  <c r="R23" i="42" s="1"/>
  <c r="U6" i="13"/>
  <c r="P17" i="10"/>
  <c r="R17" i="10" s="1"/>
  <c r="P31" i="10"/>
  <c r="R31" i="10" s="1"/>
  <c r="P17" i="42"/>
  <c r="R17" i="42" s="1"/>
  <c r="N46" i="42"/>
  <c r="P24" i="42"/>
  <c r="R24" i="42" s="1"/>
  <c r="P38" i="42"/>
  <c r="X13" i="13"/>
  <c r="X14" i="13"/>
  <c r="C19" i="11"/>
  <c r="C33" i="11"/>
  <c r="C18" i="11"/>
  <c r="D36" i="11"/>
  <c r="E36" i="11" s="1"/>
  <c r="X9" i="13"/>
  <c r="C42" i="11"/>
  <c r="N4" i="68" l="1"/>
  <c r="N8" i="68" s="1"/>
  <c r="N4" i="69"/>
  <c r="N8" i="69" s="1"/>
  <c r="N4" i="47"/>
  <c r="N8" i="47" s="1"/>
  <c r="N4" i="66"/>
  <c r="N8" i="66" s="1"/>
  <c r="N4" i="64"/>
  <c r="N8" i="64" s="1"/>
  <c r="N4" i="63"/>
  <c r="N8" i="63" s="1"/>
  <c r="N4" i="65"/>
  <c r="N8" i="65" s="1"/>
  <c r="N4" i="62"/>
  <c r="N8" i="62" s="1"/>
  <c r="N8" i="46"/>
  <c r="O4" i="46"/>
  <c r="O4" i="69" s="1"/>
  <c r="O8" i="69" s="1"/>
  <c r="CJ8" i="35"/>
  <c r="CI25" i="35"/>
  <c r="EA25" i="35"/>
  <c r="N8" i="35"/>
  <c r="O8" i="46"/>
  <c r="P21" i="46"/>
  <c r="K8" i="35"/>
  <c r="AN8" i="35"/>
  <c r="BV8" i="35"/>
  <c r="EW8" i="35"/>
  <c r="C17" i="11"/>
  <c r="C25" i="11" s="1"/>
  <c r="AD11" i="8"/>
  <c r="AD15" i="8"/>
  <c r="AD19" i="8"/>
  <c r="AD23" i="8"/>
  <c r="AD27" i="8"/>
  <c r="AD31" i="8"/>
  <c r="AD5" i="8"/>
  <c r="AD6" i="8"/>
  <c r="AD8" i="8"/>
  <c r="AD10" i="8"/>
  <c r="AD12" i="8"/>
  <c r="AD14" i="8"/>
  <c r="AD16" i="8"/>
  <c r="AD18" i="8"/>
  <c r="AD20" i="8"/>
  <c r="AD22" i="8"/>
  <c r="AD24" i="8"/>
  <c r="AD26" i="8"/>
  <c r="AD28" i="8"/>
  <c r="AD30" i="8"/>
  <c r="AD32" i="8"/>
  <c r="AD34" i="8"/>
  <c r="AD7" i="8"/>
  <c r="AD9" i="8"/>
  <c r="AD13" i="8"/>
  <c r="AD17" i="8"/>
  <c r="AD21" i="8"/>
  <c r="AD25" i="8"/>
  <c r="AD29" i="8"/>
  <c r="AD33" i="8"/>
  <c r="L8" i="8"/>
  <c r="L6" i="8"/>
  <c r="L34" i="8"/>
  <c r="L32" i="8"/>
  <c r="L30" i="8"/>
  <c r="L28" i="8"/>
  <c r="L26" i="8"/>
  <c r="L24" i="8"/>
  <c r="L22" i="8"/>
  <c r="L20" i="8"/>
  <c r="L18" i="8"/>
  <c r="L16" i="8"/>
  <c r="L14" i="8"/>
  <c r="L12" i="8"/>
  <c r="L10" i="8"/>
  <c r="L7" i="8"/>
  <c r="L5" i="8"/>
  <c r="L33" i="8"/>
  <c r="L31" i="8"/>
  <c r="L29" i="8"/>
  <c r="L27" i="8"/>
  <c r="L25" i="8"/>
  <c r="L23" i="8"/>
  <c r="L21" i="8"/>
  <c r="L19" i="8"/>
  <c r="L17" i="8"/>
  <c r="L15" i="8"/>
  <c r="L13" i="8"/>
  <c r="L11" i="8"/>
  <c r="L9" i="8"/>
  <c r="BH25" i="35"/>
  <c r="BS8" i="35"/>
  <c r="AR25" i="35"/>
  <c r="CZ25" i="35"/>
  <c r="X25" i="35"/>
  <c r="FE8" i="35"/>
  <c r="AV8" i="35"/>
  <c r="AJ8" i="35"/>
  <c r="W25" i="35"/>
  <c r="DY25" i="35"/>
  <c r="EY8" i="35"/>
  <c r="EX8" i="35"/>
  <c r="BJ8" i="35"/>
  <c r="BI8" i="35"/>
  <c r="M25" i="35"/>
  <c r="EC8" i="35"/>
  <c r="CG8" i="35"/>
  <c r="CF8" i="35"/>
  <c r="P8" i="35"/>
  <c r="BB8" i="35"/>
  <c r="CW25" i="35"/>
  <c r="EU8" i="35"/>
  <c r="CY8" i="35"/>
  <c r="CV8" i="35"/>
  <c r="DJ8" i="35"/>
  <c r="Q25" i="35"/>
  <c r="ET25" i="35"/>
  <c r="BP8" i="35"/>
  <c r="BQ8" i="35"/>
  <c r="BI25" i="35"/>
  <c r="AC25" i="35"/>
  <c r="CP8" i="35"/>
  <c r="DT8" i="35"/>
  <c r="DB8" i="35"/>
  <c r="CZ8" i="35"/>
  <c r="DM25" i="35"/>
  <c r="EE25" i="35"/>
  <c r="CX25" i="35"/>
  <c r="BR25" i="35"/>
  <c r="BK8" i="35"/>
  <c r="DK25" i="35"/>
  <c r="CB25" i="35"/>
  <c r="Y25" i="35"/>
  <c r="DE25" i="35"/>
  <c r="DR25" i="35"/>
  <c r="ES25" i="35"/>
  <c r="CL8" i="35"/>
  <c r="FR25" i="35"/>
  <c r="CD25" i="35"/>
  <c r="BY8" i="35"/>
  <c r="BR8" i="35"/>
  <c r="DS25" i="35"/>
  <c r="DB25" i="35"/>
  <c r="AB25" i="35"/>
  <c r="DJ25" i="35"/>
  <c r="EX25" i="35"/>
  <c r="CQ8" i="35"/>
  <c r="CB8" i="35"/>
  <c r="DY8" i="35"/>
  <c r="DP8" i="35"/>
  <c r="AX25" i="35"/>
  <c r="Z8" i="35"/>
  <c r="O8" i="35"/>
  <c r="AB8" i="35"/>
  <c r="AX8" i="35"/>
  <c r="FN25" i="35"/>
  <c r="DH7" i="35"/>
  <c r="AC8" i="35"/>
  <c r="CR8" i="35"/>
  <c r="EI25" i="35"/>
  <c r="CL25" i="35"/>
  <c r="T25" i="35"/>
  <c r="AN25" i="35"/>
  <c r="BF8" i="35"/>
  <c r="AF8" i="35"/>
  <c r="AG8" i="35"/>
  <c r="BP25" i="35"/>
  <c r="BF25" i="35"/>
  <c r="AY8" i="35"/>
  <c r="AI8" i="35"/>
  <c r="S8" i="35"/>
  <c r="AS8" i="35"/>
  <c r="BY25" i="35"/>
  <c r="ED25" i="35"/>
  <c r="DV8" i="35"/>
  <c r="BX8" i="35"/>
  <c r="AK25" i="35"/>
  <c r="EG8" i="35"/>
  <c r="BT8" i="35"/>
  <c r="FI25" i="35"/>
  <c r="BD8" i="35"/>
  <c r="FB8" i="35"/>
  <c r="BQ25" i="35"/>
  <c r="AJ25" i="35"/>
  <c r="J25" i="35"/>
  <c r="CK25" i="35"/>
  <c r="CT25" i="35"/>
  <c r="Z25" i="35"/>
  <c r="CO8" i="35"/>
  <c r="EA8" i="35"/>
  <c r="M32" i="10"/>
  <c r="DD8" i="35"/>
  <c r="EO8" i="35"/>
  <c r="DQ8" i="35"/>
  <c r="U25" i="35"/>
  <c r="CI8" i="35"/>
  <c r="ET8" i="35"/>
  <c r="BC25" i="35"/>
  <c r="Q8" i="35"/>
  <c r="X8" i="35"/>
  <c r="AH8" i="35"/>
  <c r="EQ25" i="35"/>
  <c r="AP25" i="35"/>
  <c r="N25" i="35"/>
  <c r="EH8" i="35"/>
  <c r="AD25" i="35"/>
  <c r="CF25" i="35"/>
  <c r="FG25" i="35"/>
  <c r="DH8" i="35"/>
  <c r="AU8" i="35"/>
  <c r="DZ8" i="35"/>
  <c r="AS25" i="35"/>
  <c r="BH8" i="35"/>
  <c r="EC25" i="35"/>
  <c r="FE25" i="35"/>
  <c r="EB8" i="35"/>
  <c r="FI8" i="35"/>
  <c r="AM8" i="35"/>
  <c r="BZ8" i="35"/>
  <c r="AP8" i="35"/>
  <c r="CC25" i="35"/>
  <c r="BC8" i="35"/>
  <c r="AT25" i="35"/>
  <c r="CX8" i="35"/>
  <c r="DL8" i="35"/>
  <c r="AZ25" i="35"/>
  <c r="W8" i="35"/>
  <c r="AV25" i="35"/>
  <c r="AW25" i="35"/>
  <c r="EH25" i="35"/>
  <c r="BU25" i="35"/>
  <c r="AA25" i="35"/>
  <c r="DU8" i="35"/>
  <c r="CN8" i="35"/>
  <c r="EO25" i="35"/>
  <c r="Y8" i="35"/>
  <c r="ES8" i="35"/>
  <c r="AZ8" i="35"/>
  <c r="EP25" i="35"/>
  <c r="CS25" i="35"/>
  <c r="FG8" i="35"/>
  <c r="AR8" i="35"/>
  <c r="EM25" i="35"/>
  <c r="AL25" i="35"/>
  <c r="DM8" i="35"/>
  <c r="AE8" i="35"/>
  <c r="BN8" i="35"/>
  <c r="V8" i="35"/>
  <c r="BM25" i="35"/>
  <c r="AL8" i="35"/>
  <c r="BW8" i="35"/>
  <c r="DG25" i="35"/>
  <c r="BT25" i="35"/>
  <c r="EE8" i="35"/>
  <c r="P27" i="10"/>
  <c r="R27" i="10" s="1"/>
  <c r="BL25" i="35"/>
  <c r="J8" i="35"/>
  <c r="DE8" i="35"/>
  <c r="BN25" i="35"/>
  <c r="FJ25" i="35"/>
  <c r="AI25" i="35"/>
  <c r="AM25" i="35"/>
  <c r="FB25" i="35"/>
  <c r="AQ8" i="35"/>
  <c r="FA8" i="35"/>
  <c r="FT3" i="13"/>
  <c r="P25" i="35"/>
  <c r="BV25" i="35"/>
  <c r="DX8" i="35"/>
  <c r="AA8" i="35"/>
  <c r="BH3" i="13"/>
  <c r="FU3" i="13"/>
  <c r="AO25" i="35"/>
  <c r="DA25" i="35"/>
  <c r="EL8" i="35"/>
  <c r="BG8" i="35"/>
  <c r="FS3" i="13"/>
  <c r="FC25" i="35"/>
  <c r="BO8" i="35"/>
  <c r="BB25" i="35"/>
  <c r="AF25" i="35"/>
  <c r="I41" i="42"/>
  <c r="CV25" i="35"/>
  <c r="BZ25" i="35"/>
  <c r="DW25" i="35"/>
  <c r="CN25" i="35"/>
  <c r="EY25" i="35"/>
  <c r="DD25" i="35"/>
  <c r="BX25" i="35"/>
  <c r="AG25" i="35"/>
  <c r="DS8" i="35"/>
  <c r="N31" i="10"/>
  <c r="AT8" i="35"/>
  <c r="CK8" i="35"/>
  <c r="FF25" i="35"/>
  <c r="BE8" i="35"/>
  <c r="CP25" i="35"/>
  <c r="CJ25" i="35"/>
  <c r="BJ25" i="35"/>
  <c r="DW8" i="35"/>
  <c r="CS8" i="35"/>
  <c r="AH25" i="35"/>
  <c r="BE25" i="35"/>
  <c r="EU25" i="35"/>
  <c r="DO25" i="35"/>
  <c r="CH25" i="35"/>
  <c r="AD8" i="35"/>
  <c r="AW8" i="35"/>
  <c r="BA8" i="35"/>
  <c r="DV25" i="35"/>
  <c r="L25" i="35"/>
  <c r="CT8" i="35"/>
  <c r="CO25" i="35"/>
  <c r="BA25" i="35"/>
  <c r="P20" i="10"/>
  <c r="R20" i="10" s="1"/>
  <c r="ED8" i="35"/>
  <c r="CW8" i="35"/>
  <c r="V2" i="42"/>
  <c r="U14" i="42"/>
  <c r="CD8" i="35"/>
  <c r="P34" i="10"/>
  <c r="R34" i="10" s="1"/>
  <c r="CR25" i="35"/>
  <c r="CM8" i="35"/>
  <c r="R8" i="35"/>
  <c r="EP8" i="35"/>
  <c r="AK8" i="35"/>
  <c r="BS25" i="35"/>
  <c r="CH8" i="35"/>
  <c r="DZ25" i="35"/>
  <c r="EL25" i="35"/>
  <c r="CG25" i="35"/>
  <c r="EQ8" i="35"/>
  <c r="AB31" i="10"/>
  <c r="EI8" i="35"/>
  <c r="E39" i="42"/>
  <c r="AY25" i="35"/>
  <c r="EM8" i="35"/>
  <c r="J15" i="10"/>
  <c r="J14" i="42" s="1"/>
  <c r="N38" i="42"/>
  <c r="W15" i="10"/>
  <c r="DK8" i="35"/>
  <c r="I39" i="42"/>
  <c r="M38" i="42"/>
  <c r="CU8" i="35"/>
  <c r="CE8" i="35"/>
  <c r="DO8" i="35"/>
  <c r="L15" i="10"/>
  <c r="L14" i="42" s="1"/>
  <c r="G14" i="42"/>
  <c r="N39" i="42"/>
  <c r="S25" i="35"/>
  <c r="T8" i="35"/>
  <c r="BM8" i="35"/>
  <c r="U8" i="35"/>
  <c r="G15" i="35"/>
  <c r="M41" i="42"/>
  <c r="AQ25" i="35"/>
  <c r="DC8" i="35"/>
  <c r="CA8" i="35"/>
  <c r="D40" i="42"/>
  <c r="L8" i="35"/>
  <c r="F15" i="35"/>
  <c r="F32" i="35"/>
  <c r="DI8" i="35"/>
  <c r="G32" i="35"/>
  <c r="F9" i="35"/>
  <c r="U5" i="13"/>
  <c r="R38" i="42"/>
  <c r="G41" i="42"/>
  <c r="P33" i="42"/>
  <c r="R33" i="42" s="1"/>
  <c r="P19" i="42"/>
  <c r="R19" i="42" s="1"/>
  <c r="P47" i="42"/>
  <c r="R47" i="42" s="1"/>
  <c r="P40" i="42"/>
  <c r="P26" i="42"/>
  <c r="R26" i="42" s="1"/>
  <c r="J41" i="42"/>
  <c r="N41" i="42"/>
  <c r="G39" i="42"/>
  <c r="R37" i="42"/>
  <c r="M7" i="35"/>
  <c r="DI7" i="35"/>
  <c r="M37" i="42"/>
  <c r="AB32" i="10"/>
  <c r="D20" i="10"/>
  <c r="N32" i="10"/>
  <c r="AA32" i="10"/>
  <c r="AA31" i="10"/>
  <c r="DH25" i="35"/>
  <c r="G26" i="35"/>
  <c r="K39" i="42"/>
  <c r="F41" i="42"/>
  <c r="M31" i="10"/>
  <c r="L39" i="42"/>
  <c r="F26" i="35"/>
  <c r="P39" i="10"/>
  <c r="R39" i="10" s="1"/>
  <c r="P32" i="10"/>
  <c r="R32" i="10" s="1"/>
  <c r="P18" i="10"/>
  <c r="R18" i="10" s="1"/>
  <c r="P25" i="10"/>
  <c r="R25" i="10" s="1"/>
  <c r="X6" i="13"/>
  <c r="X15" i="10"/>
  <c r="Y2" i="10"/>
  <c r="DG8" i="35"/>
  <c r="G9" i="35"/>
  <c r="V5" i="13"/>
  <c r="C29" i="11"/>
  <c r="C37" i="11" s="1"/>
  <c r="I37" i="11" s="1"/>
  <c r="DH24" i="35"/>
  <c r="L24" i="35"/>
  <c r="D19" i="42"/>
  <c r="F39" i="42"/>
  <c r="H39" i="42"/>
  <c r="M39" i="42"/>
  <c r="N37" i="42"/>
  <c r="L41" i="42"/>
  <c r="J39" i="42"/>
  <c r="H41" i="42"/>
  <c r="E41" i="42"/>
  <c r="K41" i="42"/>
  <c r="P4" i="46" l="1"/>
  <c r="P4" i="62" s="1"/>
  <c r="P8" i="62" s="1"/>
  <c r="O4" i="68"/>
  <c r="O8" i="68" s="1"/>
  <c r="P4" i="63"/>
  <c r="P8" i="63" s="1"/>
  <c r="P4" i="64"/>
  <c r="P8" i="64" s="1"/>
  <c r="O4" i="47"/>
  <c r="O8" i="47" s="1"/>
  <c r="O4" i="66"/>
  <c r="O8" i="66" s="1"/>
  <c r="O4" i="64"/>
  <c r="O8" i="64" s="1"/>
  <c r="O4" i="63"/>
  <c r="O8" i="63" s="1"/>
  <c r="O4" i="62"/>
  <c r="O8" i="62" s="1"/>
  <c r="O4" i="65"/>
  <c r="O8" i="65" s="1"/>
  <c r="H37" i="11"/>
  <c r="Q21" i="46"/>
  <c r="Y5" i="13"/>
  <c r="C16" i="11" s="1"/>
  <c r="C20" i="11" s="1"/>
  <c r="C22" i="11" s="1"/>
  <c r="AC6" i="8"/>
  <c r="AB6" i="8" s="1"/>
  <c r="AC8" i="8"/>
  <c r="AB8" i="8" s="1"/>
  <c r="AC10" i="8"/>
  <c r="AB10" i="8" s="1"/>
  <c r="AC12" i="8"/>
  <c r="AB12" i="8" s="1"/>
  <c r="AC14" i="8"/>
  <c r="AB14" i="8" s="1"/>
  <c r="AC16" i="8"/>
  <c r="AB16" i="8" s="1"/>
  <c r="AC18" i="8"/>
  <c r="AB18" i="8" s="1"/>
  <c r="AC20" i="8"/>
  <c r="AB20" i="8" s="1"/>
  <c r="AC22" i="8"/>
  <c r="AB22" i="8" s="1"/>
  <c r="AC24" i="8"/>
  <c r="AB24" i="8" s="1"/>
  <c r="AC26" i="8"/>
  <c r="AB26" i="8" s="1"/>
  <c r="AC28" i="8"/>
  <c r="AB28" i="8" s="1"/>
  <c r="AC30" i="8"/>
  <c r="AB30" i="8" s="1"/>
  <c r="AC32" i="8"/>
  <c r="AB32" i="8" s="1"/>
  <c r="AC34" i="8"/>
  <c r="AB34" i="8" s="1"/>
  <c r="AC11" i="8"/>
  <c r="AB11" i="8" s="1"/>
  <c r="AC15" i="8"/>
  <c r="AB15" i="8" s="1"/>
  <c r="AA15" i="8" s="1"/>
  <c r="AC17" i="8"/>
  <c r="AB17" i="8" s="1"/>
  <c r="AC19" i="8"/>
  <c r="AB19" i="8" s="1"/>
  <c r="AA19" i="8" s="1"/>
  <c r="AC23" i="8"/>
  <c r="AB23" i="8" s="1"/>
  <c r="AC27" i="8"/>
  <c r="AB27" i="8" s="1"/>
  <c r="AC31" i="8"/>
  <c r="AB31" i="8" s="1"/>
  <c r="AC5" i="8"/>
  <c r="AB5" i="8" s="1"/>
  <c r="AC7" i="8"/>
  <c r="AB7" i="8" s="1"/>
  <c r="AC9" i="8"/>
  <c r="AB9" i="8" s="1"/>
  <c r="AC13" i="8"/>
  <c r="AB13" i="8" s="1"/>
  <c r="AC21" i="8"/>
  <c r="AB21" i="8" s="1"/>
  <c r="AC25" i="8"/>
  <c r="AB25" i="8" s="1"/>
  <c r="AC29" i="8"/>
  <c r="AB29" i="8" s="1"/>
  <c r="AC33" i="8"/>
  <c r="AB33" i="8" s="1"/>
  <c r="AA33" i="8" s="1"/>
  <c r="AM5" i="8"/>
  <c r="AM11" i="8"/>
  <c r="AM15" i="8"/>
  <c r="AM19" i="8"/>
  <c r="AM23" i="8"/>
  <c r="AM25" i="8"/>
  <c r="AM29" i="8"/>
  <c r="AM33" i="8"/>
  <c r="AM6" i="8"/>
  <c r="AM8" i="8"/>
  <c r="AM10" i="8"/>
  <c r="AM12" i="8"/>
  <c r="AM14" i="8"/>
  <c r="AM16" i="8"/>
  <c r="AM18" i="8"/>
  <c r="AM20" i="8"/>
  <c r="AM22" i="8"/>
  <c r="AM24" i="8"/>
  <c r="AM26" i="8"/>
  <c r="AM28" i="8"/>
  <c r="AM30" i="8"/>
  <c r="AM32" i="8"/>
  <c r="AM34" i="8"/>
  <c r="AM7" i="8"/>
  <c r="AM9" i="8"/>
  <c r="AM13" i="8"/>
  <c r="AM17" i="8"/>
  <c r="AM21" i="8"/>
  <c r="AM27" i="8"/>
  <c r="AM31" i="8"/>
  <c r="U6" i="8"/>
  <c r="U8" i="8"/>
  <c r="U10" i="8"/>
  <c r="U12" i="8"/>
  <c r="U14" i="8"/>
  <c r="U16" i="8"/>
  <c r="U18" i="8"/>
  <c r="U20" i="8"/>
  <c r="U22" i="8"/>
  <c r="U24" i="8"/>
  <c r="U26" i="8"/>
  <c r="U28" i="8"/>
  <c r="U30" i="8"/>
  <c r="U32" i="8"/>
  <c r="U34" i="8"/>
  <c r="U7" i="8"/>
  <c r="U9" i="8"/>
  <c r="U11" i="8"/>
  <c r="U13" i="8"/>
  <c r="U15" i="8"/>
  <c r="U17" i="8"/>
  <c r="U19" i="8"/>
  <c r="U21" i="8"/>
  <c r="U23" i="8"/>
  <c r="U25" i="8"/>
  <c r="U27" i="8"/>
  <c r="U29" i="8"/>
  <c r="U31" i="8"/>
  <c r="U33" i="8"/>
  <c r="U5" i="8"/>
  <c r="K8" i="8"/>
  <c r="J8" i="8" s="1"/>
  <c r="K6" i="8"/>
  <c r="J6" i="8" s="1"/>
  <c r="K34" i="8"/>
  <c r="J34" i="8" s="1"/>
  <c r="K32" i="8"/>
  <c r="J32" i="8" s="1"/>
  <c r="K30" i="8"/>
  <c r="J30" i="8" s="1"/>
  <c r="K28" i="8"/>
  <c r="J28" i="8" s="1"/>
  <c r="K26" i="8"/>
  <c r="J26" i="8" s="1"/>
  <c r="K24" i="8"/>
  <c r="J24" i="8" s="1"/>
  <c r="K22" i="8"/>
  <c r="J22" i="8" s="1"/>
  <c r="K20" i="8"/>
  <c r="J20" i="8" s="1"/>
  <c r="K18" i="8"/>
  <c r="J18" i="8" s="1"/>
  <c r="K16" i="8"/>
  <c r="J16" i="8" s="1"/>
  <c r="K14" i="8"/>
  <c r="J14" i="8" s="1"/>
  <c r="K12" i="8"/>
  <c r="J12" i="8" s="1"/>
  <c r="K10" i="8"/>
  <c r="J10" i="8" s="1"/>
  <c r="K7" i="8"/>
  <c r="J7" i="8" s="1"/>
  <c r="K5" i="8"/>
  <c r="J5" i="8" s="1"/>
  <c r="K33" i="8"/>
  <c r="J33" i="8" s="1"/>
  <c r="K31" i="8"/>
  <c r="J31" i="8" s="1"/>
  <c r="K29" i="8"/>
  <c r="J29" i="8" s="1"/>
  <c r="K27" i="8"/>
  <c r="J27" i="8" s="1"/>
  <c r="K25" i="8"/>
  <c r="J25" i="8" s="1"/>
  <c r="K23" i="8"/>
  <c r="J23" i="8" s="1"/>
  <c r="K21" i="8"/>
  <c r="J21" i="8" s="1"/>
  <c r="K19" i="8"/>
  <c r="J19" i="8" s="1"/>
  <c r="K17" i="8"/>
  <c r="J17" i="8" s="1"/>
  <c r="K15" i="8"/>
  <c r="J15" i="8" s="1"/>
  <c r="K13" i="8"/>
  <c r="J13" i="8" s="1"/>
  <c r="K11" i="8"/>
  <c r="J11" i="8" s="1"/>
  <c r="K9" i="8"/>
  <c r="J9" i="8" s="1"/>
  <c r="W15" i="13"/>
  <c r="W14" i="13"/>
  <c r="W11" i="13"/>
  <c r="W8" i="13"/>
  <c r="W7" i="13"/>
  <c r="W9" i="13"/>
  <c r="W12" i="13"/>
  <c r="W10" i="13"/>
  <c r="W4" i="13"/>
  <c r="W13" i="13"/>
  <c r="W6" i="13"/>
  <c r="M35" i="10"/>
  <c r="N33" i="10"/>
  <c r="G25" i="35"/>
  <c r="F25" i="35"/>
  <c r="FV3" i="13"/>
  <c r="BI3" i="13"/>
  <c r="F8" i="35"/>
  <c r="G8" i="35"/>
  <c r="V14" i="42"/>
  <c r="W2" i="42"/>
  <c r="AB33" i="10"/>
  <c r="AA33" i="10"/>
  <c r="C24" i="11"/>
  <c r="N35" i="10"/>
  <c r="M24" i="35"/>
  <c r="DI24" i="35"/>
  <c r="N7" i="35"/>
  <c r="DJ7" i="35"/>
  <c r="Y15" i="10"/>
  <c r="Z15" i="10" s="1"/>
  <c r="AB35" i="10"/>
  <c r="M33" i="10"/>
  <c r="W5" i="13"/>
  <c r="X5" i="13"/>
  <c r="C28" i="11" s="1"/>
  <c r="C32" i="11" s="1"/>
  <c r="C36" i="11" s="1"/>
  <c r="I36" i="11" s="1"/>
  <c r="AA37" i="42"/>
  <c r="R40" i="42"/>
  <c r="AA38" i="42"/>
  <c r="AA35" i="10"/>
  <c r="AB37" i="42"/>
  <c r="AB38" i="42"/>
  <c r="P8" i="46" l="1"/>
  <c r="P4" i="65"/>
  <c r="P8" i="65" s="1"/>
  <c r="Q4" i="46"/>
  <c r="Q4" i="68" s="1"/>
  <c r="Q8" i="68" s="1"/>
  <c r="P4" i="66"/>
  <c r="P8" i="66" s="1"/>
  <c r="P4" i="47"/>
  <c r="P8" i="47" s="1"/>
  <c r="P4" i="68"/>
  <c r="P8" i="68" s="1"/>
  <c r="P4" i="69"/>
  <c r="P8" i="69" s="1"/>
  <c r="Q4" i="63"/>
  <c r="Q8" i="63" s="1"/>
  <c r="AA17" i="8"/>
  <c r="H36" i="11"/>
  <c r="C34" i="11"/>
  <c r="AA7" i="8"/>
  <c r="AA23" i="8"/>
  <c r="I11" i="8"/>
  <c r="I19" i="8"/>
  <c r="I27" i="8"/>
  <c r="AA13" i="8"/>
  <c r="AA31" i="8"/>
  <c r="AA16" i="8"/>
  <c r="R4" i="46"/>
  <c r="R21" i="46"/>
  <c r="I14" i="8"/>
  <c r="I22" i="8"/>
  <c r="I30" i="8"/>
  <c r="I8" i="8"/>
  <c r="AA27" i="8"/>
  <c r="AA25" i="8"/>
  <c r="AA11" i="8"/>
  <c r="AA28" i="8"/>
  <c r="AA20" i="8"/>
  <c r="AA12" i="8"/>
  <c r="AL6" i="8"/>
  <c r="AK6" i="8" s="1"/>
  <c r="AL8" i="8"/>
  <c r="AK8" i="8" s="1"/>
  <c r="AL10" i="8"/>
  <c r="AK10" i="8" s="1"/>
  <c r="AL12" i="8"/>
  <c r="AK12" i="8" s="1"/>
  <c r="AL14" i="8"/>
  <c r="AK14" i="8" s="1"/>
  <c r="AL16" i="8"/>
  <c r="AK16" i="8" s="1"/>
  <c r="AL18" i="8"/>
  <c r="AK18" i="8" s="1"/>
  <c r="AL20" i="8"/>
  <c r="AK20" i="8" s="1"/>
  <c r="AL22" i="8"/>
  <c r="AK22" i="8" s="1"/>
  <c r="AL24" i="8"/>
  <c r="AK24" i="8" s="1"/>
  <c r="AL26" i="8"/>
  <c r="AK26" i="8" s="1"/>
  <c r="AL28" i="8"/>
  <c r="AK28" i="8" s="1"/>
  <c r="AL30" i="8"/>
  <c r="AK30" i="8" s="1"/>
  <c r="AL32" i="8"/>
  <c r="AK32" i="8" s="1"/>
  <c r="AL34" i="8"/>
  <c r="AK34" i="8" s="1"/>
  <c r="AL23" i="8"/>
  <c r="AK23" i="8" s="1"/>
  <c r="AL25" i="8"/>
  <c r="AK25" i="8" s="1"/>
  <c r="AL29" i="8"/>
  <c r="AK29" i="8" s="1"/>
  <c r="AL33" i="8"/>
  <c r="AK33" i="8" s="1"/>
  <c r="AL5" i="8"/>
  <c r="AK5" i="8" s="1"/>
  <c r="AL7" i="8"/>
  <c r="AK7" i="8" s="1"/>
  <c r="AJ7" i="8" s="1"/>
  <c r="AL9" i="8"/>
  <c r="AK9" i="8" s="1"/>
  <c r="AJ9" i="8" s="1"/>
  <c r="AL11" i="8"/>
  <c r="AK11" i="8" s="1"/>
  <c r="AJ11" i="8" s="1"/>
  <c r="AL13" i="8"/>
  <c r="AK13" i="8" s="1"/>
  <c r="AJ13" i="8" s="1"/>
  <c r="AL15" i="8"/>
  <c r="AK15" i="8" s="1"/>
  <c r="AJ15" i="8" s="1"/>
  <c r="AL17" i="8"/>
  <c r="AK17" i="8" s="1"/>
  <c r="AJ17" i="8" s="1"/>
  <c r="AL19" i="8"/>
  <c r="AK19" i="8" s="1"/>
  <c r="AJ19" i="8" s="1"/>
  <c r="AL21" i="8"/>
  <c r="AK21" i="8" s="1"/>
  <c r="AJ21" i="8" s="1"/>
  <c r="AL27" i="8"/>
  <c r="AK27" i="8" s="1"/>
  <c r="AL31" i="8"/>
  <c r="AK31" i="8" s="1"/>
  <c r="AA21" i="8"/>
  <c r="AA34" i="8"/>
  <c r="AA26" i="8"/>
  <c r="AA18" i="8"/>
  <c r="AA10" i="8"/>
  <c r="AA32" i="8"/>
  <c r="AA24" i="8"/>
  <c r="AA8" i="8"/>
  <c r="AA29" i="8"/>
  <c r="AA9" i="8"/>
  <c r="AA30" i="8"/>
  <c r="AA22" i="8"/>
  <c r="AA14" i="8"/>
  <c r="AA6" i="8"/>
  <c r="I9" i="8"/>
  <c r="I17" i="8"/>
  <c r="I25" i="8"/>
  <c r="I33" i="8"/>
  <c r="I12" i="8"/>
  <c r="I20" i="8"/>
  <c r="I28" i="8"/>
  <c r="I6" i="8"/>
  <c r="I13" i="8"/>
  <c r="I21" i="8"/>
  <c r="I29" i="8"/>
  <c r="I7" i="8"/>
  <c r="I16" i="8"/>
  <c r="I24" i="8"/>
  <c r="I32" i="8"/>
  <c r="T6" i="8"/>
  <c r="S6" i="8" s="1"/>
  <c r="T8" i="8"/>
  <c r="S8" i="8" s="1"/>
  <c r="T10" i="8"/>
  <c r="S10" i="8" s="1"/>
  <c r="T12" i="8"/>
  <c r="S12" i="8" s="1"/>
  <c r="T14" i="8"/>
  <c r="S14" i="8" s="1"/>
  <c r="T16" i="8"/>
  <c r="S16" i="8" s="1"/>
  <c r="T18" i="8"/>
  <c r="S18" i="8" s="1"/>
  <c r="T20" i="8"/>
  <c r="S20" i="8" s="1"/>
  <c r="T22" i="8"/>
  <c r="S22" i="8" s="1"/>
  <c r="T24" i="8"/>
  <c r="S24" i="8" s="1"/>
  <c r="T26" i="8"/>
  <c r="S26" i="8" s="1"/>
  <c r="T28" i="8"/>
  <c r="S28" i="8" s="1"/>
  <c r="T30" i="8"/>
  <c r="S30" i="8" s="1"/>
  <c r="T32" i="8"/>
  <c r="S32" i="8" s="1"/>
  <c r="T34" i="8"/>
  <c r="S34" i="8" s="1"/>
  <c r="T7" i="8"/>
  <c r="S7" i="8" s="1"/>
  <c r="T9" i="8"/>
  <c r="S9" i="8" s="1"/>
  <c r="T11" i="8"/>
  <c r="S11" i="8" s="1"/>
  <c r="T13" i="8"/>
  <c r="S13" i="8" s="1"/>
  <c r="T15" i="8"/>
  <c r="S15" i="8" s="1"/>
  <c r="T17" i="8"/>
  <c r="S17" i="8" s="1"/>
  <c r="T19" i="8"/>
  <c r="S19" i="8" s="1"/>
  <c r="T21" i="8"/>
  <c r="S21" i="8" s="1"/>
  <c r="T23" i="8"/>
  <c r="S23" i="8" s="1"/>
  <c r="T25" i="8"/>
  <c r="S25" i="8" s="1"/>
  <c r="T27" i="8"/>
  <c r="S27" i="8" s="1"/>
  <c r="T29" i="8"/>
  <c r="S29" i="8" s="1"/>
  <c r="T31" i="8"/>
  <c r="S31" i="8" s="1"/>
  <c r="T33" i="8"/>
  <c r="S33" i="8" s="1"/>
  <c r="T5" i="8"/>
  <c r="S5" i="8" s="1"/>
  <c r="I15" i="8"/>
  <c r="I23" i="8"/>
  <c r="I31" i="8"/>
  <c r="I10" i="8"/>
  <c r="I18" i="8"/>
  <c r="I26" i="8"/>
  <c r="I34" i="8"/>
  <c r="BJ3" i="13"/>
  <c r="FW3" i="13"/>
  <c r="X2" i="42"/>
  <c r="W14" i="42"/>
  <c r="AB39" i="42"/>
  <c r="AA39" i="42"/>
  <c r="AA41" i="42"/>
  <c r="AB41" i="42"/>
  <c r="O7" i="35"/>
  <c r="DK7" i="35"/>
  <c r="N24" i="35"/>
  <c r="DJ24" i="35"/>
  <c r="Q4" i="64" l="1"/>
  <c r="Q8" i="64" s="1"/>
  <c r="Q4" i="69"/>
  <c r="Q8" i="69" s="1"/>
  <c r="Q4" i="65"/>
  <c r="Q8" i="65" s="1"/>
  <c r="Q8" i="46"/>
  <c r="Q4" i="66"/>
  <c r="Q8" i="66" s="1"/>
  <c r="Q4" i="62"/>
  <c r="Q8" i="62" s="1"/>
  <c r="Q4" i="47"/>
  <c r="Q8" i="47" s="1"/>
  <c r="R4" i="68"/>
  <c r="R8" i="68" s="1"/>
  <c r="R4" i="69"/>
  <c r="R8" i="69" s="1"/>
  <c r="R4" i="47"/>
  <c r="R8" i="47" s="1"/>
  <c r="R4" i="65"/>
  <c r="R8" i="65" s="1"/>
  <c r="R4" i="66"/>
  <c r="R8" i="66" s="1"/>
  <c r="R4" i="64"/>
  <c r="R8" i="64" s="1"/>
  <c r="R4" i="63"/>
  <c r="R8" i="63" s="1"/>
  <c r="R4" i="62"/>
  <c r="R8" i="62" s="1"/>
  <c r="S4" i="46"/>
  <c r="R8" i="46"/>
  <c r="S21" i="46"/>
  <c r="AJ29" i="8"/>
  <c r="AJ24" i="8"/>
  <c r="AJ31" i="8"/>
  <c r="AJ16" i="8"/>
  <c r="AJ8" i="8"/>
  <c r="R33" i="8"/>
  <c r="R25" i="8"/>
  <c r="R17" i="8"/>
  <c r="R9" i="8"/>
  <c r="AJ23" i="8"/>
  <c r="AJ33" i="8"/>
  <c r="AJ26" i="8"/>
  <c r="AJ18" i="8"/>
  <c r="AJ10" i="8"/>
  <c r="AJ34" i="8"/>
  <c r="AJ32" i="8"/>
  <c r="AJ27" i="8"/>
  <c r="AJ25" i="8"/>
  <c r="AJ30" i="8"/>
  <c r="AJ22" i="8"/>
  <c r="AJ14" i="8"/>
  <c r="AJ6" i="8"/>
  <c r="AJ28" i="8"/>
  <c r="AJ20" i="8"/>
  <c r="AJ12" i="8"/>
  <c r="R6" i="8"/>
  <c r="R29" i="8"/>
  <c r="R21" i="8"/>
  <c r="R13" i="8"/>
  <c r="R30" i="8"/>
  <c r="R22" i="8"/>
  <c r="R14" i="8"/>
  <c r="R31" i="8"/>
  <c r="R23" i="8"/>
  <c r="R15" i="8"/>
  <c r="R7" i="8"/>
  <c r="R28" i="8"/>
  <c r="R20" i="8"/>
  <c r="R12" i="8"/>
  <c r="R34" i="8"/>
  <c r="R26" i="8"/>
  <c r="R18" i="8"/>
  <c r="R10" i="8"/>
  <c r="R27" i="8"/>
  <c r="R19" i="8"/>
  <c r="R11" i="8"/>
  <c r="R32" i="8"/>
  <c r="R24" i="8"/>
  <c r="R16" i="8"/>
  <c r="R8" i="8"/>
  <c r="BK3" i="13"/>
  <c r="FX3" i="13"/>
  <c r="Y2" i="42"/>
  <c r="Y14" i="42" s="1"/>
  <c r="Z14" i="42" s="1"/>
  <c r="X14" i="42"/>
  <c r="DK24" i="35"/>
  <c r="O24" i="35"/>
  <c r="P7" i="35"/>
  <c r="DL7" i="35"/>
  <c r="S4" i="68" l="1"/>
  <c r="S8" i="68" s="1"/>
  <c r="S4" i="69"/>
  <c r="S8" i="69" s="1"/>
  <c r="S4" i="47"/>
  <c r="S8" i="47" s="1"/>
  <c r="S4" i="66"/>
  <c r="S8" i="66" s="1"/>
  <c r="S4" i="64"/>
  <c r="S8" i="64" s="1"/>
  <c r="S4" i="63"/>
  <c r="S8" i="63" s="1"/>
  <c r="S4" i="62"/>
  <c r="S8" i="62" s="1"/>
  <c r="S4" i="65"/>
  <c r="S8" i="65" s="1"/>
  <c r="T4" i="46"/>
  <c r="S8" i="46"/>
  <c r="T21" i="46"/>
  <c r="FY3" i="13"/>
  <c r="BL3" i="13"/>
  <c r="Q7" i="35"/>
  <c r="DM7" i="35"/>
  <c r="P24" i="35"/>
  <c r="DL24" i="35"/>
  <c r="T4" i="68" l="1"/>
  <c r="T8" i="68" s="1"/>
  <c r="T4" i="69"/>
  <c r="T8" i="69" s="1"/>
  <c r="T4" i="47"/>
  <c r="T8" i="47" s="1"/>
  <c r="T4" i="65"/>
  <c r="T8" i="65" s="1"/>
  <c r="T4" i="66"/>
  <c r="T8" i="66" s="1"/>
  <c r="T4" i="63"/>
  <c r="T8" i="63" s="1"/>
  <c r="T4" i="62"/>
  <c r="T8" i="62" s="1"/>
  <c r="T4" i="64"/>
  <c r="T8" i="64" s="1"/>
  <c r="U4" i="46"/>
  <c r="T8" i="46"/>
  <c r="U21" i="46"/>
  <c r="FZ3" i="13"/>
  <c r="BM3" i="13"/>
  <c r="Q24" i="35"/>
  <c r="DM24" i="35"/>
  <c r="R7" i="35"/>
  <c r="DN7" i="35"/>
  <c r="U4" i="68" l="1"/>
  <c r="U8" i="68" s="1"/>
  <c r="U4" i="69"/>
  <c r="U8" i="69" s="1"/>
  <c r="U4" i="47"/>
  <c r="U8" i="47" s="1"/>
  <c r="U4" i="65"/>
  <c r="U8" i="65" s="1"/>
  <c r="U4" i="64"/>
  <c r="U8" i="64" s="1"/>
  <c r="U4" i="66"/>
  <c r="U8" i="66" s="1"/>
  <c r="U4" i="63"/>
  <c r="U8" i="63" s="1"/>
  <c r="U4" i="62"/>
  <c r="U8" i="62" s="1"/>
  <c r="V4" i="46"/>
  <c r="U8" i="46"/>
  <c r="V21" i="46"/>
  <c r="BN3" i="13"/>
  <c r="GA3" i="13"/>
  <c r="DO7" i="35"/>
  <c r="S7" i="35"/>
  <c r="R24" i="35"/>
  <c r="DN24" i="35"/>
  <c r="V4" i="68" l="1"/>
  <c r="V8" i="68" s="1"/>
  <c r="V4" i="69"/>
  <c r="V8" i="69" s="1"/>
  <c r="V4" i="47"/>
  <c r="V8" i="47" s="1"/>
  <c r="V4" i="65"/>
  <c r="V8" i="65" s="1"/>
  <c r="V4" i="64"/>
  <c r="V8" i="64" s="1"/>
  <c r="V4" i="66"/>
  <c r="V8" i="66" s="1"/>
  <c r="V4" i="63"/>
  <c r="V8" i="63" s="1"/>
  <c r="V4" i="62"/>
  <c r="V8" i="62" s="1"/>
  <c r="W4" i="46"/>
  <c r="V8" i="46"/>
  <c r="W21" i="46"/>
  <c r="GB3" i="13"/>
  <c r="BO3" i="13"/>
  <c r="DP7" i="35"/>
  <c r="T7" i="35"/>
  <c r="DO24" i="35"/>
  <c r="S24" i="35"/>
  <c r="W4" i="68" l="1"/>
  <c r="W8" i="68" s="1"/>
  <c r="W4" i="69"/>
  <c r="W8" i="69" s="1"/>
  <c r="W4" i="47"/>
  <c r="W8" i="47" s="1"/>
  <c r="W4" i="66"/>
  <c r="W8" i="66" s="1"/>
  <c r="W4" i="65"/>
  <c r="W8" i="65" s="1"/>
  <c r="W4" i="64"/>
  <c r="W8" i="64" s="1"/>
  <c r="W4" i="63"/>
  <c r="W8" i="63" s="1"/>
  <c r="W4" i="62"/>
  <c r="W8" i="62" s="1"/>
  <c r="X4" i="46"/>
  <c r="W8" i="46"/>
  <c r="X21" i="46"/>
  <c r="GC3" i="13"/>
  <c r="BP3" i="13"/>
  <c r="U7" i="35"/>
  <c r="DQ7" i="35"/>
  <c r="T24" i="35"/>
  <c r="DP24" i="35"/>
  <c r="X4" i="68" l="1"/>
  <c r="X8" i="68" s="1"/>
  <c r="X4" i="69"/>
  <c r="X8" i="69" s="1"/>
  <c r="X4" i="47"/>
  <c r="X8" i="47" s="1"/>
  <c r="X4" i="65"/>
  <c r="X8" i="65" s="1"/>
  <c r="X4" i="63"/>
  <c r="X8" i="63" s="1"/>
  <c r="X4" i="62"/>
  <c r="X8" i="62" s="1"/>
  <c r="X4" i="66"/>
  <c r="X8" i="66" s="1"/>
  <c r="X4" i="64"/>
  <c r="X8" i="64" s="1"/>
  <c r="Y4" i="46"/>
  <c r="X8" i="46"/>
  <c r="Y21" i="46"/>
  <c r="GD3" i="13"/>
  <c r="BQ3" i="13"/>
  <c r="DR7" i="35"/>
  <c r="V7" i="35"/>
  <c r="DQ24" i="35"/>
  <c r="U24" i="35"/>
  <c r="Y4" i="68" l="1"/>
  <c r="Y8" i="68" s="1"/>
  <c r="Y4" i="69"/>
  <c r="Y8" i="69" s="1"/>
  <c r="Y4" i="47"/>
  <c r="Y8" i="47" s="1"/>
  <c r="Y4" i="66"/>
  <c r="Y8" i="66" s="1"/>
  <c r="Y4" i="64"/>
  <c r="Y8" i="64" s="1"/>
  <c r="Y4" i="65"/>
  <c r="Y8" i="65" s="1"/>
  <c r="Y4" i="62"/>
  <c r="Y8" i="62" s="1"/>
  <c r="Y4" i="63"/>
  <c r="Y8" i="63" s="1"/>
  <c r="Z4" i="46"/>
  <c r="Y8" i="46"/>
  <c r="Z21" i="46"/>
  <c r="BR3" i="13"/>
  <c r="GE3" i="13"/>
  <c r="DR24" i="35"/>
  <c r="V24" i="35"/>
  <c r="DS7" i="35"/>
  <c r="W7" i="35"/>
  <c r="Z4" i="68" l="1"/>
  <c r="Z8" i="68" s="1"/>
  <c r="Z4" i="69"/>
  <c r="Z8" i="69" s="1"/>
  <c r="Z4" i="47"/>
  <c r="Z8" i="47" s="1"/>
  <c r="Z4" i="64"/>
  <c r="Z8" i="64" s="1"/>
  <c r="Z4" i="65"/>
  <c r="Z8" i="65" s="1"/>
  <c r="Z4" i="63"/>
  <c r="Z8" i="63" s="1"/>
  <c r="Z4" i="62"/>
  <c r="Z8" i="62" s="1"/>
  <c r="Z4" i="66"/>
  <c r="Z8" i="66" s="1"/>
  <c r="AA4" i="46"/>
  <c r="Z8" i="46"/>
  <c r="AA21" i="46"/>
  <c r="GF3" i="13"/>
  <c r="BS3" i="13"/>
  <c r="DS24" i="35"/>
  <c r="W24" i="35"/>
  <c r="DT7" i="35"/>
  <c r="X7" i="35"/>
  <c r="AA4" i="68" l="1"/>
  <c r="AA8" i="68" s="1"/>
  <c r="AA4" i="69"/>
  <c r="AA8" i="69" s="1"/>
  <c r="AA4" i="47"/>
  <c r="AA8" i="47" s="1"/>
  <c r="AA4" i="66"/>
  <c r="AA8" i="66" s="1"/>
  <c r="AA4" i="64"/>
  <c r="AA8" i="64" s="1"/>
  <c r="AA4" i="65"/>
  <c r="AA8" i="65" s="1"/>
  <c r="AA4" i="63"/>
  <c r="AA8" i="63" s="1"/>
  <c r="AA4" i="62"/>
  <c r="AA8" i="62" s="1"/>
  <c r="AB4" i="46"/>
  <c r="AA8" i="46"/>
  <c r="AB21" i="46"/>
  <c r="BT3" i="13"/>
  <c r="GG3" i="13"/>
  <c r="DU7" i="35"/>
  <c r="Y7" i="35"/>
  <c r="X24" i="35"/>
  <c r="DT24" i="35"/>
  <c r="AB4" i="68" l="1"/>
  <c r="AB8" i="68" s="1"/>
  <c r="AB4" i="69"/>
  <c r="AB8" i="69" s="1"/>
  <c r="AB4" i="47"/>
  <c r="AB8" i="47" s="1"/>
  <c r="AB4" i="65"/>
  <c r="AB8" i="65" s="1"/>
  <c r="AB4" i="63"/>
  <c r="AB8" i="63" s="1"/>
  <c r="AB4" i="62"/>
  <c r="AB8" i="62" s="1"/>
  <c r="AB4" i="66"/>
  <c r="AB8" i="66" s="1"/>
  <c r="AB4" i="64"/>
  <c r="AB8" i="64" s="1"/>
  <c r="AC4" i="46"/>
  <c r="AB8" i="46"/>
  <c r="AC21" i="46"/>
  <c r="BU3" i="13"/>
  <c r="GH3" i="13"/>
  <c r="DU24" i="35"/>
  <c r="Y24" i="35"/>
  <c r="Z7" i="35"/>
  <c r="DV7" i="35"/>
  <c r="AC4" i="68" l="1"/>
  <c r="AC8" i="68" s="1"/>
  <c r="AC4" i="69"/>
  <c r="AC8" i="69" s="1"/>
  <c r="AC4" i="47"/>
  <c r="AC8" i="47" s="1"/>
  <c r="AC4" i="65"/>
  <c r="AC8" i="65" s="1"/>
  <c r="AC4" i="66"/>
  <c r="AC8" i="66" s="1"/>
  <c r="AC4" i="64"/>
  <c r="AC8" i="64" s="1"/>
  <c r="AC4" i="63"/>
  <c r="AC8" i="63" s="1"/>
  <c r="AC4" i="62"/>
  <c r="AC8" i="62" s="1"/>
  <c r="AD4" i="46"/>
  <c r="AC8" i="46"/>
  <c r="AD21" i="46"/>
  <c r="BV3" i="13"/>
  <c r="GI3" i="13"/>
  <c r="Z24" i="35"/>
  <c r="DV24" i="35"/>
  <c r="DW7" i="35"/>
  <c r="AA7" i="35"/>
  <c r="AD4" i="68" l="1"/>
  <c r="AD8" i="68" s="1"/>
  <c r="AD4" i="69"/>
  <c r="AD8" i="69" s="1"/>
  <c r="AD4" i="47"/>
  <c r="AD8" i="47" s="1"/>
  <c r="AD4" i="66"/>
  <c r="AD8" i="66" s="1"/>
  <c r="AD4" i="64"/>
  <c r="AD8" i="64" s="1"/>
  <c r="AD4" i="63"/>
  <c r="AD8" i="63" s="1"/>
  <c r="AD4" i="65"/>
  <c r="AD8" i="65" s="1"/>
  <c r="AD4" i="62"/>
  <c r="AD8" i="62" s="1"/>
  <c r="AE4" i="46"/>
  <c r="AD8" i="46"/>
  <c r="AE21" i="46"/>
  <c r="GJ3" i="13"/>
  <c r="BW3" i="13"/>
  <c r="DX7" i="35"/>
  <c r="AB7" i="35"/>
  <c r="DW24" i="35"/>
  <c r="AA24" i="35"/>
  <c r="AE4" i="68" l="1"/>
  <c r="AE8" i="68" s="1"/>
  <c r="AE4" i="69"/>
  <c r="AE8" i="69" s="1"/>
  <c r="AE4" i="47"/>
  <c r="AE8" i="47" s="1"/>
  <c r="AE4" i="66"/>
  <c r="AE8" i="66" s="1"/>
  <c r="AE4" i="64"/>
  <c r="AE8" i="64" s="1"/>
  <c r="AE4" i="63"/>
  <c r="AE8" i="63" s="1"/>
  <c r="AE4" i="62"/>
  <c r="AE8" i="62" s="1"/>
  <c r="AE4" i="65"/>
  <c r="AE8" i="65" s="1"/>
  <c r="AF4" i="46"/>
  <c r="AE8" i="46"/>
  <c r="AF21" i="46"/>
  <c r="BX3" i="13"/>
  <c r="GK3" i="13"/>
  <c r="AB24" i="35"/>
  <c r="DX24" i="35"/>
  <c r="DY7" i="35"/>
  <c r="AC7" i="35"/>
  <c r="AF4" i="68" l="1"/>
  <c r="AF8" i="68" s="1"/>
  <c r="AF4" i="69"/>
  <c r="AF8" i="69" s="1"/>
  <c r="AF4" i="47"/>
  <c r="AF8" i="47" s="1"/>
  <c r="AF4" i="65"/>
  <c r="AF8" i="65" s="1"/>
  <c r="AF4" i="63"/>
  <c r="AF8" i="63" s="1"/>
  <c r="AF4" i="62"/>
  <c r="AF8" i="62" s="1"/>
  <c r="AF4" i="64"/>
  <c r="AF8" i="64" s="1"/>
  <c r="AF4" i="66"/>
  <c r="AF8" i="66" s="1"/>
  <c r="AG4" i="46"/>
  <c r="AF8" i="46"/>
  <c r="AG21" i="46"/>
  <c r="GL3" i="13"/>
  <c r="BY3" i="13"/>
  <c r="DY24" i="35"/>
  <c r="AC24" i="35"/>
  <c r="AD7" i="35"/>
  <c r="DZ7" i="35"/>
  <c r="AG4" i="68" l="1"/>
  <c r="AG8" i="68" s="1"/>
  <c r="AG4" i="69"/>
  <c r="AG8" i="69" s="1"/>
  <c r="AG4" i="47"/>
  <c r="AG8" i="47" s="1"/>
  <c r="AG4" i="65"/>
  <c r="AG8" i="65" s="1"/>
  <c r="AG4" i="66"/>
  <c r="AG8" i="66" s="1"/>
  <c r="AG4" i="64"/>
  <c r="AG8" i="64" s="1"/>
  <c r="AG4" i="63"/>
  <c r="AG8" i="63" s="1"/>
  <c r="AG4" i="62"/>
  <c r="AG8" i="62" s="1"/>
  <c r="AH4" i="46"/>
  <c r="AG8" i="46"/>
  <c r="AH21" i="46"/>
  <c r="GM3" i="13"/>
  <c r="BZ3" i="13"/>
  <c r="EA7" i="35"/>
  <c r="AE7" i="35"/>
  <c r="DZ24" i="35"/>
  <c r="AD24" i="35"/>
  <c r="AH4" i="68" l="1"/>
  <c r="AH8" i="68" s="1"/>
  <c r="AH4" i="69"/>
  <c r="AH8" i="69" s="1"/>
  <c r="AH4" i="47"/>
  <c r="AH8" i="47" s="1"/>
  <c r="AH4" i="65"/>
  <c r="AH8" i="65" s="1"/>
  <c r="AH4" i="66"/>
  <c r="AH8" i="66" s="1"/>
  <c r="AH4" i="64"/>
  <c r="AH8" i="64" s="1"/>
  <c r="AH4" i="63"/>
  <c r="AH8" i="63" s="1"/>
  <c r="AH4" i="62"/>
  <c r="AH8" i="62" s="1"/>
  <c r="AI4" i="46"/>
  <c r="AH8" i="46"/>
  <c r="AI21" i="46"/>
  <c r="CA3" i="13"/>
  <c r="GN3" i="13"/>
  <c r="EB7" i="35"/>
  <c r="AF7" i="35"/>
  <c r="EA24" i="35"/>
  <c r="AE24" i="35"/>
  <c r="AI4" i="68" l="1"/>
  <c r="AI8" i="68" s="1"/>
  <c r="AI4" i="69"/>
  <c r="AI8" i="69" s="1"/>
  <c r="AI4" i="47"/>
  <c r="AI8" i="47" s="1"/>
  <c r="AI4" i="66"/>
  <c r="AI8" i="66" s="1"/>
  <c r="AI4" i="64"/>
  <c r="AI8" i="64" s="1"/>
  <c r="AI4" i="63"/>
  <c r="AI8" i="63" s="1"/>
  <c r="AI4" i="62"/>
  <c r="AI8" i="62" s="1"/>
  <c r="AI4" i="65"/>
  <c r="AI8" i="65" s="1"/>
  <c r="AJ4" i="46"/>
  <c r="AI8" i="46"/>
  <c r="AJ21" i="46"/>
  <c r="GO3" i="13"/>
  <c r="CB3" i="13"/>
  <c r="AF24" i="35"/>
  <c r="EB24" i="35"/>
  <c r="AG7" i="35"/>
  <c r="EC7" i="35"/>
  <c r="AJ4" i="68" l="1"/>
  <c r="AJ8" i="68" s="1"/>
  <c r="AJ4" i="69"/>
  <c r="AJ8" i="69" s="1"/>
  <c r="AJ4" i="47"/>
  <c r="AJ8" i="47" s="1"/>
  <c r="AJ4" i="65"/>
  <c r="AJ8" i="65" s="1"/>
  <c r="AJ4" i="66"/>
  <c r="AJ8" i="66" s="1"/>
  <c r="AJ4" i="63"/>
  <c r="AJ8" i="63" s="1"/>
  <c r="AJ4" i="62"/>
  <c r="AJ8" i="62" s="1"/>
  <c r="AJ4" i="64"/>
  <c r="AJ8" i="64" s="1"/>
  <c r="AK4" i="46"/>
  <c r="AJ8" i="46"/>
  <c r="AK21" i="46"/>
  <c r="GP3" i="13"/>
  <c r="CC3" i="13"/>
  <c r="ED7" i="35"/>
  <c r="AH7" i="35"/>
  <c r="EC24" i="35"/>
  <c r="AG24" i="35"/>
  <c r="AK4" i="68" l="1"/>
  <c r="AK8" i="68" s="1"/>
  <c r="AK4" i="69"/>
  <c r="AK8" i="69" s="1"/>
  <c r="AK4" i="47"/>
  <c r="AK8" i="47" s="1"/>
  <c r="AK4" i="64"/>
  <c r="AK8" i="64" s="1"/>
  <c r="AK4" i="65"/>
  <c r="AK8" i="65" s="1"/>
  <c r="AK4" i="63"/>
  <c r="AK8" i="63" s="1"/>
  <c r="AK4" i="62"/>
  <c r="AK8" i="62" s="1"/>
  <c r="AK4" i="66"/>
  <c r="AK8" i="66" s="1"/>
  <c r="AL4" i="46"/>
  <c r="AK8" i="46"/>
  <c r="AL21" i="46"/>
  <c r="GQ3" i="13"/>
  <c r="CD3" i="13"/>
  <c r="ED24" i="35"/>
  <c r="AH24" i="35"/>
  <c r="EE7" i="35"/>
  <c r="AI7" i="35"/>
  <c r="AL4" i="68" l="1"/>
  <c r="AL8" i="68" s="1"/>
  <c r="AL4" i="69"/>
  <c r="AL8" i="69" s="1"/>
  <c r="AL4" i="47"/>
  <c r="AL8" i="47" s="1"/>
  <c r="AL4" i="65"/>
  <c r="AL8" i="65" s="1"/>
  <c r="AL4" i="66"/>
  <c r="AL8" i="66" s="1"/>
  <c r="AL4" i="64"/>
  <c r="AL8" i="64" s="1"/>
  <c r="AL4" i="63"/>
  <c r="AL8" i="63" s="1"/>
  <c r="AL4" i="62"/>
  <c r="AL8" i="62" s="1"/>
  <c r="AM4" i="46"/>
  <c r="AL8" i="46"/>
  <c r="AM21" i="46"/>
  <c r="GR3" i="13"/>
  <c r="CE3" i="13"/>
  <c r="AI24" i="35"/>
  <c r="EE24" i="35"/>
  <c r="EF7" i="35"/>
  <c r="AJ7" i="35"/>
  <c r="AM4" i="68" l="1"/>
  <c r="AM8" i="68" s="1"/>
  <c r="AM4" i="69"/>
  <c r="AM8" i="69" s="1"/>
  <c r="AM4" i="47"/>
  <c r="AM8" i="47" s="1"/>
  <c r="AM4" i="66"/>
  <c r="AM8" i="66" s="1"/>
  <c r="AM4" i="65"/>
  <c r="AM8" i="65" s="1"/>
  <c r="AM4" i="64"/>
  <c r="AM8" i="64" s="1"/>
  <c r="AM4" i="63"/>
  <c r="AM8" i="63" s="1"/>
  <c r="AM4" i="62"/>
  <c r="AM8" i="62" s="1"/>
  <c r="AN4" i="46"/>
  <c r="AM8" i="46"/>
  <c r="AN21" i="46"/>
  <c r="CF3" i="13"/>
  <c r="GS3" i="13"/>
  <c r="AK7" i="35"/>
  <c r="EG7" i="35"/>
  <c r="AJ24" i="35"/>
  <c r="EF24" i="35"/>
  <c r="AN4" i="68" l="1"/>
  <c r="AN8" i="68" s="1"/>
  <c r="AN4" i="69"/>
  <c r="AN8" i="69" s="1"/>
  <c r="AN4" i="47"/>
  <c r="AN8" i="47" s="1"/>
  <c r="AN4" i="65"/>
  <c r="AN8" i="65" s="1"/>
  <c r="AN4" i="64"/>
  <c r="AN8" i="64" s="1"/>
  <c r="AN4" i="63"/>
  <c r="AN8" i="63" s="1"/>
  <c r="AN4" i="62"/>
  <c r="AN8" i="62" s="1"/>
  <c r="AN4" i="66"/>
  <c r="AN8" i="66" s="1"/>
  <c r="AO4" i="46"/>
  <c r="AN8" i="46"/>
  <c r="AO21" i="46"/>
  <c r="CG3" i="13"/>
  <c r="GT3" i="13"/>
  <c r="AK24" i="35"/>
  <c r="EG24" i="35"/>
  <c r="AL7" i="35"/>
  <c r="EH7" i="35"/>
  <c r="AO4" i="68" l="1"/>
  <c r="AO8" i="68" s="1"/>
  <c r="AO4" i="69"/>
  <c r="AO8" i="69" s="1"/>
  <c r="AO4" i="47"/>
  <c r="AO8" i="47" s="1"/>
  <c r="AO4" i="64"/>
  <c r="AO8" i="64" s="1"/>
  <c r="AO4" i="66"/>
  <c r="AO8" i="66" s="1"/>
  <c r="AO4" i="65"/>
  <c r="AO8" i="65" s="1"/>
  <c r="AO4" i="62"/>
  <c r="AO8" i="62" s="1"/>
  <c r="AO4" i="63"/>
  <c r="AO8" i="63" s="1"/>
  <c r="AP4" i="46"/>
  <c r="AO8" i="46"/>
  <c r="AP21" i="46"/>
  <c r="CH3" i="13"/>
  <c r="GU3" i="13"/>
  <c r="EI7" i="35"/>
  <c r="AM7" i="35"/>
  <c r="EH24" i="35"/>
  <c r="AL24" i="35"/>
  <c r="AP4" i="68" l="1"/>
  <c r="AP8" i="68" s="1"/>
  <c r="AP4" i="69"/>
  <c r="AP8" i="69" s="1"/>
  <c r="AP4" i="47"/>
  <c r="AP8" i="47" s="1"/>
  <c r="AP4" i="65"/>
  <c r="AP8" i="65" s="1"/>
  <c r="AP4" i="63"/>
  <c r="AP8" i="63" s="1"/>
  <c r="AP4" i="62"/>
  <c r="AP8" i="62" s="1"/>
  <c r="AP4" i="66"/>
  <c r="AP8" i="66" s="1"/>
  <c r="AP4" i="64"/>
  <c r="AP8" i="64" s="1"/>
  <c r="AQ4" i="46"/>
  <c r="AP8" i="46"/>
  <c r="AQ21" i="46"/>
  <c r="CI3" i="13"/>
  <c r="GV3" i="13"/>
  <c r="AM24" i="35"/>
  <c r="EI24" i="35"/>
  <c r="EJ7" i="35"/>
  <c r="AN7" i="35"/>
  <c r="AQ4" i="68" l="1"/>
  <c r="AQ8" i="68" s="1"/>
  <c r="AQ4" i="69"/>
  <c r="AQ8" i="69" s="1"/>
  <c r="AQ4" i="47"/>
  <c r="AQ8" i="47" s="1"/>
  <c r="AQ4" i="66"/>
  <c r="AQ8" i="66" s="1"/>
  <c r="AQ4" i="65"/>
  <c r="AQ8" i="65" s="1"/>
  <c r="AQ4" i="63"/>
  <c r="AQ8" i="63" s="1"/>
  <c r="AQ4" i="62"/>
  <c r="AQ8" i="62" s="1"/>
  <c r="AQ4" i="64"/>
  <c r="AQ8" i="64" s="1"/>
  <c r="AR4" i="46"/>
  <c r="AQ8" i="46"/>
  <c r="AR21" i="46"/>
  <c r="CJ3" i="13"/>
  <c r="GW3" i="13"/>
  <c r="AO7" i="35"/>
  <c r="EK7" i="35"/>
  <c r="AN24" i="35"/>
  <c r="EJ24" i="35"/>
  <c r="AR4" i="68" l="1"/>
  <c r="AR8" i="68" s="1"/>
  <c r="AR4" i="69"/>
  <c r="AR8" i="69" s="1"/>
  <c r="AR4" i="47"/>
  <c r="AR8" i="47" s="1"/>
  <c r="AR4" i="65"/>
  <c r="AR8" i="65" s="1"/>
  <c r="AR4" i="63"/>
  <c r="AR8" i="63" s="1"/>
  <c r="AR4" i="62"/>
  <c r="AR8" i="62" s="1"/>
  <c r="AR4" i="64"/>
  <c r="AR8" i="64" s="1"/>
  <c r="AR4" i="66"/>
  <c r="AR8" i="66" s="1"/>
  <c r="AS4" i="46"/>
  <c r="AR8" i="46"/>
  <c r="AS21" i="46"/>
  <c r="CK3" i="13"/>
  <c r="GX3" i="13"/>
  <c r="EL7" i="35"/>
  <c r="AP7" i="35"/>
  <c r="AO24" i="35"/>
  <c r="EK24" i="35"/>
  <c r="AS4" i="68" l="1"/>
  <c r="AS8" i="68" s="1"/>
  <c r="AS4" i="69"/>
  <c r="AS8" i="69" s="1"/>
  <c r="AS4" i="47"/>
  <c r="AS8" i="47" s="1"/>
  <c r="AS4" i="64"/>
  <c r="AS8" i="64" s="1"/>
  <c r="AS4" i="65"/>
  <c r="AS8" i="65" s="1"/>
  <c r="AS4" i="66"/>
  <c r="AS8" i="66" s="1"/>
  <c r="AS4" i="62"/>
  <c r="AS8" i="62" s="1"/>
  <c r="AS4" i="63"/>
  <c r="AS8" i="63" s="1"/>
  <c r="AT4" i="46"/>
  <c r="AS8" i="46"/>
  <c r="AT21" i="46"/>
  <c r="CL3" i="13"/>
  <c r="GY3" i="13"/>
  <c r="EL24" i="35"/>
  <c r="AP24" i="35"/>
  <c r="EM7" i="35"/>
  <c r="AQ7" i="35"/>
  <c r="AT4" i="68" l="1"/>
  <c r="AT8" i="68" s="1"/>
  <c r="AT4" i="69"/>
  <c r="AT8" i="69" s="1"/>
  <c r="AT4" i="47"/>
  <c r="AT8" i="47" s="1"/>
  <c r="AT4" i="66"/>
  <c r="AT8" i="66" s="1"/>
  <c r="AT4" i="64"/>
  <c r="AT8" i="64" s="1"/>
  <c r="AT4" i="63"/>
  <c r="AT8" i="63" s="1"/>
  <c r="AT4" i="62"/>
  <c r="AT8" i="62" s="1"/>
  <c r="AT4" i="65"/>
  <c r="AT8" i="65" s="1"/>
  <c r="AU4" i="46"/>
  <c r="AT8" i="46"/>
  <c r="AU21" i="46"/>
  <c r="CM3" i="13"/>
  <c r="GZ3" i="13"/>
  <c r="EN7" i="35"/>
  <c r="AR7" i="35"/>
  <c r="AQ24" i="35"/>
  <c r="EM24" i="35"/>
  <c r="AU4" i="68" l="1"/>
  <c r="AU8" i="68" s="1"/>
  <c r="AU4" i="69"/>
  <c r="AU8" i="69" s="1"/>
  <c r="AU4" i="47"/>
  <c r="AU8" i="47" s="1"/>
  <c r="AU4" i="66"/>
  <c r="AU8" i="66" s="1"/>
  <c r="AU4" i="63"/>
  <c r="AU8" i="63" s="1"/>
  <c r="AU4" i="62"/>
  <c r="AU8" i="62" s="1"/>
  <c r="AU4" i="65"/>
  <c r="AU8" i="65" s="1"/>
  <c r="AU4" i="64"/>
  <c r="AU8" i="64" s="1"/>
  <c r="AV4" i="46"/>
  <c r="AU8" i="46"/>
  <c r="AV21" i="46"/>
  <c r="CN3" i="13"/>
  <c r="HA3" i="13"/>
  <c r="AS7" i="35"/>
  <c r="EO7" i="35"/>
  <c r="AR24" i="35"/>
  <c r="EN24" i="35"/>
  <c r="AV4" i="68" l="1"/>
  <c r="AV8" i="68" s="1"/>
  <c r="AV4" i="69"/>
  <c r="AV8" i="69" s="1"/>
  <c r="AV4" i="47"/>
  <c r="AV8" i="47" s="1"/>
  <c r="AV4" i="65"/>
  <c r="AV8" i="65" s="1"/>
  <c r="AV4" i="63"/>
  <c r="AV8" i="63" s="1"/>
  <c r="AV4" i="62"/>
  <c r="AV8" i="62" s="1"/>
  <c r="AV4" i="64"/>
  <c r="AV8" i="64" s="1"/>
  <c r="AV4" i="66"/>
  <c r="AV8" i="66" s="1"/>
  <c r="AW4" i="46"/>
  <c r="AV8" i="46"/>
  <c r="AW21" i="46"/>
  <c r="CO3" i="13"/>
  <c r="HB3" i="13"/>
  <c r="AT7" i="35"/>
  <c r="EP7" i="35"/>
  <c r="AS24" i="35"/>
  <c r="EO24" i="35"/>
  <c r="AW4" i="68" l="1"/>
  <c r="AW8" i="68" s="1"/>
  <c r="AW4" i="69"/>
  <c r="AW8" i="69" s="1"/>
  <c r="AW4" i="47"/>
  <c r="AW8" i="47" s="1"/>
  <c r="AW4" i="64"/>
  <c r="AW8" i="64" s="1"/>
  <c r="AW4" i="65"/>
  <c r="AW8" i="65" s="1"/>
  <c r="AW4" i="66"/>
  <c r="AW8" i="66" s="1"/>
  <c r="AW4" i="62"/>
  <c r="AW8" i="62" s="1"/>
  <c r="AW4" i="63"/>
  <c r="AW8" i="63" s="1"/>
  <c r="AX4" i="46"/>
  <c r="AW8" i="46"/>
  <c r="AX21" i="46"/>
  <c r="CP3" i="13"/>
  <c r="HC3" i="13"/>
  <c r="EP24" i="35"/>
  <c r="AT24" i="35"/>
  <c r="EQ7" i="35"/>
  <c r="AU7" i="35"/>
  <c r="AX4" i="68" l="1"/>
  <c r="AX8" i="68" s="1"/>
  <c r="AX4" i="69"/>
  <c r="AX8" i="69" s="1"/>
  <c r="AX4" i="47"/>
  <c r="AX8" i="47" s="1"/>
  <c r="AX4" i="65"/>
  <c r="AX8" i="65" s="1"/>
  <c r="AX4" i="66"/>
  <c r="AX8" i="66" s="1"/>
  <c r="AX4" i="64"/>
  <c r="AX8" i="64" s="1"/>
  <c r="AX4" i="63"/>
  <c r="AX8" i="63" s="1"/>
  <c r="AX4" i="62"/>
  <c r="AX8" i="62" s="1"/>
  <c r="AY4" i="46"/>
  <c r="AX8" i="46"/>
  <c r="AY21" i="46"/>
  <c r="CQ3" i="13"/>
  <c r="HD3" i="13"/>
  <c r="ER7" i="35"/>
  <c r="AV7" i="35"/>
  <c r="AU24" i="35"/>
  <c r="EQ24" i="35"/>
  <c r="AY4" i="68" l="1"/>
  <c r="AY8" i="68" s="1"/>
  <c r="AY4" i="69"/>
  <c r="AY8" i="69" s="1"/>
  <c r="AY4" i="47"/>
  <c r="AY8" i="47" s="1"/>
  <c r="AY4" i="66"/>
  <c r="AY8" i="66" s="1"/>
  <c r="AY4" i="64"/>
  <c r="AY8" i="64" s="1"/>
  <c r="AY4" i="63"/>
  <c r="AY8" i="63" s="1"/>
  <c r="AY4" i="62"/>
  <c r="AY8" i="62" s="1"/>
  <c r="AY4" i="65"/>
  <c r="AY8" i="65" s="1"/>
  <c r="AZ4" i="46"/>
  <c r="AY8" i="46"/>
  <c r="AZ21" i="46"/>
  <c r="HE3" i="13"/>
  <c r="CR3" i="13"/>
  <c r="AV24" i="35"/>
  <c r="ER24" i="35"/>
  <c r="AW7" i="35"/>
  <c r="ES7" i="35"/>
  <c r="AZ4" i="68" l="1"/>
  <c r="AZ8" i="68" s="1"/>
  <c r="AZ4" i="69"/>
  <c r="AZ8" i="69" s="1"/>
  <c r="AZ4" i="65"/>
  <c r="AZ8" i="65" s="1"/>
  <c r="AZ4" i="66"/>
  <c r="AZ8" i="66" s="1"/>
  <c r="AZ4" i="63"/>
  <c r="AZ8" i="63" s="1"/>
  <c r="AZ4" i="62"/>
  <c r="AZ8" i="62" s="1"/>
  <c r="AZ4" i="64"/>
  <c r="AZ8" i="64" s="1"/>
  <c r="AZ8" i="46"/>
  <c r="AZ4" i="47"/>
  <c r="AZ8" i="47" s="1"/>
  <c r="BA21" i="46"/>
  <c r="CS3" i="13"/>
  <c r="HF3" i="13"/>
  <c r="ET7" i="35"/>
  <c r="AX7" i="35"/>
  <c r="AW24" i="35"/>
  <c r="ES24" i="35"/>
  <c r="BB21" i="46" l="1"/>
  <c r="HG3" i="13"/>
  <c r="CT3" i="13"/>
  <c r="ET24" i="35"/>
  <c r="AX24" i="35"/>
  <c r="EU7" i="35"/>
  <c r="AY7" i="35"/>
  <c r="BC21" i="46" l="1"/>
  <c r="HH3" i="13"/>
  <c r="CU3" i="13"/>
  <c r="EV7" i="35"/>
  <c r="AZ7" i="35"/>
  <c r="AY24" i="35"/>
  <c r="EU24" i="35"/>
  <c r="BD21" i="46" l="1"/>
  <c r="CV3" i="13"/>
  <c r="HI3" i="13"/>
  <c r="BA7" i="35"/>
  <c r="EW7" i="35"/>
  <c r="AZ24" i="35"/>
  <c r="EV24" i="35"/>
  <c r="CW3" i="13" l="1"/>
  <c r="HJ3" i="13"/>
  <c r="BA24" i="35"/>
  <c r="EW24" i="35"/>
  <c r="BB7" i="35"/>
  <c r="EX7" i="35"/>
  <c r="HK3" i="13" l="1"/>
  <c r="CX3" i="13"/>
  <c r="EY7" i="35"/>
  <c r="BC7" i="35"/>
  <c r="EX24" i="35"/>
  <c r="BB24" i="35"/>
  <c r="HL3" i="13" l="1"/>
  <c r="CY3" i="13"/>
  <c r="BC24" i="35"/>
  <c r="EY24" i="35"/>
  <c r="EZ7" i="35"/>
  <c r="BD7" i="35"/>
  <c r="HM3" i="13" l="1"/>
  <c r="CZ3" i="13"/>
  <c r="BE7" i="35"/>
  <c r="FA7" i="35"/>
  <c r="BD24" i="35"/>
  <c r="EZ24" i="35"/>
  <c r="DA3" i="13" l="1"/>
  <c r="HN3" i="13"/>
  <c r="FA24" i="35"/>
  <c r="BE24" i="35"/>
  <c r="FB7" i="35"/>
  <c r="BF7" i="35"/>
  <c r="HO3" i="13" l="1"/>
  <c r="DB3" i="13"/>
  <c r="FC7" i="35"/>
  <c r="BG7" i="35"/>
  <c r="FB24" i="35"/>
  <c r="BF24" i="35"/>
  <c r="HP3" i="13" l="1"/>
  <c r="DC3" i="13"/>
  <c r="BG24" i="35"/>
  <c r="FC24" i="35"/>
  <c r="FD7" i="35"/>
  <c r="BH7" i="35"/>
  <c r="DD3" i="13" l="1"/>
  <c r="HQ3" i="13"/>
  <c r="BI7" i="35"/>
  <c r="FE7" i="35"/>
  <c r="BH24" i="35"/>
  <c r="FD24" i="35"/>
  <c r="HR3" i="13" l="1"/>
  <c r="DE3" i="13"/>
  <c r="BJ7" i="35"/>
  <c r="FF7" i="35"/>
  <c r="BI24" i="35"/>
  <c r="FE24" i="35"/>
  <c r="DF3" i="13" l="1"/>
  <c r="HS3" i="13"/>
  <c r="FF24" i="35"/>
  <c r="BJ24" i="35"/>
  <c r="FG7" i="35"/>
  <c r="BK7" i="35"/>
  <c r="DG3" i="13" l="1"/>
  <c r="HT3" i="13"/>
  <c r="FH7" i="35"/>
  <c r="BL7" i="35"/>
  <c r="BK24" i="35"/>
  <c r="FG24" i="35"/>
  <c r="HU3" i="13" l="1"/>
  <c r="DH3" i="13"/>
  <c r="BL24" i="35"/>
  <c r="FH24" i="35"/>
  <c r="BM7" i="35"/>
  <c r="FI7" i="35"/>
  <c r="HV3" i="13" l="1"/>
  <c r="DI3" i="13"/>
  <c r="BM24" i="35"/>
  <c r="FI24" i="35"/>
  <c r="FJ7" i="35"/>
  <c r="BN7" i="35"/>
  <c r="HW3" i="13" l="1"/>
  <c r="DJ3" i="13"/>
  <c r="FK7" i="35"/>
  <c r="BO7" i="35"/>
  <c r="FJ24" i="35"/>
  <c r="BN24" i="35"/>
  <c r="HX3" i="13" l="1"/>
  <c r="DK3" i="13"/>
  <c r="BO24" i="35"/>
  <c r="FK24" i="35"/>
  <c r="FL7" i="35"/>
  <c r="BP7" i="35"/>
  <c r="HY3" i="13" l="1"/>
  <c r="DL3" i="13"/>
  <c r="BP24" i="35"/>
  <c r="FL24" i="35"/>
  <c r="BQ7" i="35"/>
  <c r="FM7" i="35"/>
  <c r="HZ3" i="13" l="1"/>
  <c r="DM3" i="13"/>
  <c r="BR7" i="35"/>
  <c r="FN7" i="35"/>
  <c r="BQ24" i="35"/>
  <c r="FM24" i="35"/>
  <c r="IA3" i="13" l="1"/>
  <c r="DN3" i="13"/>
  <c r="FN24" i="35"/>
  <c r="BR24" i="35"/>
  <c r="FO7" i="35"/>
  <c r="BS7" i="35"/>
  <c r="DO3" i="13" l="1"/>
  <c r="IB3" i="13"/>
  <c r="FP7" i="35"/>
  <c r="BT7" i="35"/>
  <c r="BS24" i="35"/>
  <c r="FO24" i="35"/>
  <c r="DP3" i="13" l="1"/>
  <c r="IC3" i="13"/>
  <c r="BT24" i="35"/>
  <c r="FP24" i="35"/>
  <c r="BU7" i="35"/>
  <c r="FQ7" i="35"/>
  <c r="DQ3" i="13" l="1"/>
  <c r="ID3" i="13"/>
  <c r="FR7" i="35"/>
  <c r="BV7" i="35"/>
  <c r="BU24" i="35"/>
  <c r="FQ24" i="35"/>
  <c r="IE3" i="13" l="1"/>
  <c r="DR3" i="13"/>
  <c r="FS7" i="35"/>
  <c r="BW7" i="35"/>
  <c r="FR24" i="35"/>
  <c r="BV24" i="35"/>
  <c r="DS3" i="13" l="1"/>
  <c r="IF3" i="13"/>
  <c r="BW24" i="35"/>
  <c r="FS24" i="35"/>
  <c r="FT7" i="35"/>
  <c r="BX7" i="35"/>
  <c r="IG3" i="13" l="1"/>
  <c r="DT3" i="13"/>
  <c r="BX24" i="35"/>
  <c r="FT24" i="35"/>
  <c r="BY7" i="35"/>
  <c r="FU7" i="35"/>
  <c r="DU3" i="13" l="1"/>
  <c r="IH3" i="13"/>
  <c r="BZ7" i="35"/>
  <c r="FV7" i="35"/>
  <c r="BY24" i="35"/>
  <c r="FU24" i="35"/>
  <c r="DV3" i="13" l="1"/>
  <c r="II3" i="13"/>
  <c r="FV24" i="35"/>
  <c r="BZ24" i="35"/>
  <c r="FW7" i="35"/>
  <c r="CA7" i="35"/>
  <c r="DW3" i="13" l="1"/>
  <c r="IJ3" i="13"/>
  <c r="CA24" i="35"/>
  <c r="FW24" i="35"/>
  <c r="FX7" i="35"/>
  <c r="CB7" i="35"/>
  <c r="IK3" i="13" l="1"/>
  <c r="DX3" i="13"/>
  <c r="CC7" i="35"/>
  <c r="FY7" i="35"/>
  <c r="CB24" i="35"/>
  <c r="FX24" i="35"/>
  <c r="DY3" i="13" l="1"/>
  <c r="IL3" i="13"/>
  <c r="CC24" i="35"/>
  <c r="FY24" i="35"/>
  <c r="FZ7" i="35"/>
  <c r="CD7" i="35"/>
  <c r="IM3" i="13" l="1"/>
  <c r="DZ3" i="13"/>
  <c r="GA7" i="35"/>
  <c r="CE7" i="35"/>
  <c r="FZ24" i="35"/>
  <c r="CD24" i="35"/>
  <c r="IN3" i="13" l="1"/>
  <c r="EA3" i="13"/>
  <c r="GB7" i="35"/>
  <c r="CF7" i="35"/>
  <c r="CE24" i="35"/>
  <c r="GA24" i="35"/>
  <c r="IO3" i="13" l="1"/>
  <c r="EB3" i="13"/>
  <c r="CF24" i="35"/>
  <c r="GB24" i="35"/>
  <c r="CG7" i="35"/>
  <c r="GC7" i="35"/>
  <c r="IP3" i="13" l="1"/>
  <c r="EC3" i="13"/>
  <c r="CG24" i="35"/>
  <c r="GC24" i="35"/>
  <c r="CH7" i="35"/>
  <c r="GD7" i="35"/>
  <c r="ED3" i="13" l="1"/>
  <c r="IQ3" i="13"/>
  <c r="GE7" i="35"/>
  <c r="CI7" i="35"/>
  <c r="GD24" i="35"/>
  <c r="CH24" i="35"/>
  <c r="EE3" i="13" l="1"/>
  <c r="IR3" i="13"/>
  <c r="GF7" i="35"/>
  <c r="CJ7" i="35"/>
  <c r="CI24" i="35"/>
  <c r="GE24" i="35"/>
  <c r="EF3" i="13" l="1"/>
  <c r="IS3" i="13"/>
  <c r="CJ24" i="35"/>
  <c r="GF24" i="35"/>
  <c r="CK7" i="35"/>
  <c r="GG7" i="35"/>
  <c r="EG3" i="13" l="1"/>
  <c r="IT3" i="13"/>
  <c r="GH7" i="35"/>
  <c r="CL7" i="35"/>
  <c r="CK24" i="35"/>
  <c r="GG24" i="35"/>
  <c r="IU3" i="13" l="1"/>
  <c r="EH3" i="13"/>
  <c r="GI7" i="35"/>
  <c r="CM7" i="35"/>
  <c r="GH24" i="35"/>
  <c r="CL24" i="35"/>
  <c r="EI3" i="13" l="1"/>
  <c r="IV3" i="13"/>
  <c r="GJ7" i="35"/>
  <c r="CN7" i="35"/>
  <c r="CM24" i="35"/>
  <c r="GI24" i="35"/>
  <c r="EJ3" i="13" l="1"/>
  <c r="IW3" i="13"/>
  <c r="CN24" i="35"/>
  <c r="GJ24" i="35"/>
  <c r="GK7" i="35"/>
  <c r="CO7" i="35"/>
  <c r="IX3" i="13" l="1"/>
  <c r="EK3" i="13"/>
  <c r="CP7" i="35"/>
  <c r="GL7" i="35"/>
  <c r="GK24" i="35"/>
  <c r="CO24" i="35"/>
  <c r="IY3" i="13" l="1"/>
  <c r="EL3" i="13"/>
  <c r="GL24" i="35"/>
  <c r="CP24" i="35"/>
  <c r="GM7" i="35"/>
  <c r="CQ7" i="35"/>
  <c r="EM3" i="13" l="1"/>
  <c r="IZ3" i="13"/>
  <c r="GN7" i="35"/>
  <c r="CR7" i="35"/>
  <c r="CQ24" i="35"/>
  <c r="GM24" i="35"/>
  <c r="EN3" i="13" l="1"/>
  <c r="JA3" i="13"/>
  <c r="CR24" i="35"/>
  <c r="GN24" i="35"/>
  <c r="CS7" i="35"/>
  <c r="GO7" i="35"/>
  <c r="EO3" i="13" l="1"/>
  <c r="JB3" i="13"/>
  <c r="CT7" i="35"/>
  <c r="GP7" i="35"/>
  <c r="CS24" i="35"/>
  <c r="GO24" i="35"/>
  <c r="EP3" i="13" l="1"/>
  <c r="JC3" i="13"/>
  <c r="GP24" i="35"/>
  <c r="CT24" i="35"/>
  <c r="GQ7" i="35"/>
  <c r="CU7" i="35"/>
  <c r="JD3" i="13" l="1"/>
  <c r="EQ3" i="13"/>
  <c r="GR7" i="35"/>
  <c r="CV7" i="35"/>
  <c r="CU24" i="35"/>
  <c r="GQ24" i="35"/>
  <c r="JE3" i="13" l="1"/>
  <c r="ER3" i="13"/>
  <c r="CV24" i="35"/>
  <c r="GR24" i="35"/>
  <c r="CW7" i="35"/>
  <c r="GS7" i="35"/>
  <c r="ES3" i="13" l="1"/>
  <c r="JF3" i="13"/>
  <c r="CX7" i="35"/>
  <c r="GT7" i="35"/>
  <c r="CW24" i="35"/>
  <c r="GS24" i="35"/>
  <c r="JG3" i="13" l="1"/>
  <c r="ET3" i="13"/>
  <c r="GU7" i="35"/>
  <c r="CY7" i="35"/>
  <c r="GT24" i="35"/>
  <c r="CX24" i="35"/>
  <c r="EU3" i="13" l="1"/>
  <c r="JH3" i="13"/>
  <c r="CY24" i="35"/>
  <c r="GU24" i="35"/>
  <c r="GV7" i="35"/>
  <c r="CZ7" i="35"/>
  <c r="EV3" i="13" l="1"/>
  <c r="JI3" i="13"/>
  <c r="CZ24" i="35"/>
  <c r="GV24" i="35"/>
  <c r="DA7" i="35"/>
  <c r="GW7" i="35"/>
  <c r="JJ3" i="13" l="1"/>
  <c r="EW3" i="13"/>
  <c r="DB7" i="35"/>
  <c r="GX7" i="35"/>
  <c r="DA24" i="35"/>
  <c r="GW24" i="35"/>
  <c r="EX3" i="13" l="1"/>
  <c r="JK3" i="13"/>
  <c r="GX24" i="35"/>
  <c r="DB24" i="35"/>
  <c r="GY7" i="35"/>
  <c r="DC7" i="35"/>
  <c r="JL3" i="13" l="1"/>
  <c r="EY3" i="13"/>
  <c r="JM3" i="13" s="1"/>
  <c r="DC24" i="35"/>
  <c r="GY24" i="35"/>
  <c r="GZ7" i="35"/>
  <c r="DD7" i="35"/>
  <c r="T19" i="42" l="1"/>
  <c r="V39" i="10"/>
  <c r="G23" i="42"/>
  <c r="T16" i="42"/>
  <c r="K24" i="10"/>
  <c r="X38" i="10"/>
  <c r="J18" i="10"/>
  <c r="H38" i="10"/>
  <c r="X33" i="42"/>
  <c r="E33" i="42"/>
  <c r="Y38" i="10"/>
  <c r="J25" i="10"/>
  <c r="G16" i="42"/>
  <c r="S18" i="10"/>
  <c r="W24" i="10"/>
  <c r="I16" i="42"/>
  <c r="F18" i="10"/>
  <c r="Y20" i="10"/>
  <c r="W38" i="10"/>
  <c r="S19" i="42"/>
  <c r="G20" i="10"/>
  <c r="U45" i="42"/>
  <c r="V25" i="10"/>
  <c r="U20" i="10"/>
  <c r="I38" i="10"/>
  <c r="E18" i="10"/>
  <c r="I27" i="10"/>
  <c r="S44" i="42"/>
  <c r="G31" i="42"/>
  <c r="W30" i="42"/>
  <c r="V19" i="42"/>
  <c r="T17" i="10"/>
  <c r="G17" i="42"/>
  <c r="X45" i="42"/>
  <c r="X39" i="10"/>
  <c r="F26" i="42"/>
  <c r="G24" i="10"/>
  <c r="F31" i="42"/>
  <c r="W26" i="42"/>
  <c r="W39" i="10"/>
  <c r="T39" i="10"/>
  <c r="U44" i="42"/>
  <c r="G26" i="42"/>
  <c r="W17" i="10"/>
  <c r="X24" i="42"/>
  <c r="V16" i="42"/>
  <c r="U39" i="10"/>
  <c r="X27" i="10"/>
  <c r="E23" i="42"/>
  <c r="AA26" i="42"/>
  <c r="I18" i="10"/>
  <c r="X23" i="42"/>
  <c r="W31" i="42"/>
  <c r="H27" i="10"/>
  <c r="T20" i="10"/>
  <c r="S33" i="42"/>
  <c r="T33" i="42"/>
  <c r="Y44" i="42"/>
  <c r="Y31" i="42"/>
  <c r="K17" i="42"/>
  <c r="W23" i="42"/>
  <c r="V45" i="42"/>
  <c r="E30" i="42"/>
  <c r="V33" i="42"/>
  <c r="T24" i="42"/>
  <c r="K27" i="10"/>
  <c r="F27" i="10"/>
  <c r="F33" i="42"/>
  <c r="I17" i="42"/>
  <c r="H17" i="10"/>
  <c r="E16" i="42"/>
  <c r="F23" i="42"/>
  <c r="E31" i="42"/>
  <c r="H20" i="10"/>
  <c r="W25" i="10"/>
  <c r="U18" i="10"/>
  <c r="AA19" i="42"/>
  <c r="F39" i="10"/>
  <c r="E25" i="10"/>
  <c r="U24" i="42"/>
  <c r="H24" i="42"/>
  <c r="F20" i="10"/>
  <c r="M19" i="42"/>
  <c r="G27" i="10"/>
  <c r="V26" i="42"/>
  <c r="E38" i="10"/>
  <c r="K31" i="42"/>
  <c r="X24" i="10"/>
  <c r="V17" i="42"/>
  <c r="K24" i="42"/>
  <c r="J33" i="42"/>
  <c r="U27" i="10"/>
  <c r="T30" i="42"/>
  <c r="K25" i="10"/>
  <c r="S20" i="10"/>
  <c r="F17" i="10"/>
  <c r="V24" i="10"/>
  <c r="AA27" i="10"/>
  <c r="U16" i="42"/>
  <c r="I20" i="10"/>
  <c r="G17" i="10"/>
  <c r="J24" i="42"/>
  <c r="Y26" i="42"/>
  <c r="W18" i="10"/>
  <c r="G18" i="10"/>
  <c r="S45" i="42"/>
  <c r="Y23" i="42"/>
  <c r="V30" i="42"/>
  <c r="X19" i="42"/>
  <c r="G33" i="42"/>
  <c r="T24" i="10"/>
  <c r="S30" i="42"/>
  <c r="S38" i="10"/>
  <c r="V24" i="42"/>
  <c r="H26" i="42"/>
  <c r="S39" i="10"/>
  <c r="Y17" i="10"/>
  <c r="H19" i="42"/>
  <c r="I23" i="42"/>
  <c r="T17" i="42"/>
  <c r="I33" i="42"/>
  <c r="I26" i="42"/>
  <c r="M27" i="10"/>
  <c r="T44" i="42"/>
  <c r="J19" i="42"/>
  <c r="U33" i="42"/>
  <c r="U17" i="42"/>
  <c r="K17" i="10"/>
  <c r="W27" i="10"/>
  <c r="H23" i="42"/>
  <c r="X20" i="10"/>
  <c r="S24" i="10"/>
  <c r="J16" i="42"/>
  <c r="Y18" i="10"/>
  <c r="AA20" i="10"/>
  <c r="I30" i="42"/>
  <c r="I24" i="42"/>
  <c r="T18" i="10"/>
  <c r="AA33" i="42"/>
  <c r="J38" i="10"/>
  <c r="G30" i="42"/>
  <c r="W45" i="42"/>
  <c r="E19" i="42"/>
  <c r="V44" i="42"/>
  <c r="K38" i="10"/>
  <c r="Y30" i="42"/>
  <c r="K16" i="42"/>
  <c r="I19" i="42"/>
  <c r="F38" i="10"/>
  <c r="J23" i="42"/>
  <c r="Y27" i="10"/>
  <c r="U30" i="42"/>
  <c r="X18" i="10"/>
  <c r="H39" i="10"/>
  <c r="J24" i="10"/>
  <c r="U38" i="10"/>
  <c r="F24" i="10"/>
  <c r="J26" i="42"/>
  <c r="F16" i="42"/>
  <c r="X25" i="10"/>
  <c r="J20" i="10"/>
  <c r="T23" i="42"/>
  <c r="H25" i="10"/>
  <c r="Y33" i="42"/>
  <c r="T31" i="42"/>
  <c r="G19" i="42"/>
  <c r="W24" i="42"/>
  <c r="X17" i="10"/>
  <c r="X16" i="42"/>
  <c r="X44" i="42"/>
  <c r="S23" i="42"/>
  <c r="V23" i="42"/>
  <c r="Y24" i="10"/>
  <c r="S25" i="10"/>
  <c r="V18" i="10"/>
  <c r="J39" i="10"/>
  <c r="J31" i="42"/>
  <c r="Y19" i="42"/>
  <c r="S17" i="10"/>
  <c r="J27" i="10"/>
  <c r="F19" i="42"/>
  <c r="Y17" i="42"/>
  <c r="K26" i="42"/>
  <c r="U17" i="10"/>
  <c r="V31" i="42"/>
  <c r="T38" i="10"/>
  <c r="H31" i="42"/>
  <c r="H24" i="10"/>
  <c r="E17" i="42"/>
  <c r="K33" i="42"/>
  <c r="S27" i="10"/>
  <c r="X30" i="42"/>
  <c r="U31" i="42"/>
  <c r="K18" i="10"/>
  <c r="M26" i="42"/>
  <c r="W17" i="42"/>
  <c r="K39" i="10"/>
  <c r="H17" i="42"/>
  <c r="H30" i="42"/>
  <c r="K19" i="42"/>
  <c r="Y39" i="10"/>
  <c r="S26" i="42"/>
  <c r="M20" i="10"/>
  <c r="M33" i="42"/>
  <c r="V38" i="10"/>
  <c r="I39" i="10"/>
  <c r="K30" i="42"/>
  <c r="I31" i="42"/>
  <c r="W20" i="10"/>
  <c r="E24" i="10"/>
  <c r="S17" i="42"/>
  <c r="T25" i="10"/>
  <c r="E20" i="10"/>
  <c r="Y16" i="42"/>
  <c r="J17" i="10"/>
  <c r="Y45" i="42"/>
  <c r="W44" i="42"/>
  <c r="F25" i="10"/>
  <c r="T45" i="42"/>
  <c r="S16" i="42"/>
  <c r="E39" i="10"/>
  <c r="X17" i="42"/>
  <c r="U26" i="42"/>
  <c r="U23" i="42"/>
  <c r="K20" i="10"/>
  <c r="E26" i="42"/>
  <c r="I24" i="10"/>
  <c r="H16" i="42"/>
  <c r="F24" i="42"/>
  <c r="X31" i="42"/>
  <c r="F30" i="42"/>
  <c r="J30" i="42"/>
  <c r="G39" i="10"/>
  <c r="F17" i="42"/>
  <c r="T27" i="10"/>
  <c r="G25" i="10"/>
  <c r="K23" i="42"/>
  <c r="X26" i="42"/>
  <c r="Y24" i="42"/>
  <c r="G38" i="10"/>
  <c r="E27" i="10"/>
  <c r="U24" i="10"/>
  <c r="V27" i="10"/>
  <c r="E24" i="42"/>
  <c r="I25" i="10"/>
  <c r="V17" i="10"/>
  <c r="W16" i="42"/>
  <c r="H33" i="42"/>
  <c r="S31" i="42"/>
  <c r="W33" i="42"/>
  <c r="G24" i="42"/>
  <c r="V20" i="10"/>
  <c r="U19" i="42"/>
  <c r="I17" i="10"/>
  <c r="Y25" i="10"/>
  <c r="E17" i="10"/>
  <c r="T26" i="42"/>
  <c r="S24" i="42"/>
  <c r="J17" i="42"/>
  <c r="U25" i="10"/>
  <c r="W19" i="42"/>
  <c r="H18" i="10"/>
  <c r="DE7" i="35"/>
  <c r="HB7" i="35" s="1"/>
  <c r="HA7" i="35"/>
  <c r="DD24" i="35"/>
  <c r="GZ24" i="35"/>
  <c r="I32" i="42" l="1"/>
  <c r="Y25" i="42"/>
  <c r="K40" i="10"/>
  <c r="T32" i="42"/>
  <c r="W34" i="10"/>
  <c r="X48" i="42"/>
  <c r="H34" i="10"/>
  <c r="E21" i="10"/>
  <c r="V42" i="10"/>
  <c r="M34" i="10"/>
  <c r="J27" i="42"/>
  <c r="W26" i="10"/>
  <c r="X26" i="10"/>
  <c r="J40" i="10"/>
  <c r="Y46" i="42"/>
  <c r="V48" i="42"/>
  <c r="H34" i="42"/>
  <c r="X40" i="10"/>
  <c r="V27" i="42"/>
  <c r="K27" i="42"/>
  <c r="K34" i="10"/>
  <c r="W48" i="42"/>
  <c r="F42" i="10"/>
  <c r="F34" i="42"/>
  <c r="Y34" i="10"/>
  <c r="AA34" i="10"/>
  <c r="K34" i="42"/>
  <c r="V34" i="10"/>
  <c r="W32" i="42"/>
  <c r="S32" i="42"/>
  <c r="F25" i="42"/>
  <c r="V32" i="42"/>
  <c r="F40" i="42"/>
  <c r="T46" i="42"/>
  <c r="J28" i="10"/>
  <c r="X34" i="10"/>
  <c r="X32" i="42"/>
  <c r="S26" i="10"/>
  <c r="H40" i="10"/>
  <c r="S46" i="42"/>
  <c r="E25" i="42"/>
  <c r="J34" i="42"/>
  <c r="I40" i="42"/>
  <c r="S40" i="10"/>
  <c r="X27" i="42"/>
  <c r="Y26" i="10"/>
  <c r="I28" i="10"/>
  <c r="Z26" i="42"/>
  <c r="S27" i="42"/>
  <c r="W25" i="42"/>
  <c r="H26" i="10"/>
  <c r="I27" i="42"/>
  <c r="T28" i="10"/>
  <c r="E26" i="10"/>
  <c r="E34" i="42"/>
  <c r="Y32" i="42"/>
  <c r="W40" i="42"/>
  <c r="V40" i="42"/>
  <c r="V26" i="10"/>
  <c r="W42" i="10"/>
  <c r="Y42" i="10"/>
  <c r="V31" i="10"/>
  <c r="F38" i="42"/>
  <c r="F26" i="10"/>
  <c r="I40" i="10"/>
  <c r="T42" i="10"/>
  <c r="T27" i="42"/>
  <c r="H27" i="42"/>
  <c r="K26" i="10"/>
  <c r="J18" i="42"/>
  <c r="J38" i="42"/>
  <c r="W37" i="42"/>
  <c r="W20" i="42"/>
  <c r="S18" i="42"/>
  <c r="S38" i="42"/>
  <c r="H32" i="42"/>
  <c r="V21" i="10"/>
  <c r="V19" i="10"/>
  <c r="V32" i="10"/>
  <c r="Z17" i="42"/>
  <c r="U18" i="42"/>
  <c r="U38" i="42"/>
  <c r="T34" i="10"/>
  <c r="L26" i="42"/>
  <c r="H32" i="10"/>
  <c r="H19" i="10"/>
  <c r="Z19" i="42"/>
  <c r="U40" i="42"/>
  <c r="I26" i="10"/>
  <c r="N27" i="10"/>
  <c r="G40" i="10"/>
  <c r="L39" i="10"/>
  <c r="N39" i="10"/>
  <c r="E40" i="10"/>
  <c r="N20" i="10"/>
  <c r="E34" i="10"/>
  <c r="Y40" i="10"/>
  <c r="Z31" i="42"/>
  <c r="U32" i="42"/>
  <c r="E18" i="42"/>
  <c r="E38" i="42"/>
  <c r="J32" i="42"/>
  <c r="Y28" i="10"/>
  <c r="X20" i="42"/>
  <c r="X37" i="42"/>
  <c r="J34" i="10"/>
  <c r="F28" i="10"/>
  <c r="X19" i="10"/>
  <c r="X32" i="10"/>
  <c r="K42" i="10"/>
  <c r="G32" i="42"/>
  <c r="G34" i="42"/>
  <c r="L30" i="42"/>
  <c r="I25" i="42"/>
  <c r="J20" i="42"/>
  <c r="J37" i="42"/>
  <c r="J40" i="42"/>
  <c r="Y31" i="10"/>
  <c r="Y21" i="10"/>
  <c r="S42" i="10"/>
  <c r="X40" i="42"/>
  <c r="L18" i="10"/>
  <c r="G32" i="10"/>
  <c r="G19" i="10"/>
  <c r="G21" i="10"/>
  <c r="L17" i="10"/>
  <c r="G31" i="10"/>
  <c r="V28" i="10"/>
  <c r="T34" i="42"/>
  <c r="V38" i="42"/>
  <c r="V18" i="42"/>
  <c r="H25" i="42"/>
  <c r="AA40" i="42"/>
  <c r="E32" i="42"/>
  <c r="I38" i="42"/>
  <c r="I18" i="42"/>
  <c r="T25" i="42"/>
  <c r="W27" i="42"/>
  <c r="T40" i="42"/>
  <c r="E27" i="42"/>
  <c r="X25" i="42"/>
  <c r="T40" i="10"/>
  <c r="G28" i="10"/>
  <c r="L24" i="10"/>
  <c r="G18" i="42"/>
  <c r="G38" i="42"/>
  <c r="L17" i="42"/>
  <c r="L31" i="42"/>
  <c r="I42" i="10"/>
  <c r="G34" i="10"/>
  <c r="L20" i="10"/>
  <c r="F19" i="10"/>
  <c r="F32" i="10"/>
  <c r="G20" i="42"/>
  <c r="L16" i="42"/>
  <c r="G37" i="42"/>
  <c r="K28" i="10"/>
  <c r="G42" i="10"/>
  <c r="L38" i="10"/>
  <c r="L25" i="10"/>
  <c r="G26" i="10"/>
  <c r="H20" i="42"/>
  <c r="H37" i="42"/>
  <c r="Z23" i="42"/>
  <c r="U27" i="42"/>
  <c r="S20" i="42"/>
  <c r="S37" i="42"/>
  <c r="S41" i="42" s="1"/>
  <c r="T26" i="10"/>
  <c r="K40" i="42"/>
  <c r="W18" i="42"/>
  <c r="W38" i="42"/>
  <c r="X34" i="42"/>
  <c r="H28" i="10"/>
  <c r="U31" i="10"/>
  <c r="Z17" i="10"/>
  <c r="U21" i="10"/>
  <c r="X21" i="10"/>
  <c r="X31" i="10"/>
  <c r="Z38" i="10"/>
  <c r="U42" i="10"/>
  <c r="Z30" i="42"/>
  <c r="U34" i="42"/>
  <c r="J42" i="10"/>
  <c r="I34" i="42"/>
  <c r="S28" i="10"/>
  <c r="K21" i="10"/>
  <c r="K31" i="10"/>
  <c r="T48" i="42"/>
  <c r="T18" i="42"/>
  <c r="T38" i="42"/>
  <c r="S34" i="42"/>
  <c r="V34" i="42"/>
  <c r="W19" i="10"/>
  <c r="W32" i="10"/>
  <c r="I34" i="10"/>
  <c r="F31" i="10"/>
  <c r="F21" i="10"/>
  <c r="Z27" i="10"/>
  <c r="X28" i="10"/>
  <c r="L27" i="10"/>
  <c r="U25" i="42"/>
  <c r="Z24" i="42"/>
  <c r="Z18" i="10"/>
  <c r="U19" i="10"/>
  <c r="U32" i="10"/>
  <c r="F27" i="42"/>
  <c r="K38" i="42"/>
  <c r="K18" i="42"/>
  <c r="AB33" i="42"/>
  <c r="W21" i="10"/>
  <c r="W31" i="10"/>
  <c r="W40" i="10"/>
  <c r="T31" i="10"/>
  <c r="S48" i="42"/>
  <c r="U34" i="10"/>
  <c r="Z20" i="10"/>
  <c r="S40" i="42"/>
  <c r="AB19" i="42"/>
  <c r="I20" i="42"/>
  <c r="I37" i="42"/>
  <c r="J26" i="10"/>
  <c r="H42" i="10"/>
  <c r="T20" i="42"/>
  <c r="T37" i="42"/>
  <c r="G25" i="42"/>
  <c r="L24" i="42"/>
  <c r="J21" i="10"/>
  <c r="J31" i="10"/>
  <c r="AB27" i="10"/>
  <c r="S31" i="10"/>
  <c r="S21" i="10"/>
  <c r="N19" i="42"/>
  <c r="E40" i="42"/>
  <c r="Y27" i="42"/>
  <c r="S34" i="10"/>
  <c r="AB20" i="10"/>
  <c r="M40" i="42"/>
  <c r="E20" i="42"/>
  <c r="E37" i="42"/>
  <c r="U40" i="10"/>
  <c r="Z39" i="10"/>
  <c r="J32" i="10"/>
  <c r="J19" i="10"/>
  <c r="G27" i="42"/>
  <c r="L23" i="42"/>
  <c r="U26" i="10"/>
  <c r="Z25" i="10"/>
  <c r="F18" i="42"/>
  <c r="F37" i="42"/>
  <c r="F20" i="42"/>
  <c r="K37" i="42"/>
  <c r="K20" i="42"/>
  <c r="U37" i="42"/>
  <c r="U20" i="42"/>
  <c r="Z16" i="42"/>
  <c r="K32" i="42"/>
  <c r="I21" i="10"/>
  <c r="I32" i="10"/>
  <c r="I19" i="10"/>
  <c r="W28" i="10"/>
  <c r="S25" i="42"/>
  <c r="I31" i="10"/>
  <c r="U28" i="10"/>
  <c r="Z24" i="10"/>
  <c r="N26" i="42"/>
  <c r="X18" i="42"/>
  <c r="X38" i="42"/>
  <c r="Y37" i="42"/>
  <c r="Y20" i="42"/>
  <c r="E31" i="10"/>
  <c r="E28" i="10"/>
  <c r="AB26" i="42"/>
  <c r="H18" i="42"/>
  <c r="H38" i="42"/>
  <c r="K32" i="10"/>
  <c r="K19" i="10"/>
  <c r="Y18" i="42"/>
  <c r="Y38" i="42"/>
  <c r="Y40" i="42"/>
  <c r="L19" i="42"/>
  <c r="G40" i="42"/>
  <c r="Y34" i="42"/>
  <c r="W46" i="42"/>
  <c r="T21" i="10"/>
  <c r="T19" i="10"/>
  <c r="T32" i="10"/>
  <c r="Y32" i="10"/>
  <c r="Y19" i="10"/>
  <c r="Z33" i="42"/>
  <c r="H40" i="42"/>
  <c r="V25" i="42"/>
  <c r="L33" i="42"/>
  <c r="J25" i="42"/>
  <c r="K25" i="42"/>
  <c r="N38" i="10"/>
  <c r="E42" i="10"/>
  <c r="F34" i="10"/>
  <c r="F40" i="10"/>
  <c r="H31" i="10"/>
  <c r="H21" i="10"/>
  <c r="V46" i="42"/>
  <c r="Y48" i="42"/>
  <c r="V37" i="42"/>
  <c r="V20" i="42"/>
  <c r="Z44" i="42"/>
  <c r="U48" i="42"/>
  <c r="F32" i="42"/>
  <c r="X46" i="42"/>
  <c r="W34" i="42"/>
  <c r="E19" i="10"/>
  <c r="E32" i="10"/>
  <c r="U46" i="42"/>
  <c r="Z45" i="42"/>
  <c r="S32" i="10"/>
  <c r="S19" i="10"/>
  <c r="N33" i="42"/>
  <c r="X42" i="10"/>
  <c r="V40" i="10"/>
  <c r="DE24" i="35"/>
  <c r="HB24" i="35" s="1"/>
  <c r="HA24" i="35"/>
  <c r="S33" i="10" l="1"/>
  <c r="L26" i="10"/>
  <c r="Z46" i="42"/>
  <c r="K33" i="10"/>
  <c r="G35" i="10"/>
  <c r="E33" i="10"/>
  <c r="V41" i="42"/>
  <c r="Y33" i="10"/>
  <c r="Z34" i="42"/>
  <c r="T41" i="42"/>
  <c r="W35" i="10"/>
  <c r="N34" i="10"/>
  <c r="U41" i="42"/>
  <c r="I35" i="10"/>
  <c r="L27" i="42"/>
  <c r="U33" i="10"/>
  <c r="AB27" i="42"/>
  <c r="F33" i="10"/>
  <c r="L34" i="42"/>
  <c r="AB46" i="42"/>
  <c r="L32" i="42"/>
  <c r="H35" i="10"/>
  <c r="N28" i="10"/>
  <c r="Z26" i="10"/>
  <c r="N21" i="10"/>
  <c r="Z42" i="10"/>
  <c r="L42" i="10"/>
  <c r="L34" i="10"/>
  <c r="G33" i="10"/>
  <c r="AB32" i="42"/>
  <c r="Z40" i="42"/>
  <c r="AB19" i="10"/>
  <c r="X39" i="42"/>
  <c r="AB21" i="10"/>
  <c r="AB34" i="42"/>
  <c r="W39" i="42"/>
  <c r="T33" i="10"/>
  <c r="Y39" i="42"/>
  <c r="J33" i="10"/>
  <c r="Z25" i="42"/>
  <c r="X35" i="10"/>
  <c r="Z20" i="42"/>
  <c r="Z37" i="42"/>
  <c r="K35" i="10"/>
  <c r="Z21" i="10"/>
  <c r="Z31" i="10"/>
  <c r="L20" i="42"/>
  <c r="L37" i="42"/>
  <c r="L18" i="42"/>
  <c r="L38" i="42"/>
  <c r="S39" i="42"/>
  <c r="E35" i="10"/>
  <c r="I33" i="10"/>
  <c r="N20" i="42"/>
  <c r="S35" i="10"/>
  <c r="L25" i="42"/>
  <c r="AB40" i="42"/>
  <c r="AB48" i="42"/>
  <c r="W33" i="10"/>
  <c r="T39" i="42"/>
  <c r="U35" i="10"/>
  <c r="AB20" i="42"/>
  <c r="AB40" i="10"/>
  <c r="N32" i="42"/>
  <c r="V39" i="42"/>
  <c r="L31" i="10"/>
  <c r="L21" i="10"/>
  <c r="L32" i="10"/>
  <c r="L19" i="10"/>
  <c r="Y35" i="10"/>
  <c r="Z32" i="42"/>
  <c r="N40" i="10"/>
  <c r="U39" i="42"/>
  <c r="AB18" i="42"/>
  <c r="V33" i="10"/>
  <c r="V35" i="10"/>
  <c r="Z40" i="10"/>
  <c r="N25" i="42"/>
  <c r="T35" i="10"/>
  <c r="AB28" i="10"/>
  <c r="N26" i="10"/>
  <c r="X33" i="10"/>
  <c r="X41" i="42"/>
  <c r="H33" i="10"/>
  <c r="Z32" i="10"/>
  <c r="Z19" i="10"/>
  <c r="N19" i="10"/>
  <c r="Z48" i="42"/>
  <c r="AB25" i="42"/>
  <c r="N42" i="10"/>
  <c r="L40" i="42"/>
  <c r="Y41" i="42"/>
  <c r="Z28" i="10"/>
  <c r="AB34" i="10"/>
  <c r="N40" i="42"/>
  <c r="J35" i="10"/>
  <c r="Z34" i="10"/>
  <c r="F35" i="10"/>
  <c r="AB26" i="10"/>
  <c r="Z27" i="42"/>
  <c r="L28" i="10"/>
  <c r="N27" i="42"/>
  <c r="AB42" i="10"/>
  <c r="N34" i="42"/>
  <c r="N18" i="42"/>
  <c r="L40" i="10"/>
  <c r="Z18" i="42"/>
  <c r="Z38" i="42"/>
  <c r="W41" i="42"/>
  <c r="E4" i="42" l="1"/>
  <c r="Z39" i="42"/>
  <c r="S4" i="10"/>
  <c r="L35" i="10"/>
  <c r="E4" i="10"/>
  <c r="Z33" i="10"/>
  <c r="L33" i="10"/>
  <c r="Z41" i="42"/>
  <c r="Z35" i="10"/>
</calcChain>
</file>

<file path=xl/comments1.xml><?xml version="1.0" encoding="utf-8"?>
<comments xmlns="http://schemas.openxmlformats.org/spreadsheetml/2006/main">
  <authors>
    <author>Joy, Kevin CIV OASN(FM&amp;C), NCCA</author>
  </authors>
  <commentList>
    <comment ref="B5" authorId="0">
      <text>
        <r>
          <rPr>
            <b/>
            <sz val="9"/>
            <color indexed="81"/>
            <rFont val="Tahoma"/>
            <family val="2"/>
          </rPr>
          <t>Joy, Kevin CIV OASN(FM&amp;C), NCCA:</t>
        </r>
        <r>
          <rPr>
            <sz val="9"/>
            <color indexed="81"/>
            <rFont val="Tahoma"/>
            <family val="2"/>
          </rPr>
          <t xml:space="preserve">
ENTER LABOR NAME AS UNIQUE. LABOR NAME USED IN MODEL TO DETERMINE LABOR RATES</t>
        </r>
      </text>
    </comment>
  </commentList>
</comments>
</file>

<file path=xl/comments2.xml><?xml version="1.0" encoding="utf-8"?>
<comments xmlns="http://schemas.openxmlformats.org/spreadsheetml/2006/main">
  <authors>
    <author>TRI</author>
  </authors>
  <commentList>
    <comment ref="G4" authorId="0">
      <text>
        <r>
          <rPr>
            <b/>
            <sz val="10"/>
            <color indexed="81"/>
            <rFont val="Arial"/>
            <family val="2"/>
          </rPr>
          <t>TRI:</t>
        </r>
        <r>
          <rPr>
            <sz val="10"/>
            <color indexed="81"/>
            <rFont val="Arial"/>
            <family val="2"/>
          </rPr>
          <t xml:space="preserve">
If you make a change in the run settings dialog, you must press "F9" or otherwise force a calculate for the setting report below to update.</t>
        </r>
      </text>
    </comment>
    <comment ref="E5" authorId="0">
      <text>
        <r>
          <rPr>
            <b/>
            <sz val="10"/>
            <color indexed="81"/>
            <rFont val="Arial"/>
            <family val="2"/>
          </rPr>
          <t>TRI:</t>
        </r>
        <r>
          <rPr>
            <sz val="10"/>
            <color indexed="81"/>
            <rFont val="Arial"/>
            <family val="2"/>
          </rPr>
          <t xml:space="preserve">
#Name in the results indicate that CB is not loaded or there is a problem with the VBA referencing the CBDevKit.  See troubleshooting to the right.</t>
        </r>
      </text>
    </comment>
    <comment ref="G5" authorId="0">
      <text>
        <r>
          <rPr>
            <b/>
            <sz val="10"/>
            <color indexed="81"/>
            <rFont val="Arial"/>
            <family val="2"/>
          </rPr>
          <t>TRI:</t>
        </r>
        <r>
          <rPr>
            <sz val="10"/>
            <color indexed="81"/>
            <rFont val="Arial"/>
            <family val="2"/>
          </rPr>
          <t xml:space="preserve">
Ribbon may not update untill the simulation is run.</t>
        </r>
      </text>
    </comment>
    <comment ref="G8" authorId="0">
      <text>
        <r>
          <rPr>
            <b/>
            <sz val="10"/>
            <color indexed="81"/>
            <rFont val="Arial"/>
            <family val="2"/>
          </rPr>
          <t>TRI:</t>
        </r>
        <r>
          <rPr>
            <sz val="10"/>
            <color indexed="81"/>
            <rFont val="Arial"/>
            <family val="2"/>
          </rPr>
          <t xml:space="preserve">
Macro to update preferences only works if "Run Same Randoms" is set to TRUE.</t>
        </r>
      </text>
    </comment>
    <comment ref="G10" authorId="0">
      <text>
        <r>
          <rPr>
            <b/>
            <sz val="10"/>
            <color indexed="81"/>
            <rFont val="Arial"/>
            <family val="2"/>
          </rPr>
          <t>TRI:</t>
        </r>
        <r>
          <rPr>
            <sz val="10"/>
            <color indexed="81"/>
            <rFont val="Arial"/>
            <family val="2"/>
          </rPr>
          <t xml:space="preserve">
Current macro will only pass between 10 and 5000 to the LHC "bins" field.  Any other number has to be set manually in the run preferences dialog.  Remember to press F9 after making a change to see this cell update to reflect any changes in the preferences dialog.</t>
        </r>
      </text>
    </comment>
  </commentList>
</comments>
</file>

<file path=xl/comments3.xml><?xml version="1.0" encoding="utf-8"?>
<comments xmlns="http://schemas.openxmlformats.org/spreadsheetml/2006/main">
  <authors>
    <author>Lanham, Nicholas A CIV OASN (FM&amp;C), NCCA</author>
  </authors>
  <commentList>
    <comment ref="C44" authorId="0">
      <text>
        <r>
          <rPr>
            <b/>
            <sz val="9"/>
            <color indexed="81"/>
            <rFont val="Tahoma"/>
            <family val="2"/>
          </rPr>
          <t>Lanham, Nicholas A CIV OASN (FM&amp;C), NCCA:</t>
        </r>
        <r>
          <rPr>
            <sz val="9"/>
            <color indexed="81"/>
            <rFont val="Tahoma"/>
            <family val="2"/>
          </rPr>
          <t xml:space="preserve">
Referenced from latest JA CSRUH</t>
        </r>
      </text>
    </comment>
  </commentList>
</comments>
</file>

<file path=xl/comments4.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5.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 1.1.1.2</t>
        </r>
      </text>
    </comment>
  </commentList>
</comments>
</file>

<file path=xl/comments6.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7.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8.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 1.1.1.2</t>
        </r>
      </text>
    </comment>
  </commentList>
</comments>
</file>

<file path=xl/sharedStrings.xml><?xml version="1.0" encoding="utf-8"?>
<sst xmlns="http://schemas.openxmlformats.org/spreadsheetml/2006/main" count="1965" uniqueCount="826">
  <si>
    <t>Base Year</t>
  </si>
  <si>
    <t>2000</t>
  </si>
  <si>
    <t>2001</t>
  </si>
  <si>
    <t>2002</t>
  </si>
  <si>
    <t>2003</t>
  </si>
  <si>
    <t>2004</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</si>
  <si>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</si>
  <si>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</si>
  <si>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</si>
  <si>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</si>
  <si>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</si>
  <si>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</si>
  <si>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</si>
  <si>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</si>
  <si>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</si>
  <si>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</si>
  <si>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</si>
  <si>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</si>
  <si>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</si>
  <si>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</si>
  <si>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</si>
  <si>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</si>
  <si>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</si>
  <si>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</si>
  <si>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</si>
  <si>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</si>
  <si>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</si>
  <si>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</si>
  <si>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</si>
  <si>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</si>
  <si>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</si>
  <si>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</si>
  <si>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</si>
  <si>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</si>
  <si>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</si>
  <si>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</si>
  <si>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</si>
  <si>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</si>
  <si>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</si>
  <si>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</si>
  <si>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</si>
  <si>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</si>
  <si>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</si>
  <si>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</si>
  <si>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</si>
  <si>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</si>
  <si>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</si>
  <si>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</si>
  <si>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</si>
  <si>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</si>
  <si>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</si>
  <si>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</si>
  <si>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</si>
  <si>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</si>
  <si>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</si>
  <si>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</si>
  <si>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</si>
  <si>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</si>
  <si>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</si>
  <si>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</si>
  <si>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</si>
  <si>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</si>
  <si>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</si>
  <si>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</si>
  <si>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</si>
  <si>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</si>
  <si>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</si>
  <si>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</si>
  <si>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</si>
  <si>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</si>
  <si>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APN</t>
  </si>
  <si>
    <t>OPN</t>
  </si>
  <si>
    <t>RDTEN Purch</t>
  </si>
  <si>
    <t>SCN</t>
  </si>
  <si>
    <t>Cost Estimating Team:</t>
  </si>
  <si>
    <t>Key Programmatic Information:</t>
  </si>
  <si>
    <t>Key Players:</t>
  </si>
  <si>
    <t>Program History:</t>
  </si>
  <si>
    <t>System Description:</t>
  </si>
  <si>
    <t>Program Schedule:</t>
  </si>
  <si>
    <t>Major Contractors:</t>
  </si>
  <si>
    <t>Contract Status:</t>
  </si>
  <si>
    <t>Development</t>
  </si>
  <si>
    <t>Procurement</t>
  </si>
  <si>
    <t>ID</t>
  </si>
  <si>
    <t>Reference</t>
  </si>
  <si>
    <t>Revision Description</t>
  </si>
  <si>
    <t>Date</t>
  </si>
  <si>
    <t>Model Version</t>
  </si>
  <si>
    <t>Delta (CY17$M)</t>
  </si>
  <si>
    <t>Total (CY17$M)</t>
  </si>
  <si>
    <t>Development (CY17$M)</t>
  </si>
  <si>
    <t>Procurement (CY17$M)</t>
  </si>
  <si>
    <t>O&amp;S (CY17$M)</t>
  </si>
  <si>
    <t>Delta (TY$M)</t>
  </si>
  <si>
    <t xml:space="preserve">Use the table below for Enclosure (2) in the CCP: Program Budget Compared to the Component Cost Position
</t>
  </si>
  <si>
    <t>PMO Funding</t>
  </si>
  <si>
    <t>($ in Millions / Then Year)</t>
  </si>
  <si>
    <t>Prior</t>
  </si>
  <si>
    <t>To Comp</t>
  </si>
  <si>
    <t>Prog Total</t>
  </si>
  <si>
    <t>RDTEN</t>
  </si>
  <si>
    <t xml:space="preserve">     Change $ (Current - Prior)</t>
  </si>
  <si>
    <t xml:space="preserve">     Delta $ (Current - Required)</t>
  </si>
  <si>
    <t>APN-1</t>
  </si>
  <si>
    <t>APN-6</t>
  </si>
  <si>
    <t>MILCON</t>
  </si>
  <si>
    <t>OMN</t>
  </si>
  <si>
    <t>TOTAL</t>
  </si>
  <si>
    <t>QUANTITIES</t>
  </si>
  <si>
    <t>Notes:</t>
  </si>
  <si>
    <t>(Do not include Prior or Current budget amounts in the "To Complete" column.)</t>
  </si>
  <si>
    <t>NOTES TO USER:</t>
  </si>
  <si>
    <t>1. Excel formula error codes have been turned OFF in this workbook. Although this template is provided, you are responsible for ensuring the formulas add and total correctly.</t>
  </si>
  <si>
    <t xml:space="preserve">Use the table below for Enclosure (3) in the CCP: Program Component Cost Position External to the Program Budget
</t>
  </si>
  <si>
    <t xml:space="preserve">Use the table below for Enclosure (1) in the CCP: Program Component Cost Position and Acquisition Program Baseline
</t>
  </si>
  <si>
    <t>Original UCR</t>
  </si>
  <si>
    <t>Current UCR</t>
  </si>
  <si>
    <t>For Unit Cost Reporting</t>
  </si>
  <si>
    <t>Baseline</t>
  </si>
  <si>
    <t>% change</t>
  </si>
  <si>
    <t>Current Estimate</t>
  </si>
  <si>
    <t>CCP vs. Original</t>
  </si>
  <si>
    <t>CCP vs. Current</t>
  </si>
  <si>
    <t>(CCP)</t>
  </si>
  <si>
    <t>Objective</t>
  </si>
  <si>
    <t>Threshold</t>
  </si>
  <si>
    <t>UCR Objective</t>
  </si>
  <si>
    <t>Then-Year $M</t>
  </si>
  <si>
    <t>RDT&amp;E</t>
  </si>
  <si>
    <t>N/A</t>
  </si>
  <si>
    <t>Acq O&amp;M</t>
  </si>
  <si>
    <t>Total Acquisition Cost</t>
  </si>
  <si>
    <t>Operations &amp; Support</t>
  </si>
  <si>
    <t>Total Life-Cycle Cost</t>
  </si>
  <si>
    <t>Prog Acq Unit Cost ($M)</t>
  </si>
  <si>
    <t>Avg Proc Unit Cost ($M)</t>
  </si>
  <si>
    <t>Quantity</t>
  </si>
  <si>
    <t>Total Quantity</t>
  </si>
  <si>
    <t>Enter the values from the CCP into the first column for the Current Estimate; do NOT enter any values into any gray cells (those are formula cells). Do not change any decimal places.</t>
  </si>
  <si>
    <t>Enter the Original program baseline (Objective and Threshold values) as shown in DAMIR (from the Original APB); update the column header to show the correct APB date.</t>
  </si>
  <si>
    <t>Enter the Current program baseline (Objective and Threshold values) as shown in DAMIR (from latest approved APB); update the column header to show the correct APB date.</t>
  </si>
  <si>
    <t>Update the Base Year header in the far left column to show the correct Base Year for the second section.</t>
  </si>
  <si>
    <t>After the numbers have been checked by the Technical Director, copy the table and "Paste as a Picture" into the CCP memo Enclosure 1.</t>
  </si>
  <si>
    <t>If the program is establishing an original APB, the values in the "Original UCR Baseline" and "Current UCR Baseline" columns will be N/A.</t>
  </si>
  <si>
    <t>If the program is updating or revising an APB, the values in the "Current UCR Baseline" columns will reflect the latest APPROVED APB.</t>
  </si>
  <si>
    <t>PAUC:</t>
  </si>
  <si>
    <t>The estimated cost of development research, development, test, and evaluation (RDT&amp;E); procurement; and system-specific military construction necessary to acquire the defense system. RDT&amp;E costs are accumulated from the point in time when the DoD acquisition program is designated by title as a program element (PE) or major project within a PE. Military construction costs include only those projects that directly support and uniquely identify with the system.</t>
  </si>
  <si>
    <t>APUC:</t>
  </si>
  <si>
    <t>Calculated by dividing total procurement cost by the number of articles to be procured. Total procurement cost includes flyaway, rollaway, sailaway cost (that is, recurring and nonrecurring costs associated with production of the item such as hardware/software, systems engineering (SE), engineering changes and warranties) plus the costs of procuring technical data (TD), training, support equipment, and initial spares.</t>
  </si>
  <si>
    <t>U.S.C §2433</t>
  </si>
  <si>
    <t>vs. Original Baseline</t>
  </si>
  <si>
    <t>vs. Current Baseline</t>
  </si>
  <si>
    <t>Nunn-McCurdy Significant Unit Cost Breach Reporting</t>
  </si>
  <si>
    <t>Nunn-McCurdy Critical Unit Cost Breach Reporting</t>
  </si>
  <si>
    <t>Total</t>
  </si>
  <si>
    <t>CY17$M</t>
  </si>
  <si>
    <t>TY$M</t>
  </si>
  <si>
    <t>WBS Name</t>
  </si>
  <si>
    <t>CCP</t>
  </si>
  <si>
    <t>Estimating Organization</t>
  </si>
  <si>
    <t>Phase</t>
  </si>
  <si>
    <t>Program</t>
  </si>
  <si>
    <t>WBS Level 2</t>
  </si>
  <si>
    <t>WBS Level 3</t>
  </si>
  <si>
    <t>KTR / GOV</t>
  </si>
  <si>
    <t>Cost Driver</t>
  </si>
  <si>
    <t>APPN</t>
  </si>
  <si>
    <t>Inflation</t>
  </si>
  <si>
    <t>Category 1</t>
  </si>
  <si>
    <t>Category2</t>
  </si>
  <si>
    <t>Category3</t>
  </si>
  <si>
    <t>Category 4</t>
  </si>
  <si>
    <t>Category 5</t>
  </si>
  <si>
    <t>Category 6</t>
  </si>
  <si>
    <t>Category 7</t>
  </si>
  <si>
    <t>Category 8</t>
  </si>
  <si>
    <t>Description</t>
  </si>
  <si>
    <t>Estimating Methodology</t>
  </si>
  <si>
    <t>Uncertainty Methodology</t>
  </si>
  <si>
    <t>Data Source</t>
  </si>
  <si>
    <t>ICA</t>
  </si>
  <si>
    <t>POE</t>
  </si>
  <si>
    <t>This page is intentionally left blank and is intended to represent the start of a new section within the model. Please refer to the tabs following this one for the supporting section's data and/or analysis.</t>
  </si>
  <si>
    <t>If this is not the section you are interested in viewing, please refer back to the model table of contents using the link below:</t>
  </si>
  <si>
    <t>Return to TOC.</t>
  </si>
  <si>
    <t>Global Inputs</t>
  </si>
  <si>
    <t>Program Name</t>
  </si>
  <si>
    <t>Program Short Name</t>
  </si>
  <si>
    <t>Program Office</t>
  </si>
  <si>
    <t>Milestone</t>
  </si>
  <si>
    <t>Type of Estimate</t>
  </si>
  <si>
    <t>Units (Dollars)</t>
  </si>
  <si>
    <t>First Year of Estimate</t>
  </si>
  <si>
    <t>First Year Sunk</t>
  </si>
  <si>
    <t>Last Year Sunk</t>
  </si>
  <si>
    <t>Uncertainty</t>
  </si>
  <si>
    <t>1 = PE ; 2 = Crystall Ball</t>
  </si>
  <si>
    <t>Schedule Uncertainty</t>
  </si>
  <si>
    <t>1 = OFF ; 2 = ON</t>
  </si>
  <si>
    <t>Risk Register</t>
  </si>
  <si>
    <t>SAR Annual Funding (DEC 2015)</t>
  </si>
  <si>
    <t>SAR (TY$M)</t>
  </si>
  <si>
    <t>SAR (CY06$M)</t>
  </si>
  <si>
    <t>Budgets</t>
  </si>
  <si>
    <t>Name</t>
  </si>
  <si>
    <t>PB17</t>
  </si>
  <si>
    <t>POM18</t>
  </si>
  <si>
    <t>Required</t>
  </si>
  <si>
    <t>Draft CCP</t>
  </si>
  <si>
    <t>Budget</t>
  </si>
  <si>
    <t>PE</t>
  </si>
  <si>
    <t>PE_LABEL</t>
  </si>
  <si>
    <t>BA</t>
  </si>
  <si>
    <t>PB16</t>
  </si>
  <si>
    <t>Model Profiles</t>
  </si>
  <si>
    <t>Procurement Quantity Profile</t>
  </si>
  <si>
    <t>Annual Flight Hour Profile</t>
  </si>
  <si>
    <t>Annual Aircraft Profile</t>
  </si>
  <si>
    <t>Category</t>
  </si>
  <si>
    <t>Function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</si>
  <si>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</si>
  <si>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</si>
  <si>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</si>
  <si>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</si>
  <si>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</si>
  <si>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</si>
  <si>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</si>
  <si>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</si>
  <si>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</si>
  <si>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</si>
  <si>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</si>
  <si>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</si>
  <si>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</si>
  <si>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</si>
  <si>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</si>
  <si>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</si>
  <si>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</si>
  <si>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</si>
  <si>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</si>
  <si>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</si>
  <si>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</si>
  <si>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</si>
  <si>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</si>
  <si>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</si>
  <si>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</si>
  <si>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</si>
  <si>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</si>
  <si>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</si>
  <si>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</si>
  <si>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</si>
  <si>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</si>
  <si>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</si>
  <si>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</si>
  <si>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</si>
  <si>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</si>
  <si>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</si>
  <si>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</si>
  <si>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</si>
  <si>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Returns a specified phasing profile based on the modified beta distribution by Richard Whitlock of NASA</t>
  </si>
  <si>
    <t>Should be based on analogous programs, COSTAT allows a fit of actual data</t>
  </si>
  <si>
    <r>
      <t>StartDate:</t>
    </r>
    <r>
      <rPr>
        <sz val="12"/>
        <color theme="1"/>
        <rFont val="Times New Roman"/>
        <family val="1"/>
      </rPr>
      <t xml:space="preserve"> Estimated Start Date of task</t>
    </r>
  </si>
  <si>
    <r>
      <t>Duration:</t>
    </r>
    <r>
      <rPr>
        <sz val="12"/>
        <color theme="1"/>
        <rFont val="Times New Roman"/>
        <family val="1"/>
      </rPr>
      <t xml:space="preserve"> Estimated Duration of task</t>
    </r>
  </si>
  <si>
    <r>
      <t>Cost:</t>
    </r>
    <r>
      <rPr>
        <sz val="12"/>
        <color theme="1"/>
        <rFont val="Times New Roman"/>
        <family val="1"/>
      </rPr>
      <t xml:space="preserve"> Estimated Cost of task</t>
    </r>
  </si>
  <si>
    <r>
      <t>Alpha:</t>
    </r>
    <r>
      <rPr>
        <sz val="12"/>
        <color theme="1"/>
        <rFont val="Times New Roman"/>
        <family val="1"/>
      </rPr>
      <t xml:space="preserve"> Shape Phasing parameter</t>
    </r>
  </si>
  <si>
    <r>
      <t>Beta:</t>
    </r>
    <r>
      <rPr>
        <sz val="12"/>
        <color theme="1"/>
        <rFont val="Times New Roman"/>
        <family val="1"/>
      </rPr>
      <t xml:space="preserve"> Scale Phasing parameter</t>
    </r>
  </si>
  <si>
    <r>
      <t>Fiscal Year:</t>
    </r>
    <r>
      <rPr>
        <sz val="12"/>
        <color theme="1"/>
        <rFont val="Times New Roman"/>
        <family val="1"/>
      </rPr>
      <t xml:space="preserve"> First Fiscal Year of estimate</t>
    </r>
  </si>
  <si>
    <r>
      <t>RayleighPhasing(</t>
    </r>
    <r>
      <rPr>
        <sz val="12"/>
        <color theme="1"/>
        <rFont val="Times New Roman"/>
        <family val="1"/>
      </rPr>
      <t>Start Date, Duration, Cost, Delta, Fiscal Year)</t>
    </r>
  </si>
  <si>
    <t>Returns a specified phasing profile based on the Rayleigh distribution</t>
  </si>
  <si>
    <t>Labor intensive programs</t>
  </si>
  <si>
    <r>
      <t>Delta:</t>
    </r>
    <r>
      <rPr>
        <sz val="12"/>
        <color theme="1"/>
        <rFont val="Times New Roman"/>
        <family val="1"/>
      </rPr>
      <t xml:space="preserve"> area under the cumulative rayleigh curve that is unused</t>
    </r>
  </si>
  <si>
    <r>
      <t>ETCPhasing(</t>
    </r>
    <r>
      <rPr>
        <sz val="12"/>
        <color theme="1"/>
        <rFont val="Times New Roman"/>
        <family val="1"/>
      </rPr>
      <t>Start Date, Duration, Cost, Beta, Lambda, Fiscal Year)</t>
    </r>
  </si>
  <si>
    <t>Returns a specified phasing profile based on the Weibull distribution</t>
  </si>
  <si>
    <r>
      <t>Beta:</t>
    </r>
    <r>
      <rPr>
        <sz val="12"/>
        <color theme="1"/>
        <rFont val="Times New Roman"/>
        <family val="1"/>
      </rPr>
      <t xml:space="preserve"> Shape Phasing parameter</t>
    </r>
  </si>
  <si>
    <r>
      <t>Lambda:</t>
    </r>
    <r>
      <rPr>
        <sz val="12"/>
        <color theme="1"/>
        <rFont val="Times New Roman"/>
        <family val="1"/>
      </rPr>
      <t xml:space="preserve"> Scale Phasing parameter</t>
    </r>
  </si>
  <si>
    <r>
      <t>UniformPhasing(</t>
    </r>
    <r>
      <rPr>
        <sz val="12"/>
        <color theme="1"/>
        <rFont val="Times New Roman"/>
        <family val="1"/>
      </rPr>
      <t>Start Date, Duration Cost, Fiscal Year)</t>
    </r>
  </si>
  <si>
    <t>Returns a specified phasing profile based on the Unifrom distribution</t>
  </si>
  <si>
    <r>
      <t>CustomPhasing(</t>
    </r>
    <r>
      <rPr>
        <sz val="12"/>
        <color theme="1"/>
        <rFont val="Times New Roman"/>
        <family val="1"/>
      </rPr>
      <t>ExSD, ExDur, Estimated Start Date, Estimated Duration, Cost, Slip, Fiscal Year)</t>
    </r>
  </si>
  <si>
    <t>Returns a specified phasing profile based on a custom (user defined) distribution</t>
  </si>
  <si>
    <t>Ideal for phasing distributions that cannot be described by a single equation</t>
  </si>
  <si>
    <t>Expected StartDate</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</si>
  <si>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</si>
  <si>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</si>
  <si>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</si>
  <si>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</si>
  <si>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</si>
  <si>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</si>
  <si>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r>
      <t>YR(</t>
    </r>
    <r>
      <rPr>
        <sz val="12"/>
        <color theme="1"/>
        <rFont val="Times New Roman"/>
        <family val="1"/>
      </rPr>
      <t>Date)</t>
    </r>
  </si>
  <si>
    <t>Returns a Fiscal Year Date in format YYYY.Frac (i.e. 2014.25 reads as 2nd Quarter FY 2014)</t>
  </si>
  <si>
    <r>
      <t>FYc(</t>
    </r>
    <r>
      <rPr>
        <sz val="12"/>
        <color theme="1"/>
        <rFont val="Times New Roman"/>
        <family val="1"/>
      </rPr>
      <t>Date)</t>
    </r>
  </si>
  <si>
    <t>Returns an integer fiscal Year given a date</t>
  </si>
  <si>
    <r>
      <rPr>
        <b/>
        <sz val="12"/>
        <color theme="1"/>
        <rFont val="Times New Roman"/>
        <family val="1"/>
      </rPr>
      <t>FYtoDate</t>
    </r>
    <r>
      <rPr>
        <sz val="12"/>
        <color theme="1"/>
        <rFont val="Times New Roman"/>
        <family val="1"/>
      </rPr>
      <t>(Date)</t>
    </r>
  </si>
  <si>
    <t>Returns Julian date given the YYYY.Frac</t>
  </si>
  <si>
    <t>NON PMO Funding</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</si>
  <si>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</si>
  <si>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</si>
  <si>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</si>
  <si>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</si>
  <si>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</si>
  <si>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</si>
  <si>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</si>
  <si>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</si>
  <si>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</si>
  <si>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</si>
  <si>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</si>
  <si>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</si>
  <si>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WBS No.</t>
  </si>
  <si>
    <t>1.1</t>
  </si>
  <si>
    <t>1.1.1</t>
  </si>
  <si>
    <t>1.1.2</t>
  </si>
  <si>
    <t>Disposal</t>
  </si>
  <si>
    <t>Estimate Summary</t>
  </si>
  <si>
    <t>Index</t>
  </si>
  <si>
    <t xml:space="preserve">Description </t>
  </si>
  <si>
    <t>Talking Points</t>
  </si>
  <si>
    <t>Section 1.0 - Notes</t>
  </si>
  <si>
    <t>Section 2.0 - Inflation Indices</t>
  </si>
  <si>
    <t>Raw Indices:</t>
  </si>
  <si>
    <t>Weighted Indices:</t>
  </si>
  <si>
    <t>Section 3.0 - Data Source</t>
  </si>
  <si>
    <t>Section 5.0 - Risk/Uncertainty Inputs</t>
  </si>
  <si>
    <t>Appendix - Supporting Charts</t>
  </si>
  <si>
    <t>Unit</t>
  </si>
  <si>
    <t>Type</t>
  </si>
  <si>
    <t>Model Input</t>
  </si>
  <si>
    <t>Worksheet</t>
  </si>
  <si>
    <t>Element</t>
  </si>
  <si>
    <t>Distribution</t>
  </si>
  <si>
    <t>Crystall Ball Variable</t>
  </si>
  <si>
    <t>Low</t>
  </si>
  <si>
    <t>Most Likely</t>
  </si>
  <si>
    <t>High</t>
  </si>
  <si>
    <t>Mean</t>
  </si>
  <si>
    <t>Median</t>
  </si>
  <si>
    <t>Standard Deviation</t>
  </si>
  <si>
    <t>CV</t>
  </si>
  <si>
    <t>BY16$M</t>
  </si>
  <si>
    <t>WBS Element</t>
  </si>
  <si>
    <t>KTR</t>
  </si>
  <si>
    <t>Internal</t>
  </si>
  <si>
    <t>External</t>
  </si>
  <si>
    <t>Point Estimate (CY17$M)</t>
  </si>
  <si>
    <t>Point Estimate (TY$M)</t>
  </si>
  <si>
    <t>As of Date</t>
  </si>
  <si>
    <t>PMO</t>
  </si>
  <si>
    <t>Non PMO</t>
  </si>
  <si>
    <t>Mean Estimate (CY17$M)</t>
  </si>
  <si>
    <t>Mean Estimate (TY$M)</t>
  </si>
  <si>
    <t>Change Type</t>
  </si>
  <si>
    <t>Statistics</t>
  </si>
  <si>
    <t>TY$M PE_Procurement_Total</t>
  </si>
  <si>
    <t>TY$M PE_Total_FY17</t>
  </si>
  <si>
    <t>TY$M PE_Total_FY18</t>
  </si>
  <si>
    <t>TY$M PE_Total_FY19</t>
  </si>
  <si>
    <t>TY$M PE_Total_FY20</t>
  </si>
  <si>
    <t>TY$M PE_Total_FY21</t>
  </si>
  <si>
    <t>TY$M PE_Total_FY22</t>
  </si>
  <si>
    <t>Trials</t>
  </si>
  <si>
    <t>Base Case</t>
  </si>
  <si>
    <t>Mode</t>
  </si>
  <si>
    <t>Variance</t>
  </si>
  <si>
    <t>Skewness</t>
  </si>
  <si>
    <t>Kurtosis</t>
  </si>
  <si>
    <t>Coeff. of Variability</t>
  </si>
  <si>
    <t>Minimum</t>
  </si>
  <si>
    <t>Maximum</t>
  </si>
  <si>
    <t>Range Width</t>
  </si>
  <si>
    <t>Mean Std. Error</t>
  </si>
  <si>
    <t>Percentiles</t>
  </si>
  <si>
    <t>0%</t>
  </si>
  <si>
    <t>5%</t>
  </si>
  <si>
    <t>10%</t>
  </si>
  <si>
    <t>15%</t>
  </si>
  <si>
    <t>20%</t>
  </si>
  <si>
    <t>25%</t>
  </si>
  <si>
    <t>30%</t>
  </si>
  <si>
    <t>35%</t>
  </si>
  <si>
    <t>40%</t>
  </si>
  <si>
    <t>45%</t>
  </si>
  <si>
    <t>50%</t>
  </si>
  <si>
    <t>55%</t>
  </si>
  <si>
    <t>60%</t>
  </si>
  <si>
    <t>65%</t>
  </si>
  <si>
    <t>70%</t>
  </si>
  <si>
    <t>75%</t>
  </si>
  <si>
    <t>80%</t>
  </si>
  <si>
    <t>85%</t>
  </si>
  <si>
    <t>S-Curve</t>
  </si>
  <si>
    <t>Forecast Name</t>
  </si>
  <si>
    <t>Title</t>
  </si>
  <si>
    <t>X Axis Min</t>
  </si>
  <si>
    <t>X Axis Max</t>
  </si>
  <si>
    <t>Look up Row</t>
  </si>
  <si>
    <t>Percentile</t>
  </si>
  <si>
    <t>Statistic</t>
  </si>
  <si>
    <t>Value</t>
  </si>
  <si>
    <t>Look Up Row</t>
  </si>
  <si>
    <t>Tornado Charts</t>
  </si>
  <si>
    <t>Operations and Support</t>
  </si>
  <si>
    <t>Annual Confidence Charts</t>
  </si>
  <si>
    <t>PMO / NON PMO</t>
  </si>
  <si>
    <t>Service</t>
  </si>
  <si>
    <t>Award Date</t>
  </si>
  <si>
    <t>Contract Description</t>
  </si>
  <si>
    <t>Award Type</t>
  </si>
  <si>
    <t>Contractor</t>
  </si>
  <si>
    <t>Location</t>
  </si>
  <si>
    <t>Responsibility</t>
  </si>
  <si>
    <t>ACAT</t>
  </si>
  <si>
    <t>PMA</t>
  </si>
  <si>
    <t>Recent Milestone (and Date)</t>
  </si>
  <si>
    <t>Next Planned Milestone (and Date)</t>
  </si>
  <si>
    <t>Event</t>
  </si>
  <si>
    <r>
      <t xml:space="preserve">Note: </t>
    </r>
    <r>
      <rPr>
        <sz val="12"/>
        <color theme="1"/>
        <rFont val="Times New Roman"/>
        <family val="1"/>
      </rPr>
      <t>Procurement profile by year can be seen on 'Quantity Profile' tab</t>
    </r>
  </si>
  <si>
    <t>Advanced Procurement?</t>
  </si>
  <si>
    <t>Max Rate?</t>
  </si>
  <si>
    <t>Min Rate?</t>
  </si>
  <si>
    <t>US Qauntity Total</t>
  </si>
  <si>
    <t>FMS Quantity Total</t>
  </si>
  <si>
    <t>Build Cycle Time</t>
  </si>
  <si>
    <t>Concurrent Production?</t>
  </si>
  <si>
    <t>Position</t>
  </si>
  <si>
    <t>Team Lead</t>
  </si>
  <si>
    <t>Development Analyst</t>
  </si>
  <si>
    <t>Email</t>
  </si>
  <si>
    <t>Develop an Independent Cost Assessment in support of the XXX Program Milestone C effort.</t>
  </si>
  <si>
    <t>Purpose:</t>
  </si>
  <si>
    <t>MS B</t>
  </si>
  <si>
    <t>CDR</t>
  </si>
  <si>
    <t>PDR</t>
  </si>
  <si>
    <r>
      <t>Note:</t>
    </r>
    <r>
      <rPr>
        <sz val="12"/>
        <color theme="1"/>
        <rFont val="Times New Roman"/>
        <family val="1"/>
      </rPr>
      <t xml:space="preserve"> Full schedule can be found on 'Schedule Analysis' Tab</t>
    </r>
  </si>
  <si>
    <t>MS C</t>
  </si>
  <si>
    <t>IOC</t>
  </si>
  <si>
    <t>FOC</t>
  </si>
  <si>
    <t>Test Events</t>
  </si>
  <si>
    <t>DT</t>
  </si>
  <si>
    <t>OT</t>
  </si>
  <si>
    <t>IOT&amp;E</t>
  </si>
  <si>
    <t>FOT&amp;E</t>
  </si>
  <si>
    <t>External Program Schedule</t>
  </si>
  <si>
    <t>Resource Sponsor</t>
  </si>
  <si>
    <t>Program Manager</t>
  </si>
  <si>
    <t>Organization</t>
  </si>
  <si>
    <t>CAPE</t>
  </si>
  <si>
    <t>Lead Cost Estimator</t>
  </si>
  <si>
    <t>PEO</t>
  </si>
  <si>
    <t>SYSCOM</t>
  </si>
  <si>
    <t>Crosscheck</t>
  </si>
  <si>
    <t>% of Phase</t>
  </si>
  <si>
    <t>Procurement Analyst</t>
  </si>
  <si>
    <t>O&amp;S Analyst</t>
  </si>
  <si>
    <t>Orginial Date</t>
  </si>
  <si>
    <t>Kick-Off</t>
  </si>
  <si>
    <t>Ground Rules:</t>
  </si>
  <si>
    <t>Assumptions:</t>
  </si>
  <si>
    <t>Scope:</t>
  </si>
  <si>
    <t>NCCA Schedule:</t>
  </si>
  <si>
    <t>Model Review #1</t>
  </si>
  <si>
    <t>Delta Model Review</t>
  </si>
  <si>
    <t>Reconciliation</t>
  </si>
  <si>
    <t>CRB Prep Meeting</t>
  </si>
  <si>
    <t>ICA Memo Meeting</t>
  </si>
  <si>
    <t>Final CRB</t>
  </si>
  <si>
    <t>Initial TRB</t>
  </si>
  <si>
    <t>Initial CRB</t>
  </si>
  <si>
    <t>Signed CCP</t>
  </si>
  <si>
    <t>Award Amount (TY$M)</t>
  </si>
  <si>
    <t>TOC</t>
  </si>
  <si>
    <t>90%</t>
  </si>
  <si>
    <t>95%</t>
  </si>
  <si>
    <t>100%</t>
  </si>
  <si>
    <t>Min</t>
  </si>
  <si>
    <t>Milcon (CY17$M)</t>
  </si>
  <si>
    <t>Point Estimate</t>
  </si>
  <si>
    <t>Point of Contact</t>
  </si>
  <si>
    <t>NCCA</t>
  </si>
  <si>
    <t>Appropriation Summary</t>
  </si>
  <si>
    <t>Priors</t>
  </si>
  <si>
    <t>First Model Review sets baseline</t>
  </si>
  <si>
    <t>Total (TY$M)</t>
  </si>
  <si>
    <t>Development (TY$M)</t>
  </si>
  <si>
    <t>Procurement (TY$M)</t>
  </si>
  <si>
    <t>Milcon (TY$M)</t>
  </si>
  <si>
    <t>O&amp;S (TY$M)</t>
  </si>
  <si>
    <t>Disposl (TY$M)</t>
  </si>
  <si>
    <t>Analogous Programs:</t>
  </si>
  <si>
    <t>Basis for Analogy</t>
  </si>
  <si>
    <t>Acronyms:</t>
  </si>
  <si>
    <t>Acronym</t>
  </si>
  <si>
    <t>Full Name</t>
  </si>
  <si>
    <t>Signed ICE / ICA</t>
  </si>
  <si>
    <r>
      <rPr>
        <b/>
        <sz val="12"/>
        <color theme="1"/>
        <rFont val="Times New Roman"/>
        <family val="1"/>
      </rPr>
      <t>NOTE</t>
    </r>
    <r>
      <rPr>
        <sz val="12"/>
        <color theme="1"/>
        <rFont val="Times New Roman"/>
        <family val="1"/>
      </rPr>
      <t>: These tables represent a consistent format to display information but add detail as necessary</t>
    </r>
  </si>
  <si>
    <t>MS A</t>
  </si>
  <si>
    <t>FRPDR</t>
  </si>
  <si>
    <t>Prime / SUB</t>
  </si>
  <si>
    <t>Contract Number</t>
  </si>
  <si>
    <t>STDEV</t>
  </si>
  <si>
    <t>Chart 1:</t>
  </si>
  <si>
    <t>Chart 2:</t>
  </si>
  <si>
    <t>Source #1:</t>
  </si>
  <si>
    <t>Source #2:</t>
  </si>
  <si>
    <r>
      <t>NOTE</t>
    </r>
    <r>
      <rPr>
        <sz val="12"/>
        <color theme="1"/>
        <rFont val="Times New Roman"/>
        <family val="1"/>
      </rPr>
      <t>: For detailed Program Overview see Program Office brief xyz</t>
    </r>
  </si>
  <si>
    <r>
      <rPr>
        <b/>
        <sz val="12"/>
        <color theme="1"/>
        <rFont val="Times New Roman"/>
        <family val="1"/>
      </rPr>
      <t>NOTE</t>
    </r>
    <r>
      <rPr>
        <sz val="12"/>
        <color theme="1"/>
        <rFont val="Times New Roman"/>
        <family val="2"/>
      </rPr>
      <t>: Link Sunk cost to WBS Summary</t>
    </r>
  </si>
  <si>
    <t>O&amp;S</t>
  </si>
  <si>
    <t>OPNAV</t>
  </si>
  <si>
    <t>Budget Analyst</t>
  </si>
  <si>
    <t>FMB</t>
  </si>
  <si>
    <t>Section 4.0 - Calculations</t>
  </si>
  <si>
    <t>Alpha</t>
  </si>
  <si>
    <t>Beta</t>
  </si>
  <si>
    <t>4c9cd0e4-c167-4419-b02d-ad419ceeb025</t>
  </si>
  <si>
    <t>CB_Block_0</t>
  </si>
  <si>
    <t>㜸〱敤㕣㕤㙣ㅣ搷㜵摥㍢攴㉥㜷㤶愴㐸㡢戲㘵㌹㡥捤挴㜱晣㐳㤵ㄶ㘵慢戶搲㉡ち㝦㐴㠹〹㈵搲㈲㈵搹戵㔳㝡戸㍢㈳㡥戴㌳㑢捦っ㈹搱㜱㙢攷慦㘹搲㈶つっㄴ愹ㄳㄷ戶搳愷愰㍦㐰ぢ挴戵搱戴㐵搱〴㈹ち〷攸㐳晡㔰愰て㙥㔰戴て㉤ち〱㝤挹㐳㠰昴晢捥㥤搹㥤㕤㜲㠷昴摡㙥改㠲㘳敦攱㥤㜳敦㥤戹昷㥥摦㝢捥ㅤ攵㔴㉥㤷晢㌹㉥晥攵搵捤挲敤ぢㅢ㘱㘴㝢愳㤳戵㙡搵㉥㐷㙥捤て㐷挷㠳挰摡㤸㜵挳愸ぢつち㑢㉥敡挳晣㔲攸㍥㘳ㄷ㤷搶敤㈰㐴愳㝣㉥㔷㉣㥡〶敡昹㄰晥〶㤳ㅢ㤳扤晡扡〱ㄶ㈷㈷收㤶慦攰愹ぢ㔱㉤戰てて㕦搴㝤㑦㡣㡤㡤㡥㡤ㅥ㝤昰昸搸攸㤱挳挳㤳㙢搵㘸㉤戰㑦昸昶㕡ㄴ㔸搵挳挳昳㙢换㔵户晣㈹㝢㘳戱㜶搵昶㑦搸换㐷ㅥ㕣戶ㅥ㝡㘴散愱㘳挷㥣攳挷ㅦ改挳慢㜳攷㈶㈷收〳摢〹摦愵㘷收㌹攴㠷愶散戲换戹搹㜶攰晡㤷㐷㈷㈷昰㝦㙡晣戸㝢㜸㜴㘱挵戶㈳扥摡づ㙣扦㙣㠷㈶㍡昶㝡攳㘱戸收慤㜲昱㑣㙦ㅡ㔳㉤㕢㘱㤴昷㈶敤㙡搵昴㤲愷ㄶ扤㌹慣㕤搵摡攸昳ㄶ㙣㍦㜴㈳㜷摤㡤㌶ち摥㈲ㅥ㔴改昷㉥㠴昶㜹换扦㙣㥦戳㍣㍢敦㥤㕥㜳㉢摤晡捡㜵摤㤳㍣㈲㍤㌰㤹晥攸㜸攸㑤慥㔸㠱㡣㈸攴挲㘴戴㥤づ捡捤㙤敦㙡晦㕣づ㕤摥挰㘷摥摤扥ㅤ㙡㉥㕡㐱扤攵㐸晢㤶昱攴㥢㐷昰㐰晢昶愹㌵㙡敥㜳㕦晢㍥戲㤴捤慤㔵㙦捣摦戲愲㤸㡣㔹㈰攸㈱㈸ㄲ㤰㠰㘶㠹愰㤷愰て㐰㜵晦㌷愴㈴摤㤱㔵挶㤲㘵㉣㉤ㅢ㑢㘵㘳愹㘲㉣搹挶㤲㘳㉣㕤㌶㤶㔶㡣㈵搷㔸扡㘲㉣㕤㐵㥢攴㉡昶昴ㄸ昱昵㙡改晢㕦昹捥挱㝢㈶晥散て搷㙦㝡挸㜴㝦搰户て㡤ㅥ㡤〷㌵ㄵ㔸搷挰㙡つ㉥㍥㍡㝡㠴晦㙤㉦ㄵ㄰ち攷㤸昳戰㌳㌶㔶㌹㜶挴㝡搰捡㜳㕡ㄹ挴㙦㘲㤴㐱戴敤㜳㉥戹㝥愵㜶㑤㘸㜷晢㠴ㄵ摡㡤㠵ㅢ㠹敢㈶㙡㙢㝥㈵晣挰搶㤵ぢ㤱ㄵ搹户戵搶㌵ㅥ戲愹摢〲挴捡づ攵㝤㜷戴㜶扢㘸㔵搷散昱敢慥慥晥㘰㑢戵㌷ㅦ搴㤶摢搷㑥〷昶搳昵摡㑤㈳ㅡ㠷㔲㕢㤷㘷㙦㥡愵慥搲攳ㅡ㥥㕣愹㠵戶㉦挳ㅢ昱收摤昲㔵㍢㔸戰愹ㄲ敤㡡㑣昵㘶㔶挵㔲㍦㌲攷㘳愲㤰搶捡㠷搳㔸攷搴昵〸挲㙣㔷㌰摥㔵㍢㠸㌶ㄶ慤攵慡㝤㑢㔳ㄳ晤㑥㔴ㅣ㙡㐲㑦搷捡㙢攱㘴捤㡦㠲㕡戵戹㘶扣戲㙥㐱搳㔴捥搶㉡㜶㜷㜷㑥㤴〲ㄴ㙥㔷㤷㔲戹晢摢换㠲㄰㈲㐵㘲ち昲慤捤㙣㌷㝡ㅥ戳挳㉣慡㌶㜹搲昸挸㌶て攳㜸㐵挷㘴㐸㘰㙡㑥戴ㅦ㝣改扤摢㍣戶㑥戹昷戶戱㘱っ挵戳㍦戵㙥晢搱ㄹ换慦㔴敤㈰搳晡㈹㡥挸ㅣ〰挸摦㠰㐲㘸扢㝡㌴㜵敡扡摡挸㕦㜳㉢搱㑡㘱挵㜶㉦慦㐴挰挱㐲ㄶ㡢㕣摡㑤㤷㜹ㄳ㔰收㝥㠲㈱㠰㔲㈹㔷㌸挰㐶㠵ㄲ慥㕣㥥摡㈹㐳㤶㥢ㄴ㌹晢㌵挹㜲㥦㌳敤㔶㈳㕢㉢攵〱〷ㄴ搱㔶㑤挸搷㑦ㄶつ慣戲㌶ㄸ〷㥣㐹㜰愹攵晡搱㐶㐳㙥㌷㐹㠹㘶愲㍤㕤戰敢㜴〱㔵㐱戳㍥挸㤰㌵㌰㑤㡢㌶挸㙥㥣㘲㈲㡡㐱㠶㘵挷㤳㥢㤹㡣敤㌳㜴〴摡愷㤹㤰慤㡦戴搷ㄱ㘴昶捤㑣捡㑥㙤攵㜱㑦㥢㙤攵换㙢㙤㜶㌳ㄶ捥扣㠵攰㈰挱慤〴㠷〰搴扦㐱挳㔱换愱摣㝣㤹ㅦ挰扤㜹㍢挱〷〱愰㥦㑣敡㥣㔸㔵搱㠷摡㠹ㅦ挹㜶晤昰㤳挵㈹搶慡㠸㥥㜱摤捦散昷㠴搰戱搷戹㍢㙣㙤户搸搸㡦戶攷捤昴㜴挸㤱ㄹ㑤搳㜳摤愶㘹㝡㈱搸戴㐳扢㜵㈷扡㥡挳〴ㅦ〲㈸㤹ㅦ㈶㠴㜱愱挳扢㌳㡦㥥㉥攵晢挲㉤搲捥㔰㠷〶㍥㘶㘴㙥〱㌲㤴摣愶敤换㥥て㑤㜷㜰挴㜹摦晢搰㠷摢换㜷㑣昴ㄶ扢戹㘷㜷ㄸ㉦㝡㥢㕥昴㕤㄰㉦昵捦㙤㙤捣摤愸㌶㍦㑡㜰て㐰㡢㡤攱敥晢敤㐶ち挴㉤昶㔲㤴摢捦愸㡢㜸戹㡢ㅢ慢戶㔸愰㍥㘷搱ち㉥摢ㄱ㈲ㄸ㌳㔳昰㠵㙢㐱㘰㔷戱愹慤〸㠲晢㤷㠳捤挸㜰㍡愸㜹挴敦昹挸攱晢挲㌰㜴㜷ㅢ㕤戹ㄶㅦ㌹挳搷㑣挵㥣㔲㥣㐳ㅢ晣㘰㝢㈵㤱敡搴捣㕥散㤷扤扦摣搳㈴ㅤ㘸㤲晢戰慣收晤〰搰ㄲ敡ㅦ摢㙡㤴挳㙣昶ぢ搲慣搹㘳㘵㠴㉦㘳㜷搲ㄲ㐳摣愴㐷㝡㜵挰㜶〲昱㠳戰摦㕢㜰扤扡戲攸昵收敤愰㡣搸㠲㕢戵㑢㍡㉣㑢㔵戳愷㉢摥㈷扡愲慢㙢搳㝥㍡㈳扥㈶㝣搲愲㈵㌲愵㍤戳㌲㘳㉦摥㘰㉡㠶㈱愹㔴㌲㐲㐳㜵つ㐴捥㘳摢㍤ㄵ搳㠱㡡㜹〰ぢ㘷ㅥ㈱ㄸ㈳㌸ち㤰晦ㄱ㌴捤㑥ㄷ㥥改戰㥥㜵㠶戴㤷㤶㜲㐵㤲㐱㐲㠴㙦戶㔵㔶挷昸㥡㕦㈴㜸ㄸ愰挵晤㘱〰㌲㠳ㄱ㠵攴㈹㐶㤴㌴㠶㜳搱戵慦㤱〷昶㌹㐸㉣㑤慥㠵㔱捤㘳㘶愹摦㤹慡㥤慢㐵㔳㙥戸㡡㑣搴㤰ㄳㄷ㉥慤搸㍥戸㉢㠰敦搳㠲慢慤慥摡ㄵ搳㔹愸慤㐱戵捤㑣敤㠶㡤㌹㤶〳扥愴散捤つ㠵慢戳晤㌱ㅥ愱戰搲ㄲ㙦㘵㌴㜶㐷搱㙦㙥晡〶ㅡ㉢扡攸㐶㔵扢搷搱㐲挷㜲搱挱㉡㈲㜳㔰改㜱ㄶ㔷〲摢㥥敡㜷㑥〷㙥愵敡晡㌶㠹〱ㅦ㤳挹扡㔹晢㌲戲〴昳㌵收〰㙢㝥扦戳ㄸ㔸㝥戸㙡㌱愱戸戱扦改㑥搲㈲㜹㘷挲昵㐳扣㐶愸挸昲㠰戳戰㔲扢㠶㡣敤㥡攷㥦戶㔶挳㕤㐱ㄵ㌲扤扥㠴㌴捡㔰㠶愱㡡㐶戱㔳晡㜰㐳㥥换㔱昶扡〹㠴㔶戹㍣㘳收ㄹ搶㥢㝥㝤㥣愳愱㥦捥㌱昵㈱㝢㔴㐷㜶㘵㙡㘱㑡慡㜹㥣㝤㍥〶昰挹搳ㄷ㘶ㅡ㤹戹㜷㤴戳捥㌳捡㥦愱攳㠵㉤敡㠹㄰挶攸昶㘹㔶㈱㡥㥣〳〹〴挵㜹搷捡㝥㈵㐷摡㤰晢昶㌵㡡搳挸㈴昵㌹戳搶戲㕤㐵㍥摡戳愲㝤晡㠶㙥慣㘷㔵挳戸㙥戲收㜹ㄶ㔹㡢㙣戹㔰戶挸挱攳㙢㔱敤慣敢㥢づ㠰昰㕦㡣戲慥〳㘵㕤ㄷ㔴㥦㜳㥥愹㐱㈹昳㔹戵换㔶攰㐶㉢㥥㕢㉥昲㠶改扢㕤挱㤳㄰㜲㙡摥攴㑡㜴挶㜰㡢㌷㝦〱㉥㕢㌸ち㜲㡦㐲㡦㜲改㐸㝥㜰慥愱ち昸㑦㜵ㄸ㔸㠲㠲㤱㐸愹昹换㜸㕡㕥㑥㐷㐰攵挸㜵㈳㌹㠳㜱攳㌹㘰戴ㄲ㈲搵㌳㔸〴㔱挱㤴㤲㘷㠸扢攰㕣昰摤〸搴㈳挵愶摤㘸㉡〴挹〱㔰㤴敤敤㙤㐲搵㔴愷㤱扡㔵戸㜳㜳㔵㤳㤹戸㘳㜳㝤摡㙥㝣㘴㡢㙡㙤㔱㔲㠶㘴扢㐶㘲㔹戶ㄸ攳㙥㌲㌵㑡っ㜷㘲㙤㔴㔶搸戴戱敥搴㈲敦挰㌰〹捦攴捣㡦ぢ愳㈰搱ㅢ摢㈸挶散戳搹㈳㤵戱愱て㔰愲㥤搲戸晥㌸㈵㌸㠳㘳㈷ㄵ扢ㄴ摦㐱扥昷挵挵戹戵愸愹挶扡㍥ㄴ搷㡣㔷慢㜳㍥扣㠴戲ㄵ㔴㜶㠹㐸㘳㙥摡挲㠸㜴㜶㙡晤昵昲愶〴㌱ㄶ㐳愶㐵㌲攲挰㄰㐳〸㔷㉡愳㑡敦慣㥦㑢㕤㐷ㄷ㜹㜷搶戶㝣愱挰㐲㔴㤹戲搷挵つ㙢㜸昲㐳搲愱扥㕢ㄴ㍤㙡㍡攳换㈱㑣㝡㐴㍤ㅥ㤷㐴挰㑤攷㍣挳㔲㌸挴〰戵ㅢ㤷收换ㄱ㔲扢昵〷㜰㘷戰㝢愸㠳ㄵ搱愹ㄳ㝡㘷搴愰㠵っ挶㙤㥥〴㘵愷㐳㡡㐲㤱㍡㜲晤搷㐹昵捤ㄷ㜹㝤攷㘴㉥㈹挴㐲挴㜴㔷㠶昷〰攲愶㌳㤳㤴愲愱㈴㘱慥㌵㥢㈸慤扥〴㐷ㄷ愳㥦㉥㕦㄰攱ㄴて㜳㔹〳ㄴ㥢㉡捥戹㐵㉥慣㘹㜵㘳㥦㌳攳㤷慢㙢ㄵ㕢㑣㜱愲慢挵㈲敦ち㝡挹ㄱ㐰㉤㑤ㄹ敢ㄲ㉦捡っ戶㔲㥣㌲㠹搴戹摦㙤㥥㐴㜷㔱㜲㜸㠶㌶㝤㑣㐰㘶㠴攵㈴㈱戶改㥣〲晤挳晤㡤〳っ㜲㜸づ㉡㙤ㄳ㡡扡㙣ㄶ攷昱敡㔹㘴㤱戶㔴戳搹摡㙣㡤㍥㝢ち㜵挶搵愸㕤㐱㈳捣㔳㉢扣㐲〱捥㐸㠷搲挱㠷攴㙥挴搹摤ㅢ捦挹㙤敥〶㐸㈱ㄴ㔰捣昱㜲ㄷ㤴挳慡㐲㤰攸㜰ㅢつ慦㕢㌱晢㑢捦摢ㅣ〷㔰㑣〳搳愱㐵㑢敤攰㑣愲扣扤㠳㜳㈷㕡㘵㘴㐸搳挹㔴收㈸㠷㄰戰〷搱㈰㑤摣㐸㉦搶㘰㠴愲〳㜲㌰㉣㌹㥢㌸攲㘱ぢ㔴ぢ㙥㘹㐱捥㕢ㄱ㡥扦昸㠷㕡搰攳㤵ち摤㕤挴攷㜶〵㔵㜱㜴㐳扢愳〷㕡づ㘵挹㥣攸摦摤搵㔲ㄱㅦㄶ㍣㍡㌵㝡挶㡡捡㉢ぢ搱㠶㍥戸搵㈱㑢愸晣昷㄰㡦搸昲敤昴㤹扢㝤ㅥ㐴㕤攷摡㤷慥晡戵㙢扥㡣㉢ㅦ昲搴ㅦ㌸〴㐷㈸㝢㌸挸㔲敥攷昸㑦㉥㈳㤷晦ぢ㍣㜱㈷挳收〳ㅡ〱ㄲ㍥㐷慥㤲㌹㡤扦㑣㔲て攳㙦〶慦挰㝦慦㥦ㅣ㈰慦ㅣ㘸攱ㄵ㔱〶㝢捣攲㕦㝥户㤸㈵愷摥〰㘹挹㌰㈰㜸㜲㐸挴挸愹搷㜱㐳愲㠳〶㈰㥣㌹㐳〸昲㝤〸㝦㌳挸㈷ち㍤㍥敡挱㠳㈱晦㝦㈸㤵㐸昵㤶㘲昵扦㈱搴慦㠱ㄸ㐲㈶搰愴㉥㤷敡扢捤㘴㥡搵㘴㔲㍣ㄲ㈲戲㝣ㄶ㠵攴捡㌳㔵晢戶㤲攲㥣搷摥㘶昴㍤㍦晣晢㝦戸ㄹ㥤㡢㤹㐳晣㌵愴摤敥挶㝤摤㕤攸摡攴㉥㌰㤱㉦敥挲㍣ち㡡ㄹ㝤敤㉥挴昱㤰昳㐰㙣敦㉥㌰捦㤷攱ㄴ愶搲慥愹㄰〷㜷㘳户㜸㡣㤵㥤挱㈱㕣㍢㐴㙥ㅦ〶㉣㥣㐴㜴敡攰㘶昴扣ㄵ㔸摥㈱挱㥦づ㙣ㄸ戶㘰ㄱ愷扡愵ぢ㝢摣戶㘵㡤㜴摡㈲㙥㤱㐴摣昷㘲㉢㍢㍢换づ㑡改㑢㠷昲㔵㔱ㄵ摥㐱搴㐴㜱て㤱晢捣㠱㍦㌹晤㉦捦㝣攱㈴㑦慥挵扣㥡㘷慡戸㤳昴㍤晤ち㈴㜸㔳㠷㐶㙥收㐷㍡㘷昱戹㤲扢㕡戵㈷慣㐰㍣愲搰昴㤲愲㘶扣ㄴ㘳㙡收摢つ敥㈶捥㐰㘸㜷㜳戴㈵昴㈹ㅦ㌹㐹戸㜰㌴㌵㜰㠹敦㈵㈹㐴搵搶㤸㜵攸㜹收晦ㄸ收攸㙤づ愴搹㘳攴づ㤴㤷㔲㝦㤴搸㍢㡤挸攵㡥挱愲改㙤愵攲ㄱ㠰㐴㑢㈱ㄷ㐱づ㐹㙦㙡㜸㌸㐰戴搴〵ㄴ昲て〰㘴㘴搹㕡搳扤㡣つ散㈹〱扢㝥〰戰挳て㕡戰㡡愰㘲ㄲ㤷敦㜴㜷换㔰㐰㘲㥡㤸戶ㄵ㥦收㈲ち戲㤱㈱㘲㉣挱㕥㐲㈱戹昲㐷㔱摡㜱㘸㡡㉦改昷㜴ㄲ㑥ぢ㜶摥㘳摣慤攴㥤昲搷㜰ち〴㜶愶㈰〶挳摦㑦㌴㌶愷㤲慦搳㑤㑢ㅡ㐵㌸愰㡢昵㑥扤㜱ㄵ㙣㤶㝦〸㍢㔴㈴〲昹搵㄰敢㐷ㅡ㡦扥戹戵㠶㌶捥敦挱〴昹㠳晦㜵㐷㠶㘰攳慤㤴ㄸ㘸搸ㅤ戵㉡敡愳攲㡦愱ぢ㈷㥤㔳㘶愳㈸昷㡡昹敡㐴戲扡㡣㑤昶㥦㤹㙣㤱慣挷搹㥢㈹敤㈶晢晦〴㄰摢摡㝦㜵㥣㝤昱㌳㥦㡣ぢ扣挹㌳㤷戲㙤晡㠶㉢㠲㈸㌷ㄲ㌹戲㐹㌶愵挸昴户㉥㉤攰㐳㔶㕤㉤ㅡㅣ㌱戰敥搶㘳ㄲ昵扥昴㙤㝢摢㉡㐰收㠹昲㝦〰ㄵ搴戶㝦戳摥㑡㜶扡㠵㕦㐵挷〳㘷摤㜲㔰ぢ㙢㑥㌴扣㠰〴昰㌰扦㐳㜳攰昳㡣慢㔷㕢㤵摡㕤㔸㠹扥愷搰攷摣ㅣㄴ昶㌹㍢㝡户昲㤲捣㌲散㉣慢挱㙦㤲〶㔳愹㈶㕡㠷昰㈶攷搱㌵慢㡡捦㔸攷㄰昷㡣㠸摡ㄵ挶㑥㐷㥦㕢㑦㙢㜰改㜰㕥敢㔳㠸つ搹搵㔱㈴捡㘴ち㑦㝣㥡敢摡扡〶捤㙤攳戹㠵㙣搹㔹晣慤㤴㝦ㄹ㌴摤搹㕢㥡㔹㠶敦攴搷挹㈵㜳㤹㄰㥢敢㤳昸扢昳㘰㉤㥦㌶〴㍥㡦㍦敥㘶㔰㙣愴㡡㔰摡づ㌲攱㘵㜴㔵攳〴昸㤹㤵戸挰ㅢ挵㠸ㅦ㐵㔱㝤ぢ搳愲〰愰㡣㍤㈰㐰㝢慥㝥ㄱ捤㜴〴㠱㡤㜱㤱慢搵㌴ち昲晣ㄵㄴ攸户昱愷ㄸ㐸㄰慣㥢挶㜲摦㉡搸㉢㈹散㘰戲㜹㔵摣愵㤰愱㑢敡㜷昱慡㤷昱搳ぢ㔷㈵づ扢ㄶ搹㡤愰㙣㈶㍤㔰捥㈹敥㐶㘴㉡㉦愰㐳㝤㉡㌵㘰摢㑦攵敢㘸扡㜹㉡昴㈳㘴㜸改攷て㈶㜶挸っ㔰㙤㠶〴ㄱ挱ㅡ挰㘰㘲㡥〶愸㘱愹戶ち㍡㘳昱〶㠹㡣敢ㅦ攲扦㙦㥤晣搱㥢扣晥昳愴ㄲ㥤㡡慡收㔹㔰愷捡㉣扥㥣㥥挵㜵㘰摢捦攲㑢㕢捤㘲昰㐹昴攱㐸捣㘷〰晡扢ㄴ搹㑥㘶昵ㄹㄴ戸愰晣愹㜲㠲㙤㥡㉢㜹㐴晡晥ㅡち晤㕤㠳愴㈹〳㍣收慦ㄳ㍣㐷昰㍣挱㘷〹㍥㐷昰㜹㠰㝥㘳㤰㘴㤶㠶㕦㈰昲㡢〴扦㐱昰㈵㠲摦㈴昸㌲〰ㅡ㤲昲搲昰㉢㐴晥ㄶ挱㙦ㄳ㝣㤵攰㙢〴扦〳搰㙦㈸ㄲ㕤㠶晤㜵ㄴ㤲㘱攷㐹㠳㡣捦㤵挴换攳搱㑥扥愲愰挳换〵㙤摢㡢㕥ㅣ㔷摥ㄵㅡづ㔳攲昷扦㙤つ㔳愱挳㌳ぢ慡㤶昰挴㤹㌳㜱㔴㉦㘷挴㔹㌴昰愴㑥ㄶ㤰㠷戹㤰捡㑦ㅡ晦改㙢㡤㘰ㄳ㉡㜰㠱㜱㜵㘳昲扡㌴昶㤲挶㐷昱㥤㤹戴挱㤳昵昵㔶搲㤸㌲㈱㡤慢㐹攳晦㌸㝡愸摥㌸ㄱ〱晤攴㍣昹㌳挳㘳㤷㍤㑣敡㥢昳〱㌴捦㍢昴〲㝡ㅤ㡤愶晥㤷㘴㜸㔵晣㠰㍥ㅣ㙦〹昰搵昷㉣㑥㙢攱㔰ぢ㑣㠵晥挷ㅦ㘶㜰㡡㙢捡㡡㉣㝣搴扤㡥昴㜹㘰捡ㅤ㍢ㄷ㥣戹〰㠸ㅥ㘷㈶挴捥戰戲慢㔸〴㑥㑤户㕥摦㙤搲っㄹづ㜰㘳㍤㤲戴㥦挱㔳㌱㥤㤹㐰㐹ㄵ㜵慢㉢〹㘵㜳捦㌷㜸挶晣〶㠸〳つつ挸㠲昹㝢㠰㍡戵挴昳搷戹㐱慡ㅥ搱㉢摦㘴挵户〸㕥〲㈸㈹敡ㄹ昲㐱攱昷〱〶㤲㝦㝡㘳㜸㕤愲㍥㠶㕡㑥㕥㤶㘶㈳昳㘵㜶㜸〵愰ぢ㠱㘸ㄵ㌳㘱挹㝣ㄵ㤸搴㑢昳搴㔹扦搴摥慢收愶㌹昹攷〰㤰㈰㙤晡敥晦ㄴ扥攳摦攰㠳扢昰捦㤸攴㘵ぢ搰㙤㝣慣戳㘷㤱搱攸扤换敦搳㤸搰㍢㜸づㄷ戸㤱㜷攱ㄳ愹ㄹ㑢㡡㥡㤹搳㔵㑦攲昹㝣〷㥤晢㤲㝡㍥㐱㍦ㄱ愳㜹〸愵愴㍥㥢愰㝦㈵㐶ㅦㄴ昴攷ㄲ昴攳㌱晡㕥㐱㔳挳换戳ㅦ㡢搱昷〹㥡㡡㕥搰㤷㘲戴ㅥ挹ㄷㄳ昴挵ㄸ慤㐷㐲㘳㈰慤㉦挴㘸㍤ㄲ㥡〷㐱㉦挶㘸㍤ㄲㅡっ㐱㉦挴㘸㍤ㄲ㥡㄰㐱㥦㡦搱㝡㈴戴㈴㠲㝥㌴㐶敢㤱搰戶〸㝡㍥㐶敢㤱搰摡〸㝡㉥㐶敢㤱搰晥〸晡㕣㡣搶㈳愱㐵ㄲ昴搹ㄸ慤㐷㐲ㅢ㈵攸搹ㄸ㉤㈳ㄹ愴愹ㄲ㌶晦㉥ち收㙢〴㝦づ㔰捡㝦〳㜰挷㜲㑡㈲㜷攸昱扤㡥慥㡡挲挷㘷㤸㙦挴〵摥㈸㑡㥥っ㜹㍡ㅥ㌲扤㡤愲㔱㔰㤴㐶愹㌸ㄵ㔷㥣㤰ち愵㈸愱㔲㌱ㄵ㔷㥣〴挲晣㑢〰㐵〹攴㥣捣扦攲摤慢〴扣晢敢戸㈰㉦攴ㅡ㐸昷㑦戴扣㤰敢㈲ㄵ㈷㕢㕥挸戵㤲㡡㡦愷㕦昸户㝣愸㑣っ㠵㈶愷㘹㤰ㄳ㤴昵晥〱ち晤㕤〳ㅣ摢㈵晣㡣敢慡晣㔴攵愹愷㝥㍡搰㍤㝣㕢昷㘳㥦攸㝢昱慤扦晦挹ぢ㍦㝥昲挴扦晦散愵㤷㝥晣慦㉦扣昹戳敦㉤㥦昸攱户扦晤晤㑦扥晣收㑦昶㍢慦ㄸ慦晤㜴昶㤵㘷挷慥㍥晢戴㜳攱晥搳捦㍥㝥攵搱戱昹㥢㐶扡扡㝡㝡敥ㄹ晡扢㕢敦ㅤ㝣晥改搷搵摦晣搳㐱㕦挹㜴昱㠲收㘱㜰摡㌲㡣ㅦ愲㠰㘱㜰挴敦改㌰㌸㕤㔹愸㐷攲㠵㥡〰愲〸㘷㥣〳㤰㡡㠷㥢㉢㝡晦〷摦挵㔶敢</t>
  </si>
  <si>
    <t>Decisioneering:7.0.0.0</t>
  </si>
  <si>
    <t>Documentation</t>
  </si>
  <si>
    <r>
      <rPr>
        <u/>
        <sz val="12"/>
        <color theme="1"/>
        <rFont val="Times New Roman"/>
        <family val="1"/>
      </rPr>
      <t>Distribution Reasoning</t>
    </r>
    <r>
      <rPr>
        <sz val="12"/>
        <color theme="1"/>
        <rFont val="Times New Roman"/>
        <family val="1"/>
      </rPr>
      <t xml:space="preserve">: Lognormal is default distribution 
</t>
    </r>
    <r>
      <rPr>
        <u/>
        <sz val="12"/>
        <color theme="1"/>
        <rFont val="Times New Roman"/>
        <family val="1"/>
      </rPr>
      <t>Parameter Reasoning</t>
    </r>
    <r>
      <rPr>
        <sz val="12"/>
        <color theme="1"/>
        <rFont val="Times New Roman"/>
        <family val="1"/>
      </rPr>
      <t>: based on 6 months of data from SDD EVM as of Sept. 2016</t>
    </r>
  </si>
  <si>
    <t>Crystal Ball Run Settings</t>
  </si>
  <si>
    <t>Current Run Preference Settings</t>
  </si>
  <si>
    <t>Recommended Default</t>
  </si>
  <si>
    <t xml:space="preserve">   Please READ all cell notes.</t>
  </si>
  <si>
    <t>Max Trials</t>
  </si>
  <si>
    <t>Stop on Error</t>
  </si>
  <si>
    <t>Run Same Randoms</t>
  </si>
  <si>
    <t>Set Initial Random Seed</t>
  </si>
  <si>
    <t>Stands for NCCA+77, a 6 digit prime number</t>
  </si>
  <si>
    <t>Latin Hypercube</t>
  </si>
  <si>
    <t>LHC Sample Size</t>
  </si>
  <si>
    <t>&lt;-- May have to be set manually - see cell note</t>
  </si>
  <si>
    <t>Turn Correlations Off</t>
  </si>
  <si>
    <t>Min Excel during sim</t>
  </si>
  <si>
    <t>Min worksheet during sim</t>
  </si>
  <si>
    <t>Suppress F and A Windows</t>
  </si>
  <si>
    <t>Stop on precision</t>
  </si>
  <si>
    <t>Set Precision Conf Interval</t>
  </si>
  <si>
    <t>Percentile to exceed</t>
  </si>
  <si>
    <t>Store Assump data</t>
  </si>
  <si>
    <t>Leave Cntrl Panel Open</t>
  </si>
  <si>
    <t>Run User Def Macros</t>
  </si>
  <si>
    <t>My Program Defualt</t>
  </si>
  <si>
    <t>Crystal Ball Assumptions (Uncertainty)</t>
  </si>
  <si>
    <t>Crystal Ball Assumptions (Risk)</t>
  </si>
  <si>
    <t>Crystal Ball Correlation</t>
  </si>
  <si>
    <t>Estimate Type</t>
  </si>
  <si>
    <t>% of Phase (CY)</t>
  </si>
  <si>
    <t>Procurement:</t>
  </si>
  <si>
    <t>Answer</t>
  </si>
  <si>
    <t>Section Head</t>
  </si>
  <si>
    <t>Check</t>
  </si>
  <si>
    <t>Prior Budget</t>
  </si>
  <si>
    <t>Current Budget</t>
  </si>
  <si>
    <t>Apropriation A</t>
  </si>
  <si>
    <t>format:  Mon YEAR</t>
  </si>
  <si>
    <t>Base-Year</t>
  </si>
  <si>
    <t>XXXX</t>
  </si>
  <si>
    <t>4 digit year</t>
  </si>
  <si>
    <t>Original Baseline (date)</t>
  </si>
  <si>
    <t>Current Baseline (date)</t>
  </si>
  <si>
    <t>ICE</t>
  </si>
  <si>
    <t>PB18</t>
  </si>
  <si>
    <t>USN</t>
  </si>
  <si>
    <t>USMC</t>
  </si>
  <si>
    <t>USAF</t>
  </si>
  <si>
    <t>USA</t>
  </si>
  <si>
    <t>NON PMO</t>
  </si>
  <si>
    <t>EMD</t>
  </si>
  <si>
    <t>SDTA</t>
  </si>
  <si>
    <t>FMS</t>
  </si>
  <si>
    <t>CCP Chart</t>
  </si>
  <si>
    <t>Global Tables</t>
  </si>
  <si>
    <t>FY</t>
  </si>
  <si>
    <t>35% - 65%</t>
  </si>
  <si>
    <t>65% - 95%</t>
  </si>
  <si>
    <t>5% - 35%</t>
  </si>
  <si>
    <t>Apropriation B</t>
  </si>
  <si>
    <t>Apropriation C</t>
  </si>
  <si>
    <t>POM19</t>
  </si>
  <si>
    <t>APN-5</t>
  </si>
  <si>
    <t>APN-7</t>
  </si>
  <si>
    <t>End CY</t>
  </si>
  <si>
    <t>End Table</t>
  </si>
  <si>
    <t>These cells contain list values that must be adhered to in the WBS Summary page</t>
  </si>
  <si>
    <t>Can modify the list as necessary. Do not skip spaces on the next entry</t>
  </si>
  <si>
    <t>GOV</t>
  </si>
  <si>
    <t>Acq O&amp;M (CY17$M)</t>
  </si>
  <si>
    <t>Disposal (CY17$M)</t>
  </si>
  <si>
    <t>Acq O&amp;M (TY$M)</t>
  </si>
  <si>
    <r>
      <t xml:space="preserve">NOTE: </t>
    </r>
    <r>
      <rPr>
        <sz val="12"/>
        <color theme="1"/>
        <rFont val="Times New Roman"/>
        <family val="1"/>
      </rPr>
      <t>After documenting each change copy values (columns I:AR) from a specific row and past as values only</t>
    </r>
  </si>
  <si>
    <t>Graph</t>
  </si>
  <si>
    <t>Revision Tracker
(Point Estimate CY17$M)</t>
  </si>
  <si>
    <t>CY or TY</t>
  </si>
  <si>
    <t>Crystal Ball Variable</t>
  </si>
  <si>
    <t>Same Columns from WBS Summary</t>
  </si>
  <si>
    <t>Columns based on PBIS or other Budget source. Change as necessary</t>
  </si>
  <si>
    <t>Labor Name</t>
  </si>
  <si>
    <t>Time Horizon</t>
  </si>
  <si>
    <t>CY / CP / TY / Factor</t>
  </si>
  <si>
    <t>Year</t>
  </si>
  <si>
    <t>Units</t>
  </si>
  <si>
    <t>https://dap.dau.mil/mdid/Pages/Default.aspx?ms=9&amp;acat=1&amp;acatsub=1&amp;source=All&amp;type=chart0</t>
  </si>
  <si>
    <r>
      <t>STATUTORY:</t>
    </r>
    <r>
      <rPr>
        <sz val="12"/>
        <color theme="1"/>
        <rFont val="Times New Roman"/>
        <family val="1"/>
      </rPr>
      <t xml:space="preserve"> Statutory requirements cannot be waived unless the statute permits.</t>
    </r>
  </si>
  <si>
    <r>
      <t xml:space="preserve">Regulatory: </t>
    </r>
    <r>
      <rPr>
        <sz val="12"/>
        <color theme="1"/>
        <rFont val="Times New Roman"/>
        <family val="1"/>
      </rPr>
      <t>MDAs may tailor regulatory procedures consistent with sound business practice and the risks associated with the product being acquired.</t>
    </r>
  </si>
  <si>
    <t>Requirement</t>
  </si>
  <si>
    <t>Document</t>
  </si>
  <si>
    <t>MDD</t>
  </si>
  <si>
    <t>CDD Val</t>
  </si>
  <si>
    <t>Dev. RFP Rel</t>
  </si>
  <si>
    <t>FRP/FD</t>
  </si>
  <si>
    <t>Other</t>
  </si>
  <si>
    <t>Status</t>
  </si>
  <si>
    <t>Statutory</t>
  </si>
  <si>
    <t>X</t>
  </si>
  <si>
    <t>OPERATIONAL TEST PLAN (OTP) 250</t>
  </si>
  <si>
    <t>POST IMPLEMENTATION REVIEW (PIR) 54</t>
  </si>
  <si>
    <t>REPLACED SYSTEM SUSTAINMENT PLAN 61</t>
  </si>
  <si>
    <t>TERMINATION LIABILITY ESTIMATE (Part of Acquisition Strategy) 70</t>
  </si>
  <si>
    <t>Regulatory</t>
  </si>
  <si>
    <t>Market Research (Part of Acquisition Strategy) 248</t>
  </si>
  <si>
    <t>2366a/b CERTIFICATION MEMORANDUM</t>
  </si>
  <si>
    <t>ACQUISITION PROGRAM BASELINE (APB)</t>
  </si>
  <si>
    <t>ACQUISITION STRATEGY</t>
  </si>
  <si>
    <t>ANALYSIS OF ALTERNATIVES (AoA)</t>
  </si>
  <si>
    <t>BANDWIDTH REQUIREMENTS REVIEW</t>
  </si>
  <si>
    <t>BENEFIT ANALYSIS AND DETERMINATION (Part of Acquisition Strategy)</t>
  </si>
  <si>
    <t>CONSIDERATION OF TECHNOLOGY ISSUES (Part of Acquisition Strategy)</t>
  </si>
  <si>
    <t>CONTRACT-TYPE DETERMINATION (Part of Acquisition Strategy)</t>
  </si>
  <si>
    <t>COOPERATIVE OPPORTUNITIES(Part of Acquisition Strategy)</t>
  </si>
  <si>
    <t>CORE LOGISTICS DETERMINATION / CORE LOGISTICS AND SUSTAINING WORKLOADS ESTIMATE</t>
  </si>
  <si>
    <t>CYBERSECURITY STRATEGY</t>
  </si>
  <si>
    <t>DOT&amp;E REPORT ON INITIAL OPERATIONAL TEST AND EVALUATION (IOT&amp;E)</t>
  </si>
  <si>
    <t>FREQUENCY ALLOCATION APPLICATION (DD Form 1494)</t>
  </si>
  <si>
    <t>GENERAL EQUIPMENT VALUATION (Part of Acquisition Strategy)</t>
  </si>
  <si>
    <t>INDEPENDENT COST ESTIMATE (ICE)</t>
  </si>
  <si>
    <t>INDEPENDENT LOGISTICS ASSESSMENT (ILA)</t>
  </si>
  <si>
    <t>INDUSTRIAL BASE CAPABILITIES CONSIDERATIONS (Part of Acquisition Strategy)</t>
  </si>
  <si>
    <t>INTELLECTUAL PROPERTY (IP) STRATEGY (Part of Acquisition Strategy)</t>
  </si>
  <si>
    <t>LFT&amp;E REPORT</t>
  </si>
  <si>
    <t>LOW-RATE INITIAL PRODUCTION (LRIP) QUANTITY</t>
  </si>
  <si>
    <t>MANPOWER ESTIMATE</t>
  </si>
  <si>
    <t>MARKET RESEARCH (Part of Acquisition Strategy)</t>
  </si>
  <si>
    <t>PESHE AND NEPA/E.O. 12114 COMPLIANCE SCHEDULE</t>
  </si>
  <si>
    <t>PRESERVATION AND STORAGE OF UNIQUE TOOLING PLAN</t>
  </si>
  <si>
    <t>SMALL BUSINESS INNOVATION RESEARCH (SBIR)/SMALL BUSINESS TECHNOLOGY TRANSFER (STTR) PROGRAM TECHNOLOGIES</t>
  </si>
  <si>
    <t>TECHNOLOGY READINESS ASSESSMENT (TRA)</t>
  </si>
  <si>
    <t>2366b Certification Memorandum</t>
  </si>
  <si>
    <t>Acquisition Decision Memorandum (ADM)</t>
  </si>
  <si>
    <t>Acquisition Program Baseline (APB)</t>
  </si>
  <si>
    <t>Acquisition Strategy</t>
  </si>
  <si>
    <t>Affordability Analysis</t>
  </si>
  <si>
    <t>Analysis of Alternatives (AoA)</t>
  </si>
  <si>
    <t>AoA Study Guidance and AoA Study Plan</t>
  </si>
  <si>
    <t>Capability Development Document (CDD)</t>
  </si>
  <si>
    <t>Capability Production Document (CPD)</t>
  </si>
  <si>
    <t>Capstone Threat Assessment</t>
  </si>
  <si>
    <t>CLINGER-COHEN ACT COMPLIANCE</t>
  </si>
  <si>
    <t>DoD Component Cost Estimate</t>
  </si>
  <si>
    <t>Concept of Operations/Operational Mode Summary/Mission Profile (CONOPS/OMS/MP)</t>
  </si>
  <si>
    <t>Cost Analysis Requirements Description (CARD)</t>
  </si>
  <si>
    <t>Development RFP Release Cost Assessment</t>
  </si>
  <si>
    <t>DoD Component Cost Position</t>
  </si>
  <si>
    <t>DoD Component Live Fire Test and Evaluation (LFT&amp;E) Report</t>
  </si>
  <si>
    <t>Exit Criteria</t>
  </si>
  <si>
    <t>Full Funding Certification Memorandum</t>
  </si>
  <si>
    <t>Information Support Plan (ISP)</t>
  </si>
  <si>
    <t>Information Technology (IT) and National Security System (NSS) Interoperability Certification</t>
  </si>
  <si>
    <t>Initial Capabilities Document (ICD)</t>
  </si>
  <si>
    <t>Initial Threat Environment Assessment</t>
  </si>
  <si>
    <t>Item Unique Identification Implementation Plan</t>
  </si>
  <si>
    <t>Life-Cycle Mission Data Plan</t>
  </si>
  <si>
    <t>Life-Cycle Sustainment Plan (LCSP)</t>
  </si>
  <si>
    <t>Operational Test Agency (OTA) Report of OT&amp;E Results</t>
  </si>
  <si>
    <t>Program Protection Plan (PPP)</t>
  </si>
  <si>
    <t>Request for Proposal (RFP)</t>
  </si>
  <si>
    <t>Should Cost Target</t>
  </si>
  <si>
    <t>Spectrum Supportability Risk Assessment (SSRA)</t>
  </si>
  <si>
    <t>System Threat Assessment Report (STAR)</t>
  </si>
  <si>
    <t>Systems Engineering Plan (SEP)</t>
  </si>
  <si>
    <t>Technology Targeting Risk Assessment</t>
  </si>
  <si>
    <t>Test and Evaluation Master Plan (TEMP)</t>
  </si>
  <si>
    <t>Waveform Assessment Application</t>
  </si>
  <si>
    <t>Documentation Status</t>
  </si>
  <si>
    <t>Source: Program Quantity Profile</t>
  </si>
  <si>
    <t>Source: Sample Flight Hour Profile</t>
  </si>
  <si>
    <t>WBS Element Talking Points</t>
  </si>
  <si>
    <t>Missile System Example</t>
  </si>
  <si>
    <t>Missle System</t>
  </si>
  <si>
    <t>MS PEO</t>
  </si>
  <si>
    <t>Missile System</t>
  </si>
  <si>
    <t>1.1.1.2</t>
  </si>
  <si>
    <t>1.1.1.1</t>
  </si>
  <si>
    <t>1.1.3</t>
  </si>
  <si>
    <t>EMD_DesignDevPerMth * EMD_Mths</t>
  </si>
  <si>
    <t>ProdT1 * ProdToEMD_Step</t>
  </si>
  <si>
    <t>EMD_SWManMonths * EMD_SWLaborRate</t>
  </si>
  <si>
    <t>EMD_AnnualSE*EMD_SpendProfile</t>
  </si>
  <si>
    <t>EMD_AnnualPM*EMD_SpendProfile</t>
  </si>
  <si>
    <t>STE_Fac * Proto_EMD</t>
  </si>
  <si>
    <t>EMD_Trng_Fac * AV_EMD</t>
  </si>
  <si>
    <t>EMD_Data_Fac * AV_EMD</t>
  </si>
  <si>
    <t>EMD_SptEquip_Fac * Proto_EMD</t>
  </si>
  <si>
    <t>Rollup element for Air Vehicle elements</t>
  </si>
  <si>
    <t>Rollup element of all Development elements</t>
  </si>
  <si>
    <t>Rollup element of all Weapon System elements</t>
  </si>
  <si>
    <t>JA CSRUH 2 Missile CB Model 23 Feb 14</t>
  </si>
  <si>
    <t>Estimate based on number of estimated development months * estimated design and development cost per month</t>
  </si>
  <si>
    <t xml:space="preserve">Step 1: </t>
  </si>
  <si>
    <t xml:space="preserve">Step 2: </t>
  </si>
  <si>
    <t xml:space="preserve">Step 3: </t>
  </si>
  <si>
    <t>Step 4:</t>
  </si>
  <si>
    <t>Total EMD Spend Profile</t>
  </si>
  <si>
    <t>This example is based on the Joint Agency Cost and Schedule Risk and Uncertainty Handbook (JA CSRUH)</t>
  </si>
  <si>
    <t>Integrated Master Schedule (IMS) from the Missile System program office</t>
  </si>
  <si>
    <t>Estimated monthly development cost referenced from last Missile System CARD</t>
  </si>
  <si>
    <t>BY to TY Factors RDTEN</t>
  </si>
  <si>
    <t>This element includes the design and development of the Air Vehicle WBS element</t>
  </si>
  <si>
    <t>1.1.1.1 Air Vehicle Design &amp; Development</t>
  </si>
  <si>
    <t>Estimate Design &amp; Dev Cost Per Month</t>
  </si>
  <si>
    <t>Estimate EMD Duration (Months)</t>
  </si>
  <si>
    <t>This element includes the prototypes for the Air Vehicle WBS element</t>
  </si>
  <si>
    <t>Indices:</t>
  </si>
  <si>
    <t>Separate Learning and Rate Curve analysis included in JA CSRUH model</t>
  </si>
  <si>
    <t>Step 1:</t>
  </si>
  <si>
    <t>Step 2:</t>
  </si>
  <si>
    <t>Number of Prototype Units</t>
  </si>
  <si>
    <t xml:space="preserve">Production to EMD Step Factor </t>
  </si>
  <si>
    <t>EMD Unit Learning Slope Exponent</t>
  </si>
  <si>
    <t>Phased EMD Qty</t>
  </si>
  <si>
    <t>Cumulative EMD Qty</t>
  </si>
  <si>
    <t>Prior EMD Qty</t>
  </si>
  <si>
    <t>Proto Learning Factors</t>
  </si>
  <si>
    <t>Proto Learning Factors PriorQty&gt;0</t>
  </si>
  <si>
    <t>Proto Learning Factors PriorQty=0</t>
  </si>
  <si>
    <t>Estimated learning factors with learning slopes</t>
  </si>
  <si>
    <t>Estimated EMD Learning Slope</t>
  </si>
  <si>
    <t>Step 5:</t>
  </si>
  <si>
    <t>Step 6:</t>
  </si>
  <si>
    <t>Source #3:</t>
  </si>
  <si>
    <t>Reference separate Missile System production estimate for Air Vehicle T1 cost</t>
  </si>
  <si>
    <t xml:space="preserve">Apply Step Factor </t>
  </si>
  <si>
    <t xml:space="preserve">Air Vehicle Prototype T1 (CY14$): </t>
  </si>
  <si>
    <t>1.1.1.2 Air Vehicle Prototypes</t>
  </si>
  <si>
    <t xml:space="preserve">Reference Air Vehicle T1 (CY14$): </t>
  </si>
  <si>
    <t>Prototype cost by year (CY14$)</t>
  </si>
  <si>
    <t>Total EMD cost (CY14$)</t>
  </si>
  <si>
    <t>Total EMD cost by year (CY14$)</t>
  </si>
  <si>
    <t>Number of prior units and estimated number of prototypes taken from Missile System CARD</t>
  </si>
  <si>
    <t>Estimated Prototype Cost With Learning</t>
  </si>
  <si>
    <t>This page is intentionally left blank and is intended to represent the start of a new section within the model.</t>
  </si>
  <si>
    <t>Start Date</t>
  </si>
  <si>
    <t>End Date</t>
  </si>
  <si>
    <t>Duration</t>
  </si>
  <si>
    <t/>
  </si>
  <si>
    <t>Point Estimate (TY$)</t>
  </si>
  <si>
    <t>Point Estimate (CY14$)</t>
  </si>
  <si>
    <t>Mean Estimate (CY14$)</t>
  </si>
  <si>
    <t>Mean Estimate (TY$)</t>
  </si>
  <si>
    <t>This element includes Systems Engineering labor for the development program</t>
  </si>
  <si>
    <t>Estimated based on estimated production T1 cost * step factor referenced from JA CSRUH and prototype quantity profile</t>
  </si>
  <si>
    <t>Estimated spend profile referenced from JA CSRUH</t>
  </si>
  <si>
    <t>Estimated annual Systems Engineering referenced from JA CSRUH</t>
  </si>
  <si>
    <t>Estimate annual Systems Engineering (CY14$)</t>
  </si>
  <si>
    <t>Element:</t>
  </si>
  <si>
    <t>Estimated EMD Spend Profile</t>
  </si>
  <si>
    <t>Estimated Annual Systems Engineering (CY14$)</t>
  </si>
  <si>
    <t>This element includes Program Management labor for the development program</t>
  </si>
  <si>
    <t>This estimate is based on estimated Annual Program Management costs * Estimated Spend Profile</t>
  </si>
  <si>
    <t>This estimate is based on estimated Annual Systems Engineering costs * Estimated Spend Profile</t>
  </si>
  <si>
    <t>Estimated annual Program Management referenced from JA CSRUH</t>
  </si>
  <si>
    <t>Estimate annual Program Management (CY14$)</t>
  </si>
  <si>
    <t>Estimated Annual Program Management (CY14$)</t>
  </si>
  <si>
    <t>Step 3:</t>
  </si>
  <si>
    <t>CY14$</t>
  </si>
  <si>
    <t>TY$</t>
  </si>
  <si>
    <t>$</t>
  </si>
  <si>
    <t>Milestone B</t>
  </si>
  <si>
    <t>This element includes System Test and Evaluation for the development program</t>
  </si>
  <si>
    <t>Estimated System Test and Evaluation factor from JA CSRUH</t>
  </si>
  <si>
    <t>Estimate Systems Test and Evaluation Factor</t>
  </si>
  <si>
    <t>Estimated Systems Test &amp; Evaluation (CY14$)</t>
  </si>
  <si>
    <t xml:space="preserve">   Time Phase Estimate</t>
  </si>
  <si>
    <t>This element includes Data costs for the development program</t>
  </si>
  <si>
    <t>This estimate is based on estimated Data cost factor * Estimated Missile System Air Vehicle costs</t>
  </si>
  <si>
    <t>Estimated Data cost factor from JA CSRUH</t>
  </si>
  <si>
    <t>Estimate Data costs (CY14$)</t>
  </si>
  <si>
    <t>Estimated Air Vehicle costs (CY14$)</t>
  </si>
  <si>
    <t>Estimated Prototype costs (CY14$)</t>
  </si>
  <si>
    <t>Estimate Systems Test and Evaluation (CY14$)</t>
  </si>
  <si>
    <t>Estimated Data (CY14$)</t>
  </si>
  <si>
    <t>This estimate is based on estimated Systems Test and Evaluation factor * Estimated Missile System prototype costs</t>
  </si>
  <si>
    <t>Estimated Peculiar Support Equipment (PSE) cost factor from JA CSRUH</t>
  </si>
  <si>
    <t>Estimate Peculiar Support Equipment costs (CY14$)</t>
  </si>
  <si>
    <t>Estimated Peculiar Support Equipment (CY14$)</t>
  </si>
  <si>
    <t>This element includes Peculiar Support  Equipment (PSE) costs for the development program</t>
  </si>
  <si>
    <t>Estimated Engineering Manufacturing and Development (EMD) Spend Profile</t>
  </si>
  <si>
    <t>This estimate is based on estimated Peculiar Support Equipment (PSE) * Estimated Missile System Prototype costs</t>
  </si>
  <si>
    <t>Estimate Peculiar Support Equipment (PSE) Factor</t>
  </si>
  <si>
    <t>1.1.4</t>
  </si>
  <si>
    <t>1.1.5</t>
  </si>
  <si>
    <t>1.1.6</t>
  </si>
  <si>
    <t>1.1.7</t>
  </si>
  <si>
    <t>1.1.8</t>
  </si>
  <si>
    <t>This element includes Training costs for the development program</t>
  </si>
  <si>
    <t>This estimate is based on estimated Training cost factor * Estimated Missile System Air Vehicle costs</t>
  </si>
  <si>
    <t>Estimated Training cost factor from JA CSRUH</t>
  </si>
  <si>
    <t>Estimate Training Factor</t>
  </si>
  <si>
    <t>Estimate Training costs (CY14$)</t>
  </si>
  <si>
    <t>Estimated Training (CY14$)</t>
  </si>
  <si>
    <t>This element includes Software costs for the development program</t>
  </si>
  <si>
    <t>This estimate is based on estimated Software Development months * Estimated labor rates costs</t>
  </si>
  <si>
    <t>Estimated Software development cost and labor rates from JA CSRUH</t>
  </si>
  <si>
    <t>Estimate number of software months</t>
  </si>
  <si>
    <t>Estimated Software labor rate ($/month)</t>
  </si>
  <si>
    <t>Estimate Software costs (CY14$)</t>
  </si>
  <si>
    <t>Estimated Software (CY14$)</t>
  </si>
  <si>
    <t>Column1</t>
  </si>
  <si>
    <t>Engineering and Manufacturing Development</t>
  </si>
  <si>
    <t>Air Vehicle</t>
  </si>
  <si>
    <t>Design &amp; Development</t>
  </si>
  <si>
    <t>Prototypes</t>
  </si>
  <si>
    <t>Software</t>
  </si>
  <si>
    <t>System Engineering</t>
  </si>
  <si>
    <t>Program Management</t>
  </si>
  <si>
    <t>System Test and Evaluation</t>
  </si>
  <si>
    <t>Training</t>
  </si>
  <si>
    <t>Data</t>
  </si>
  <si>
    <t>Peculiar Support Equipment</t>
  </si>
  <si>
    <t>Cost Estimate Template</t>
  </si>
</sst>
</file>

<file path=xl/styles.xml><?xml version="1.0" encoding="utf-8"?>
<styleSheet xmlns="http://schemas.openxmlformats.org/spreadsheetml/2006/main" xmlns:mc="http://schemas.openxmlformats.org/markup-compatibility/2006" xmlns:x14ac="http://schemas.microsoft.com/office/spreadsheetml/2009/9/ac" mc:Ignorable="x14ac">
  <numFmts count="52">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yy;@"/>
    <numFmt numFmtId="165" formatCode="[$-409]mmmm\-yy;@"/>
    <numFmt numFmtId="166" formatCode="[$-409]dd\-mmm\-yy;@"/>
    <numFmt numFmtId="167" formatCode="[$-409]d\-mmm\-yy;@"/>
    <numFmt numFmtId="168" formatCode="0.0"/>
    <numFmt numFmtId="169" formatCode="#,##0.000"/>
    <numFmt numFmtId="170" formatCode="#,##0.0000"/>
    <numFmt numFmtId="171" formatCode="#,##0.00000"/>
    <numFmt numFmtId="172" formatCode="#,##0.000000"/>
    <numFmt numFmtId="173" formatCode="0.0%"/>
    <numFmt numFmtId="174" formatCode="0.000"/>
    <numFmt numFmtId="175" formatCode="#,##0.0_);[Red]\(#,##0.0\)"/>
    <numFmt numFmtId="176" formatCode="#,##0.000_);[Red]\(#,##0.000\)"/>
    <numFmt numFmtId="177" formatCode="[$-F800]dddd\,\ mmmm\ dd\,\ yyyy"/>
    <numFmt numFmtId="178" formatCode="00\-0000\-00\-0000\-000"/>
    <numFmt numFmtId="179" formatCode="00000"/>
    <numFmt numFmtId="180" formatCode="0.000_)"/>
    <numFmt numFmtId="181" formatCode="_(* #,##0.00_);\(* #,##0.00\);_(* &quot;-&quot;??_);_(@_)"/>
    <numFmt numFmtId="182" formatCode="#."/>
    <numFmt numFmtId="183" formatCode="_-* #,##0.00\ &quot;DM&quot;_-;\-* #,##0.00\ &quot;DM&quot;_-;_-* &quot;-&quot;??\ &quot;DM&quot;_-;_-@_-"/>
    <numFmt numFmtId="184" formatCode="&quot;$&quot;#,##0\ ;\(&quot;$&quot;#,##0\)"/>
    <numFmt numFmtId="185" formatCode=".0"/>
    <numFmt numFmtId="186" formatCode="#&quot;hrs&quot;"/>
    <numFmt numFmtId="187" formatCode="0000"/>
    <numFmt numFmtId="188" formatCode="0.00_)"/>
    <numFmt numFmtId="189" formatCode="0.0_)"/>
    <numFmt numFmtId="190" formatCode="General_)"/>
    <numFmt numFmtId="191" formatCode="&quot;£&quot;#,##0.00;\-&quot;£&quot;#,##0.00"/>
    <numFmt numFmtId="192" formatCode="00\-0000\-00\-0000"/>
    <numFmt numFmtId="193" formatCode="0.0000%"/>
    <numFmt numFmtId="194" formatCode="m/d/yy\ h:mm:ss"/>
    <numFmt numFmtId="195" formatCode="0.00000&quot;  &quot;"/>
    <numFmt numFmtId="196" formatCode="#&quot; Systems&quot;"/>
    <numFmt numFmtId="197" formatCode="_(&quot;$&quot;* #,##0_);_(&quot;$&quot;* \(#,##0\);_(&quot;$&quot;* &quot;-&quot;??_);_(@_)"/>
    <numFmt numFmtId="198" formatCode="_(* #,##0.0_);[Red]_(* \(#,##0.0\);_(* &quot;-&quot;??_);_(@_)"/>
    <numFmt numFmtId="199" formatCode="_(* #,##0_);_(* \(#,##0\);_(* &quot;-&quot;??_);_(@_)"/>
    <numFmt numFmtId="200" formatCode="_(&quot;$&quot;* #,##0.0_);_(&quot;$&quot;* \(#,##0.0\);_(&quot;$&quot;* &quot;-&quot;??_);_(@_)"/>
    <numFmt numFmtId="201" formatCode="_(* #,##0.0_);_(* \(#,##0.0\);_(* &quot;-&quot;??_);_(@_)"/>
    <numFmt numFmtId="202" formatCode="0.00000"/>
    <numFmt numFmtId="203" formatCode="0.0000"/>
    <numFmt numFmtId="204" formatCode="###,###,###,###"/>
    <numFmt numFmtId="205" formatCode="###,###,###,###.00"/>
    <numFmt numFmtId="206" formatCode="###,###,###,###.000"/>
    <numFmt numFmtId="207" formatCode="###,###,###,###.0"/>
    <numFmt numFmtId="208" formatCode="&quot;$&quot;#,##0.0_);[Red]\(&quot;$&quot;#,##0.0\)"/>
    <numFmt numFmtId="209" formatCode="&quot;$&quot;#,##0.000_);[Red]\(&quot;$&quot;#,##0.000\)"/>
  </numFmts>
  <fonts count="166">
    <font>
      <sz val="12"/>
      <color theme="1"/>
      <name val="Times New Roman"/>
      <family val="2"/>
    </font>
    <font>
      <sz val="11"/>
      <color theme="1"/>
      <name val="Calibri"/>
      <family val="2"/>
      <scheme val="minor"/>
    </font>
    <font>
      <sz val="12"/>
      <color theme="1"/>
      <name val="Times New Roman"/>
      <family val="2"/>
    </font>
    <font>
      <b/>
      <sz val="18"/>
      <color theme="3"/>
      <name val="Cambria"/>
      <family val="2"/>
      <scheme val="major"/>
    </font>
    <font>
      <sz val="11"/>
      <color theme="1"/>
      <name val="Calibri"/>
      <family val="2"/>
      <scheme val="minor"/>
    </font>
    <font>
      <b/>
      <sz val="12"/>
      <color theme="1"/>
      <name val="Times New Roman"/>
      <family val="1"/>
    </font>
    <font>
      <sz val="12"/>
      <color theme="1"/>
      <name val="Times New Roman"/>
      <family val="1"/>
    </font>
    <font>
      <sz val="12"/>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Calibri"/>
      <family val="2"/>
      <scheme val="minor"/>
    </font>
    <font>
      <sz val="11"/>
      <color theme="0"/>
      <name val="Arial"/>
      <family val="2"/>
    </font>
    <font>
      <sz val="11"/>
      <name val="Calibri"/>
      <family val="2"/>
    </font>
    <font>
      <sz val="8"/>
      <name val="Arial"/>
      <family val="2"/>
    </font>
    <font>
      <sz val="11"/>
      <color indexed="20"/>
      <name val="Calibri"/>
      <family val="2"/>
    </font>
    <font>
      <sz val="11"/>
      <color rgb="FF9C0006"/>
      <name val="Calibri"/>
      <family val="2"/>
      <scheme val="minor"/>
    </font>
    <font>
      <sz val="11"/>
      <color rgb="FF9C0006"/>
      <name val="Arial"/>
      <family val="2"/>
    </font>
    <font>
      <sz val="12"/>
      <name val="Tms Rmn"/>
    </font>
    <font>
      <sz val="10"/>
      <name val="Times New Roman"/>
      <family val="1"/>
    </font>
    <font>
      <b/>
      <sz val="11"/>
      <color indexed="52"/>
      <name val="Calibri"/>
      <family val="2"/>
    </font>
    <font>
      <b/>
      <sz val="11"/>
      <color indexed="10"/>
      <name val="Calibri"/>
      <family val="2"/>
    </font>
    <font>
      <b/>
      <sz val="11"/>
      <color rgb="FFFA7D00"/>
      <name val="Calibri"/>
      <family val="2"/>
      <scheme val="minor"/>
    </font>
    <font>
      <b/>
      <sz val="11"/>
      <color rgb="FFFA7D00"/>
      <name val="Arial"/>
      <family val="2"/>
    </font>
    <font>
      <sz val="11"/>
      <name val="Calibri"/>
      <family val="2"/>
      <scheme val="minor"/>
    </font>
    <font>
      <b/>
      <sz val="11"/>
      <color indexed="9"/>
      <name val="Calibri"/>
      <family val="2"/>
    </font>
    <font>
      <b/>
      <sz val="11"/>
      <color theme="0"/>
      <name val="Calibri"/>
      <family val="2"/>
      <scheme val="minor"/>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b/>
      <i/>
      <sz val="10"/>
      <name val="Arial"/>
      <family val="2"/>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Calibri"/>
      <family val="2"/>
      <scheme val="minor"/>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Calibri"/>
      <family val="2"/>
      <scheme val="minor"/>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Calibri"/>
      <family val="2"/>
      <scheme val="minor"/>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Calibri"/>
      <family val="2"/>
      <scheme val="minor"/>
    </font>
    <font>
      <b/>
      <sz val="13"/>
      <color theme="3"/>
      <name val="Arial"/>
      <family val="2"/>
    </font>
    <font>
      <b/>
      <sz val="11"/>
      <color indexed="56"/>
      <name val="Calibri"/>
      <family val="2"/>
    </font>
    <font>
      <b/>
      <sz val="11"/>
      <color indexed="62"/>
      <name val="Calibri"/>
      <family val="2"/>
    </font>
    <font>
      <b/>
      <sz val="11"/>
      <color theme="3"/>
      <name val="Calibri"/>
      <family val="2"/>
      <scheme val="minor"/>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Calibri"/>
      <family val="2"/>
      <scheme val="minor"/>
    </font>
    <font>
      <sz val="11"/>
      <color rgb="FF3F3F76"/>
      <name val="Arial"/>
      <family val="2"/>
    </font>
    <font>
      <sz val="11"/>
      <color indexed="52"/>
      <name val="Calibri"/>
      <family val="2"/>
    </font>
    <font>
      <sz val="11"/>
      <color indexed="10"/>
      <name val="Calibri"/>
      <family val="2"/>
    </font>
    <font>
      <sz val="11"/>
      <color rgb="FFFA7D00"/>
      <name val="Calibri"/>
      <family val="2"/>
      <scheme val="minor"/>
    </font>
    <font>
      <sz val="11"/>
      <color rgb="FFFA7D00"/>
      <name val="Arial"/>
      <family val="2"/>
    </font>
    <font>
      <sz val="11"/>
      <color indexed="60"/>
      <name val="Calibri"/>
      <family val="2"/>
    </font>
    <font>
      <sz val="11"/>
      <color indexed="19"/>
      <name val="Calibri"/>
      <family val="2"/>
    </font>
    <font>
      <sz val="11"/>
      <color rgb="FF9C6500"/>
      <name val="Arial"/>
      <family val="2"/>
    </font>
    <font>
      <sz val="11"/>
      <color rgb="FF9C6500"/>
      <name val="Calibri"/>
      <family val="2"/>
      <scheme val="minor"/>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sz val="8"/>
      <name val="Times New Roman"/>
      <family val="1"/>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b/>
      <sz val="12"/>
      <name val="Univers (WN)"/>
    </font>
    <font>
      <b/>
      <sz val="18"/>
      <color indexed="56"/>
      <name val="Cambria"/>
      <family val="2"/>
    </font>
    <font>
      <b/>
      <sz val="11"/>
      <color theme="1"/>
      <name val="Arial"/>
      <family val="2"/>
    </font>
    <font>
      <sz val="11"/>
      <color rgb="FFFF0000"/>
      <name val="Calibri"/>
      <family val="2"/>
      <scheme val="minor"/>
    </font>
    <font>
      <sz val="11"/>
      <color rgb="FFFF0000"/>
      <name val="Arial"/>
      <family val="2"/>
    </font>
    <font>
      <sz val="11"/>
      <color theme="1"/>
      <name val="Times New Roman"/>
      <family val="1"/>
    </font>
    <font>
      <b/>
      <sz val="22"/>
      <color theme="1"/>
      <name val="Times New Roman"/>
      <family val="1"/>
    </font>
    <font>
      <sz val="11"/>
      <name val="Times New Roman"/>
      <family val="1"/>
    </font>
    <font>
      <b/>
      <sz val="12"/>
      <name val="Times New Roman"/>
      <family val="1"/>
    </font>
    <font>
      <sz val="12"/>
      <color rgb="FF000000"/>
      <name val="Times New Roman"/>
      <family val="1"/>
    </font>
    <font>
      <b/>
      <u/>
      <sz val="12"/>
      <name val="Times New Roman"/>
      <family val="1"/>
    </font>
    <font>
      <b/>
      <sz val="12"/>
      <color rgb="FF000000"/>
      <name val="Times New Roman"/>
      <family val="1"/>
    </font>
    <font>
      <u/>
      <sz val="11"/>
      <color theme="10"/>
      <name val="Calibri"/>
      <family val="2"/>
      <scheme val="minor"/>
    </font>
    <font>
      <u/>
      <sz val="11"/>
      <color theme="10"/>
      <name val="Arial"/>
      <family val="2"/>
    </font>
    <font>
      <sz val="12"/>
      <color indexed="8"/>
      <name val="Times New Roman"/>
      <family val="1"/>
    </font>
    <font>
      <b/>
      <sz val="12"/>
      <color theme="0"/>
      <name val="Times New Roman"/>
      <family val="1"/>
    </font>
    <font>
      <b/>
      <sz val="12"/>
      <color theme="1"/>
      <name val="Times New Roman"/>
      <family val="2"/>
    </font>
    <font>
      <b/>
      <sz val="12"/>
      <color rgb="FF000000"/>
      <name val="Times New Roman"/>
      <family val="2"/>
    </font>
    <font>
      <sz val="12"/>
      <color rgb="FF000000"/>
      <name val="Times New Roman"/>
      <family val="2"/>
    </font>
    <font>
      <u/>
      <sz val="12"/>
      <color theme="10"/>
      <name val="Times New Roman"/>
      <family val="1"/>
    </font>
    <font>
      <u/>
      <sz val="12"/>
      <color theme="1"/>
      <name val="Times New Roman"/>
      <family val="1"/>
    </font>
    <font>
      <b/>
      <sz val="10"/>
      <color indexed="81"/>
      <name val="Arial"/>
      <family val="2"/>
    </font>
    <font>
      <sz val="10"/>
      <color indexed="81"/>
      <name val="Arial"/>
      <family val="2"/>
    </font>
    <font>
      <sz val="8"/>
      <color theme="1"/>
      <name val="Times New Roman"/>
      <family val="1"/>
    </font>
    <font>
      <sz val="8"/>
      <color theme="1"/>
      <name val="Times New Roman"/>
      <family val="2"/>
    </font>
    <font>
      <b/>
      <sz val="9"/>
      <color indexed="81"/>
      <name val="Tahoma"/>
      <family val="2"/>
    </font>
    <font>
      <sz val="9"/>
      <color indexed="81"/>
      <name val="Tahoma"/>
      <family val="2"/>
    </font>
    <font>
      <sz val="28"/>
      <color theme="1"/>
      <name val="Times New Roman"/>
      <family val="1"/>
    </font>
    <font>
      <sz val="48"/>
      <color theme="1"/>
      <name val="Times New Roman"/>
      <family val="1"/>
    </font>
    <font>
      <sz val="12"/>
      <name val="Times New Roman"/>
      <family val="2"/>
    </font>
  </fonts>
  <fills count="12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99"/>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43"/>
        <bgColor indexed="64"/>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65"/>
        <bgColor indexed="64"/>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rgb="FFFFFFFF"/>
        <bgColor rgb="FF000000"/>
      </patternFill>
    </fill>
    <fill>
      <patternFill patternType="solid">
        <fgColor theme="0" tint="-0.249977111117893"/>
        <bgColor indexed="64"/>
      </patternFill>
    </fill>
    <fill>
      <patternFill patternType="solid">
        <fgColor theme="0"/>
        <bgColor indexed="64"/>
      </patternFill>
    </fill>
    <fill>
      <patternFill patternType="lightUp"/>
    </fill>
    <fill>
      <patternFill patternType="solid">
        <fgColor theme="7"/>
        <bgColor theme="7"/>
      </patternFill>
    </fill>
    <fill>
      <patternFill patternType="solid">
        <fgColor theme="7" tint="0.79998168889431442"/>
        <bgColor theme="7" tint="0.79998168889431442"/>
      </patternFill>
    </fill>
    <fill>
      <patternFill patternType="solid">
        <fgColor theme="9"/>
        <bgColor indexed="64"/>
      </patternFill>
    </fill>
    <fill>
      <patternFill patternType="solid">
        <fgColor rgb="FFFFFFD5"/>
        <bgColor indexed="64"/>
      </patternFill>
    </fill>
    <fill>
      <patternFill patternType="solid">
        <fgColor theme="6" tint="0.79998168889431442"/>
        <bgColor indexed="64"/>
      </patternFill>
    </fill>
  </fills>
  <borders count="1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style="thin">
        <color auto="1"/>
      </top>
      <bottom style="thin">
        <color auto="1"/>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right/>
      <top/>
      <bottom style="medium">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auto="1"/>
      </left>
      <right style="thin">
        <color theme="7" tint="0.39997558519241921"/>
      </right>
      <top style="thin">
        <color auto="1"/>
      </top>
      <bottom/>
      <diagonal/>
    </border>
    <border>
      <left style="thin">
        <color indexed="64"/>
      </left>
      <right style="thin">
        <color theme="7" tint="0.39997558519241921"/>
      </right>
      <top style="thin">
        <color indexed="64"/>
      </top>
      <bottom style="thin">
        <color indexed="64"/>
      </bottom>
      <diagonal/>
    </border>
    <border>
      <left style="thin">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style="thin">
        <color indexed="64"/>
      </left>
      <right/>
      <top/>
      <bottom style="thin">
        <color indexed="64"/>
      </bottom>
      <diagonal/>
    </border>
  </borders>
  <cellStyleXfs count="59031">
    <xf numFmtId="0" fontId="0" fillId="0" borderId="0"/>
    <xf numFmtId="0" fontId="4" fillId="0" borderId="0"/>
    <xf numFmtId="43" fontId="4" fillId="0" borderId="0" applyFont="0" applyFill="0" applyBorder="0" applyAlignment="0" applyProtection="0"/>
    <xf numFmtId="0" fontId="8" fillId="0" borderId="0"/>
    <xf numFmtId="38" fontId="9" fillId="0" borderId="0" applyProtection="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5" fontId="10" fillId="0" borderId="0"/>
    <xf numFmtId="165" fontId="10" fillId="0" borderId="0"/>
    <xf numFmtId="166"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165" fontId="10" fillId="0" borderId="0"/>
    <xf numFmtId="165" fontId="10" fillId="0" borderId="0"/>
    <xf numFmtId="166" fontId="10" fillId="0" borderId="0"/>
    <xf numFmtId="38" fontId="9" fillId="0" borderId="0" applyProtection="0"/>
    <xf numFmtId="165" fontId="10" fillId="0" borderId="0"/>
    <xf numFmtId="165" fontId="10" fillId="0" borderId="0"/>
    <xf numFmtId="166" fontId="10" fillId="0" borderId="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38" fontId="9" fillId="0" borderId="0" applyProtection="0"/>
    <xf numFmtId="164" fontId="10" fillId="0" borderId="0"/>
    <xf numFmtId="165" fontId="10" fillId="0" borderId="0"/>
    <xf numFmtId="164" fontId="10" fillId="0" borderId="0"/>
    <xf numFmtId="38" fontId="9" fillId="0" borderId="0" applyProtection="0"/>
    <xf numFmtId="164" fontId="10" fillId="0" borderId="0"/>
    <xf numFmtId="165" fontId="10" fillId="0" borderId="0"/>
    <xf numFmtId="0" fontId="11" fillId="36" borderId="0"/>
    <xf numFmtId="165" fontId="11" fillId="36" borderId="0"/>
    <xf numFmtId="165" fontId="11" fillId="36" borderId="0"/>
    <xf numFmtId="166" fontId="11" fillId="36" borderId="0"/>
    <xf numFmtId="0" fontId="11" fillId="36" borderId="0"/>
    <xf numFmtId="165" fontId="11" fillId="36" borderId="0"/>
    <xf numFmtId="0"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8" fontId="13" fillId="0" borderId="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 fontId="14" fillId="0" borderId="0">
      <alignment horizontal="center" vertical="center" wrapText="1"/>
    </xf>
    <xf numFmtId="0" fontId="15" fillId="38"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39" borderId="0" applyNumberFormat="0" applyBorder="0" applyAlignment="0" applyProtection="0"/>
    <xf numFmtId="0" fontId="4" fillId="10" borderId="0" applyNumberFormat="0" applyBorder="0" applyAlignment="0" applyProtection="0"/>
    <xf numFmtId="166" fontId="15" fillId="38"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177"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4" fillId="14" borderId="0" applyNumberFormat="0" applyBorder="0" applyAlignment="0" applyProtection="0"/>
    <xf numFmtId="166"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77"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18" borderId="0" applyNumberFormat="0" applyBorder="0" applyAlignment="0" applyProtection="0"/>
    <xf numFmtId="166" fontId="15" fillId="42"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177"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64" fontId="15" fillId="45" borderId="0" applyNumberFormat="0" applyBorder="0" applyAlignment="0" applyProtection="0"/>
    <xf numFmtId="0" fontId="4" fillId="22" borderId="0" applyNumberFormat="0" applyBorder="0" applyAlignment="0" applyProtection="0"/>
    <xf numFmtId="166" fontId="15" fillId="44"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77"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26" borderId="0" applyNumberFormat="0" applyBorder="0" applyAlignment="0" applyProtection="0"/>
    <xf numFmtId="166"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5"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77"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30" borderId="0" applyNumberFormat="0" applyBorder="0" applyAlignment="0" applyProtection="0"/>
    <xf numFmtId="166"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77"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2" fontId="17" fillId="0" borderId="0"/>
    <xf numFmtId="174" fontId="17" fillId="0" borderId="0">
      <alignment horizontal="center"/>
    </xf>
    <xf numFmtId="0" fontId="15" fillId="39"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77"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4" fillId="15" borderId="0" applyNumberFormat="0" applyBorder="0" applyAlignment="0" applyProtection="0"/>
    <xf numFmtId="166"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5"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77"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164" fontId="15" fillId="48" borderId="0" applyNumberFormat="0" applyBorder="0" applyAlignment="0" applyProtection="0"/>
    <xf numFmtId="0" fontId="4" fillId="19" borderId="0" applyNumberFormat="0" applyBorder="0" applyAlignment="0" applyProtection="0"/>
    <xf numFmtId="166" fontId="15" fillId="47"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177"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64" fontId="15" fillId="40" borderId="0" applyNumberFormat="0" applyBorder="0" applyAlignment="0" applyProtection="0"/>
    <xf numFmtId="0" fontId="4" fillId="23" borderId="0" applyNumberFormat="0" applyBorder="0" applyAlignment="0" applyProtection="0"/>
    <xf numFmtId="166" fontId="15" fillId="44"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77"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27" borderId="0" applyNumberFormat="0" applyBorder="0" applyAlignment="0" applyProtection="0"/>
    <xf numFmtId="166"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77"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31" borderId="0" applyNumberFormat="0" applyBorder="0" applyAlignment="0" applyProtection="0"/>
    <xf numFmtId="166" fontId="15" fillId="49"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177"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7" fillId="0" borderId="0"/>
    <xf numFmtId="0" fontId="18" fillId="50"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50" borderId="0" applyNumberFormat="0" applyBorder="0" applyAlignment="0" applyProtection="0"/>
    <xf numFmtId="166" fontId="18" fillId="50" borderId="0" applyNumberFormat="0" applyBorder="0" applyAlignment="0" applyProtection="0"/>
    <xf numFmtId="0" fontId="18" fillId="50"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50" borderId="0" applyNumberFormat="0" applyBorder="0" applyAlignment="0" applyProtection="0"/>
    <xf numFmtId="177" fontId="19" fillId="12" borderId="0" applyNumberFormat="0" applyBorder="0" applyAlignment="0" applyProtection="0"/>
    <xf numFmtId="0" fontId="18" fillId="46" borderId="0" applyNumberFormat="0" applyBorder="0" applyAlignment="0" applyProtection="0"/>
    <xf numFmtId="0" fontId="19" fillId="12"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12" borderId="0" applyNumberFormat="0" applyBorder="0" applyAlignment="0" applyProtection="0"/>
    <xf numFmtId="164"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12"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18" fillId="4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41" borderId="0" applyNumberFormat="0" applyBorder="0" applyAlignment="0" applyProtection="0"/>
    <xf numFmtId="166" fontId="18" fillId="41" borderId="0" applyNumberFormat="0" applyBorder="0" applyAlignment="0" applyProtection="0"/>
    <xf numFmtId="0" fontId="18" fillId="4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41" borderId="0" applyNumberFormat="0" applyBorder="0" applyAlignment="0" applyProtection="0"/>
    <xf numFmtId="177" fontId="19" fillId="16" borderId="0" applyNumberFormat="0" applyBorder="0" applyAlignment="0" applyProtection="0"/>
    <xf numFmtId="0" fontId="18" fillId="51" borderId="0" applyNumberFormat="0" applyBorder="0" applyAlignment="0" applyProtection="0"/>
    <xf numFmtId="0" fontId="19" fillId="16"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6" borderId="0" applyNumberFormat="0" applyBorder="0" applyAlignment="0" applyProtection="0"/>
    <xf numFmtId="164"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6"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18" fillId="4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7" borderId="0" applyNumberFormat="0" applyBorder="0" applyAlignment="0" applyProtection="0"/>
    <xf numFmtId="166" fontId="18" fillId="47" borderId="0" applyNumberFormat="0" applyBorder="0" applyAlignment="0" applyProtection="0"/>
    <xf numFmtId="0" fontId="18" fillId="4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7" borderId="0" applyNumberFormat="0" applyBorder="0" applyAlignment="0" applyProtection="0"/>
    <xf numFmtId="177" fontId="19" fillId="20" borderId="0" applyNumberFormat="0" applyBorder="0" applyAlignment="0" applyProtection="0"/>
    <xf numFmtId="0" fontId="18" fillId="49" borderId="0" applyNumberFormat="0" applyBorder="0" applyAlignment="0" applyProtection="0"/>
    <xf numFmtId="0" fontId="19" fillId="20"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20" borderId="0" applyNumberFormat="0" applyBorder="0" applyAlignment="0" applyProtection="0"/>
    <xf numFmtId="164"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20"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18" fillId="52"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164" fontId="18" fillId="40" borderId="0" applyNumberFormat="0" applyBorder="0" applyAlignment="0" applyProtection="0"/>
    <xf numFmtId="0" fontId="18" fillId="52" borderId="0" applyNumberFormat="0" applyBorder="0" applyAlignment="0" applyProtection="0"/>
    <xf numFmtId="166" fontId="18" fillId="52" borderId="0" applyNumberFormat="0" applyBorder="0" applyAlignment="0" applyProtection="0"/>
    <xf numFmtId="0" fontId="18" fillId="52"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52" borderId="0" applyNumberFormat="0" applyBorder="0" applyAlignment="0" applyProtection="0"/>
    <xf numFmtId="177" fontId="19" fillId="24" borderId="0" applyNumberFormat="0" applyBorder="0" applyAlignment="0" applyProtection="0"/>
    <xf numFmtId="0" fontId="18" fillId="40" borderId="0" applyNumberFormat="0" applyBorder="0" applyAlignment="0" applyProtection="0"/>
    <xf numFmtId="0" fontId="19" fillId="24"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20" fillId="24" borderId="0" applyNumberFormat="0" applyBorder="0" applyAlignment="0" applyProtection="0"/>
    <xf numFmtId="164" fontId="18" fillId="40"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20" fillId="24" borderId="0" applyNumberFormat="0" applyBorder="0" applyAlignment="0" applyProtection="0"/>
    <xf numFmtId="0" fontId="18" fillId="40"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18" fillId="53"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53" borderId="0" applyNumberFormat="0" applyBorder="0" applyAlignment="0" applyProtection="0"/>
    <xf numFmtId="166" fontId="18" fillId="53" borderId="0" applyNumberFormat="0" applyBorder="0" applyAlignment="0" applyProtection="0"/>
    <xf numFmtId="0" fontId="18" fillId="53"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53" borderId="0" applyNumberFormat="0" applyBorder="0" applyAlignment="0" applyProtection="0"/>
    <xf numFmtId="177" fontId="19" fillId="28" borderId="0" applyNumberFormat="0" applyBorder="0" applyAlignment="0" applyProtection="0"/>
    <xf numFmtId="0" fontId="18" fillId="46" borderId="0" applyNumberFormat="0" applyBorder="0" applyAlignment="0" applyProtection="0"/>
    <xf numFmtId="0" fontId="19" fillId="28"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28" borderId="0" applyNumberFormat="0" applyBorder="0" applyAlignment="0" applyProtection="0"/>
    <xf numFmtId="164"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28"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18" fillId="54"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164" fontId="18" fillId="41" borderId="0" applyNumberFormat="0" applyBorder="0" applyAlignment="0" applyProtection="0"/>
    <xf numFmtId="0" fontId="18" fillId="54" borderId="0" applyNumberFormat="0" applyBorder="0" applyAlignment="0" applyProtection="0"/>
    <xf numFmtId="166" fontId="18" fillId="54" borderId="0" applyNumberFormat="0" applyBorder="0" applyAlignment="0" applyProtection="0"/>
    <xf numFmtId="0" fontId="18" fillId="54"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54" borderId="0" applyNumberFormat="0" applyBorder="0" applyAlignment="0" applyProtection="0"/>
    <xf numFmtId="177" fontId="19" fillId="32" borderId="0" applyNumberFormat="0" applyBorder="0" applyAlignment="0" applyProtection="0"/>
    <xf numFmtId="0" fontId="18" fillId="41" borderId="0" applyNumberFormat="0" applyBorder="0" applyAlignment="0" applyProtection="0"/>
    <xf numFmtId="0" fontId="19" fillId="32"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20" fillId="32" borderId="0" applyNumberFormat="0" applyBorder="0" applyAlignment="0" applyProtection="0"/>
    <xf numFmtId="164" fontId="18" fillId="41"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20" fillId="32" borderId="0" applyNumberFormat="0" applyBorder="0" applyAlignment="0" applyProtection="0"/>
    <xf numFmtId="0" fontId="18" fillId="41"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15" fillId="55" borderId="0" applyNumberFormat="0" applyBorder="0" applyAlignment="0" applyProtection="0"/>
    <xf numFmtId="0" fontId="15" fillId="56"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164" fontId="18" fillId="59" borderId="0" applyNumberFormat="0" applyBorder="0" applyAlignment="0" applyProtection="0"/>
    <xf numFmtId="0" fontId="18" fillId="58" borderId="0" applyNumberFormat="0" applyBorder="0" applyAlignment="0" applyProtection="0"/>
    <xf numFmtId="166" fontId="18" fillId="58"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8" borderId="0" applyNumberFormat="0" applyBorder="0" applyAlignment="0" applyProtection="0"/>
    <xf numFmtId="177" fontId="19" fillId="9" borderId="0" applyNumberFormat="0" applyBorder="0" applyAlignment="0" applyProtection="0"/>
    <xf numFmtId="0" fontId="18" fillId="59" borderId="0" applyNumberFormat="0" applyBorder="0" applyAlignment="0" applyProtection="0"/>
    <xf numFmtId="0" fontId="19" fillId="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20" fillId="9" borderId="0" applyNumberFormat="0" applyBorder="0" applyAlignment="0" applyProtection="0"/>
    <xf numFmtId="164" fontId="18" fillId="5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20" fillId="9" borderId="0" applyNumberFormat="0" applyBorder="0" applyAlignment="0" applyProtection="0"/>
    <xf numFmtId="0" fontId="18" fillId="5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18" fillId="62"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63" borderId="0" applyNumberFormat="0" applyBorder="0" applyAlignment="0" applyProtection="0"/>
    <xf numFmtId="166" fontId="18" fillId="63"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177" fontId="19" fillId="13" borderId="0" applyNumberFormat="0" applyBorder="0" applyAlignment="0" applyProtection="0"/>
    <xf numFmtId="0" fontId="18" fillId="51" borderId="0" applyNumberFormat="0" applyBorder="0" applyAlignment="0" applyProtection="0"/>
    <xf numFmtId="0" fontId="19" fillId="13"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3" borderId="0" applyNumberFormat="0" applyBorder="0" applyAlignment="0" applyProtection="0"/>
    <xf numFmtId="164"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3"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15" fillId="64" borderId="0" applyNumberFormat="0" applyBorder="0" applyAlignment="0" applyProtection="0"/>
    <xf numFmtId="0" fontId="15" fillId="65"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67" borderId="0" applyNumberFormat="0" applyBorder="0" applyAlignment="0" applyProtection="0"/>
    <xf numFmtId="166" fontId="18" fillId="67" borderId="0" applyNumberFormat="0" applyBorder="0" applyAlignment="0" applyProtection="0"/>
    <xf numFmtId="0" fontId="18" fillId="6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67" borderId="0" applyNumberFormat="0" applyBorder="0" applyAlignment="0" applyProtection="0"/>
    <xf numFmtId="177" fontId="19" fillId="17" borderId="0" applyNumberFormat="0" applyBorder="0" applyAlignment="0" applyProtection="0"/>
    <xf numFmtId="0" fontId="18" fillId="49" borderId="0" applyNumberFormat="0" applyBorder="0" applyAlignment="0" applyProtection="0"/>
    <xf numFmtId="0" fontId="19" fillId="17"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17" borderId="0" applyNumberFormat="0" applyBorder="0" applyAlignment="0" applyProtection="0"/>
    <xf numFmtId="164"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17"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15" fillId="60" borderId="0" applyNumberFormat="0" applyBorder="0" applyAlignment="0" applyProtection="0"/>
    <xf numFmtId="0" fontId="15" fillId="68" borderId="0" applyNumberFormat="0" applyBorder="0" applyAlignment="0" applyProtection="0"/>
    <xf numFmtId="0" fontId="18" fillId="61" borderId="0" applyNumberFormat="0" applyBorder="0" applyAlignment="0" applyProtection="0"/>
    <xf numFmtId="0" fontId="18" fillId="52"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164" fontId="18" fillId="69" borderId="0" applyNumberFormat="0" applyBorder="0" applyAlignment="0" applyProtection="0"/>
    <xf numFmtId="0" fontId="18" fillId="52" borderId="0" applyNumberFormat="0" applyBorder="0" applyAlignment="0" applyProtection="0"/>
    <xf numFmtId="166" fontId="18" fillId="52" borderId="0" applyNumberFormat="0" applyBorder="0" applyAlignment="0" applyProtection="0"/>
    <xf numFmtId="0" fontId="18" fillId="52"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52" borderId="0" applyNumberFormat="0" applyBorder="0" applyAlignment="0" applyProtection="0"/>
    <xf numFmtId="177" fontId="19" fillId="21" borderId="0" applyNumberFormat="0" applyBorder="0" applyAlignment="0" applyProtection="0"/>
    <xf numFmtId="0" fontId="18" fillId="69" borderId="0" applyNumberFormat="0" applyBorder="0" applyAlignment="0" applyProtection="0"/>
    <xf numFmtId="0" fontId="19" fillId="21"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20" fillId="21" borderId="0" applyNumberFormat="0" applyBorder="0" applyAlignment="0" applyProtection="0"/>
    <xf numFmtId="164" fontId="18" fillId="69"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20" fillId="21" borderId="0" applyNumberFormat="0" applyBorder="0" applyAlignment="0" applyProtection="0"/>
    <xf numFmtId="0" fontId="18" fillId="69"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15" fillId="70" borderId="0" applyNumberFormat="0" applyBorder="0" applyAlignment="0" applyProtection="0"/>
    <xf numFmtId="0" fontId="15" fillId="71" borderId="0" applyNumberFormat="0" applyBorder="0" applyAlignment="0" applyProtection="0"/>
    <xf numFmtId="0" fontId="18" fillId="57"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166" fontId="18" fillId="53" borderId="0" applyNumberFormat="0" applyBorder="0" applyAlignment="0" applyProtection="0"/>
    <xf numFmtId="0" fontId="18" fillId="53" borderId="0" applyNumberFormat="0" applyBorder="0" applyAlignment="0" applyProtection="0"/>
    <xf numFmtId="165"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177" fontId="19" fillId="25" borderId="0" applyNumberFormat="0" applyBorder="0" applyAlignment="0" applyProtection="0"/>
    <xf numFmtId="0" fontId="18" fillId="53" borderId="0" applyNumberFormat="0" applyBorder="0" applyAlignment="0" applyProtection="0"/>
    <xf numFmtId="0" fontId="19" fillId="25"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20" fillId="25" borderId="0" applyNumberFormat="0" applyBorder="0" applyAlignment="0" applyProtection="0"/>
    <xf numFmtId="164"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20" fillId="25" borderId="0" applyNumberFormat="0" applyBorder="0" applyAlignment="0" applyProtection="0"/>
    <xf numFmtId="0"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15" fillId="72" borderId="0" applyNumberFormat="0" applyBorder="0" applyAlignment="0" applyProtection="0"/>
    <xf numFmtId="0" fontId="15" fillId="73" borderId="0" applyNumberFormat="0" applyBorder="0" applyAlignment="0" applyProtection="0"/>
    <xf numFmtId="0" fontId="18" fillId="74"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164" fontId="18" fillId="63" borderId="0" applyNumberFormat="0" applyBorder="0" applyAlignment="0" applyProtection="0"/>
    <xf numFmtId="0" fontId="18" fillId="51" borderId="0" applyNumberFormat="0" applyBorder="0" applyAlignment="0" applyProtection="0"/>
    <xf numFmtId="166" fontId="18" fillId="51"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177" fontId="19" fillId="29" borderId="0" applyNumberFormat="0" applyBorder="0" applyAlignment="0" applyProtection="0"/>
    <xf numFmtId="0" fontId="18" fillId="63" borderId="0" applyNumberFormat="0" applyBorder="0" applyAlignment="0" applyProtection="0"/>
    <xf numFmtId="0" fontId="19" fillId="29"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0" fillId="29" borderId="0" applyNumberFormat="0" applyBorder="0" applyAlignment="0" applyProtection="0"/>
    <xf numFmtId="164" fontId="18" fillId="63"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0" fillId="29" borderId="0" applyNumberFormat="0" applyBorder="0" applyAlignment="0" applyProtection="0"/>
    <xf numFmtId="0" fontId="18" fillId="63"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1" fillId="75" borderId="0">
      <alignment horizontal="center"/>
    </xf>
    <xf numFmtId="178" fontId="22" fillId="0" borderId="0" applyFont="0" applyFill="0" applyBorder="0" applyAlignment="0" applyProtection="0"/>
    <xf numFmtId="0" fontId="23" fillId="40"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164" fontId="23" fillId="44" borderId="0" applyNumberFormat="0" applyBorder="0" applyAlignment="0" applyProtection="0"/>
    <xf numFmtId="0" fontId="23" fillId="40" borderId="0" applyNumberFormat="0" applyBorder="0" applyAlignment="0" applyProtection="0"/>
    <xf numFmtId="166" fontId="23" fillId="40" borderId="0" applyNumberFormat="0" applyBorder="0" applyAlignment="0" applyProtection="0"/>
    <xf numFmtId="0" fontId="23" fillId="40"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167" fontId="24" fillId="3" borderId="0" applyNumberFormat="0" applyBorder="0" applyAlignment="0" applyProtection="0"/>
    <xf numFmtId="165" fontId="24" fillId="3" borderId="0" applyNumberFormat="0" applyBorder="0" applyAlignment="0" applyProtection="0"/>
    <xf numFmtId="0" fontId="23" fillId="44" borderId="0" applyNumberFormat="0" applyBorder="0" applyAlignment="0" applyProtection="0"/>
    <xf numFmtId="0" fontId="24" fillId="3"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5" fillId="3" borderId="0" applyNumberFormat="0" applyBorder="0" applyAlignment="0" applyProtection="0"/>
    <xf numFmtId="164" fontId="23" fillId="44"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5" fillId="3" borderId="0" applyNumberFormat="0" applyBorder="0" applyAlignment="0" applyProtection="0"/>
    <xf numFmtId="0" fontId="23" fillId="44"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6" fillId="0" borderId="0" applyNumberFormat="0" applyFill="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27"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0"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167" fontId="28" fillId="76" borderId="15" applyNumberFormat="0" applyAlignment="0" applyProtection="0"/>
    <xf numFmtId="164" fontId="29" fillId="77" borderId="15" applyNumberFormat="0" applyAlignment="0" applyProtection="0"/>
    <xf numFmtId="165" fontId="30" fillId="6" borderId="4" applyNumberFormat="0" applyAlignment="0" applyProtection="0"/>
    <xf numFmtId="0" fontId="28" fillId="76" borderId="15" applyNumberFormat="0" applyAlignment="0" applyProtection="0"/>
    <xf numFmtId="166" fontId="30" fillId="6" borderId="4" applyNumberFormat="0" applyAlignment="0" applyProtection="0"/>
    <xf numFmtId="177"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4" fontId="29" fillId="77" borderId="15" applyNumberFormat="0" applyAlignment="0" applyProtection="0"/>
    <xf numFmtId="0" fontId="29" fillId="77" borderId="15" applyNumberFormat="0" applyAlignment="0" applyProtection="0"/>
    <xf numFmtId="0" fontId="28" fillId="76" borderId="15" applyNumberFormat="0" applyAlignment="0" applyProtection="0"/>
    <xf numFmtId="0"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0" fontId="29" fillId="77"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9" fillId="77"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0" fontId="31" fillId="6" borderId="4"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0" fontId="31" fillId="6" borderId="4" applyNumberFormat="0" applyAlignment="0" applyProtection="0"/>
    <xf numFmtId="164" fontId="29" fillId="77" borderId="15" applyNumberFormat="0" applyAlignment="0" applyProtection="0"/>
    <xf numFmtId="164" fontId="29" fillId="77" borderId="15" applyNumberFormat="0" applyAlignment="0" applyProtection="0"/>
    <xf numFmtId="0" fontId="32" fillId="78" borderId="0">
      <protection locked="0"/>
    </xf>
    <xf numFmtId="0" fontId="33" fillId="79" borderId="16" applyNumberFormat="0" applyAlignment="0" applyProtection="0"/>
    <xf numFmtId="164" fontId="33" fillId="79" borderId="16" applyNumberFormat="0" applyAlignment="0" applyProtection="0"/>
    <xf numFmtId="0" fontId="33" fillId="79" borderId="16" applyNumberFormat="0" applyAlignment="0" applyProtection="0"/>
    <xf numFmtId="166" fontId="33" fillId="79" borderId="16" applyNumberFormat="0" applyAlignment="0" applyProtection="0"/>
    <xf numFmtId="0" fontId="33" fillId="79" borderId="16" applyNumberFormat="0" applyAlignment="0" applyProtection="0"/>
    <xf numFmtId="165" fontId="33" fillId="79" borderId="16" applyNumberFormat="0" applyAlignment="0" applyProtection="0"/>
    <xf numFmtId="0" fontId="33" fillId="79" borderId="16" applyNumberFormat="0" applyAlignment="0" applyProtection="0"/>
    <xf numFmtId="0" fontId="33" fillId="79" borderId="16" applyNumberFormat="0" applyAlignment="0" applyProtection="0"/>
    <xf numFmtId="177" fontId="34" fillId="7" borderId="7" applyNumberFormat="0" applyAlignment="0" applyProtection="0"/>
    <xf numFmtId="0" fontId="33" fillId="79" borderId="16" applyNumberFormat="0" applyAlignment="0" applyProtection="0"/>
    <xf numFmtId="0" fontId="34" fillId="7" borderId="7" applyNumberFormat="0" applyAlignment="0" applyProtection="0"/>
    <xf numFmtId="164" fontId="33" fillId="79" borderId="16" applyNumberFormat="0" applyAlignment="0" applyProtection="0"/>
    <xf numFmtId="0" fontId="35" fillId="7" borderId="7" applyNumberFormat="0" applyAlignment="0" applyProtection="0"/>
    <xf numFmtId="164" fontId="33" fillId="79" borderId="16" applyNumberFormat="0" applyAlignment="0" applyProtection="0"/>
    <xf numFmtId="164" fontId="33" fillId="79" borderId="16" applyNumberFormat="0" applyAlignment="0" applyProtection="0"/>
    <xf numFmtId="0" fontId="35" fillId="7" borderId="7" applyNumberFormat="0" applyAlignment="0" applyProtection="0"/>
    <xf numFmtId="164" fontId="33" fillId="79" borderId="16" applyNumberFormat="0" applyAlignment="0" applyProtection="0"/>
    <xf numFmtId="180" fontId="36" fillId="0" borderId="0"/>
    <xf numFmtId="180" fontId="36" fillId="0" borderId="0"/>
    <xf numFmtId="180" fontId="36" fillId="0" borderId="0"/>
    <xf numFmtId="180" fontId="36" fillId="0" borderId="0"/>
    <xf numFmtId="180" fontId="36" fillId="0" borderId="0"/>
    <xf numFmtId="180" fontId="36" fillId="0" borderId="0"/>
    <xf numFmtId="180" fontId="36" fillId="0" borderId="0"/>
    <xf numFmtId="180" fontId="36" fillId="0" borderId="0"/>
    <xf numFmtId="41" fontId="10" fillId="0" borderId="0" applyFont="0" applyFill="0" applyBorder="0" applyAlignment="0" applyProtection="0"/>
    <xf numFmtId="17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7"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9"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0"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81" fontId="4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8" fontId="10" fillId="0" borderId="0" applyFont="0" applyFill="0" applyProtection="0"/>
    <xf numFmtId="8" fontId="10" fillId="0" borderId="0" applyFont="0" applyFill="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2"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5"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9"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7"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81" fontId="4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38" fontId="10" fillId="0" borderId="0"/>
    <xf numFmtId="175" fontId="10" fillId="0" borderId="0"/>
    <xf numFmtId="40" fontId="10" fillId="0" borderId="0"/>
    <xf numFmtId="3" fontId="45" fillId="0" borderId="0" applyFont="0" applyFill="0" applyBorder="0" applyAlignment="0" applyProtection="0"/>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182" fontId="47" fillId="0" borderId="0">
      <protection locked="0"/>
    </xf>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42" fontId="10" fillId="0" borderId="0" applyFont="0" applyFill="0" applyBorder="0" applyAlignment="0" applyProtection="0"/>
    <xf numFmtId="179" fontId="10" fillId="0" borderId="0" applyFont="0" applyFill="0" applyBorder="0" applyAlignment="0" applyProtection="0"/>
    <xf numFmtId="6" fontId="48" fillId="0" borderId="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0" fontId="42"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9"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3"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3" fillId="0" borderId="0" applyFont="0" applyFill="0" applyBorder="0" applyAlignment="0" applyProtection="0"/>
    <xf numFmtId="44" fontId="43" fillId="0" borderId="0" applyFont="0" applyFill="0" applyBorder="0" applyAlignment="0" applyProtection="0"/>
    <xf numFmtId="44" fontId="43"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NumberFormat="0" applyFill="0" applyBorder="0" applyAlignment="0" applyProtection="0"/>
    <xf numFmtId="44" fontId="10" fillId="0" borderId="0" applyNumberFormat="0" applyFill="0" applyBorder="0" applyAlignment="0" applyProtection="0"/>
    <xf numFmtId="44" fontId="43"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42"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83" fontId="10" fillId="0" borderId="0" applyFont="0" applyFill="0" applyBorder="0" applyAlignment="0" applyProtection="0"/>
    <xf numFmtId="183"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5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8"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38"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44"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37"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52"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alignment vertical="center"/>
    </xf>
    <xf numFmtId="8" fontId="53"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84" fontId="45"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0" fontId="45" fillId="0" borderId="0" applyFont="0" applyFill="0" applyBorder="0" applyAlignment="0" applyProtection="0"/>
    <xf numFmtId="0" fontId="17" fillId="0" borderId="0"/>
    <xf numFmtId="165" fontId="17" fillId="0" borderId="0"/>
    <xf numFmtId="165" fontId="17" fillId="0" borderId="0"/>
    <xf numFmtId="166" fontId="17" fillId="0" borderId="0"/>
    <xf numFmtId="0" fontId="17" fillId="0" borderId="0"/>
    <xf numFmtId="165" fontId="17" fillId="0" borderId="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4" fontId="42" fillId="0" borderId="0" applyFill="0" applyBorder="0" applyAlignment="0"/>
    <xf numFmtId="182" fontId="47" fillId="0" borderId="0">
      <protection locked="0"/>
    </xf>
    <xf numFmtId="175" fontId="14" fillId="0" borderId="0"/>
    <xf numFmtId="38" fontId="53" fillId="0" borderId="17">
      <alignment vertical="center"/>
    </xf>
    <xf numFmtId="0" fontId="54" fillId="80" borderId="0" applyNumberFormat="0" applyBorder="0" applyAlignment="0" applyProtection="0"/>
    <xf numFmtId="0" fontId="54" fillId="81" borderId="0" applyNumberFormat="0" applyBorder="0" applyAlignment="0" applyProtection="0"/>
    <xf numFmtId="0" fontId="54" fillId="82" borderId="0" applyNumberFormat="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64" fontId="10" fillId="0" borderId="0" applyFont="0" applyFill="0" applyBorder="0" applyAlignment="0" applyProtection="0"/>
    <xf numFmtId="164" fontId="10" fillId="0" borderId="0" applyFont="0" applyFill="0" applyBorder="0" applyAlignment="0" applyProtection="0"/>
    <xf numFmtId="165" fontId="10" fillId="0" borderId="0" applyFont="0" applyFill="0" applyBorder="0" applyAlignment="0" applyProtection="0"/>
    <xf numFmtId="0" fontId="55" fillId="0" borderId="0" applyNumberFormat="0" applyFill="0" applyBorder="0" applyAlignment="0" applyProtection="0"/>
    <xf numFmtId="164" fontId="55" fillId="0" borderId="0" applyNumberFormat="0" applyFill="0" applyBorder="0" applyAlignment="0" applyProtection="0"/>
    <xf numFmtId="0" fontId="55" fillId="0" borderId="0" applyNumberFormat="0" applyFill="0" applyBorder="0" applyAlignment="0" applyProtection="0"/>
    <xf numFmtId="166" fontId="55" fillId="0" borderId="0" applyNumberFormat="0" applyFill="0" applyBorder="0" applyAlignment="0" applyProtection="0"/>
    <xf numFmtId="0" fontId="55" fillId="0" borderId="0" applyNumberFormat="0" applyFill="0" applyBorder="0" applyAlignment="0" applyProtection="0"/>
    <xf numFmtId="165"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177"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164" fontId="55" fillId="0" borderId="0" applyNumberFormat="0" applyFill="0" applyBorder="0" applyAlignment="0" applyProtection="0"/>
    <xf numFmtId="0" fontId="57" fillId="0" borderId="0" applyNumberFormat="0" applyFill="0" applyBorder="0" applyAlignment="0" applyProtection="0"/>
    <xf numFmtId="164" fontId="55" fillId="0" borderId="0" applyNumberFormat="0" applyFill="0" applyBorder="0" applyAlignment="0" applyProtection="0"/>
    <xf numFmtId="164" fontId="55" fillId="0" borderId="0" applyNumberFormat="0" applyFill="0" applyBorder="0" applyAlignment="0" applyProtection="0"/>
    <xf numFmtId="0" fontId="57" fillId="0" borderId="0" applyNumberFormat="0" applyFill="0" applyBorder="0" applyAlignment="0" applyProtection="0"/>
    <xf numFmtId="164" fontId="55" fillId="0" borderId="0" applyNumberFormat="0" applyFill="0" applyBorder="0" applyAlignment="0" applyProtection="0"/>
    <xf numFmtId="164" fontId="58" fillId="0" borderId="0"/>
    <xf numFmtId="0" fontId="58" fillId="0" borderId="0"/>
    <xf numFmtId="164" fontId="58" fillId="0" borderId="0"/>
    <xf numFmtId="0" fontId="58" fillId="0" borderId="0"/>
    <xf numFmtId="0" fontId="58" fillId="0" borderId="0"/>
    <xf numFmtId="185" fontId="58" fillId="0" borderId="0">
      <alignment wrapText="1"/>
      <protection locked="0"/>
    </xf>
    <xf numFmtId="2" fontId="45"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0" fontId="46" fillId="0" borderId="0"/>
    <xf numFmtId="165" fontId="46" fillId="0" borderId="0"/>
    <xf numFmtId="165" fontId="46" fillId="0" borderId="0"/>
    <xf numFmtId="166" fontId="46" fillId="0" borderId="0"/>
    <xf numFmtId="0" fontId="46" fillId="0" borderId="0"/>
    <xf numFmtId="165" fontId="46" fillId="0" borderId="0"/>
    <xf numFmtId="164" fontId="59" fillId="1" borderId="0"/>
    <xf numFmtId="0" fontId="59" fillId="1" borderId="0"/>
    <xf numFmtId="164" fontId="59" fillId="1" borderId="0"/>
    <xf numFmtId="0" fontId="59" fillId="1" borderId="0"/>
    <xf numFmtId="0" fontId="59" fillId="1" borderId="0"/>
    <xf numFmtId="14" fontId="60" fillId="0" borderId="18" applyNumberFormat="0" applyBorder="0" applyAlignment="0">
      <alignment horizontal="center" wrapText="1"/>
    </xf>
    <xf numFmtId="14" fontId="60" fillId="0" borderId="18" applyNumberFormat="0" applyBorder="0" applyAlignment="0">
      <alignment horizontal="center" wrapText="1"/>
    </xf>
    <xf numFmtId="49" fontId="60" fillId="0" borderId="18" applyNumberFormat="0" applyBorder="0" applyAlignment="0">
      <alignment horizontal="center" wrapText="1"/>
    </xf>
    <xf numFmtId="49" fontId="60" fillId="0" borderId="18" applyNumberFormat="0" applyBorder="0" applyAlignment="0">
      <alignment horizontal="center" wrapText="1"/>
    </xf>
    <xf numFmtId="0" fontId="61" fillId="2" borderId="0" applyNumberFormat="0" applyBorder="0" applyAlignment="0" applyProtection="0"/>
    <xf numFmtId="0" fontId="62" fillId="42" borderId="0" applyNumberFormat="0" applyBorder="0" applyAlignment="0" applyProtection="0"/>
    <xf numFmtId="0" fontId="63" fillId="42" borderId="0" applyNumberFormat="0" applyBorder="0" applyAlignment="0" applyProtection="0"/>
    <xf numFmtId="0" fontId="62" fillId="46" borderId="0" applyNumberFormat="0" applyBorder="0" applyAlignment="0" applyProtection="0"/>
    <xf numFmtId="164" fontId="62" fillId="46" borderId="0" applyNumberFormat="0" applyBorder="0" applyAlignment="0" applyProtection="0"/>
    <xf numFmtId="165" fontId="62" fillId="42" borderId="0" applyNumberFormat="0" applyBorder="0" applyAlignment="0" applyProtection="0"/>
    <xf numFmtId="166" fontId="62" fillId="42" borderId="0" applyNumberFormat="0" applyBorder="0" applyAlignment="0" applyProtection="0"/>
    <xf numFmtId="0" fontId="62" fillId="42" borderId="0" applyNumberFormat="0" applyBorder="0" applyAlignment="0" applyProtection="0"/>
    <xf numFmtId="0" fontId="61" fillId="2" borderId="0" applyNumberFormat="0" applyBorder="0" applyAlignment="0" applyProtection="0"/>
    <xf numFmtId="0" fontId="62" fillId="46" borderId="0" applyNumberFormat="0" applyBorder="0" applyAlignment="0" applyProtection="0"/>
    <xf numFmtId="0" fontId="62" fillId="42" borderId="0" applyNumberFormat="0" applyBorder="0" applyAlignment="0" applyProtection="0"/>
    <xf numFmtId="0" fontId="64" fillId="2" borderId="0" applyNumberFormat="0" applyBorder="0" applyAlignment="0" applyProtection="0"/>
    <xf numFmtId="0" fontId="62" fillId="46" borderId="0" applyNumberFormat="0" applyBorder="0" applyAlignment="0" applyProtection="0"/>
    <xf numFmtId="167" fontId="65" fillId="2" borderId="0" applyNumberFormat="0" applyBorder="0" applyAlignment="0" applyProtection="0"/>
    <xf numFmtId="165" fontId="65" fillId="2" borderId="0" applyNumberFormat="0" applyBorder="0" applyAlignment="0" applyProtection="0"/>
    <xf numFmtId="0" fontId="62" fillId="46" borderId="0" applyNumberFormat="0" applyBorder="0" applyAlignment="0" applyProtection="0"/>
    <xf numFmtId="0" fontId="65" fillId="2" borderId="0" applyNumberFormat="0" applyBorder="0" applyAlignment="0" applyProtection="0"/>
    <xf numFmtId="164" fontId="62" fillId="46" borderId="0" applyNumberFormat="0" applyBorder="0" applyAlignment="0" applyProtection="0"/>
    <xf numFmtId="0" fontId="66" fillId="2" borderId="0" applyNumberFormat="0" applyBorder="0" applyAlignment="0" applyProtection="0"/>
    <xf numFmtId="164" fontId="62" fillId="46" borderId="0" applyNumberFormat="0" applyBorder="0" applyAlignment="0" applyProtection="0"/>
    <xf numFmtId="164" fontId="62" fillId="46" borderId="0" applyNumberFormat="0" applyBorder="0" applyAlignment="0" applyProtection="0"/>
    <xf numFmtId="0" fontId="66" fillId="2" borderId="0" applyNumberFormat="0" applyBorder="0" applyAlignment="0" applyProtection="0"/>
    <xf numFmtId="164" fontId="62" fillId="46" borderId="0" applyNumberFormat="0" applyBorder="0" applyAlignment="0" applyProtection="0"/>
    <xf numFmtId="0" fontId="67" fillId="83" borderId="19">
      <alignment horizontal="center"/>
    </xf>
    <xf numFmtId="164" fontId="68" fillId="0" borderId="20" applyNumberFormat="0" applyAlignment="0" applyProtection="0">
      <alignment horizontal="left" vertical="center"/>
    </xf>
    <xf numFmtId="164" fontId="68" fillId="0" borderId="20" applyNumberFormat="0" applyAlignment="0" applyProtection="0">
      <alignment horizontal="left" vertical="center"/>
    </xf>
    <xf numFmtId="164" fontId="68" fillId="0" borderId="20" applyNumberFormat="0" applyAlignment="0" applyProtection="0">
      <alignment horizontal="left" vertical="center"/>
    </xf>
    <xf numFmtId="165" fontId="68" fillId="0" borderId="20" applyNumberFormat="0" applyAlignment="0" applyProtection="0">
      <alignment horizontal="left" vertical="center"/>
    </xf>
    <xf numFmtId="165" fontId="68" fillId="0" borderId="20" applyNumberFormat="0" applyAlignment="0" applyProtection="0">
      <alignment horizontal="left" vertical="center"/>
    </xf>
    <xf numFmtId="164" fontId="68" fillId="0" borderId="20" applyNumberFormat="0" applyAlignment="0" applyProtection="0">
      <alignment horizontal="left" vertical="center"/>
    </xf>
    <xf numFmtId="164" fontId="68" fillId="0" borderId="21">
      <alignment horizontal="left" vertical="center"/>
    </xf>
    <xf numFmtId="164" fontId="68" fillId="0" borderId="21">
      <alignment horizontal="left" vertical="center"/>
    </xf>
    <xf numFmtId="164" fontId="68" fillId="0" borderId="21">
      <alignment horizontal="left" vertical="center"/>
    </xf>
    <xf numFmtId="165" fontId="68" fillId="0" borderId="21">
      <alignment horizontal="left" vertical="center"/>
    </xf>
    <xf numFmtId="165" fontId="68" fillId="0" borderId="21">
      <alignment horizontal="left" vertical="center"/>
    </xf>
    <xf numFmtId="164" fontId="68" fillId="0" borderId="21">
      <alignment horizontal="left" vertical="center"/>
    </xf>
    <xf numFmtId="0" fontId="69" fillId="0" borderId="0" applyNumberFormat="0" applyFill="0" applyBorder="0" applyAlignment="0" applyProtection="0"/>
    <xf numFmtId="0" fontId="70" fillId="0" borderId="22"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4" fontId="70" fillId="0" borderId="22"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69"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6"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5"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6"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0" fontId="70" fillId="0" borderId="22" applyNumberFormat="0" applyFill="0" applyAlignment="0" applyProtection="0"/>
    <xf numFmtId="0" fontId="73" fillId="0" borderId="1"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5"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0" fontId="70" fillId="0" borderId="22"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6"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2" fillId="0" borderId="0" applyNumberFormat="0" applyFill="0" applyBorder="0" applyAlignment="0" applyProtection="0"/>
    <xf numFmtId="165" fontId="72" fillId="0" borderId="0" applyNumberFormat="0" applyFill="0" applyBorder="0" applyAlignment="0" applyProtection="0"/>
    <xf numFmtId="0" fontId="70" fillId="0" borderId="22" applyNumberFormat="0" applyFill="0" applyAlignment="0" applyProtection="0"/>
    <xf numFmtId="0" fontId="73" fillId="0" borderId="1" applyNumberFormat="0" applyFill="0" applyAlignment="0" applyProtection="0"/>
    <xf numFmtId="164" fontId="70" fillId="0" borderId="22" applyNumberFormat="0" applyFill="0" applyAlignment="0" applyProtection="0"/>
    <xf numFmtId="0" fontId="74" fillId="0" borderId="1" applyNumberFormat="0" applyFill="0" applyAlignment="0" applyProtection="0"/>
    <xf numFmtId="164" fontId="70" fillId="0" borderId="22" applyNumberFormat="0" applyFill="0" applyAlignment="0" applyProtection="0"/>
    <xf numFmtId="164" fontId="70" fillId="0" borderId="22" applyNumberFormat="0" applyFill="0" applyAlignment="0" applyProtection="0"/>
    <xf numFmtId="0" fontId="74" fillId="0" borderId="1" applyNumberFormat="0" applyFill="0" applyAlignment="0" applyProtection="0"/>
    <xf numFmtId="164" fontId="70" fillId="0" borderId="22" applyNumberFormat="0" applyFill="0" applyAlignment="0" applyProtection="0"/>
    <xf numFmtId="0" fontId="75" fillId="0" borderId="0" applyNumberFormat="0" applyFill="0" applyBorder="0" applyAlignment="0" applyProtection="0"/>
    <xf numFmtId="0" fontId="76" fillId="0" borderId="24"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4" fontId="76" fillId="0" borderId="24"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5"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6"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5"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6"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0" fontId="76" fillId="0" borderId="24" applyNumberFormat="0" applyFill="0" applyAlignment="0" applyProtection="0"/>
    <xf numFmtId="0" fontId="78" fillId="0" borderId="2"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5"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0" fontId="76" fillId="0" borderId="24"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6"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68" fillId="0" borderId="0" applyNumberFormat="0" applyFill="0" applyBorder="0" applyAlignment="0" applyProtection="0"/>
    <xf numFmtId="165" fontId="68" fillId="0" borderId="0" applyNumberFormat="0" applyFill="0" applyBorder="0" applyAlignment="0" applyProtection="0"/>
    <xf numFmtId="0" fontId="76" fillId="0" borderId="24" applyNumberFormat="0" applyFill="0" applyAlignment="0" applyProtection="0"/>
    <xf numFmtId="0" fontId="78" fillId="0" borderId="2" applyNumberFormat="0" applyFill="0" applyAlignment="0" applyProtection="0"/>
    <xf numFmtId="164" fontId="76" fillId="0" borderId="24" applyNumberFormat="0" applyFill="0" applyAlignment="0" applyProtection="0"/>
    <xf numFmtId="0" fontId="79" fillId="0" borderId="2" applyNumberFormat="0" applyFill="0" applyAlignment="0" applyProtection="0"/>
    <xf numFmtId="164" fontId="76" fillId="0" borderId="24" applyNumberFormat="0" applyFill="0" applyAlignment="0" applyProtection="0"/>
    <xf numFmtId="164" fontId="76" fillId="0" borderId="24" applyNumberFormat="0" applyFill="0" applyAlignment="0" applyProtection="0"/>
    <xf numFmtId="0" fontId="79" fillId="0" borderId="2" applyNumberFormat="0" applyFill="0" applyAlignment="0" applyProtection="0"/>
    <xf numFmtId="164" fontId="76" fillId="0" borderId="24" applyNumberFormat="0" applyFill="0" applyAlignment="0" applyProtection="0"/>
    <xf numFmtId="0" fontId="80" fillId="0" borderId="26" applyNumberFormat="0" applyFill="0" applyAlignment="0" applyProtection="0"/>
    <xf numFmtId="0" fontId="81" fillId="0" borderId="27" applyNumberFormat="0" applyFill="0" applyAlignment="0" applyProtection="0"/>
    <xf numFmtId="164" fontId="81" fillId="0" borderId="27" applyNumberFormat="0" applyFill="0" applyAlignment="0" applyProtection="0"/>
    <xf numFmtId="0" fontId="80" fillId="0" borderId="26" applyNumberFormat="0" applyFill="0" applyAlignment="0" applyProtection="0"/>
    <xf numFmtId="166" fontId="80" fillId="0" borderId="26" applyNumberFormat="0" applyFill="0" applyAlignment="0" applyProtection="0"/>
    <xf numFmtId="0" fontId="80" fillId="0" borderId="26" applyNumberFormat="0" applyFill="0" applyAlignment="0" applyProtection="0"/>
    <xf numFmtId="0" fontId="81" fillId="0" borderId="27" applyNumberFormat="0" applyFill="0" applyAlignment="0" applyProtection="0"/>
    <xf numFmtId="0" fontId="81" fillId="0" borderId="27" applyNumberFormat="0" applyFill="0" applyAlignment="0" applyProtection="0"/>
    <xf numFmtId="0" fontId="80" fillId="0" borderId="26" applyNumberFormat="0" applyFill="0" applyAlignment="0" applyProtection="0"/>
    <xf numFmtId="177" fontId="82" fillId="0" borderId="3" applyNumberFormat="0" applyFill="0" applyAlignment="0" applyProtection="0"/>
    <xf numFmtId="0" fontId="81" fillId="0" borderId="27" applyNumberFormat="0" applyFill="0" applyAlignment="0" applyProtection="0"/>
    <xf numFmtId="0" fontId="82" fillId="0" borderId="3" applyNumberFormat="0" applyFill="0" applyAlignment="0" applyProtection="0"/>
    <xf numFmtId="164" fontId="81" fillId="0" borderId="27" applyNumberFormat="0" applyFill="0" applyAlignment="0" applyProtection="0"/>
    <xf numFmtId="0" fontId="83" fillId="0" borderId="3" applyNumberFormat="0" applyFill="0" applyAlignment="0" applyProtection="0"/>
    <xf numFmtId="164" fontId="81" fillId="0" borderId="27" applyNumberFormat="0" applyFill="0" applyAlignment="0" applyProtection="0"/>
    <xf numFmtId="164" fontId="81" fillId="0" borderId="27" applyNumberFormat="0" applyFill="0" applyAlignment="0" applyProtection="0"/>
    <xf numFmtId="0" fontId="83" fillId="0" borderId="3" applyNumberFormat="0" applyFill="0" applyAlignment="0" applyProtection="0"/>
    <xf numFmtId="164" fontId="81" fillId="0" borderId="27" applyNumberFormat="0" applyFill="0" applyAlignment="0" applyProtection="0"/>
    <xf numFmtId="0" fontId="80" fillId="0" borderId="0" applyNumberFormat="0" applyFill="0" applyBorder="0" applyAlignment="0" applyProtection="0"/>
    <xf numFmtId="0" fontId="81" fillId="0" borderId="0" applyNumberFormat="0" applyFill="0" applyBorder="0" applyAlignment="0" applyProtection="0"/>
    <xf numFmtId="164" fontId="81" fillId="0" borderId="0" applyNumberFormat="0" applyFill="0" applyBorder="0" applyAlignment="0" applyProtection="0"/>
    <xf numFmtId="0" fontId="80" fillId="0" borderId="0" applyNumberFormat="0" applyFill="0" applyBorder="0" applyAlignment="0" applyProtection="0"/>
    <xf numFmtId="166" fontId="80" fillId="0" borderId="0" applyNumberFormat="0" applyFill="0" applyBorder="0" applyAlignment="0" applyProtection="0"/>
    <xf numFmtId="0" fontId="80"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0" fillId="0" borderId="0" applyNumberFormat="0" applyFill="0" applyBorder="0" applyAlignment="0" applyProtection="0"/>
    <xf numFmtId="177" fontId="82" fillId="0" borderId="0" applyNumberFormat="0" applyFill="0" applyBorder="0" applyAlignment="0" applyProtection="0"/>
    <xf numFmtId="0" fontId="81" fillId="0" borderId="0" applyNumberFormat="0" applyFill="0" applyBorder="0" applyAlignment="0" applyProtection="0"/>
    <xf numFmtId="0" fontId="82" fillId="0" borderId="0" applyNumberFormat="0" applyFill="0" applyBorder="0" applyAlignment="0" applyProtection="0"/>
    <xf numFmtId="164" fontId="81" fillId="0" borderId="0" applyNumberFormat="0" applyFill="0" applyBorder="0" applyAlignment="0" applyProtection="0"/>
    <xf numFmtId="0" fontId="83" fillId="0" borderId="0" applyNumberFormat="0" applyFill="0" applyBorder="0" applyAlignment="0" applyProtection="0"/>
    <xf numFmtId="164" fontId="81" fillId="0" borderId="0" applyNumberFormat="0" applyFill="0" applyBorder="0" applyAlignment="0" applyProtection="0"/>
    <xf numFmtId="164" fontId="81" fillId="0" borderId="0" applyNumberFormat="0" applyFill="0" applyBorder="0" applyAlignment="0" applyProtection="0"/>
    <xf numFmtId="0" fontId="83" fillId="0" borderId="0" applyNumberFormat="0" applyFill="0" applyBorder="0" applyAlignment="0" applyProtection="0"/>
    <xf numFmtId="164" fontId="81" fillId="0" borderId="0" applyNumberFormat="0" applyFill="0" applyBorder="0" applyAlignment="0" applyProtection="0"/>
    <xf numFmtId="182" fontId="84" fillId="0" borderId="0">
      <protection locked="0"/>
    </xf>
    <xf numFmtId="182" fontId="84" fillId="0" borderId="0">
      <protection locked="0"/>
    </xf>
    <xf numFmtId="164" fontId="85" fillId="0" borderId="0" applyNumberFormat="0" applyFill="0" applyBorder="0" applyProtection="0">
      <alignment horizontal="center"/>
    </xf>
    <xf numFmtId="164" fontId="85" fillId="0" borderId="0" applyNumberFormat="0" applyFill="0" applyBorder="0" applyProtection="0">
      <alignment horizontal="center"/>
    </xf>
    <xf numFmtId="165" fontId="85" fillId="0" borderId="0" applyNumberFormat="0" applyFill="0" applyBorder="0" applyProtection="0">
      <alignment horizontal="center"/>
    </xf>
    <xf numFmtId="164" fontId="17" fillId="0" borderId="28" applyNumberFormat="0" applyFill="0" applyBorder="0" applyProtection="0">
      <alignment horizontal="center"/>
    </xf>
    <xf numFmtId="164" fontId="17" fillId="0" borderId="28" applyNumberFormat="0" applyFill="0" applyBorder="0" applyProtection="0">
      <alignment horizontal="center"/>
    </xf>
    <xf numFmtId="165" fontId="17" fillId="0" borderId="28" applyNumberFormat="0" applyFill="0" applyBorder="0" applyProtection="0">
      <alignment horizontal="center"/>
    </xf>
    <xf numFmtId="186" fontId="86" fillId="0" borderId="0"/>
    <xf numFmtId="0" fontId="10"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8" fillId="0" borderId="0" applyNumberFormat="0" applyFill="0" applyBorder="0" applyAlignment="0" applyProtection="0">
      <alignment vertical="top"/>
      <protection locked="0"/>
    </xf>
    <xf numFmtId="166" fontId="88"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165" fontId="8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164" fontId="87"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92" fillId="45" borderId="15" applyNumberFormat="0" applyAlignment="0" applyProtection="0"/>
    <xf numFmtId="0" fontId="92" fillId="48" borderId="15" applyNumberFormat="0" applyAlignment="0" applyProtection="0"/>
    <xf numFmtId="167" fontId="92" fillId="45" borderId="15" applyNumberFormat="0" applyAlignment="0" applyProtection="0"/>
    <xf numFmtId="164" fontId="92" fillId="48" borderId="15" applyNumberFormat="0" applyAlignment="0" applyProtection="0"/>
    <xf numFmtId="165" fontId="93" fillId="5" borderId="4" applyNumberFormat="0" applyAlignment="0" applyProtection="0"/>
    <xf numFmtId="0" fontId="92" fillId="45" borderId="15" applyNumberFormat="0" applyAlignment="0" applyProtection="0"/>
    <xf numFmtId="166" fontId="93" fillId="5" borderId="4" applyNumberFormat="0" applyAlignment="0" applyProtection="0"/>
    <xf numFmtId="177"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4" fontId="92" fillId="48" borderId="15" applyNumberFormat="0" applyAlignment="0" applyProtection="0"/>
    <xf numFmtId="0" fontId="92" fillId="48" borderId="15" applyNumberFormat="0" applyAlignment="0" applyProtection="0"/>
    <xf numFmtId="0" fontId="92" fillId="45" borderId="15" applyNumberFormat="0" applyAlignment="0" applyProtection="0"/>
    <xf numFmtId="0"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0" fontId="92" fillId="48"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8"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8"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0" fontId="94" fillId="5" borderId="4"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0" fontId="92" fillId="45" borderId="15" applyNumberFormat="0" applyAlignment="0" applyProtection="0"/>
    <xf numFmtId="0" fontId="10" fillId="0" borderId="0">
      <alignment vertical="top"/>
    </xf>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0" fontId="95" fillId="0" borderId="29" applyNumberFormat="0" applyFill="0" applyAlignment="0" applyProtection="0"/>
    <xf numFmtId="0" fontId="96" fillId="0" borderId="30" applyNumberFormat="0" applyFill="0" applyAlignment="0" applyProtection="0"/>
    <xf numFmtId="164" fontId="96" fillId="0" borderId="30" applyNumberFormat="0" applyFill="0" applyAlignment="0" applyProtection="0"/>
    <xf numFmtId="0" fontId="95" fillId="0" borderId="29" applyNumberFormat="0" applyFill="0" applyAlignment="0" applyProtection="0"/>
    <xf numFmtId="166" fontId="95" fillId="0" borderId="29" applyNumberFormat="0" applyFill="0" applyAlignment="0" applyProtection="0"/>
    <xf numFmtId="0" fontId="95" fillId="0" borderId="29" applyNumberFormat="0" applyFill="0" applyAlignment="0" applyProtection="0"/>
    <xf numFmtId="0" fontId="96" fillId="0" borderId="30" applyNumberFormat="0" applyFill="0" applyAlignment="0" applyProtection="0"/>
    <xf numFmtId="0" fontId="96" fillId="0" borderId="30" applyNumberFormat="0" applyFill="0" applyAlignment="0" applyProtection="0"/>
    <xf numFmtId="0" fontId="95" fillId="0" borderId="29" applyNumberFormat="0" applyFill="0" applyAlignment="0" applyProtection="0"/>
    <xf numFmtId="177" fontId="97" fillId="0" borderId="6" applyNumberFormat="0" applyFill="0" applyAlignment="0" applyProtection="0"/>
    <xf numFmtId="0" fontId="96" fillId="0" borderId="30" applyNumberFormat="0" applyFill="0" applyAlignment="0" applyProtection="0"/>
    <xf numFmtId="0" fontId="97" fillId="0" borderId="6" applyNumberFormat="0" applyFill="0" applyAlignment="0" applyProtection="0"/>
    <xf numFmtId="164" fontId="96" fillId="0" borderId="30" applyNumberFormat="0" applyFill="0" applyAlignment="0" applyProtection="0"/>
    <xf numFmtId="0" fontId="98" fillId="0" borderId="6" applyNumberFormat="0" applyFill="0" applyAlignment="0" applyProtection="0"/>
    <xf numFmtId="164" fontId="96" fillId="0" borderId="30" applyNumberFormat="0" applyFill="0" applyAlignment="0" applyProtection="0"/>
    <xf numFmtId="164" fontId="96" fillId="0" borderId="30" applyNumberFormat="0" applyFill="0" applyAlignment="0" applyProtection="0"/>
    <xf numFmtId="0" fontId="98" fillId="0" borderId="6" applyNumberFormat="0" applyFill="0" applyAlignment="0" applyProtection="0"/>
    <xf numFmtId="164" fontId="96" fillId="0" borderId="30" applyNumberFormat="0" applyFill="0" applyAlignment="0" applyProtection="0"/>
    <xf numFmtId="187" fontId="22" fillId="0" borderId="0" applyBorder="0">
      <alignment horizontal="center"/>
    </xf>
    <xf numFmtId="1" fontId="14" fillId="0" borderId="0">
      <alignment horizontal="center" vertical="center" wrapText="1"/>
    </xf>
    <xf numFmtId="0" fontId="99" fillId="48" borderId="0" applyNumberFormat="0" applyBorder="0" applyAlignment="0" applyProtection="0"/>
    <xf numFmtId="0" fontId="100" fillId="48"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0" fontId="99" fillId="48" borderId="0" applyNumberFormat="0" applyBorder="0" applyAlignment="0" applyProtection="0"/>
    <xf numFmtId="0" fontId="99" fillId="48" borderId="0" applyNumberFormat="0" applyBorder="0" applyAlignment="0" applyProtection="0"/>
    <xf numFmtId="0" fontId="100" fillId="48" borderId="0" applyNumberFormat="0" applyBorder="0" applyAlignment="0" applyProtection="0"/>
    <xf numFmtId="0" fontId="100" fillId="48" borderId="0" applyNumberFormat="0" applyBorder="0" applyAlignment="0" applyProtection="0"/>
    <xf numFmtId="167" fontId="102" fillId="4" borderId="0" applyNumberFormat="0" applyBorder="0" applyAlignment="0" applyProtection="0"/>
    <xf numFmtId="165" fontId="102" fillId="4" borderId="0" applyNumberFormat="0" applyBorder="0" applyAlignment="0" applyProtection="0"/>
    <xf numFmtId="0" fontId="100" fillId="48" borderId="0" applyNumberFormat="0" applyBorder="0" applyAlignment="0" applyProtection="0"/>
    <xf numFmtId="0" fontId="102" fillId="4"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164" fontId="100" fillId="48"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164" fontId="100" fillId="48" borderId="0" applyNumberFormat="0" applyBorder="0" applyAlignment="0" applyProtection="0"/>
    <xf numFmtId="164" fontId="53" fillId="0" borderId="0"/>
    <xf numFmtId="188" fontId="103" fillId="0" borderId="0"/>
    <xf numFmtId="0" fontId="46" fillId="0" borderId="0"/>
    <xf numFmtId="165" fontId="46" fillId="0" borderId="0"/>
    <xf numFmtId="165" fontId="46" fillId="0" borderId="0"/>
    <xf numFmtId="166" fontId="46" fillId="0" borderId="0"/>
    <xf numFmtId="0" fontId="46" fillId="0" borderId="0"/>
    <xf numFmtId="165" fontId="46" fillId="0" borderId="0"/>
    <xf numFmtId="0" fontId="10" fillId="0" borderId="0"/>
    <xf numFmtId="0" fontId="10" fillId="0" borderId="0"/>
    <xf numFmtId="0" fontId="4" fillId="0" borderId="0"/>
    <xf numFmtId="0" fontId="4" fillId="0" borderId="0"/>
    <xf numFmtId="0" fontId="4" fillId="0" borderId="0"/>
    <xf numFmtId="165"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6" fontId="4" fillId="0" borderId="0"/>
    <xf numFmtId="0" fontId="10" fillId="0" borderId="0"/>
    <xf numFmtId="165" fontId="4" fillId="0" borderId="0"/>
    <xf numFmtId="166" fontId="4" fillId="0" borderId="0"/>
    <xf numFmtId="0" fontId="15" fillId="0" borderId="0"/>
    <xf numFmtId="0" fontId="16" fillId="0" borderId="0"/>
    <xf numFmtId="0" fontId="16" fillId="0" borderId="0"/>
    <xf numFmtId="167" fontId="10" fillId="0" borderId="0"/>
    <xf numFmtId="165" fontId="10" fillId="0" borderId="0"/>
    <xf numFmtId="167" fontId="10" fillId="0" borderId="0"/>
    <xf numFmtId="164"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2"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89" fontId="104" fillId="0" borderId="0"/>
    <xf numFmtId="189" fontId="104" fillId="0" borderId="0"/>
    <xf numFmtId="0" fontId="4" fillId="0" borderId="0"/>
    <xf numFmtId="165" fontId="4" fillId="0" borderId="0"/>
    <xf numFmtId="0" fontId="4" fillId="0" borderId="0"/>
    <xf numFmtId="0" fontId="4" fillId="0" borderId="0"/>
    <xf numFmtId="165"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10" fillId="0" borderId="0"/>
    <xf numFmtId="167" fontId="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5"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5"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4" fillId="0" borderId="0"/>
    <xf numFmtId="165" fontId="4" fillId="0" borderId="0"/>
    <xf numFmtId="0" fontId="4" fillId="0" borderId="0"/>
    <xf numFmtId="0"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5"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16" fillId="0" borderId="0"/>
    <xf numFmtId="0"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5"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4" fillId="0" borderId="0"/>
    <xf numFmtId="165" fontId="4" fillId="0" borderId="0"/>
    <xf numFmtId="0"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0" fontId="10" fillId="0" borderId="0"/>
    <xf numFmtId="0" fontId="4"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51" fillId="0" borderId="0"/>
    <xf numFmtId="0" fontId="4" fillId="0" borderId="0"/>
    <xf numFmtId="165"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22"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4" fillId="0" borderId="0"/>
    <xf numFmtId="165" fontId="4" fillId="0" borderId="0"/>
    <xf numFmtId="0" fontId="106"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5" fontId="4" fillId="0" borderId="0"/>
    <xf numFmtId="165" fontId="4" fillId="0" borderId="0"/>
    <xf numFmtId="165" fontId="4" fillId="0" borderId="0"/>
    <xf numFmtId="166" fontId="4" fillId="0" borderId="0"/>
    <xf numFmtId="165" fontId="4" fillId="0" borderId="0"/>
    <xf numFmtId="166" fontId="4" fillId="0" borderId="0"/>
    <xf numFmtId="167" fontId="10" fillId="0" borderId="0"/>
    <xf numFmtId="165" fontId="10" fillId="0" borderId="0"/>
    <xf numFmtId="167" fontId="105" fillId="0" borderId="0"/>
    <xf numFmtId="165" fontId="4" fillId="0" borderId="0"/>
    <xf numFmtId="165" fontId="4" fillId="0" borderId="0"/>
    <xf numFmtId="165" fontId="4" fillId="0" borderId="0"/>
    <xf numFmtId="166" fontId="4" fillId="0" borderId="0"/>
    <xf numFmtId="165" fontId="4" fillId="0" borderId="0"/>
    <xf numFmtId="166" fontId="4" fillId="0" borderId="0"/>
    <xf numFmtId="167" fontId="105" fillId="0" borderId="0"/>
    <xf numFmtId="165" fontId="105" fillId="0" borderId="0"/>
    <xf numFmtId="167" fontId="10" fillId="0" borderId="0"/>
    <xf numFmtId="167" fontId="10" fillId="0" borderId="0"/>
    <xf numFmtId="165" fontId="10" fillId="0" borderId="0"/>
    <xf numFmtId="167" fontId="10" fillId="0" borderId="0"/>
    <xf numFmtId="164" fontId="10" fillId="0" borderId="0"/>
    <xf numFmtId="164" fontId="10" fillId="0" borderId="0"/>
    <xf numFmtId="165" fontId="10" fillId="0" borderId="0"/>
    <xf numFmtId="167" fontId="10" fillId="0" borderId="0"/>
    <xf numFmtId="165" fontId="10" fillId="0" borderId="0"/>
    <xf numFmtId="167" fontId="10" fillId="0" borderId="0"/>
    <xf numFmtId="164" fontId="10" fillId="0" borderId="0"/>
    <xf numFmtId="164" fontId="10" fillId="0" borderId="0"/>
    <xf numFmtId="164" fontId="10" fillId="0" borderId="0"/>
    <xf numFmtId="165" fontId="10" fillId="0" borderId="0"/>
    <xf numFmtId="164" fontId="10" fillId="0" borderId="0"/>
    <xf numFmtId="164" fontId="10" fillId="0" borderId="0"/>
    <xf numFmtId="166" fontId="10" fillId="0" borderId="0"/>
    <xf numFmtId="165" fontId="10" fillId="0" borderId="0"/>
    <xf numFmtId="166" fontId="10" fillId="0" borderId="0"/>
    <xf numFmtId="164" fontId="10" fillId="0" borderId="0"/>
    <xf numFmtId="164" fontId="10" fillId="0" borderId="0"/>
    <xf numFmtId="165" fontId="10" fillId="0" borderId="0"/>
    <xf numFmtId="167" fontId="10" fillId="0" borderId="0"/>
    <xf numFmtId="165"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0" fontId="10" fillId="0" borderId="0"/>
    <xf numFmtId="0" fontId="10" fillId="0" borderId="0"/>
    <xf numFmtId="165" fontId="4" fillId="0" borderId="0"/>
    <xf numFmtId="0" fontId="10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6"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7" fontId="10" fillId="0" borderId="0"/>
    <xf numFmtId="165"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0" fontId="4" fillId="0" borderId="0"/>
    <xf numFmtId="0" fontId="4" fillId="0" borderId="0"/>
    <xf numFmtId="165" fontId="4" fillId="0" borderId="0"/>
    <xf numFmtId="164" fontId="10" fillId="0" borderId="0"/>
    <xf numFmtId="0" fontId="10" fillId="0" borderId="0"/>
    <xf numFmtId="165" fontId="4" fillId="0" borderId="0"/>
    <xf numFmtId="0" fontId="1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0" fontId="16" fillId="0" borderId="0"/>
    <xf numFmtId="0" fontId="16" fillId="0" borderId="0"/>
    <xf numFmtId="165" fontId="4" fillId="0" borderId="0"/>
    <xf numFmtId="166" fontId="4" fillId="0" borderId="0"/>
    <xf numFmtId="0" fontId="16" fillId="0" borderId="0"/>
    <xf numFmtId="0" fontId="4" fillId="0" borderId="0"/>
    <xf numFmtId="0" fontId="16"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0" fontId="16" fillId="0" borderId="0"/>
    <xf numFmtId="0" fontId="16" fillId="0" borderId="0"/>
    <xf numFmtId="165" fontId="4" fillId="0" borderId="0"/>
    <xf numFmtId="165" fontId="4" fillId="0" borderId="0"/>
    <xf numFmtId="166" fontId="4"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6" fillId="0" borderId="0"/>
    <xf numFmtId="165" fontId="4" fillId="0" borderId="0"/>
    <xf numFmtId="165" fontId="4" fillId="0" borderId="0"/>
    <xf numFmtId="166" fontId="4" fillId="0" borderId="0"/>
    <xf numFmtId="165" fontId="4" fillId="0" borderId="0"/>
    <xf numFmtId="166" fontId="4" fillId="0" borderId="0"/>
    <xf numFmtId="0" fontId="16"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6" fontId="4" fillId="0" borderId="0"/>
    <xf numFmtId="166" fontId="4" fillId="0" borderId="0"/>
    <xf numFmtId="166" fontId="4" fillId="0" borderId="0"/>
    <xf numFmtId="164" fontId="4" fillId="0" borderId="0"/>
    <xf numFmtId="166" fontId="4" fillId="0" borderId="0"/>
    <xf numFmtId="166"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4" fontId="10" fillId="0" borderId="0"/>
    <xf numFmtId="164" fontId="10" fillId="0" borderId="0"/>
    <xf numFmtId="165" fontId="10" fillId="0" borderId="0"/>
    <xf numFmtId="167" fontId="10" fillId="0" borderId="0"/>
    <xf numFmtId="165" fontId="10" fillId="0" borderId="0"/>
    <xf numFmtId="164"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5" fontId="10" fillId="0" borderId="0"/>
    <xf numFmtId="164" fontId="4" fillId="0" borderId="0"/>
    <xf numFmtId="164"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50" fillId="0" borderId="0"/>
    <xf numFmtId="164" fontId="50" fillId="0" borderId="0"/>
    <xf numFmtId="165" fontId="50" fillId="0" borderId="0"/>
    <xf numFmtId="164" fontId="10" fillId="0" borderId="0"/>
    <xf numFmtId="164" fontId="10" fillId="0" borderId="0"/>
    <xf numFmtId="164" fontId="10" fillId="0" borderId="0"/>
    <xf numFmtId="164" fontId="10" fillId="0" borderId="0"/>
    <xf numFmtId="166" fontId="10" fillId="0" borderId="0"/>
    <xf numFmtId="165" fontId="10" fillId="0" borderId="0"/>
    <xf numFmtId="164" fontId="10" fillId="0" borderId="0"/>
    <xf numFmtId="165" fontId="10"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4" fontId="10" fillId="0" borderId="0"/>
    <xf numFmtId="165" fontId="10" fillId="0" borderId="0"/>
    <xf numFmtId="164" fontId="10" fillId="0" borderId="0"/>
    <xf numFmtId="165" fontId="10" fillId="0" borderId="0"/>
    <xf numFmtId="164" fontId="10" fillId="0" borderId="0"/>
    <xf numFmtId="0" fontId="4" fillId="0" borderId="0"/>
    <xf numFmtId="165" fontId="4"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2" fillId="0" borderId="0"/>
    <xf numFmtId="0" fontId="106" fillId="0" borderId="0"/>
    <xf numFmtId="0" fontId="10" fillId="0" borderId="0"/>
    <xf numFmtId="0" fontId="10" fillId="0" borderId="0"/>
    <xf numFmtId="0" fontId="4" fillId="0" borderId="0"/>
    <xf numFmtId="0" fontId="4" fillId="0" borderId="0"/>
    <xf numFmtId="0" fontId="4" fillId="0" borderId="0"/>
    <xf numFmtId="164" fontId="10" fillId="0" borderId="0"/>
    <xf numFmtId="0" fontId="107" fillId="0" borderId="0"/>
    <xf numFmtId="0" fontId="4"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7"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6" fillId="0" borderId="0"/>
    <xf numFmtId="166"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2" fillId="0" borderId="0"/>
    <xf numFmtId="0" fontId="107" fillId="0" borderId="0"/>
    <xf numFmtId="0" fontId="4" fillId="0" borderId="0"/>
    <xf numFmtId="0" fontId="4" fillId="0" borderId="0"/>
    <xf numFmtId="164" fontId="42" fillId="0" borderId="0"/>
    <xf numFmtId="0" fontId="10"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165"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10" fillId="0" borderId="0"/>
    <xf numFmtId="164" fontId="10" fillId="0" borderId="0"/>
    <xf numFmtId="190" fontId="108" fillId="0" borderId="0"/>
    <xf numFmtId="164" fontId="10" fillId="0" borderId="0"/>
    <xf numFmtId="0" fontId="10" fillId="0" borderId="0"/>
    <xf numFmtId="164" fontId="106" fillId="0" borderId="0"/>
    <xf numFmtId="164" fontId="106" fillId="0" borderId="0"/>
    <xf numFmtId="0" fontId="4" fillId="0" borderId="0"/>
    <xf numFmtId="165" fontId="10" fillId="0" borderId="0"/>
    <xf numFmtId="165" fontId="10" fillId="0" borderId="0"/>
    <xf numFmtId="167" fontId="10" fillId="0" borderId="0"/>
    <xf numFmtId="0" fontId="4" fillId="0" borderId="0"/>
    <xf numFmtId="0" fontId="10" fillId="0" borderId="0"/>
    <xf numFmtId="0" fontId="10" fillId="0" borderId="0"/>
    <xf numFmtId="166" fontId="10" fillId="0" borderId="0"/>
    <xf numFmtId="165" fontId="10" fillId="0" borderId="0"/>
    <xf numFmtId="0" fontId="4" fillId="0" borderId="0"/>
    <xf numFmtId="0" fontId="4" fillId="0" borderId="0"/>
    <xf numFmtId="0" fontId="10" fillId="0" borderId="0"/>
    <xf numFmtId="165"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167" fontId="10" fillId="0" borderId="0"/>
    <xf numFmtId="165" fontId="10" fillId="0" borderId="0"/>
    <xf numFmtId="165" fontId="10" fillId="0" borderId="0"/>
    <xf numFmtId="0" fontId="105" fillId="0" borderId="0"/>
    <xf numFmtId="0" fontId="10" fillId="0" borderId="0"/>
    <xf numFmtId="0" fontId="10"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0" fontId="4"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4" fontId="106" fillId="0" borderId="0"/>
    <xf numFmtId="0" fontId="10" fillId="0" borderId="0"/>
    <xf numFmtId="0" fontId="4" fillId="0" borderId="0"/>
    <xf numFmtId="164" fontId="10" fillId="0" borderId="0"/>
    <xf numFmtId="164"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164" fontId="10" fillId="0" borderId="0"/>
    <xf numFmtId="166" fontId="10" fillId="0" borderId="0"/>
    <xf numFmtId="166" fontId="10" fillId="0" borderId="0"/>
    <xf numFmtId="165" fontId="10" fillId="0" borderId="0"/>
    <xf numFmtId="0" fontId="4" fillId="0" borderId="0"/>
    <xf numFmtId="0" fontId="4" fillId="0" borderId="0"/>
    <xf numFmtId="0" fontId="4" fillId="0" borderId="0"/>
    <xf numFmtId="0" fontId="4" fillId="0" borderId="0"/>
    <xf numFmtId="165" fontId="10" fillId="0" borderId="0"/>
    <xf numFmtId="0" fontId="4" fillId="0" borderId="0"/>
    <xf numFmtId="0" fontId="4" fillId="0" borderId="0"/>
    <xf numFmtId="0" fontId="4" fillId="0" borderId="0"/>
    <xf numFmtId="0" fontId="4" fillId="0" borderId="0"/>
    <xf numFmtId="167"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0" fontId="10"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164" fontId="106" fillId="0" borderId="0"/>
    <xf numFmtId="0" fontId="10" fillId="0" borderId="0"/>
    <xf numFmtId="166" fontId="109" fillId="0" borderId="0"/>
    <xf numFmtId="0" fontId="22" fillId="0" borderId="0"/>
    <xf numFmtId="0" fontId="10" fillId="0" borderId="0"/>
    <xf numFmtId="0" fontId="22" fillId="0" borderId="0"/>
    <xf numFmtId="0" fontId="10" fillId="0" borderId="0"/>
    <xf numFmtId="0" fontId="10" fillId="0" borderId="0"/>
    <xf numFmtId="0" fontId="105" fillId="0" borderId="0"/>
    <xf numFmtId="0" fontId="10" fillId="0" borderId="0"/>
    <xf numFmtId="0" fontId="10" fillId="0" borderId="0"/>
    <xf numFmtId="0" fontId="4" fillId="0" borderId="0"/>
    <xf numFmtId="165" fontId="4" fillId="0" borderId="0"/>
    <xf numFmtId="0" fontId="4" fillId="0" borderId="0"/>
    <xf numFmtId="165" fontId="4" fillId="0" borderId="0"/>
    <xf numFmtId="0"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5" fillId="0" borderId="0"/>
    <xf numFmtId="164" fontId="105" fillId="0" borderId="0"/>
    <xf numFmtId="165" fontId="105"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0" fontId="10" fillId="0" borderId="0"/>
    <xf numFmtId="0" fontId="4" fillId="0" borderId="0"/>
    <xf numFmtId="165" fontId="4" fillId="0" borderId="0"/>
    <xf numFmtId="0" fontId="10"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10"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0" fontId="10" fillId="0" borderId="0"/>
    <xf numFmtId="165" fontId="4" fillId="0" borderId="0"/>
    <xf numFmtId="165" fontId="4" fillId="0" borderId="0"/>
    <xf numFmtId="166" fontId="4" fillId="0" borderId="0"/>
    <xf numFmtId="0" fontId="10" fillId="0" borderId="0"/>
    <xf numFmtId="165" fontId="4" fillId="0" borderId="0"/>
    <xf numFmtId="0" fontId="10" fillId="0" borderId="0"/>
    <xf numFmtId="0" fontId="10" fillId="0" borderId="0"/>
    <xf numFmtId="165" fontId="10" fillId="0" borderId="0"/>
    <xf numFmtId="0" fontId="10" fillId="0" borderId="0"/>
    <xf numFmtId="0" fontId="10" fillId="0" borderId="0"/>
    <xf numFmtId="165" fontId="10" fillId="0" borderId="0"/>
    <xf numFmtId="0" fontId="4" fillId="0" borderId="0"/>
    <xf numFmtId="165" fontId="10" fillId="0" borderId="0"/>
    <xf numFmtId="165" fontId="10" fillId="0" borderId="0"/>
    <xf numFmtId="0" fontId="10" fillId="0" borderId="0"/>
    <xf numFmtId="166" fontId="10" fillId="0" borderId="0"/>
    <xf numFmtId="165" fontId="10" fillId="0" borderId="0"/>
    <xf numFmtId="165" fontId="10" fillId="0" borderId="0"/>
    <xf numFmtId="166" fontId="10" fillId="0" borderId="0"/>
    <xf numFmtId="0" fontId="4" fillId="0" borderId="0"/>
    <xf numFmtId="0" fontId="4" fillId="0" borderId="0"/>
    <xf numFmtId="166" fontId="10" fillId="0" borderId="0"/>
    <xf numFmtId="165" fontId="10" fillId="0" borderId="0"/>
    <xf numFmtId="0" fontId="4" fillId="0" borderId="0"/>
    <xf numFmtId="0" fontId="51" fillId="0" borderId="0"/>
    <xf numFmtId="0" fontId="4"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10" fillId="0" borderId="0"/>
    <xf numFmtId="0" fontId="4" fillId="0" borderId="0"/>
    <xf numFmtId="165" fontId="4" fillId="0" borderId="0"/>
    <xf numFmtId="0" fontId="4" fillId="0" borderId="0"/>
    <xf numFmtId="0" fontId="10"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10" fillId="0" borderId="0"/>
    <xf numFmtId="0" fontId="4" fillId="0" borderId="0"/>
    <xf numFmtId="165" fontId="4" fillId="0" borderId="0"/>
    <xf numFmtId="0" fontId="16"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4" fillId="0" borderId="0"/>
    <xf numFmtId="0" fontId="4" fillId="0" borderId="0"/>
    <xf numFmtId="166" fontId="4"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16" fillId="0" borderId="0"/>
    <xf numFmtId="0" fontId="4" fillId="0" borderId="0"/>
    <xf numFmtId="165" fontId="4"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10" fillId="0" borderId="0"/>
    <xf numFmtId="0" fontId="10" fillId="0" borderId="0"/>
    <xf numFmtId="165" fontId="10" fillId="0" borderId="0"/>
    <xf numFmtId="0"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6"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0" fontId="4" fillId="0" borderId="0"/>
    <xf numFmtId="166" fontId="4" fillId="0" borderId="0"/>
    <xf numFmtId="0" fontId="4" fillId="0" borderId="0"/>
    <xf numFmtId="0" fontId="4" fillId="0" borderId="0"/>
    <xf numFmtId="166" fontId="4" fillId="0" borderId="0"/>
    <xf numFmtId="165" fontId="10" fillId="0" borderId="0"/>
    <xf numFmtId="165" fontId="10" fillId="0" borderId="0"/>
    <xf numFmtId="166" fontId="4" fillId="0" borderId="0"/>
    <xf numFmtId="0" fontId="4" fillId="0" borderId="0"/>
    <xf numFmtId="0" fontId="4" fillId="0" borderId="0"/>
    <xf numFmtId="166" fontId="4" fillId="0" borderId="0"/>
    <xf numFmtId="0"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0" fontId="4" fillId="0" borderId="0"/>
    <xf numFmtId="165" fontId="10" fillId="0" borderId="0"/>
    <xf numFmtId="0" fontId="4" fillId="0" borderId="0"/>
    <xf numFmtId="0" fontId="4" fillId="0" borderId="0"/>
    <xf numFmtId="166" fontId="4" fillId="0" borderId="0"/>
    <xf numFmtId="0" fontId="4" fillId="0" borderId="0"/>
    <xf numFmtId="0" fontId="4" fillId="0" borderId="0"/>
    <xf numFmtId="166" fontId="51" fillId="0" borderId="0"/>
    <xf numFmtId="0" fontId="10" fillId="0" borderId="0"/>
    <xf numFmtId="0" fontId="10" fillId="0" borderId="0"/>
    <xf numFmtId="0" fontId="10" fillId="0" borderId="0"/>
    <xf numFmtId="166" fontId="4" fillId="0" borderId="0"/>
    <xf numFmtId="0" fontId="4" fillId="0" borderId="0"/>
    <xf numFmtId="0" fontId="4" fillId="0" borderId="0"/>
    <xf numFmtId="0" fontId="4" fillId="0" borderId="0"/>
    <xf numFmtId="166" fontId="4" fillId="0" borderId="0"/>
    <xf numFmtId="0" fontId="10" fillId="0" borderId="0"/>
    <xf numFmtId="0" fontId="10" fillId="0" borderId="0"/>
    <xf numFmtId="0" fontId="10" fillId="0" borderId="0"/>
    <xf numFmtId="166" fontId="10" fillId="0" borderId="0"/>
    <xf numFmtId="0" fontId="10" fillId="0" borderId="0"/>
    <xf numFmtId="0" fontId="10" fillId="0" borderId="0"/>
    <xf numFmtId="0" fontId="10" fillId="0" borderId="0"/>
    <xf numFmtId="0" fontId="51" fillId="0" borderId="0"/>
    <xf numFmtId="0" fontId="4" fillId="0" borderId="0"/>
    <xf numFmtId="0" fontId="4" fillId="0" borderId="0"/>
    <xf numFmtId="0" fontId="10" fillId="0" borderId="0"/>
    <xf numFmtId="0" fontId="4" fillId="0" borderId="0"/>
    <xf numFmtId="0" fontId="4" fillId="0" borderId="0"/>
    <xf numFmtId="0" fontId="4" fillId="0" borderId="0"/>
    <xf numFmtId="0" fontId="10" fillId="0" borderId="0"/>
    <xf numFmtId="0" fontId="4" fillId="0" borderId="0"/>
    <xf numFmtId="0"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0" fontId="4" fillId="0" borderId="0"/>
    <xf numFmtId="165" fontId="10" fillId="0" borderId="0"/>
    <xf numFmtId="0"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4" fillId="0" borderId="0"/>
    <xf numFmtId="165" fontId="10" fillId="0" borderId="0"/>
    <xf numFmtId="0" fontId="10" fillId="0" borderId="0"/>
    <xf numFmtId="0" fontId="10" fillId="0" borderId="0"/>
    <xf numFmtId="0" fontId="10" fillId="0" borderId="0"/>
    <xf numFmtId="0" fontId="4" fillId="0" borderId="0"/>
    <xf numFmtId="0" fontId="52" fillId="0" borderId="0"/>
    <xf numFmtId="0" fontId="10" fillId="0" borderId="0"/>
    <xf numFmtId="0" fontId="10" fillId="0" borderId="0"/>
    <xf numFmtId="0" fontId="52" fillId="0" borderId="0"/>
    <xf numFmtId="166" fontId="10" fillId="0" borderId="0"/>
    <xf numFmtId="0" fontId="52" fillId="0" borderId="0"/>
    <xf numFmtId="0" fontId="10" fillId="0" borderId="0"/>
    <xf numFmtId="0" fontId="10" fillId="0" borderId="0"/>
    <xf numFmtId="167" fontId="10" fillId="0" borderId="0"/>
    <xf numFmtId="165" fontId="10" fillId="0" borderId="0"/>
    <xf numFmtId="0" fontId="22" fillId="0" borderId="0"/>
    <xf numFmtId="165" fontId="10" fillId="0" borderId="0"/>
    <xf numFmtId="166" fontId="10" fillId="0" borderId="0"/>
    <xf numFmtId="0" fontId="4" fillId="0" borderId="0"/>
    <xf numFmtId="165" fontId="10" fillId="0" borderId="0"/>
    <xf numFmtId="164" fontId="10"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1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15" fillId="0" borderId="0"/>
    <xf numFmtId="0" fontId="10"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0"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4" fillId="0" borderId="0"/>
    <xf numFmtId="0" fontId="4" fillId="0" borderId="0"/>
    <xf numFmtId="0" fontId="10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52" fillId="0" borderId="0"/>
    <xf numFmtId="0" fontId="53" fillId="0" borderId="0"/>
    <xf numFmtId="0" fontId="52" fillId="0" borderId="0"/>
    <xf numFmtId="0" fontId="52" fillId="0" borderId="0"/>
    <xf numFmtId="0" fontId="52" fillId="0" borderId="0"/>
    <xf numFmtId="0" fontId="10" fillId="0" borderId="0">
      <alignment vertical="center"/>
    </xf>
    <xf numFmtId="190" fontId="10" fillId="0" borderId="0"/>
    <xf numFmtId="0" fontId="52" fillId="0" borderId="0"/>
    <xf numFmtId="0" fontId="52" fillId="0" borderId="0"/>
    <xf numFmtId="0" fontId="52"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52" fillId="0" borderId="0"/>
    <xf numFmtId="0" fontId="2"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0"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4" fillId="0" borderId="0"/>
    <xf numFmtId="165" fontId="10" fillId="0" borderId="0"/>
    <xf numFmtId="0" fontId="10" fillId="0" borderId="0"/>
    <xf numFmtId="0" fontId="10" fillId="0" borderId="0"/>
    <xf numFmtId="0" fontId="4" fillId="0" borderId="0"/>
    <xf numFmtId="0" fontId="4" fillId="0" borderId="0"/>
    <xf numFmtId="164" fontId="10" fillId="0" borderId="0"/>
    <xf numFmtId="0" fontId="4" fillId="0" borderId="0"/>
    <xf numFmtId="0" fontId="4" fillId="0" borderId="0"/>
    <xf numFmtId="0" fontId="4" fillId="0" borderId="0"/>
    <xf numFmtId="164" fontId="10" fillId="0" borderId="0"/>
    <xf numFmtId="0" fontId="4" fillId="0" borderId="0"/>
    <xf numFmtId="164" fontId="10" fillId="0" borderId="0"/>
    <xf numFmtId="0" fontId="4" fillId="0" borderId="0"/>
    <xf numFmtId="0" fontId="4" fillId="0" borderId="0"/>
    <xf numFmtId="0" fontId="4" fillId="0" borderId="0"/>
    <xf numFmtId="0" fontId="4" fillId="0" borderId="0"/>
    <xf numFmtId="165" fontId="10" fillId="0" borderId="0">
      <alignment wrapText="1"/>
    </xf>
    <xf numFmtId="0" fontId="4" fillId="0" borderId="0"/>
    <xf numFmtId="0" fontId="4" fillId="0" borderId="0"/>
    <xf numFmtId="0" fontId="4" fillId="0" borderId="0"/>
    <xf numFmtId="0" fontId="4" fillId="0" borderId="0"/>
    <xf numFmtId="0" fontId="4" fillId="0" borderId="0"/>
    <xf numFmtId="164" fontId="10" fillId="0" borderId="0"/>
    <xf numFmtId="164" fontId="10" fillId="0" borderId="0"/>
    <xf numFmtId="165" fontId="10" fillId="0" borderId="0">
      <alignment wrapText="1"/>
    </xf>
    <xf numFmtId="0" fontId="4" fillId="0" borderId="0"/>
    <xf numFmtId="0" fontId="4" fillId="0" borderId="0"/>
    <xf numFmtId="0" fontId="4" fillId="0" borderId="0"/>
    <xf numFmtId="0" fontId="4" fillId="0" borderId="0"/>
    <xf numFmtId="166" fontId="10" fillId="0" borderId="0">
      <alignment wrapText="1"/>
    </xf>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165" fontId="10" fillId="0" borderId="0">
      <alignment wrapText="1"/>
    </xf>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165" fontId="111" fillId="0" borderId="0"/>
    <xf numFmtId="0" fontId="4" fillId="0" borderId="0"/>
    <xf numFmtId="0" fontId="4" fillId="0" borderId="0"/>
    <xf numFmtId="0" fontId="4" fillId="0" borderId="0"/>
    <xf numFmtId="0" fontId="10" fillId="0" borderId="0">
      <alignment wrapText="1"/>
    </xf>
    <xf numFmtId="165" fontId="10" fillId="0" borderId="0">
      <alignment wrapText="1"/>
    </xf>
    <xf numFmtId="0" fontId="10" fillId="0" borderId="0">
      <alignment wrapText="1"/>
    </xf>
    <xf numFmtId="166" fontId="10" fillId="0" borderId="0">
      <alignment wrapText="1"/>
    </xf>
    <xf numFmtId="0" fontId="4" fillId="0" borderId="0"/>
    <xf numFmtId="0" fontId="4" fillId="0" borderId="0"/>
    <xf numFmtId="0" fontId="10" fillId="0" borderId="0">
      <alignment wrapText="1"/>
    </xf>
    <xf numFmtId="165" fontId="10" fillId="0" borderId="0">
      <alignment wrapText="1"/>
    </xf>
    <xf numFmtId="165" fontId="10" fillId="0" borderId="0">
      <alignment wrapText="1"/>
    </xf>
    <xf numFmtId="0" fontId="4" fillId="0" borderId="0"/>
    <xf numFmtId="164" fontId="10" fillId="0" borderId="0"/>
    <xf numFmtId="0"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4"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5"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51"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164" fontId="10"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164" fontId="10" fillId="0" borderId="0"/>
    <xf numFmtId="164" fontId="10" fillId="0" borderId="0"/>
    <xf numFmtId="165"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167" fontId="4" fillId="0" borderId="0"/>
    <xf numFmtId="165" fontId="4" fillId="0" borderId="0"/>
    <xf numFmtId="165" fontId="4" fillId="0" borderId="0"/>
    <xf numFmtId="0" fontId="4" fillId="0" borderId="0"/>
    <xf numFmtId="0" fontId="10" fillId="0" borderId="0"/>
    <xf numFmtId="0" fontId="43"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5" fontId="10" fillId="0" borderId="0">
      <alignment wrapText="1"/>
    </xf>
    <xf numFmtId="0" fontId="22" fillId="84" borderId="0"/>
    <xf numFmtId="0" fontId="4" fillId="0" borderId="0"/>
    <xf numFmtId="0" fontId="4" fillId="0" borderId="0"/>
    <xf numFmtId="0" fontId="43" fillId="0" borderId="0"/>
    <xf numFmtId="0" fontId="4" fillId="0" borderId="0"/>
    <xf numFmtId="0" fontId="4"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0" fontId="10"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0" fontId="10" fillId="0" borderId="0"/>
    <xf numFmtId="0" fontId="4" fillId="0" borderId="0"/>
    <xf numFmtId="165" fontId="4" fillId="0" borderId="0"/>
    <xf numFmtId="0" fontId="4" fillId="0" borderId="0"/>
    <xf numFmtId="0" fontId="4" fillId="0" borderId="0"/>
    <xf numFmtId="0" fontId="10" fillId="0" borderId="0"/>
    <xf numFmtId="0" fontId="4"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4"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4" fillId="0" borderId="0"/>
    <xf numFmtId="0" fontId="4" fillId="0" borderId="0"/>
    <xf numFmtId="0" fontId="43" fillId="0" borderId="0"/>
    <xf numFmtId="164" fontId="10"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3"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10" fillId="0" borderId="0"/>
    <xf numFmtId="165" fontId="4" fillId="0" borderId="0"/>
    <xf numFmtId="165" fontId="4" fillId="0" borderId="0"/>
    <xf numFmtId="166" fontId="4" fillId="0" borderId="0"/>
    <xf numFmtId="165" fontId="10" fillId="0" borderId="0"/>
    <xf numFmtId="165" fontId="10" fillId="0" borderId="0"/>
    <xf numFmtId="166" fontId="10" fillId="0" borderId="0"/>
    <xf numFmtId="165" fontId="10" fillId="0" borderId="0"/>
    <xf numFmtId="166" fontId="10" fillId="0" borderId="0"/>
    <xf numFmtId="165" fontId="4" fillId="0" borderId="0"/>
    <xf numFmtId="165" fontId="4" fillId="0" borderId="0"/>
    <xf numFmtId="165" fontId="4" fillId="0" borderId="0"/>
    <xf numFmtId="166" fontId="4" fillId="0" borderId="0"/>
    <xf numFmtId="165" fontId="4" fillId="0" borderId="0"/>
    <xf numFmtId="166" fontId="4" fillId="0" borderId="0"/>
    <xf numFmtId="0" fontId="10" fillId="0" borderId="0"/>
    <xf numFmtId="164" fontId="10" fillId="0" borderId="0"/>
    <xf numFmtId="164" fontId="10" fillId="0" borderId="0"/>
    <xf numFmtId="167" fontId="10" fillId="0" borderId="0"/>
    <xf numFmtId="165" fontId="10" fillId="0" borderId="0"/>
    <xf numFmtId="164" fontId="10" fillId="0" borderId="0"/>
    <xf numFmtId="164"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0" fillId="0" borderId="0"/>
    <xf numFmtId="165" fontId="10" fillId="0" borderId="0"/>
    <xf numFmtId="166" fontId="10" fillId="0" borderId="0"/>
    <xf numFmtId="0" fontId="16" fillId="0" borderId="0"/>
    <xf numFmtId="0" fontId="16" fillId="0" borderId="0"/>
    <xf numFmtId="0" fontId="16" fillId="0" borderId="0"/>
    <xf numFmtId="165" fontId="10" fillId="0" borderId="0"/>
    <xf numFmtId="164" fontId="10" fillId="0" borderId="0"/>
    <xf numFmtId="164" fontId="10" fillId="0" borderId="0"/>
    <xf numFmtId="167" fontId="10" fillId="0" borderId="0"/>
    <xf numFmtId="165" fontId="10" fillId="0" borderId="0"/>
    <xf numFmtId="0" fontId="10" fillId="0" borderId="0"/>
    <xf numFmtId="165" fontId="10" fillId="0" borderId="0"/>
    <xf numFmtId="166" fontId="10"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0" fontId="4" fillId="0" borderId="0"/>
    <xf numFmtId="0" fontId="4" fillId="0" borderId="0"/>
    <xf numFmtId="0" fontId="10" fillId="0" borderId="0"/>
    <xf numFmtId="0" fontId="4" fillId="0" borderId="0"/>
    <xf numFmtId="0" fontId="4" fillId="0" borderId="0"/>
    <xf numFmtId="165"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0" fontId="4" fillId="0" borderId="0"/>
    <xf numFmtId="0"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10"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164" fontId="10"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0" fillId="0" borderId="0"/>
    <xf numFmtId="0" fontId="16" fillId="0" borderId="0"/>
    <xf numFmtId="0" fontId="16" fillId="0" borderId="0"/>
    <xf numFmtId="164" fontId="10"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4"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0" fontId="10" fillId="0" borderId="0"/>
    <xf numFmtId="0" fontId="4" fillId="0" borderId="0"/>
    <xf numFmtId="165" fontId="4" fillId="0" borderId="0"/>
    <xf numFmtId="165" fontId="4" fillId="0" borderId="0"/>
    <xf numFmtId="0" fontId="10" fillId="0" borderId="0"/>
    <xf numFmtId="0" fontId="4" fillId="0" borderId="0"/>
    <xf numFmtId="0" fontId="4" fillId="0" borderId="0"/>
    <xf numFmtId="165" fontId="4" fillId="0" borderId="0"/>
    <xf numFmtId="0" fontId="10"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1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0" fontId="22"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0" fontId="4"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12" fillId="0" borderId="0"/>
    <xf numFmtId="0" fontId="112" fillId="0" borderId="0"/>
    <xf numFmtId="0" fontId="4" fillId="0" borderId="0"/>
    <xf numFmtId="165" fontId="4" fillId="0" borderId="0"/>
    <xf numFmtId="165" fontId="4" fillId="0" borderId="0"/>
    <xf numFmtId="0" fontId="112" fillId="0" borderId="0"/>
    <xf numFmtId="0" fontId="4" fillId="0" borderId="0"/>
    <xf numFmtId="165" fontId="4" fillId="0" borderId="0"/>
    <xf numFmtId="164"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164"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164" fontId="10" fillId="0" borderId="0"/>
    <xf numFmtId="0"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32" fillId="85" borderId="0">
      <protection locked="0"/>
    </xf>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4" fillId="8" borderId="8" applyNumberFormat="0" applyFont="0" applyAlignment="0" applyProtection="0"/>
    <xf numFmtId="164" fontId="10"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0" fontId="4" fillId="8" borderId="8"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4"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164"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22" fillId="72" borderId="32" applyNumberFormat="0" applyFont="0" applyAlignment="0" applyProtection="0"/>
    <xf numFmtId="0" fontId="10"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0" fontId="10" fillId="43" borderId="31" applyNumberFormat="0" applyFont="0" applyAlignment="0" applyProtection="0"/>
    <xf numFmtId="166" fontId="15"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10" fillId="0" borderId="0"/>
    <xf numFmtId="164" fontId="10" fillId="0" borderId="0"/>
    <xf numFmtId="0"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4" fontId="114" fillId="77"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7" borderId="33" applyNumberFormat="0" applyAlignment="0" applyProtection="0"/>
    <xf numFmtId="0" fontId="114" fillId="77"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7" borderId="33" applyNumberFormat="0" applyAlignment="0" applyProtection="0"/>
    <xf numFmtId="0"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0" fontId="115" fillId="6" borderId="5"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0" fontId="115" fillId="6" borderId="5" applyNumberFormat="0" applyAlignment="0" applyProtection="0"/>
    <xf numFmtId="164" fontId="114" fillId="77" borderId="33" applyNumberFormat="0" applyAlignment="0" applyProtection="0"/>
    <xf numFmtId="164" fontId="114" fillId="77" borderId="33" applyNumberFormat="0" applyAlignment="0" applyProtection="0"/>
    <xf numFmtId="0" fontId="32" fillId="86" borderId="0">
      <protection locked="0"/>
    </xf>
    <xf numFmtId="0" fontId="17" fillId="0" borderId="0"/>
    <xf numFmtId="165" fontId="17" fillId="0" borderId="0"/>
    <xf numFmtId="165" fontId="17" fillId="0" borderId="0"/>
    <xf numFmtId="166" fontId="17" fillId="0" borderId="0"/>
    <xf numFmtId="0" fontId="17" fillId="0" borderId="0"/>
    <xf numFmtId="165" fontId="17" fillId="0" borderId="0"/>
    <xf numFmtId="0" fontId="46" fillId="0" borderId="0"/>
    <xf numFmtId="165" fontId="46" fillId="0" borderId="0"/>
    <xf numFmtId="165" fontId="46" fillId="0" borderId="0"/>
    <xf numFmtId="166" fontId="46" fillId="0" borderId="0"/>
    <xf numFmtId="0" fontId="46" fillId="0" borderId="0"/>
    <xf numFmtId="165" fontId="46" fillId="0" borderId="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191" fontId="27"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1"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42"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3"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43" fillId="0" borderId="0" applyFont="0" applyFill="0" applyBorder="0" applyAlignment="0" applyProtection="0"/>
    <xf numFmtId="9" fontId="4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7"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alignment vertical="center"/>
    </xf>
    <xf numFmtId="9" fontId="37"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64" fontId="116" fillId="87" borderId="0"/>
    <xf numFmtId="164" fontId="116" fillId="87" borderId="0"/>
    <xf numFmtId="165" fontId="116" fillId="87" borderId="0"/>
    <xf numFmtId="192" fontId="22" fillId="0" borderId="0" applyFont="0" applyFill="0" applyBorder="0" applyAlignment="0" applyProtection="0"/>
    <xf numFmtId="0"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5" fontId="53" fillId="0" borderId="0" applyFont="0" applyFill="0" applyBorder="0" applyAlignment="0" applyProtection="0"/>
    <xf numFmtId="15" fontId="53" fillId="0" borderId="0" applyFont="0" applyFill="0" applyBorder="0" applyAlignment="0" applyProtection="0"/>
    <xf numFmtId="15" fontId="53" fillId="0" borderId="0" applyFont="0" applyFill="0" applyBorder="0" applyAlignment="0" applyProtection="0"/>
    <xf numFmtId="4" fontId="53" fillId="0" borderId="0" applyFont="0" applyFill="0" applyBorder="0" applyAlignment="0" applyProtection="0"/>
    <xf numFmtId="4" fontId="53" fillId="0" borderId="0" applyFont="0" applyFill="0" applyBorder="0" applyAlignment="0" applyProtection="0"/>
    <xf numFmtId="4" fontId="53" fillId="0" borderId="0" applyFont="0" applyFill="0" applyBorder="0" applyAlignment="0" applyProtection="0"/>
    <xf numFmtId="0"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3" fontId="53" fillId="0" borderId="0" applyFont="0" applyFill="0" applyBorder="0" applyAlignment="0" applyProtection="0"/>
    <xf numFmtId="3" fontId="53" fillId="0" borderId="0" applyFont="0" applyFill="0" applyBorder="0" applyAlignment="0" applyProtection="0"/>
    <xf numFmtId="3" fontId="53" fillId="0" borderId="0" applyFont="0" applyFill="0" applyBorder="0" applyAlignment="0" applyProtection="0"/>
    <xf numFmtId="0" fontId="53" fillId="88" borderId="0" applyNumberFormat="0" applyFont="0" applyBorder="0" applyAlignment="0" applyProtection="0"/>
    <xf numFmtId="0"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4" fontId="51" fillId="0" borderId="13" applyNumberFormat="0" applyBorder="0"/>
    <xf numFmtId="164" fontId="51" fillId="0" borderId="13" applyNumberFormat="0" applyBorder="0"/>
    <xf numFmtId="165" fontId="51" fillId="0" borderId="13" applyNumberFormat="0" applyBorder="0"/>
    <xf numFmtId="193" fontId="10" fillId="0" borderId="0" applyFont="0" applyFill="0" applyBorder="0" applyAlignment="0" applyProtection="0"/>
    <xf numFmtId="0" fontId="10" fillId="0" borderId="35" applyNumberFormat="0" applyFont="0" applyFill="0" applyAlignment="0" applyProtection="0"/>
    <xf numFmtId="0" fontId="10" fillId="0" borderId="36" applyNumberFormat="0" applyFont="0" applyFill="0" applyAlignment="0" applyProtection="0"/>
    <xf numFmtId="0" fontId="10" fillId="0" borderId="37" applyNumberFormat="0" applyFont="0" applyFill="0" applyAlignment="0" applyProtection="0"/>
    <xf numFmtId="0" fontId="10" fillId="0" borderId="38" applyNumberFormat="0" applyFont="0" applyFill="0" applyAlignment="0" applyProtection="0"/>
    <xf numFmtId="0" fontId="10" fillId="0" borderId="39" applyNumberFormat="0" applyFont="0" applyFill="0" applyAlignment="0" applyProtection="0"/>
    <xf numFmtId="0" fontId="10" fillId="77" borderId="0" applyNumberFormat="0" applyFont="0" applyBorder="0" applyAlignment="0" applyProtection="0"/>
    <xf numFmtId="0" fontId="10" fillId="0" borderId="40" applyNumberFormat="0" applyFont="0" applyFill="0" applyAlignment="0" applyProtection="0"/>
    <xf numFmtId="0" fontId="10" fillId="0" borderId="41" applyNumberFormat="0" applyFont="0" applyFill="0" applyAlignment="0" applyProtection="0"/>
    <xf numFmtId="46" fontId="10"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10" fillId="0" borderId="42" applyNumberFormat="0" applyFont="0" applyFill="0" applyAlignment="0" applyProtection="0"/>
    <xf numFmtId="0" fontId="10" fillId="0" borderId="43" applyNumberFormat="0" applyFont="0" applyFill="0" applyAlignment="0" applyProtection="0"/>
    <xf numFmtId="0" fontId="10" fillId="0" borderId="31" applyNumberFormat="0" applyFont="0" applyFill="0" applyAlignment="0" applyProtection="0"/>
    <xf numFmtId="0" fontId="10" fillId="0" borderId="44" applyNumberFormat="0" applyFont="0" applyFill="0" applyAlignment="0" applyProtection="0"/>
    <xf numFmtId="0" fontId="10" fillId="0" borderId="31" applyNumberFormat="0" applyFont="0" applyFill="0" applyAlignment="0" applyProtection="0"/>
    <xf numFmtId="0" fontId="10" fillId="0" borderId="0" applyNumberFormat="0" applyFont="0" applyFill="0" applyBorder="0" applyProtection="0">
      <alignment horizontal="center"/>
    </xf>
    <xf numFmtId="0" fontId="118" fillId="0" borderId="0" applyNumberFormat="0" applyFill="0" applyBorder="0" applyAlignment="0" applyProtection="0"/>
    <xf numFmtId="0" fontId="119" fillId="0" borderId="0" applyNumberFormat="0" applyFill="0" applyBorder="0" applyAlignment="0" applyProtection="0"/>
    <xf numFmtId="0" fontId="59" fillId="0" borderId="0" applyNumberFormat="0" applyFill="0" applyBorder="0" applyProtection="0">
      <alignment horizontal="left"/>
    </xf>
    <xf numFmtId="0" fontId="10" fillId="77" borderId="0" applyNumberFormat="0" applyFont="0" applyBorder="0" applyAlignment="0" applyProtection="0"/>
    <xf numFmtId="0" fontId="120"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10" fillId="0" borderId="45" applyNumberFormat="0" applyFont="0" applyFill="0" applyAlignment="0" applyProtection="0"/>
    <xf numFmtId="0" fontId="10" fillId="0" borderId="46" applyNumberFormat="0" applyFont="0" applyFill="0" applyAlignment="0" applyProtection="0"/>
    <xf numFmtId="194" fontId="10" fillId="0" borderId="0" applyFont="0" applyFill="0" applyBorder="0" applyAlignment="0" applyProtection="0"/>
    <xf numFmtId="0" fontId="10" fillId="0" borderId="47" applyNumberFormat="0" applyFont="0" applyFill="0" applyAlignment="0" applyProtection="0"/>
    <xf numFmtId="0" fontId="10" fillId="0" borderId="48" applyNumberFormat="0" applyFont="0" applyFill="0" applyAlignment="0" applyProtection="0"/>
    <xf numFmtId="0" fontId="10" fillId="0" borderId="49" applyNumberFormat="0" applyFont="0" applyFill="0" applyAlignment="0" applyProtection="0"/>
    <xf numFmtId="0" fontId="10" fillId="0" borderId="50" applyNumberFormat="0" applyFont="0" applyFill="0" applyAlignment="0" applyProtection="0"/>
    <xf numFmtId="0" fontId="10" fillId="0" borderId="51" applyNumberFormat="0" applyFont="0" applyFill="0" applyAlignment="0" applyProtection="0"/>
    <xf numFmtId="0" fontId="21" fillId="0" borderId="0">
      <alignment horizontal="center"/>
    </xf>
    <xf numFmtId="0" fontId="21" fillId="0" borderId="0">
      <alignment horizont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0" fontId="124" fillId="48" borderId="52" applyNumberFormat="0" applyProtection="0">
      <alignment horizontal="left" vertical="top" indent="1"/>
    </xf>
    <xf numFmtId="4" fontId="125" fillId="91" borderId="0">
      <alignment horizontal="left" vertical="center" indent="1"/>
    </xf>
    <xf numFmtId="4" fontId="126" fillId="92" borderId="0">
      <alignment horizontal="left" vertical="center" indent="1"/>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99" borderId="53" applyNumberFormat="0" applyProtection="0">
      <alignment horizontal="left" vertical="center" wrapText="1" indent="1"/>
    </xf>
    <xf numFmtId="4" fontId="121" fillId="101" borderId="0" applyNumberFormat="0" applyProtection="0">
      <alignment horizontal="left" vertical="center" wrapText="1" indent="1"/>
    </xf>
    <xf numFmtId="4" fontId="121" fillId="87" borderId="54" applyNumberFormat="0" applyProtection="0">
      <alignment horizontal="left" vertical="center" wrapText="1" indent="1"/>
    </xf>
    <xf numFmtId="4" fontId="121" fillId="101" borderId="0"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91" borderId="0">
      <alignment horizontal="left" vertical="center" indent="1"/>
    </xf>
    <xf numFmtId="4" fontId="121" fillId="91" borderId="0">
      <alignment horizontal="left" vertical="center" indent="1"/>
    </xf>
    <xf numFmtId="4" fontId="121" fillId="91" borderId="0">
      <alignment horizontal="left" vertical="center" indent="1"/>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5" fillId="101" borderId="0" applyFill="0">
      <alignment horizontal="left" vertical="center" indent="1"/>
    </xf>
    <xf numFmtId="4" fontId="125" fillId="101" borderId="0" applyFill="0">
      <alignment horizontal="left" vertical="center" indent="1"/>
    </xf>
    <xf numFmtId="4" fontId="42" fillId="91" borderId="0">
      <alignment horizontal="left" vertical="center" indent="1"/>
    </xf>
    <xf numFmtId="4" fontId="42" fillId="91" borderId="0">
      <alignment horizontal="left" vertical="center" indent="1"/>
    </xf>
    <xf numFmtId="0" fontId="22" fillId="76" borderId="32" applyNumberFormat="0" applyProtection="0">
      <alignment horizontal="left" vertical="center" indent="1"/>
    </xf>
    <xf numFmtId="0" fontId="22" fillId="69" borderId="52" applyNumberFormat="0" applyProtection="0">
      <alignment horizontal="left" vertical="top" indent="1"/>
    </xf>
    <xf numFmtId="0" fontId="22" fillId="102" borderId="32" applyNumberFormat="0" applyProtection="0">
      <alignment horizontal="left" vertical="center" indent="1"/>
    </xf>
    <xf numFmtId="0" fontId="22" fillId="103" borderId="52" applyNumberFormat="0" applyProtection="0">
      <alignment horizontal="left" vertical="top" indent="1"/>
    </xf>
    <xf numFmtId="0" fontId="22" fillId="39" borderId="32" applyNumberFormat="0" applyProtection="0">
      <alignment horizontal="left" vertical="center" indent="1"/>
    </xf>
    <xf numFmtId="0" fontId="22" fillId="39" borderId="52" applyNumberFormat="0" applyProtection="0">
      <alignment horizontal="left" vertical="top" indent="1"/>
    </xf>
    <xf numFmtId="0" fontId="22" fillId="104" borderId="32" applyNumberFormat="0" applyProtection="0">
      <alignment horizontal="left" vertical="center" indent="1"/>
    </xf>
    <xf numFmtId="0" fontId="22" fillId="104" borderId="52" applyNumberFormat="0" applyProtection="0">
      <alignment horizontal="left" vertical="top" indent="1"/>
    </xf>
    <xf numFmtId="0" fontId="22" fillId="77" borderId="55" applyNumberFormat="0">
      <protection locked="0"/>
    </xf>
    <xf numFmtId="0" fontId="22" fillId="77" borderId="55" applyNumberFormat="0">
      <protection locked="0"/>
    </xf>
    <xf numFmtId="0" fontId="11" fillId="69" borderId="56" applyBorder="0"/>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0" fontId="131" fillId="43" borderId="52" applyNumberFormat="0" applyProtection="0">
      <alignment horizontal="left" vertical="top" inden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37"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0" fontId="131" fillId="103" borderId="52" applyNumberFormat="0" applyProtection="0">
      <alignment horizontal="left" vertical="top" indent="1"/>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0" fontId="22" fillId="108" borderId="54"/>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37" fontId="10" fillId="109" borderId="58" applyBorder="0"/>
    <xf numFmtId="0" fontId="135" fillId="0" borderId="0" applyNumberFormat="0" applyFill="0" applyBorder="0" applyAlignment="0" applyProtection="0"/>
    <xf numFmtId="195" fontId="27" fillId="0" borderId="0" applyFont="0" applyFill="0" applyBorder="0" applyAlignment="0" applyProtection="0"/>
    <xf numFmtId="164" fontId="10" fillId="110" borderId="59" applyBorder="0"/>
    <xf numFmtId="0" fontId="113" fillId="0" borderId="0"/>
    <xf numFmtId="0" fontId="113" fillId="0" borderId="0"/>
    <xf numFmtId="0" fontId="113" fillId="0" borderId="0"/>
    <xf numFmtId="165" fontId="113" fillId="0" borderId="0"/>
    <xf numFmtId="165" fontId="113" fillId="0" borderId="0"/>
    <xf numFmtId="166" fontId="113" fillId="0" borderId="0"/>
    <xf numFmtId="0" fontId="113" fillId="0" borderId="0"/>
    <xf numFmtId="165" fontId="113" fillId="0" borderId="0"/>
    <xf numFmtId="165" fontId="113" fillId="0" borderId="0"/>
    <xf numFmtId="165" fontId="113" fillId="0" borderId="0"/>
    <xf numFmtId="166" fontId="113" fillId="0" borderId="0"/>
    <xf numFmtId="0" fontId="113" fillId="0" borderId="0"/>
    <xf numFmtId="165" fontId="113" fillId="0" borderId="0"/>
    <xf numFmtId="165" fontId="113" fillId="0" borderId="0"/>
    <xf numFmtId="165" fontId="113" fillId="0" borderId="0"/>
    <xf numFmtId="166" fontId="113" fillId="0" borderId="0"/>
    <xf numFmtId="0" fontId="113" fillId="0" borderId="0"/>
    <xf numFmtId="165" fontId="113" fillId="0" borderId="0"/>
    <xf numFmtId="38" fontId="9" fillId="0" borderId="0" applyProtection="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38" fontId="9" fillId="0" borderId="0" applyProtection="0"/>
    <xf numFmtId="38" fontId="9" fillId="0" borderId="0" applyProtection="0"/>
    <xf numFmtId="38" fontId="136" fillId="0" borderId="0"/>
    <xf numFmtId="196" fontId="86" fillId="0" borderId="0"/>
    <xf numFmtId="0" fontId="113" fillId="111" borderId="0" applyNumberFormat="0" applyFont="0" applyAlignment="0"/>
    <xf numFmtId="0"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49" fontId="42" fillId="0" borderId="0" applyFill="0" applyBorder="0" applyAlignment="0"/>
    <xf numFmtId="179" fontId="10" fillId="0" borderId="0" applyFill="0" applyBorder="0" applyAlignment="0"/>
    <xf numFmtId="179" fontId="10" fillId="0" borderId="0" applyFill="0" applyBorder="0" applyAlignment="0"/>
    <xf numFmtId="0" fontId="137" fillId="0" borderId="0" applyNumberFormat="0" applyFill="0" applyBorder="0" applyAlignment="0" applyProtection="0"/>
    <xf numFmtId="0" fontId="135" fillId="0" borderId="0" applyNumberFormat="0" applyFill="0" applyBorder="0" applyAlignment="0" applyProtection="0"/>
    <xf numFmtId="164" fontId="135" fillId="0" borderId="0" applyNumberFormat="0" applyFill="0" applyBorder="0" applyAlignment="0" applyProtection="0"/>
    <xf numFmtId="0" fontId="137" fillId="0" borderId="0" applyNumberFormat="0" applyFill="0" applyBorder="0" applyAlignment="0" applyProtection="0"/>
    <xf numFmtId="166" fontId="137" fillId="0" borderId="0" applyNumberFormat="0" applyFill="0" applyBorder="0" applyAlignment="0" applyProtection="0"/>
    <xf numFmtId="0" fontId="137" fillId="0" borderId="0" applyNumberFormat="0" applyFill="0" applyBorder="0" applyAlignment="0" applyProtection="0"/>
    <xf numFmtId="0" fontId="135" fillId="0" borderId="0" applyNumberFormat="0" applyFill="0" applyBorder="0" applyAlignment="0" applyProtection="0"/>
    <xf numFmtId="0" fontId="135" fillId="0" borderId="0" applyNumberFormat="0" applyFill="0" applyBorder="0" applyAlignment="0" applyProtection="0"/>
    <xf numFmtId="0" fontId="137" fillId="0" borderId="0" applyNumberFormat="0" applyFill="0" applyBorder="0" applyAlignment="0" applyProtection="0"/>
    <xf numFmtId="177" fontId="3" fillId="0" borderId="0" applyNumberFormat="0" applyFill="0" applyBorder="0" applyAlignment="0" applyProtection="0"/>
    <xf numFmtId="0"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164"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0" fontId="45" fillId="0" borderId="60" applyNumberFormat="0" applyFont="0" applyFill="0" applyAlignment="0" applyProtection="0"/>
    <xf numFmtId="0" fontId="54" fillId="0" borderId="61" applyNumberFormat="0" applyFill="0" applyAlignment="0" applyProtection="0"/>
    <xf numFmtId="167" fontId="54" fillId="0" borderId="62" applyNumberFormat="0" applyFill="0" applyAlignment="0" applyProtection="0"/>
    <xf numFmtId="164"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0" fontId="54" fillId="0" borderId="62" applyNumberFormat="0" applyFill="0" applyAlignment="0" applyProtection="0"/>
    <xf numFmtId="165" fontId="10" fillId="0" borderId="60" applyNumberFormat="0" applyFon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164" fontId="54" fillId="0" borderId="61" applyNumberFormat="0" applyFill="0" applyAlignment="0" applyProtection="0"/>
    <xf numFmtId="165" fontId="10" fillId="0" borderId="60" applyNumberFormat="0" applyFont="0" applyFill="0" applyAlignment="0" applyProtection="0"/>
    <xf numFmtId="0" fontId="54" fillId="0" borderId="61" applyNumberFormat="0" applyFill="0" applyAlignment="0" applyProtection="0"/>
    <xf numFmtId="0" fontId="45"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7" fontId="54" fillId="0" borderId="62" applyNumberFormat="0" applyFill="0" applyAlignment="0" applyProtection="0"/>
    <xf numFmtId="165" fontId="10" fillId="0" borderId="60" applyNumberFormat="0" applyFon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0" fontId="54" fillId="0" borderId="61" applyNumberForma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0" fontId="54" fillId="0" borderId="61" applyNumberForma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164" fontId="54" fillId="0" borderId="61" applyNumberFormat="0" applyFill="0" applyAlignment="0" applyProtection="0"/>
    <xf numFmtId="164" fontId="54" fillId="0" borderId="61" applyNumberFormat="0" applyFill="0" applyAlignment="0" applyProtection="0"/>
    <xf numFmtId="0" fontId="138" fillId="0" borderId="9"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0" fontId="138" fillId="0" borderId="9"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0" fontId="96" fillId="0" borderId="0" applyNumberFormat="0" applyFill="0" applyBorder="0" applyAlignment="0" applyProtection="0"/>
    <xf numFmtId="164" fontId="96" fillId="0" borderId="0" applyNumberFormat="0" applyFill="0" applyBorder="0" applyAlignment="0" applyProtection="0"/>
    <xf numFmtId="0" fontId="96" fillId="0" borderId="0" applyNumberFormat="0" applyFill="0" applyBorder="0" applyAlignment="0" applyProtection="0"/>
    <xf numFmtId="166" fontId="96" fillId="0" borderId="0" applyNumberFormat="0" applyFill="0" applyBorder="0" applyAlignment="0" applyProtection="0"/>
    <xf numFmtId="0" fontId="96" fillId="0" borderId="0" applyNumberFormat="0" applyFill="0" applyBorder="0" applyAlignment="0" applyProtection="0"/>
    <xf numFmtId="165"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177" fontId="139" fillId="0" borderId="0" applyNumberFormat="0" applyFill="0" applyBorder="0" applyAlignment="0" applyProtection="0"/>
    <xf numFmtId="0" fontId="96" fillId="0" borderId="0" applyNumberFormat="0" applyFill="0" applyBorder="0" applyAlignment="0" applyProtection="0"/>
    <xf numFmtId="0" fontId="139" fillId="0" borderId="0" applyNumberFormat="0" applyFill="0" applyBorder="0" applyAlignment="0" applyProtection="0"/>
    <xf numFmtId="164" fontId="96" fillId="0" borderId="0" applyNumberFormat="0" applyFill="0" applyBorder="0" applyAlignment="0" applyProtection="0"/>
    <xf numFmtId="0" fontId="140" fillId="0" borderId="0" applyNumberFormat="0" applyFill="0" applyBorder="0" applyAlignment="0" applyProtection="0"/>
    <xf numFmtId="164" fontId="96" fillId="0" borderId="0" applyNumberFormat="0" applyFill="0" applyBorder="0" applyAlignment="0" applyProtection="0"/>
    <xf numFmtId="164" fontId="96" fillId="0" borderId="0" applyNumberFormat="0" applyFill="0" applyBorder="0" applyAlignment="0" applyProtection="0"/>
    <xf numFmtId="0" fontId="140" fillId="0" borderId="0" applyNumberFormat="0" applyFill="0" applyBorder="0" applyAlignment="0" applyProtection="0"/>
    <xf numFmtId="164" fontId="96" fillId="0" borderId="0" applyNumberFormat="0" applyFill="0" applyBorder="0" applyAlignment="0" applyProtection="0"/>
    <xf numFmtId="0" fontId="148" fillId="0" borderId="0" applyNumberForma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1" fillId="0" borderId="0"/>
    <xf numFmtId="43" fontId="1" fillId="0" borderId="0" applyFont="0" applyFill="0" applyBorder="0" applyAlignment="0" applyProtection="0"/>
  </cellStyleXfs>
  <cellXfs count="543">
    <xf numFmtId="0" fontId="0" fillId="0" borderId="0" xfId="0"/>
    <xf numFmtId="0" fontId="6" fillId="0" borderId="0" xfId="47798" applyFont="1"/>
    <xf numFmtId="0" fontId="141" fillId="0" borderId="0" xfId="47798" applyFont="1"/>
    <xf numFmtId="0" fontId="4" fillId="0" borderId="0" xfId="47798"/>
    <xf numFmtId="0" fontId="5" fillId="33" borderId="10" xfId="47798" applyFont="1" applyFill="1" applyBorder="1" applyAlignment="1">
      <alignment horizontal="center" vertical="center" wrapText="1"/>
    </xf>
    <xf numFmtId="0" fontId="5" fillId="33" borderId="10" xfId="47798" applyFont="1" applyFill="1" applyBorder="1" applyAlignment="1">
      <alignment wrapText="1"/>
    </xf>
    <xf numFmtId="0" fontId="6" fillId="0" borderId="10" xfId="47798" applyFont="1" applyBorder="1" applyAlignment="1">
      <alignment horizontal="center" vertical="center"/>
    </xf>
    <xf numFmtId="177" fontId="6" fillId="0" borderId="10" xfId="47798" applyNumberFormat="1" applyFont="1" applyBorder="1" applyAlignment="1">
      <alignment horizontal="left" vertical="center" indent="1"/>
    </xf>
    <xf numFmtId="197" fontId="6" fillId="0" borderId="10" xfId="3719" applyNumberFormat="1" applyFont="1" applyBorder="1" applyAlignment="1">
      <alignment horizontal="center" vertical="center"/>
    </xf>
    <xf numFmtId="197" fontId="6" fillId="0" borderId="10" xfId="47798" applyNumberFormat="1" applyFont="1" applyBorder="1" applyAlignment="1">
      <alignment horizontal="center" vertical="center"/>
    </xf>
    <xf numFmtId="0" fontId="6" fillId="0" borderId="10" xfId="47798" applyFont="1" applyBorder="1" applyAlignment="1">
      <alignment horizontal="left" vertical="center" wrapText="1" indent="1"/>
    </xf>
    <xf numFmtId="44" fontId="6" fillId="0" borderId="10" xfId="47798" applyNumberFormat="1" applyFont="1" applyBorder="1" applyAlignment="1">
      <alignment horizontal="center" vertical="center"/>
    </xf>
    <xf numFmtId="0" fontId="10" fillId="0" borderId="0" xfId="47796"/>
    <xf numFmtId="0" fontId="7" fillId="0" borderId="0" xfId="47796" applyFont="1" applyFill="1"/>
    <xf numFmtId="0" fontId="7" fillId="0" borderId="0" xfId="47796" applyFont="1" applyFill="1" applyAlignment="1"/>
    <xf numFmtId="0" fontId="144" fillId="0" borderId="0" xfId="47796" applyFont="1"/>
    <xf numFmtId="0" fontId="7" fillId="0" borderId="0" xfId="47796" applyFont="1"/>
    <xf numFmtId="0" fontId="7" fillId="0" borderId="0" xfId="47796" applyFont="1" applyAlignment="1">
      <alignment vertical="center" wrapText="1"/>
    </xf>
    <xf numFmtId="0" fontId="7" fillId="0" borderId="67" xfId="47796" applyFont="1" applyBorder="1" applyAlignment="1">
      <alignment horizontal="center" vertical="center" wrapText="1"/>
    </xf>
    <xf numFmtId="0" fontId="144" fillId="0" borderId="68" xfId="47796" applyFont="1" applyBorder="1" applyAlignment="1" applyProtection="1">
      <alignment horizontal="center"/>
    </xf>
    <xf numFmtId="37" fontId="144" fillId="0" borderId="69" xfId="47796" applyNumberFormat="1" applyFont="1" applyBorder="1" applyAlignment="1" applyProtection="1">
      <alignment horizontal="center"/>
    </xf>
    <xf numFmtId="0" fontId="144" fillId="0" borderId="69" xfId="47796" applyFont="1" applyBorder="1" applyAlignment="1" applyProtection="1">
      <alignment horizontal="center"/>
    </xf>
    <xf numFmtId="0" fontId="144" fillId="0" borderId="70" xfId="47796" applyFont="1" applyBorder="1" applyAlignment="1" applyProtection="1">
      <alignment horizontal="center"/>
    </xf>
    <xf numFmtId="0" fontId="144" fillId="33" borderId="71" xfId="47796" applyFont="1" applyFill="1" applyBorder="1" applyAlignment="1">
      <alignment horizontal="center"/>
    </xf>
    <xf numFmtId="0" fontId="7" fillId="0" borderId="75" xfId="47796" applyFont="1" applyFill="1" applyBorder="1"/>
    <xf numFmtId="198" fontId="7" fillId="0" borderId="10" xfId="47796" applyNumberFormat="1" applyFont="1" applyFill="1" applyBorder="1" applyAlignment="1">
      <alignment horizontal="center"/>
    </xf>
    <xf numFmtId="198" fontId="7" fillId="0" borderId="76" xfId="2827" applyNumberFormat="1" applyFont="1" applyFill="1" applyBorder="1" applyAlignment="1">
      <alignment horizontal="center"/>
    </xf>
    <xf numFmtId="0" fontId="144" fillId="0" borderId="75" xfId="47796" applyFont="1" applyFill="1" applyBorder="1"/>
    <xf numFmtId="198" fontId="144" fillId="0" borderId="10" xfId="47796" applyNumberFormat="1" applyFont="1" applyFill="1" applyBorder="1" applyAlignment="1">
      <alignment horizontal="center"/>
    </xf>
    <xf numFmtId="198" fontId="144" fillId="0" borderId="10" xfId="47796" quotePrefix="1" applyNumberFormat="1" applyFont="1" applyFill="1" applyBorder="1" applyAlignment="1">
      <alignment horizontal="center"/>
    </xf>
    <xf numFmtId="198" fontId="144" fillId="0" borderId="76" xfId="2827" applyNumberFormat="1" applyFont="1" applyFill="1" applyBorder="1" applyAlignment="1">
      <alignment horizontal="center"/>
    </xf>
    <xf numFmtId="0" fontId="7" fillId="0" borderId="0" xfId="47796" applyFont="1" applyFill="1" applyAlignment="1">
      <alignment vertical="center" wrapText="1"/>
    </xf>
    <xf numFmtId="0" fontId="144" fillId="35" borderId="77" xfId="55220" applyFont="1" applyFill="1" applyBorder="1"/>
    <xf numFmtId="198" fontId="5" fillId="35" borderId="78" xfId="47796" applyNumberFormat="1" applyFont="1" applyFill="1" applyBorder="1" applyAlignment="1">
      <alignment horizontal="center"/>
    </xf>
    <xf numFmtId="198" fontId="5" fillId="35" borderId="79" xfId="47796" applyNumberFormat="1" applyFont="1" applyFill="1" applyBorder="1" applyAlignment="1">
      <alignment horizontal="center"/>
    </xf>
    <xf numFmtId="0" fontId="144" fillId="0" borderId="80" xfId="47796" applyFont="1" applyFill="1" applyBorder="1"/>
    <xf numFmtId="198" fontId="144" fillId="0" borderId="76" xfId="2827" applyNumberFormat="1" applyFont="1" applyFill="1" applyBorder="1" applyAlignment="1">
      <alignment horizontal="right"/>
    </xf>
    <xf numFmtId="0" fontId="144" fillId="35" borderId="77" xfId="47796" applyFont="1" applyFill="1" applyBorder="1"/>
    <xf numFmtId="198" fontId="144" fillId="35" borderId="78" xfId="47796" applyNumberFormat="1" applyFont="1" applyFill="1" applyBorder="1" applyAlignment="1">
      <alignment horizontal="center"/>
    </xf>
    <xf numFmtId="198" fontId="144" fillId="35" borderId="79" xfId="47796" applyNumberFormat="1" applyFont="1" applyFill="1" applyBorder="1" applyAlignment="1">
      <alignment horizontal="center"/>
    </xf>
    <xf numFmtId="0" fontId="144" fillId="0" borderId="34" xfId="47796" applyFont="1" applyFill="1" applyBorder="1"/>
    <xf numFmtId="198" fontId="144" fillId="0" borderId="34" xfId="47796" applyNumberFormat="1" applyFont="1" applyFill="1" applyBorder="1" applyAlignment="1">
      <alignment horizontal="center"/>
    </xf>
    <xf numFmtId="198" fontId="144" fillId="0" borderId="34" xfId="47796" applyNumberFormat="1" applyFont="1" applyFill="1" applyBorder="1" applyAlignment="1">
      <alignment horizontal="right"/>
    </xf>
    <xf numFmtId="198" fontId="7" fillId="0" borderId="76" xfId="47796" applyNumberFormat="1" applyFont="1" applyFill="1" applyBorder="1" applyAlignment="1">
      <alignment horizontal="center"/>
    </xf>
    <xf numFmtId="198" fontId="7" fillId="33" borderId="72" xfId="47796" applyNumberFormat="1" applyFont="1" applyFill="1" applyBorder="1" applyAlignment="1"/>
    <xf numFmtId="198" fontId="7" fillId="33" borderId="73" xfId="47796" applyNumberFormat="1" applyFont="1" applyFill="1" applyBorder="1" applyAlignment="1"/>
    <xf numFmtId="198" fontId="7" fillId="33" borderId="74" xfId="47796" applyNumberFormat="1" applyFont="1" applyFill="1" applyBorder="1" applyAlignment="1"/>
    <xf numFmtId="0" fontId="144" fillId="115" borderId="71" xfId="47796" applyFont="1" applyFill="1" applyBorder="1" applyAlignment="1">
      <alignment horizontal="center"/>
    </xf>
    <xf numFmtId="198" fontId="7" fillId="115" borderId="72" xfId="47796" applyNumberFormat="1" applyFont="1" applyFill="1" applyBorder="1" applyAlignment="1"/>
    <xf numFmtId="198" fontId="7" fillId="115" borderId="73" xfId="47796" applyNumberFormat="1" applyFont="1" applyFill="1" applyBorder="1" applyAlignment="1"/>
    <xf numFmtId="198" fontId="7" fillId="115" borderId="74" xfId="47796" applyNumberFormat="1" applyFont="1" applyFill="1" applyBorder="1" applyAlignment="1"/>
    <xf numFmtId="0" fontId="7" fillId="116" borderId="82" xfId="47796" applyFont="1" applyFill="1" applyBorder="1" applyAlignment="1">
      <alignment vertical="top"/>
    </xf>
    <xf numFmtId="0" fontId="7" fillId="116" borderId="83" xfId="47796" applyFont="1" applyFill="1" applyBorder="1" applyAlignment="1">
      <alignment vertical="top"/>
    </xf>
    <xf numFmtId="0" fontId="7" fillId="116" borderId="84" xfId="47796" applyFont="1" applyFill="1" applyBorder="1" applyAlignment="1">
      <alignment vertical="top"/>
    </xf>
    <xf numFmtId="0" fontId="7" fillId="116" borderId="67" xfId="47796" applyFont="1" applyFill="1" applyBorder="1" applyAlignment="1">
      <alignment vertical="top"/>
    </xf>
    <xf numFmtId="0" fontId="7" fillId="116" borderId="0" xfId="47796" applyFont="1" applyFill="1" applyBorder="1" applyAlignment="1">
      <alignment vertical="top"/>
    </xf>
    <xf numFmtId="0" fontId="7" fillId="116" borderId="85" xfId="47796" applyFont="1" applyFill="1" applyBorder="1" applyAlignment="1">
      <alignment vertical="top"/>
    </xf>
    <xf numFmtId="0" fontId="7" fillId="116" borderId="86" xfId="47796" applyFont="1" applyFill="1" applyBorder="1" applyAlignment="1">
      <alignment vertical="top"/>
    </xf>
    <xf numFmtId="0" fontId="7" fillId="116" borderId="34" xfId="47796" applyFont="1" applyFill="1" applyBorder="1" applyAlignment="1">
      <alignment vertical="top"/>
    </xf>
    <xf numFmtId="0" fontId="7" fillId="116" borderId="65" xfId="47796" applyFont="1" applyFill="1" applyBorder="1" applyAlignment="1">
      <alignment vertical="top"/>
    </xf>
    <xf numFmtId="0" fontId="145" fillId="0" borderId="0" xfId="47796" applyFont="1"/>
    <xf numFmtId="0" fontId="10" fillId="0" borderId="0" xfId="47796" applyFont="1" applyAlignment="1"/>
    <xf numFmtId="0" fontId="10" fillId="0" borderId="0" xfId="47796" applyAlignment="1"/>
    <xf numFmtId="0" fontId="10" fillId="0" borderId="0" xfId="47796" applyBorder="1"/>
    <xf numFmtId="0" fontId="7" fillId="116" borderId="82" xfId="47796" applyFont="1" applyFill="1" applyBorder="1"/>
    <xf numFmtId="0" fontId="7" fillId="116" borderId="87" xfId="47796" applyFont="1" applyFill="1" applyBorder="1"/>
    <xf numFmtId="0" fontId="7" fillId="116" borderId="67" xfId="47796" applyFont="1" applyFill="1" applyBorder="1"/>
    <xf numFmtId="0" fontId="7" fillId="116" borderId="11" xfId="47796" applyFont="1" applyFill="1" applyBorder="1"/>
    <xf numFmtId="0" fontId="144" fillId="116" borderId="12" xfId="47796" applyFont="1" applyFill="1" applyBorder="1" applyAlignment="1">
      <alignment horizontal="center" vertical="center" wrapText="1"/>
    </xf>
    <xf numFmtId="0" fontId="144" fillId="116" borderId="85" xfId="47796" applyFont="1" applyFill="1" applyBorder="1" applyAlignment="1">
      <alignment horizontal="center" vertical="center" wrapText="1"/>
    </xf>
    <xf numFmtId="0" fontId="144" fillId="116" borderId="11" xfId="47796" applyFont="1" applyFill="1" applyBorder="1" applyAlignment="1">
      <alignment horizontal="center" vertical="center" wrapText="1"/>
    </xf>
    <xf numFmtId="0" fontId="144" fillId="116" borderId="13" xfId="47796" applyFont="1" applyFill="1" applyBorder="1" applyAlignment="1">
      <alignment horizontal="center" vertical="center" wrapText="1"/>
    </xf>
    <xf numFmtId="0" fontId="10" fillId="0" borderId="0" xfId="47796" applyFont="1" applyBorder="1"/>
    <xf numFmtId="0" fontId="144" fillId="0" borderId="90" xfId="47796" applyFont="1" applyFill="1" applyBorder="1" applyAlignment="1">
      <alignment vertical="top" wrapText="1"/>
    </xf>
    <xf numFmtId="0" fontId="7" fillId="0" borderId="91" xfId="47796" applyFont="1" applyBorder="1"/>
    <xf numFmtId="0" fontId="7" fillId="0" borderId="92" xfId="47796" applyFont="1" applyFill="1" applyBorder="1" applyAlignment="1">
      <alignment horizontal="right" vertical="top" wrapText="1"/>
    </xf>
    <xf numFmtId="0" fontId="7" fillId="0" borderId="93" xfId="47796" applyFont="1" applyFill="1" applyBorder="1" applyAlignment="1">
      <alignment horizontal="right" vertical="top" wrapText="1"/>
    </xf>
    <xf numFmtId="0" fontId="7" fillId="117" borderId="92" xfId="47796" applyFont="1" applyFill="1" applyBorder="1"/>
    <xf numFmtId="0" fontId="7" fillId="117" borderId="94" xfId="47796" applyFont="1" applyFill="1" applyBorder="1"/>
    <xf numFmtId="0" fontId="7" fillId="0" borderId="67" xfId="47796" applyFont="1" applyFill="1" applyBorder="1" applyAlignment="1">
      <alignment horizontal="left" vertical="center" indent="3"/>
    </xf>
    <xf numFmtId="168" fontId="7" fillId="0" borderId="11" xfId="47796" applyNumberFormat="1" applyFont="1" applyFill="1" applyBorder="1"/>
    <xf numFmtId="168" fontId="7" fillId="0" borderId="12" xfId="47796" applyNumberFormat="1" applyFont="1" applyFill="1" applyBorder="1" applyAlignment="1">
      <alignment horizontal="right" vertical="top" wrapText="1"/>
    </xf>
    <xf numFmtId="168" fontId="7" fillId="0" borderId="13" xfId="47796" applyNumberFormat="1" applyFont="1" applyFill="1" applyBorder="1" applyAlignment="1">
      <alignment horizontal="right" vertical="top" wrapText="1"/>
    </xf>
    <xf numFmtId="0" fontId="7" fillId="117" borderId="12" xfId="47796" applyFont="1" applyFill="1" applyBorder="1"/>
    <xf numFmtId="0" fontId="7" fillId="117" borderId="85" xfId="47796" applyFont="1" applyFill="1" applyBorder="1"/>
    <xf numFmtId="0" fontId="146" fillId="0" borderId="67" xfId="47796" applyFont="1" applyFill="1" applyBorder="1" applyAlignment="1">
      <alignment horizontal="left" vertical="center" indent="3"/>
    </xf>
    <xf numFmtId="168" fontId="7" fillId="33" borderId="11" xfId="47796" applyNumberFormat="1" applyFont="1" applyFill="1" applyBorder="1" applyAlignment="1">
      <alignment horizontal="right" vertical="top" wrapText="1"/>
    </xf>
    <xf numFmtId="168" fontId="7" fillId="33" borderId="12" xfId="47796" applyNumberFormat="1" applyFont="1" applyFill="1" applyBorder="1" applyAlignment="1">
      <alignment horizontal="right" vertical="top" wrapText="1"/>
    </xf>
    <xf numFmtId="168" fontId="7" fillId="0" borderId="0" xfId="47796" applyNumberFormat="1" applyFont="1" applyFill="1" applyBorder="1" applyAlignment="1">
      <alignment horizontal="right" vertical="top" wrapText="1"/>
    </xf>
    <xf numFmtId="0" fontId="7" fillId="0" borderId="67" xfId="47796" applyFont="1" applyFill="1" applyBorder="1" applyAlignment="1">
      <alignment vertical="top" wrapText="1"/>
    </xf>
    <xf numFmtId="0" fontId="7" fillId="0" borderId="11" xfId="47796" applyFont="1" applyBorder="1"/>
    <xf numFmtId="0" fontId="7" fillId="0" borderId="12" xfId="47796" applyFont="1" applyFill="1" applyBorder="1" applyAlignment="1">
      <alignment horizontal="right" vertical="top" wrapText="1"/>
    </xf>
    <xf numFmtId="0" fontId="7" fillId="0" borderId="13" xfId="47796" applyFont="1" applyFill="1" applyBorder="1" applyAlignment="1">
      <alignment horizontal="right" vertical="top" wrapText="1"/>
    </xf>
    <xf numFmtId="174" fontId="7" fillId="33" borderId="11" xfId="47796" applyNumberFormat="1" applyFont="1" applyFill="1" applyBorder="1"/>
    <xf numFmtId="174" fontId="7" fillId="0" borderId="12" xfId="47796" applyNumberFormat="1" applyFont="1" applyFill="1" applyBorder="1" applyAlignment="1">
      <alignment horizontal="right" vertical="top" wrapText="1"/>
    </xf>
    <xf numFmtId="174" fontId="7" fillId="0" borderId="13" xfId="47796" applyNumberFormat="1" applyFont="1" applyFill="1" applyBorder="1" applyAlignment="1">
      <alignment horizontal="right" vertical="top" wrapText="1"/>
    </xf>
    <xf numFmtId="0" fontId="7" fillId="0" borderId="95" xfId="47796" applyFont="1" applyFill="1" applyBorder="1" applyAlignment="1">
      <alignment vertical="top" wrapText="1"/>
    </xf>
    <xf numFmtId="0" fontId="7" fillId="0" borderId="96" xfId="47796" applyFont="1" applyBorder="1"/>
    <xf numFmtId="0" fontId="7" fillId="0" borderId="97" xfId="47796" applyFont="1" applyFill="1" applyBorder="1" applyAlignment="1">
      <alignment horizontal="right" vertical="top" wrapText="1"/>
    </xf>
    <xf numFmtId="0" fontId="7" fillId="0" borderId="98" xfId="47796" applyFont="1" applyFill="1" applyBorder="1" applyAlignment="1">
      <alignment horizontal="right" vertical="top" wrapText="1"/>
    </xf>
    <xf numFmtId="0" fontId="7" fillId="117" borderId="97" xfId="47796" applyFont="1" applyFill="1" applyBorder="1"/>
    <xf numFmtId="0" fontId="7" fillId="117" borderId="99" xfId="47796" applyFont="1" applyFill="1" applyBorder="1"/>
    <xf numFmtId="0" fontId="7" fillId="0" borderId="12" xfId="47796" applyFont="1" applyBorder="1"/>
    <xf numFmtId="0" fontId="7" fillId="0" borderId="85" xfId="47796" applyFont="1" applyBorder="1"/>
    <xf numFmtId="2" fontId="7" fillId="33" borderId="12" xfId="47796" applyNumberFormat="1" applyFont="1" applyFill="1" applyBorder="1"/>
    <xf numFmtId="2" fontId="7" fillId="33" borderId="85" xfId="47796" applyNumberFormat="1" applyFont="1" applyFill="1" applyBorder="1"/>
    <xf numFmtId="0" fontId="7" fillId="0" borderId="96" xfId="47796" applyFont="1" applyFill="1" applyBorder="1"/>
    <xf numFmtId="0" fontId="7" fillId="0" borderId="97" xfId="47796" applyFont="1" applyBorder="1"/>
    <xf numFmtId="0" fontId="7" fillId="0" borderId="99" xfId="47796" applyFont="1" applyBorder="1"/>
    <xf numFmtId="0" fontId="7" fillId="0" borderId="91" xfId="47796" applyFont="1" applyFill="1" applyBorder="1"/>
    <xf numFmtId="1" fontId="7" fillId="0" borderId="11" xfId="47796" applyNumberFormat="1" applyFont="1" applyFill="1" applyBorder="1"/>
    <xf numFmtId="1" fontId="7" fillId="0" borderId="12" xfId="47796" applyNumberFormat="1" applyFont="1" applyFill="1" applyBorder="1" applyAlignment="1">
      <alignment horizontal="right" vertical="top" wrapText="1"/>
    </xf>
    <xf numFmtId="1" fontId="7" fillId="0" borderId="13" xfId="47796" applyNumberFormat="1" applyFont="1" applyFill="1" applyBorder="1" applyAlignment="1">
      <alignment horizontal="right" vertical="top" wrapText="1"/>
    </xf>
    <xf numFmtId="0" fontId="146" fillId="0" borderId="86" xfId="47796" applyFont="1" applyFill="1" applyBorder="1" applyAlignment="1">
      <alignment horizontal="left" vertical="center" indent="3"/>
    </xf>
    <xf numFmtId="1" fontId="7" fillId="33" borderId="100" xfId="47796" applyNumberFormat="1" applyFont="1" applyFill="1" applyBorder="1"/>
    <xf numFmtId="1" fontId="7" fillId="33" borderId="101" xfId="47796" applyNumberFormat="1" applyFont="1" applyFill="1" applyBorder="1"/>
    <xf numFmtId="0" fontId="7" fillId="0" borderId="102" xfId="47796" applyFont="1" applyBorder="1"/>
    <xf numFmtId="0" fontId="7" fillId="117" borderId="101" xfId="47796" applyFont="1" applyFill="1" applyBorder="1"/>
    <xf numFmtId="0" fontId="7" fillId="117" borderId="65" xfId="47796" applyFont="1" applyFill="1" applyBorder="1"/>
    <xf numFmtId="0" fontId="10" fillId="0" borderId="0" xfId="47796" applyFont="1"/>
    <xf numFmtId="0" fontId="2" fillId="0" borderId="0" xfId="55607" applyBorder="1"/>
    <xf numFmtId="0" fontId="2" fillId="0" borderId="0" xfId="55607"/>
    <xf numFmtId="44" fontId="2" fillId="0" borderId="0" xfId="3768" applyFont="1"/>
    <xf numFmtId="0" fontId="4" fillId="0" borderId="0" xfId="55607" applyFont="1" applyBorder="1" applyAlignment="1">
      <alignment horizontal="left" vertical="top" wrapText="1"/>
    </xf>
    <xf numFmtId="0" fontId="143" fillId="0" borderId="0" xfId="47796" applyFont="1"/>
    <xf numFmtId="0" fontId="143" fillId="0" borderId="10" xfId="47796" applyFont="1" applyBorder="1" applyAlignment="1">
      <alignment horizontal="center" wrapText="1"/>
    </xf>
    <xf numFmtId="0" fontId="143" fillId="0" borderId="103" xfId="47796" applyFont="1" applyBorder="1" applyAlignment="1"/>
    <xf numFmtId="0" fontId="143" fillId="0" borderId="21" xfId="47796" applyFont="1" applyBorder="1" applyAlignment="1"/>
    <xf numFmtId="9" fontId="143" fillId="0" borderId="10" xfId="47796" applyNumberFormat="1" applyFont="1" applyBorder="1" applyAlignment="1">
      <alignment horizontal="center" vertical="top"/>
    </xf>
    <xf numFmtId="0" fontId="6" fillId="0" borderId="0" xfId="47798" applyFont="1" applyAlignment="1"/>
    <xf numFmtId="200" fontId="6" fillId="0" borderId="0" xfId="3719" applyNumberFormat="1" applyFont="1"/>
    <xf numFmtId="0" fontId="5" fillId="0" borderId="0" xfId="47798" applyFont="1"/>
    <xf numFmtId="1" fontId="5" fillId="33" borderId="10" xfId="3719" applyNumberFormat="1" applyFont="1" applyFill="1" applyBorder="1" applyAlignment="1">
      <alignment horizontal="center" vertical="center" wrapText="1"/>
    </xf>
    <xf numFmtId="200" fontId="6" fillId="0" borderId="0" xfId="3719" applyNumberFormat="1" applyFont="1" applyAlignment="1">
      <alignment horizontal="center" vertical="center"/>
    </xf>
    <xf numFmtId="200" fontId="6" fillId="0" borderId="10" xfId="3719" applyNumberFormat="1" applyFont="1" applyBorder="1"/>
    <xf numFmtId="173" fontId="6" fillId="0" borderId="10" xfId="56596" applyNumberFormat="1" applyFont="1" applyBorder="1"/>
    <xf numFmtId="0" fontId="4" fillId="35" borderId="92" xfId="47798" applyFill="1" applyBorder="1"/>
    <xf numFmtId="0" fontId="16" fillId="35" borderId="104" xfId="47798" applyFont="1" applyFill="1" applyBorder="1"/>
    <xf numFmtId="0" fontId="16" fillId="35" borderId="93" xfId="47798" applyFont="1" applyFill="1" applyBorder="1"/>
    <xf numFmtId="0" fontId="4" fillId="35" borderId="12" xfId="47798" applyFill="1" applyBorder="1"/>
    <xf numFmtId="0" fontId="16" fillId="35" borderId="0" xfId="47798" applyFont="1" applyFill="1" applyBorder="1"/>
    <xf numFmtId="0" fontId="16" fillId="35" borderId="13" xfId="47798" applyFont="1" applyFill="1" applyBorder="1"/>
    <xf numFmtId="0" fontId="16" fillId="35" borderId="0" xfId="47798" applyFont="1" applyFill="1" applyBorder="1" applyAlignment="1">
      <alignment horizontal="right"/>
    </xf>
    <xf numFmtId="0" fontId="149" fillId="35" borderId="0" xfId="59025" applyFont="1" applyFill="1" applyBorder="1"/>
    <xf numFmtId="0" fontId="4" fillId="35" borderId="97" xfId="47798" applyFill="1" applyBorder="1"/>
    <xf numFmtId="0" fontId="4" fillId="35" borderId="105" xfId="47798" applyFill="1" applyBorder="1"/>
    <xf numFmtId="0" fontId="141" fillId="35" borderId="105" xfId="47798" applyFont="1" applyFill="1" applyBorder="1"/>
    <xf numFmtId="0" fontId="4" fillId="35" borderId="98" xfId="47798" applyFill="1" applyBorder="1"/>
    <xf numFmtId="14" fontId="6" fillId="0" borderId="0" xfId="47798" applyNumberFormat="1" applyFont="1"/>
    <xf numFmtId="44" fontId="6" fillId="0" borderId="0" xfId="3719" applyFont="1"/>
    <xf numFmtId="0" fontId="6" fillId="0" borderId="0" xfId="47798" applyFont="1" applyFill="1" applyAlignment="1"/>
    <xf numFmtId="43" fontId="6" fillId="0" borderId="0" xfId="2844" applyFont="1"/>
    <xf numFmtId="0" fontId="6" fillId="34" borderId="103" xfId="47798" applyFont="1" applyFill="1" applyBorder="1" applyAlignment="1">
      <alignment horizontal="left" vertical="center"/>
    </xf>
    <xf numFmtId="0" fontId="6" fillId="34" borderId="21" xfId="47798" applyFont="1" applyFill="1" applyBorder="1"/>
    <xf numFmtId="0" fontId="6" fillId="34" borderId="106" xfId="47798" applyFont="1" applyFill="1" applyBorder="1"/>
    <xf numFmtId="0" fontId="6" fillId="34" borderId="10" xfId="47798" applyFont="1" applyFill="1" applyBorder="1" applyAlignment="1">
      <alignment horizontal="center" vertical="center"/>
    </xf>
    <xf numFmtId="0" fontId="6" fillId="33" borderId="10" xfId="47798" applyFont="1" applyFill="1" applyBorder="1"/>
    <xf numFmtId="0" fontId="6" fillId="33" borderId="10" xfId="47798" applyFont="1" applyFill="1" applyBorder="1" applyAlignment="1">
      <alignment horizontal="center"/>
    </xf>
    <xf numFmtId="201" fontId="6" fillId="33" borderId="10" xfId="2844" applyNumberFormat="1" applyFont="1" applyFill="1" applyBorder="1"/>
    <xf numFmtId="201" fontId="6" fillId="0" borderId="10" xfId="2844" applyNumberFormat="1" applyFont="1" applyBorder="1"/>
    <xf numFmtId="0" fontId="6" fillId="0" borderId="0" xfId="47798" applyFont="1" applyBorder="1"/>
    <xf numFmtId="0" fontId="150" fillId="0" borderId="0" xfId="54712" applyFont="1"/>
    <xf numFmtId="168" fontId="150" fillId="0" borderId="10" xfId="54712" applyNumberFormat="1" applyFont="1" applyBorder="1"/>
    <xf numFmtId="168" fontId="150" fillId="0" borderId="10" xfId="54713" applyNumberFormat="1" applyFont="1" applyBorder="1"/>
    <xf numFmtId="0" fontId="150" fillId="0" borderId="10" xfId="54712" applyFont="1" applyBorder="1"/>
    <xf numFmtId="168" fontId="150" fillId="0" borderId="10" xfId="2844" applyNumberFormat="1" applyFont="1" applyBorder="1"/>
    <xf numFmtId="168" fontId="150" fillId="0" borderId="10" xfId="54723" applyNumberFormat="1" applyFont="1" applyBorder="1"/>
    <xf numFmtId="201" fontId="150" fillId="0" borderId="10" xfId="2844" applyNumberFormat="1" applyFont="1" applyBorder="1"/>
    <xf numFmtId="168" fontId="6" fillId="0" borderId="10" xfId="47798" applyNumberFormat="1" applyFont="1" applyBorder="1"/>
    <xf numFmtId="0" fontId="5" fillId="0" borderId="0" xfId="47798" applyFont="1" applyAlignment="1">
      <alignment horizontal="left" indent="1"/>
    </xf>
    <xf numFmtId="2" fontId="4" fillId="0" borderId="0" xfId="47798" applyNumberFormat="1"/>
    <xf numFmtId="15" fontId="4" fillId="0" borderId="0" xfId="47798" applyNumberFormat="1"/>
    <xf numFmtId="43" fontId="0" fillId="0" borderId="0" xfId="2844" applyFont="1"/>
    <xf numFmtId="202" fontId="4" fillId="0" borderId="0" xfId="47798" applyNumberFormat="1"/>
    <xf numFmtId="14" fontId="4" fillId="0" borderId="0" xfId="47798" applyNumberFormat="1"/>
    <xf numFmtId="0" fontId="151" fillId="118" borderId="92" xfId="47798" applyNumberFormat="1" applyFont="1" applyFill="1" applyBorder="1" applyAlignment="1">
      <alignment horizontal="center" vertical="center" wrapText="1"/>
    </xf>
    <xf numFmtId="0" fontId="151" fillId="118" borderId="92" xfId="47798" applyNumberFormat="1" applyFont="1" applyFill="1" applyBorder="1" applyAlignment="1">
      <alignment wrapText="1"/>
    </xf>
    <xf numFmtId="0" fontId="151" fillId="118" borderId="91" xfId="47798" applyNumberFormat="1" applyFont="1" applyFill="1" applyBorder="1" applyAlignment="1">
      <alignment wrapText="1"/>
    </xf>
    <xf numFmtId="0" fontId="6" fillId="119" borderId="92" xfId="47798" applyNumberFormat="1" applyFont="1" applyFill="1" applyBorder="1" applyAlignment="1">
      <alignment horizontal="center" vertical="center" wrapText="1"/>
    </xf>
    <xf numFmtId="0" fontId="5" fillId="119" borderId="92" xfId="47798" applyNumberFormat="1" applyFont="1" applyFill="1" applyBorder="1" applyAlignment="1">
      <alignment horizontal="left" vertical="center" wrapText="1"/>
    </xf>
    <xf numFmtId="0" fontId="6" fillId="119" borderId="92" xfId="47798" applyNumberFormat="1" applyFont="1" applyFill="1" applyBorder="1" applyAlignment="1">
      <alignment horizontal="left" vertical="center" wrapText="1"/>
    </xf>
    <xf numFmtId="0" fontId="6" fillId="119" borderId="91" xfId="47798" applyNumberFormat="1" applyFont="1" applyFill="1" applyBorder="1" applyAlignment="1">
      <alignment horizontal="left" vertical="center" wrapText="1"/>
    </xf>
    <xf numFmtId="0" fontId="6" fillId="0" borderId="92" xfId="47798" applyNumberFormat="1" applyFont="1" applyBorder="1" applyAlignment="1">
      <alignment horizontal="center" vertical="center" wrapText="1"/>
    </xf>
    <xf numFmtId="0" fontId="5" fillId="0" borderId="92" xfId="47798" applyNumberFormat="1" applyFont="1" applyBorder="1" applyAlignment="1">
      <alignment horizontal="left" vertical="center" wrapText="1"/>
    </xf>
    <xf numFmtId="0" fontId="6" fillId="0" borderId="92" xfId="47798" applyNumberFormat="1" applyFont="1" applyBorder="1" applyAlignment="1">
      <alignment horizontal="left" vertical="center" wrapText="1"/>
    </xf>
    <xf numFmtId="0" fontId="6" fillId="0" borderId="91" xfId="47798" applyNumberFormat="1" applyFont="1" applyBorder="1" applyAlignment="1">
      <alignment horizontal="left" vertical="center" wrapText="1"/>
    </xf>
    <xf numFmtId="0" fontId="4" fillId="119" borderId="92" xfId="47798" applyNumberFormat="1" applyFont="1" applyFill="1" applyBorder="1" applyAlignment="1"/>
    <xf numFmtId="0" fontId="6" fillId="0" borderId="107" xfId="47798" applyNumberFormat="1" applyFont="1" applyBorder="1" applyAlignment="1">
      <alignment horizontal="left" vertical="center" wrapText="1"/>
    </xf>
    <xf numFmtId="0" fontId="5" fillId="0" borderId="91" xfId="47798" applyNumberFormat="1" applyFont="1" applyBorder="1" applyAlignment="1">
      <alignment horizontal="left" vertical="center" wrapText="1"/>
    </xf>
    <xf numFmtId="0" fontId="6" fillId="119" borderId="107" xfId="47798" applyNumberFormat="1" applyFont="1" applyFill="1" applyBorder="1" applyAlignment="1">
      <alignment horizontal="left" vertical="center" wrapText="1"/>
    </xf>
    <xf numFmtId="0" fontId="6" fillId="119" borderId="103" xfId="47798" applyNumberFormat="1" applyFont="1" applyFill="1" applyBorder="1" applyAlignment="1">
      <alignment horizontal="center" vertical="center" wrapText="1"/>
    </xf>
    <xf numFmtId="0" fontId="6" fillId="119" borderId="103" xfId="47798" applyNumberFormat="1" applyFont="1" applyFill="1" applyBorder="1" applyAlignment="1">
      <alignment horizontal="left" vertical="center" wrapText="1"/>
    </xf>
    <xf numFmtId="0" fontId="6" fillId="119" borderId="108" xfId="47798" applyNumberFormat="1" applyFont="1" applyFill="1" applyBorder="1" applyAlignment="1">
      <alignment horizontal="left" vertical="center" wrapText="1"/>
    </xf>
    <xf numFmtId="0" fontId="5" fillId="0" borderId="0" xfId="0" applyFont="1"/>
    <xf numFmtId="0" fontId="6" fillId="0" borderId="0" xfId="0" applyFont="1"/>
    <xf numFmtId="0" fontId="144" fillId="33" borderId="10" xfId="0" applyFont="1" applyFill="1" applyBorder="1" applyAlignment="1">
      <alignment horizontal="center" vertical="center" wrapText="1"/>
    </xf>
    <xf numFmtId="0" fontId="6" fillId="0" borderId="0" xfId="0" applyFont="1" applyAlignment="1"/>
    <xf numFmtId="0" fontId="5" fillId="0" borderId="0" xfId="47798" applyFont="1" applyBorder="1"/>
    <xf numFmtId="0" fontId="144" fillId="115" borderId="10" xfId="47798" applyFont="1" applyFill="1" applyBorder="1" applyAlignment="1">
      <alignment horizontal="center" vertical="center" wrapText="1"/>
    </xf>
    <xf numFmtId="0" fontId="6" fillId="0" borderId="10" xfId="47798" applyFont="1" applyBorder="1"/>
    <xf numFmtId="2" fontId="6" fillId="0" borderId="10" xfId="47798" applyNumberFormat="1" applyFont="1" applyBorder="1" applyAlignment="1">
      <alignment horizontal="center" vertical="center"/>
    </xf>
    <xf numFmtId="0" fontId="6" fillId="0" borderId="10" xfId="47798" applyFont="1" applyBorder="1" applyAlignment="1">
      <alignment horizontal="center"/>
    </xf>
    <xf numFmtId="173" fontId="6" fillId="0" borderId="10" xfId="56596" applyNumberFormat="1" applyFont="1" applyFill="1" applyBorder="1"/>
    <xf numFmtId="199" fontId="6" fillId="0" borderId="10" xfId="2844" applyNumberFormat="1" applyFont="1" applyFill="1" applyBorder="1"/>
    <xf numFmtId="199" fontId="6" fillId="0" borderId="10" xfId="2844" applyNumberFormat="1" applyFont="1" applyBorder="1"/>
    <xf numFmtId="43" fontId="6" fillId="0" borderId="10" xfId="2844" applyFont="1" applyBorder="1"/>
    <xf numFmtId="0" fontId="6" fillId="0" borderId="10" xfId="47798" applyFont="1" applyBorder="1" applyAlignment="1">
      <alignment wrapText="1"/>
    </xf>
    <xf numFmtId="174" fontId="6" fillId="0" borderId="10" xfId="47798" applyNumberFormat="1" applyFont="1" applyFill="1" applyBorder="1" applyAlignment="1">
      <alignment horizontal="center" vertical="center"/>
    </xf>
    <xf numFmtId="10" fontId="6" fillId="0" borderId="10" xfId="56596" applyNumberFormat="1" applyFont="1" applyBorder="1" applyAlignment="1">
      <alignment horizontal="center" vertical="center"/>
    </xf>
    <xf numFmtId="169" fontId="6" fillId="0" borderId="10" xfId="56596" applyNumberFormat="1" applyFont="1" applyBorder="1" applyAlignment="1">
      <alignment horizontal="center" vertical="center"/>
    </xf>
    <xf numFmtId="3" fontId="6" fillId="0" borderId="10" xfId="47798" applyNumberFormat="1" applyFont="1" applyFill="1" applyBorder="1" applyAlignment="1">
      <alignment horizontal="center" vertical="center"/>
    </xf>
    <xf numFmtId="204" fontId="6" fillId="0" borderId="10" xfId="47798" applyNumberFormat="1" applyFont="1" applyBorder="1" applyAlignment="1">
      <alignment horizontal="center"/>
    </xf>
    <xf numFmtId="169" fontId="6" fillId="0" borderId="10" xfId="47798" applyNumberFormat="1" applyFont="1" applyBorder="1" applyAlignment="1">
      <alignment horizontal="center"/>
    </xf>
    <xf numFmtId="204" fontId="6" fillId="0" borderId="10" xfId="47798" applyNumberFormat="1" applyFont="1" applyFill="1" applyBorder="1" applyAlignment="1">
      <alignment horizontal="center"/>
    </xf>
    <xf numFmtId="4" fontId="6" fillId="0" borderId="10" xfId="47798" applyNumberFormat="1" applyFont="1" applyFill="1" applyBorder="1" applyAlignment="1">
      <alignment horizontal="center" vertical="center"/>
    </xf>
    <xf numFmtId="205" fontId="6" fillId="0" borderId="10" xfId="47798" applyNumberFormat="1" applyFont="1" applyBorder="1" applyAlignment="1">
      <alignment horizontal="center"/>
    </xf>
    <xf numFmtId="0" fontId="6" fillId="0" borderId="10" xfId="47798" applyFont="1" applyBorder="1" applyAlignment="1">
      <alignment horizontal="center" wrapText="1"/>
    </xf>
    <xf numFmtId="43" fontId="6" fillId="0" borderId="10" xfId="2844" applyFont="1" applyFill="1" applyBorder="1" applyAlignment="1">
      <alignment wrapText="1"/>
    </xf>
    <xf numFmtId="43" fontId="6" fillId="0" borderId="10" xfId="2844" applyFont="1" applyBorder="1" applyAlignment="1">
      <alignment wrapText="1"/>
    </xf>
    <xf numFmtId="9" fontId="6" fillId="0" borderId="10" xfId="56596" applyFont="1" applyBorder="1" applyAlignment="1">
      <alignment wrapText="1"/>
    </xf>
    <xf numFmtId="0" fontId="5" fillId="0" borderId="0" xfId="0" applyFont="1" applyAlignment="1">
      <alignment horizontal="left" indent="1"/>
    </xf>
    <xf numFmtId="200" fontId="5" fillId="0" borderId="0" xfId="3719" applyNumberFormat="1" applyFont="1"/>
    <xf numFmtId="200" fontId="5" fillId="0" borderId="0" xfId="3719" applyNumberFormat="1" applyFont="1" applyAlignment="1">
      <alignment horizontal="center" vertical="center"/>
    </xf>
    <xf numFmtId="0" fontId="6" fillId="33" borderId="10" xfId="0" applyFont="1" applyFill="1" applyBorder="1"/>
    <xf numFmtId="200" fontId="6" fillId="33" borderId="10" xfId="0" applyNumberFormat="1" applyFont="1" applyFill="1" applyBorder="1"/>
    <xf numFmtId="0" fontId="6" fillId="0" borderId="0" xfId="0" applyFont="1" applyFill="1" applyBorder="1" applyAlignment="1">
      <alignment horizontal="left" indent="2"/>
    </xf>
    <xf numFmtId="0" fontId="6" fillId="33" borderId="10" xfId="0" applyFont="1" applyFill="1" applyBorder="1" applyAlignment="1">
      <alignment horizontal="left" indent="1"/>
    </xf>
    <xf numFmtId="0" fontId="6" fillId="33" borderId="10" xfId="0" applyFont="1" applyFill="1" applyBorder="1" applyAlignment="1">
      <alignment horizontal="left" indent="2"/>
    </xf>
    <xf numFmtId="0" fontId="6" fillId="33" borderId="106" xfId="47798" applyFont="1" applyFill="1" applyBorder="1"/>
    <xf numFmtId="200" fontId="6" fillId="0" borderId="10" xfId="3719" applyNumberFormat="1" applyFont="1" applyBorder="1" applyAlignment="1">
      <alignment horizontal="left"/>
    </xf>
    <xf numFmtId="0" fontId="5" fillId="0" borderId="0" xfId="47798" applyFont="1" applyAlignment="1"/>
    <xf numFmtId="200" fontId="6" fillId="0" borderId="0" xfId="3719" applyNumberFormat="1" applyFont="1" applyBorder="1" applyAlignment="1">
      <alignment horizontal="left"/>
    </xf>
    <xf numFmtId="1" fontId="144" fillId="33" borderId="10" xfId="3719" applyNumberFormat="1" applyFont="1" applyFill="1" applyBorder="1" applyAlignment="1">
      <alignment horizontal="center" vertical="center" wrapText="1"/>
    </xf>
    <xf numFmtId="0" fontId="6" fillId="33" borderId="10" xfId="0" applyFont="1" applyFill="1" applyBorder="1" applyAlignment="1">
      <alignment horizontal="center" vertical="center"/>
    </xf>
    <xf numFmtId="8" fontId="6" fillId="0" borderId="0" xfId="47798" applyNumberFormat="1" applyFont="1"/>
    <xf numFmtId="4" fontId="6" fillId="0" borderId="0" xfId="47798" applyNumberFormat="1" applyFont="1"/>
    <xf numFmtId="0" fontId="7" fillId="0" borderId="0" xfId="47796" applyFont="1" applyBorder="1"/>
    <xf numFmtId="0" fontId="144" fillId="0" borderId="0" xfId="47796" applyFont="1" applyAlignment="1">
      <alignment horizontal="left" indent="1"/>
    </xf>
    <xf numFmtId="0" fontId="5" fillId="0" borderId="0" xfId="0" applyFont="1" applyBorder="1"/>
    <xf numFmtId="0" fontId="5" fillId="0" borderId="105" xfId="0" applyFont="1" applyBorder="1" applyAlignment="1">
      <alignment horizontal="center"/>
    </xf>
    <xf numFmtId="0" fontId="0" fillId="0" borderId="0" xfId="0" applyAlignment="1">
      <alignment horizontal="left"/>
    </xf>
    <xf numFmtId="0" fontId="5" fillId="0" borderId="0" xfId="0" applyFont="1" applyFill="1" applyBorder="1" applyAlignment="1">
      <alignment horizontal="left"/>
    </xf>
    <xf numFmtId="0" fontId="5" fillId="115" borderId="10" xfId="0" applyFont="1" applyFill="1" applyBorder="1" applyAlignment="1">
      <alignment horizontal="center" vertical="center"/>
    </xf>
    <xf numFmtId="0" fontId="5" fillId="0" borderId="0" xfId="0" applyFont="1" applyFill="1" applyBorder="1" applyAlignment="1">
      <alignment horizontal="center"/>
    </xf>
    <xf numFmtId="0" fontId="0" fillId="33" borderId="10" xfId="0" applyFill="1" applyBorder="1" applyAlignment="1">
      <alignment horizontal="left" vertical="center"/>
    </xf>
    <xf numFmtId="0" fontId="0" fillId="0" borderId="10" xfId="0" applyBorder="1" applyAlignment="1">
      <alignment horizontal="center"/>
    </xf>
    <xf numFmtId="43" fontId="0" fillId="0" borderId="10" xfId="59026" applyFont="1" applyBorder="1"/>
    <xf numFmtId="200" fontId="0" fillId="0" borderId="10" xfId="59027" applyNumberFormat="1" applyFont="1" applyBorder="1"/>
    <xf numFmtId="0" fontId="0" fillId="0" borderId="10" xfId="0" applyBorder="1" applyAlignment="1">
      <alignment horizontal="left"/>
    </xf>
    <xf numFmtId="200" fontId="0" fillId="0" borderId="10" xfId="59027" applyNumberFormat="1" applyFont="1" applyBorder="1" applyAlignment="1">
      <alignment horizontal="center" vertical="center"/>
    </xf>
    <xf numFmtId="0" fontId="0" fillId="0" borderId="10" xfId="0" applyBorder="1" applyAlignment="1">
      <alignment horizontal="center" vertical="center"/>
    </xf>
    <xf numFmtId="43" fontId="0" fillId="0" borderId="10" xfId="59026" applyNumberFormat="1" applyFont="1" applyBorder="1" applyAlignment="1">
      <alignment horizontal="center" vertical="center"/>
    </xf>
    <xf numFmtId="0" fontId="0" fillId="0" borderId="0" xfId="0" applyFont="1"/>
    <xf numFmtId="0" fontId="0" fillId="0" borderId="0" xfId="0" applyFont="1" applyAlignment="1">
      <alignment horizontal="left" indent="1"/>
    </xf>
    <xf numFmtId="0" fontId="153" fillId="114" borderId="0" xfId="47798" applyFont="1" applyFill="1" applyBorder="1" applyAlignment="1">
      <alignment horizontal="left" vertical="center"/>
    </xf>
    <xf numFmtId="0" fontId="0" fillId="0" borderId="10" xfId="47798" applyFont="1" applyBorder="1" applyAlignment="1">
      <alignment horizontal="center" vertical="center" wrapText="1"/>
    </xf>
    <xf numFmtId="0" fontId="0" fillId="0" borderId="0" xfId="47798" applyFont="1" applyBorder="1" applyAlignment="1">
      <alignment horizontal="center" vertical="center" wrapText="1"/>
    </xf>
    <xf numFmtId="0" fontId="152" fillId="33" borderId="10" xfId="47798" applyFont="1" applyFill="1" applyBorder="1" applyAlignment="1">
      <alignment horizontal="center" vertical="center" wrapText="1"/>
    </xf>
    <xf numFmtId="0" fontId="0" fillId="0" borderId="0" xfId="47798" applyFont="1" applyBorder="1" applyAlignment="1">
      <alignment wrapText="1"/>
    </xf>
    <xf numFmtId="0" fontId="0" fillId="0" borderId="0" xfId="47798" applyFont="1" applyAlignment="1">
      <alignment wrapText="1"/>
    </xf>
    <xf numFmtId="0" fontId="0" fillId="86" borderId="0" xfId="47798" applyFont="1" applyFill="1" applyAlignment="1">
      <alignment wrapText="1"/>
    </xf>
    <xf numFmtId="0" fontId="153" fillId="114" borderId="0" xfId="47798" applyFont="1" applyFill="1" applyBorder="1" applyAlignment="1">
      <alignment horizontal="left" vertical="center" wrapText="1"/>
    </xf>
    <xf numFmtId="0" fontId="152" fillId="33" borderId="10" xfId="47798" applyFont="1" applyFill="1" applyBorder="1" applyAlignment="1">
      <alignment horizontal="center" wrapText="1"/>
    </xf>
    <xf numFmtId="0" fontId="154" fillId="114" borderId="10" xfId="47798" applyFont="1" applyFill="1" applyBorder="1" applyAlignment="1">
      <alignment horizontal="center" vertical="center" wrapText="1"/>
    </xf>
    <xf numFmtId="0" fontId="0" fillId="0" borderId="10" xfId="47798" applyFont="1" applyBorder="1" applyAlignment="1">
      <alignment wrapText="1"/>
    </xf>
    <xf numFmtId="0" fontId="154" fillId="114" borderId="0" xfId="47798" applyFont="1" applyFill="1" applyBorder="1" applyAlignment="1">
      <alignment horizontal="left" vertical="center" wrapText="1"/>
    </xf>
    <xf numFmtId="0" fontId="0" fillId="0" borderId="10" xfId="47798" applyFont="1" applyBorder="1" applyAlignment="1">
      <alignment horizontal="center" wrapText="1"/>
    </xf>
    <xf numFmtId="0" fontId="0" fillId="33" borderId="10" xfId="47798" applyFont="1" applyFill="1" applyBorder="1" applyAlignment="1">
      <alignment horizontal="center" wrapText="1"/>
    </xf>
    <xf numFmtId="0" fontId="147" fillId="0" borderId="0" xfId="47798" applyFont="1" applyFill="1" applyBorder="1" applyAlignment="1">
      <alignment horizontal="left" vertical="center"/>
    </xf>
    <xf numFmtId="0" fontId="6" fillId="0" borderId="0" xfId="47798" applyFont="1" applyFill="1" applyBorder="1" applyAlignment="1">
      <alignment horizontal="left" vertical="center" wrapText="1" indent="1"/>
    </xf>
    <xf numFmtId="0" fontId="147" fillId="114" borderId="0" xfId="47798" applyFont="1" applyFill="1" applyBorder="1" applyAlignment="1">
      <alignment horizontal="left" vertical="center"/>
    </xf>
    <xf numFmtId="0" fontId="6" fillId="114" borderId="0" xfId="47798" applyFont="1" applyFill="1" applyBorder="1" applyAlignment="1">
      <alignment horizontal="left" vertical="center" indent="1"/>
    </xf>
    <xf numFmtId="0" fontId="5" fillId="33" borderId="10" xfId="47798" applyFont="1" applyFill="1" applyBorder="1" applyAlignment="1">
      <alignment horizontal="center" wrapText="1"/>
    </xf>
    <xf numFmtId="0" fontId="6" fillId="0" borderId="0" xfId="0" applyFont="1" applyBorder="1"/>
    <xf numFmtId="0" fontId="145" fillId="114" borderId="0" xfId="47798" applyFont="1" applyFill="1" applyBorder="1" applyAlignment="1">
      <alignment horizontal="left" vertical="center" indent="1"/>
    </xf>
    <xf numFmtId="0" fontId="145" fillId="114" borderId="0" xfId="47798" applyFont="1" applyFill="1" applyBorder="1" applyAlignment="1">
      <alignment horizontal="left" vertical="center" wrapText="1" indent="1"/>
    </xf>
    <xf numFmtId="2" fontId="6" fillId="0" borderId="0" xfId="0" applyNumberFormat="1" applyFont="1"/>
    <xf numFmtId="0" fontId="0" fillId="0" borderId="0" xfId="0" applyAlignment="1"/>
    <xf numFmtId="173" fontId="6" fillId="0" borderId="0" xfId="0" applyNumberFormat="1" applyFont="1"/>
    <xf numFmtId="0" fontId="0" fillId="0" borderId="0" xfId="0" applyAlignment="1">
      <alignment wrapText="1"/>
    </xf>
    <xf numFmtId="0" fontId="0" fillId="0" borderId="0" xfId="0" applyFont="1" applyAlignment="1">
      <alignment wrapText="1"/>
    </xf>
    <xf numFmtId="0" fontId="6" fillId="0" borderId="0" xfId="0" applyFont="1" applyAlignment="1">
      <alignment wrapText="1"/>
    </xf>
    <xf numFmtId="0" fontId="5" fillId="0" borderId="0" xfId="47798" applyFont="1" applyAlignment="1">
      <alignment horizontal="center" vertical="center" wrapText="1"/>
    </xf>
    <xf numFmtId="0" fontId="5" fillId="0" borderId="0" xfId="0" applyFont="1" applyAlignment="1">
      <alignment horizontal="left"/>
    </xf>
    <xf numFmtId="0" fontId="6" fillId="33" borderId="10" xfId="0" applyFont="1" applyFill="1" applyBorder="1" applyAlignment="1">
      <alignment horizontal="center"/>
    </xf>
    <xf numFmtId="0" fontId="7" fillId="0" borderId="0" xfId="47798" applyFont="1" applyFill="1" applyAlignment="1">
      <alignment horizontal="left" vertical="center"/>
    </xf>
    <xf numFmtId="0" fontId="5" fillId="86" borderId="0" xfId="0" applyFont="1" applyFill="1"/>
    <xf numFmtId="0" fontId="0" fillId="86" borderId="0" xfId="0" applyFill="1"/>
    <xf numFmtId="0" fontId="6" fillId="86" borderId="0" xfId="47798" applyFont="1" applyFill="1"/>
    <xf numFmtId="0" fontId="6" fillId="0" borderId="0" xfId="0" applyFont="1" applyAlignment="1">
      <alignment horizontal="center"/>
    </xf>
    <xf numFmtId="0" fontId="6" fillId="86" borderId="0" xfId="0" applyFont="1" applyFill="1"/>
    <xf numFmtId="0" fontId="6" fillId="86" borderId="0" xfId="47798" applyFont="1" applyFill="1" applyBorder="1"/>
    <xf numFmtId="0" fontId="155" fillId="0" borderId="0" xfId="59025" applyFont="1"/>
    <xf numFmtId="197" fontId="6" fillId="0" borderId="0" xfId="3719" applyNumberFormat="1" applyFont="1" applyBorder="1" applyAlignment="1">
      <alignment horizontal="left"/>
    </xf>
    <xf numFmtId="0" fontId="6" fillId="0" borderId="0" xfId="0" applyFont="1" applyBorder="1" applyAlignment="1">
      <alignment horizontal="left" indent="1"/>
    </xf>
    <xf numFmtId="0" fontId="6" fillId="0" borderId="0" xfId="0" applyFont="1" applyAlignment="1">
      <alignment horizontal="left" indent="1"/>
    </xf>
    <xf numFmtId="14" fontId="6" fillId="0" borderId="0" xfId="0" applyNumberFormat="1" applyFont="1" applyBorder="1" applyAlignment="1">
      <alignment horizontal="center"/>
    </xf>
    <xf numFmtId="0" fontId="6" fillId="0" borderId="0" xfId="0" applyFont="1" applyBorder="1" applyAlignment="1">
      <alignment horizontal="center"/>
    </xf>
    <xf numFmtId="0" fontId="6" fillId="0" borderId="10" xfId="0" applyFont="1" applyBorder="1" applyAlignment="1">
      <alignment horizontal="center"/>
    </xf>
    <xf numFmtId="203" fontId="6" fillId="0" borderId="10" xfId="0" applyNumberFormat="1" applyFont="1" applyBorder="1" applyAlignment="1">
      <alignment horizontal="center"/>
    </xf>
    <xf numFmtId="203" fontId="6" fillId="0" borderId="0" xfId="0" applyNumberFormat="1" applyFont="1" applyBorder="1" applyAlignment="1">
      <alignment horizontal="center"/>
    </xf>
    <xf numFmtId="0" fontId="5" fillId="33" borderId="10" xfId="0" applyFont="1" applyFill="1" applyBorder="1" applyAlignment="1">
      <alignment horizontal="center"/>
    </xf>
    <xf numFmtId="0" fontId="5" fillId="33" borderId="54" xfId="0" applyFont="1" applyFill="1" applyBorder="1" applyAlignment="1">
      <alignment horizontal="center" vertical="center" wrapText="1"/>
    </xf>
    <xf numFmtId="2" fontId="6" fillId="0" borderId="54" xfId="0" applyNumberFormat="1" applyFont="1" applyBorder="1" applyAlignment="1">
      <alignment horizontal="center"/>
    </xf>
    <xf numFmtId="6" fontId="6" fillId="0" borderId="0" xfId="0" applyNumberFormat="1" applyFont="1"/>
    <xf numFmtId="16" fontId="6" fillId="0" borderId="0" xfId="0" applyNumberFormat="1" applyFont="1"/>
    <xf numFmtId="0" fontId="6" fillId="0" borderId="54" xfId="0" applyFont="1" applyBorder="1" applyAlignment="1">
      <alignment horizontal="left" wrapText="1"/>
    </xf>
    <xf numFmtId="0" fontId="6" fillId="0" borderId="54" xfId="0" applyFont="1" applyBorder="1" applyAlignment="1">
      <alignment horizontal="center" vertical="center"/>
    </xf>
    <xf numFmtId="2" fontId="6" fillId="120" borderId="54" xfId="2844" applyNumberFormat="1" applyFont="1" applyFill="1" applyBorder="1" applyAlignment="1">
      <alignment horizontal="center" vertical="center"/>
    </xf>
    <xf numFmtId="204" fontId="6" fillId="0" borderId="54" xfId="0" applyNumberFormat="1" applyFont="1" applyBorder="1" applyAlignment="1">
      <alignment horizontal="center"/>
    </xf>
    <xf numFmtId="169" fontId="6" fillId="0" borderId="54" xfId="0" applyNumberFormat="1" applyFont="1" applyBorder="1" applyAlignment="1">
      <alignment horizontal="center"/>
    </xf>
    <xf numFmtId="2" fontId="6" fillId="0" borderId="54" xfId="2844" applyNumberFormat="1" applyFont="1" applyBorder="1" applyAlignment="1">
      <alignment horizontal="center"/>
    </xf>
    <xf numFmtId="199" fontId="6" fillId="120" borderId="54" xfId="2844" applyNumberFormat="1" applyFont="1" applyFill="1" applyBorder="1" applyAlignment="1">
      <alignment horizontal="center" vertical="center"/>
    </xf>
    <xf numFmtId="199" fontId="6" fillId="0" borderId="54" xfId="2844" applyNumberFormat="1" applyFont="1" applyBorder="1" applyAlignment="1">
      <alignment horizontal="center"/>
    </xf>
    <xf numFmtId="4" fontId="6" fillId="120" borderId="54" xfId="0" applyNumberFormat="1" applyFont="1" applyFill="1" applyBorder="1" applyAlignment="1">
      <alignment horizontal="center" vertical="center"/>
    </xf>
    <xf numFmtId="206" fontId="6" fillId="0" borderId="54" xfId="0" applyNumberFormat="1" applyFont="1" applyBorder="1" applyAlignment="1">
      <alignment horizontal="center"/>
    </xf>
    <xf numFmtId="207" fontId="6" fillId="0" borderId="54" xfId="0" applyNumberFormat="1" applyFont="1" applyBorder="1" applyAlignment="1">
      <alignment horizontal="center"/>
    </xf>
    <xf numFmtId="205" fontId="6" fillId="0" borderId="54" xfId="0" applyNumberFormat="1" applyFont="1" applyBorder="1" applyAlignment="1">
      <alignment horizontal="center"/>
    </xf>
    <xf numFmtId="206" fontId="6" fillId="0" borderId="0" xfId="0" applyNumberFormat="1" applyFont="1"/>
    <xf numFmtId="0" fontId="5" fillId="86" borderId="0" xfId="47798" applyFont="1" applyFill="1" applyBorder="1" applyAlignment="1"/>
    <xf numFmtId="0" fontId="6" fillId="0" borderId="111" xfId="47798" applyFont="1" applyBorder="1"/>
    <xf numFmtId="0" fontId="6" fillId="33" borderId="111" xfId="0" applyFont="1" applyFill="1" applyBorder="1"/>
    <xf numFmtId="204" fontId="6" fillId="0" borderId="111" xfId="0" applyNumberFormat="1" applyFont="1" applyBorder="1" applyAlignment="1">
      <alignment horizontal="center"/>
    </xf>
    <xf numFmtId="206" fontId="6" fillId="0" borderId="111" xfId="0" applyNumberFormat="1" applyFont="1" applyBorder="1" applyAlignment="1">
      <alignment horizontal="center"/>
    </xf>
    <xf numFmtId="0" fontId="0" fillId="0" borderId="0" xfId="0" quotePrefix="1"/>
    <xf numFmtId="173" fontId="6" fillId="0" borderId="111" xfId="56596" applyNumberFormat="1" applyFont="1" applyBorder="1"/>
    <xf numFmtId="0" fontId="144" fillId="115" borderId="111" xfId="47798" applyFont="1" applyFill="1" applyBorder="1" applyAlignment="1">
      <alignment horizontal="center" vertical="center" wrapText="1"/>
    </xf>
    <xf numFmtId="169" fontId="6" fillId="0" borderId="111" xfId="56596" applyNumberFormat="1" applyFont="1" applyBorder="1" applyAlignment="1">
      <alignment horizontal="center" vertical="center"/>
    </xf>
    <xf numFmtId="169" fontId="6" fillId="0" borderId="111" xfId="47798" applyNumberFormat="1" applyFont="1" applyBorder="1" applyAlignment="1">
      <alignment horizontal="center"/>
    </xf>
    <xf numFmtId="0" fontId="6" fillId="0" borderId="111" xfId="47798" applyFont="1" applyBorder="1" applyAlignment="1">
      <alignment wrapText="1"/>
    </xf>
    <xf numFmtId="0" fontId="6" fillId="0" borderId="0" xfId="47798" applyFont="1" applyAlignment="1">
      <alignment wrapText="1"/>
    </xf>
    <xf numFmtId="0" fontId="6" fillId="0" borderId="111" xfId="0" applyFont="1" applyBorder="1" applyAlignment="1">
      <alignment vertical="center" wrapText="1"/>
    </xf>
    <xf numFmtId="0" fontId="5" fillId="121" borderId="63" xfId="0" applyFont="1" applyFill="1" applyBorder="1" applyAlignment="1">
      <alignment horizontal="center" vertical="center" wrapText="1"/>
    </xf>
    <xf numFmtId="0" fontId="5" fillId="121" borderId="66" xfId="0" applyFont="1" applyFill="1" applyBorder="1" applyAlignment="1">
      <alignment horizontal="centerContinuous" vertical="center"/>
    </xf>
    <xf numFmtId="0" fontId="5" fillId="121" borderId="64" xfId="0" applyFont="1" applyFill="1" applyBorder="1" applyAlignment="1">
      <alignment horizontal="centerContinuous" vertical="center"/>
    </xf>
    <xf numFmtId="0" fontId="6" fillId="33" borderId="71" xfId="0" applyFont="1" applyFill="1" applyBorder="1" applyAlignment="1">
      <alignment horizontal="center"/>
    </xf>
    <xf numFmtId="0" fontId="6" fillId="33" borderId="81" xfId="0" applyFont="1" applyFill="1" applyBorder="1"/>
    <xf numFmtId="0" fontId="6" fillId="122" borderId="72" xfId="0" applyFont="1" applyFill="1" applyBorder="1" applyAlignment="1">
      <alignment horizontal="center"/>
    </xf>
    <xf numFmtId="0" fontId="6" fillId="0" borderId="112" xfId="0" applyFont="1" applyFill="1" applyBorder="1" applyAlignment="1">
      <alignment horizontal="center"/>
    </xf>
    <xf numFmtId="0" fontId="6" fillId="0" borderId="112" xfId="0" applyFont="1" applyFill="1" applyBorder="1" applyAlignment="1">
      <alignment horizontal="center" wrapText="1"/>
    </xf>
    <xf numFmtId="0" fontId="6" fillId="33" borderId="75" xfId="0" applyFont="1" applyFill="1" applyBorder="1" applyAlignment="1">
      <alignment horizontal="center"/>
    </xf>
    <xf numFmtId="0" fontId="6" fillId="122" borderId="110" xfId="0" applyFont="1" applyFill="1" applyBorder="1" applyAlignment="1">
      <alignment horizontal="center"/>
    </xf>
    <xf numFmtId="0" fontId="6" fillId="0" borderId="113" xfId="0" applyFont="1" applyFill="1" applyBorder="1" applyAlignment="1">
      <alignment horizontal="center"/>
    </xf>
    <xf numFmtId="0" fontId="6" fillId="0" borderId="113" xfId="0" applyFont="1" applyFill="1" applyBorder="1" applyAlignment="1">
      <alignment horizontal="center" wrapText="1"/>
    </xf>
    <xf numFmtId="0" fontId="6" fillId="33" borderId="114" xfId="0" applyFont="1" applyFill="1" applyBorder="1" applyAlignment="1">
      <alignment horizontal="center"/>
    </xf>
    <xf numFmtId="0" fontId="6" fillId="33" borderId="115" xfId="0" applyFont="1" applyFill="1" applyBorder="1"/>
    <xf numFmtId="0" fontId="6" fillId="122" borderId="116" xfId="0" applyFont="1" applyFill="1" applyBorder="1" applyAlignment="1">
      <alignment horizontal="center"/>
    </xf>
    <xf numFmtId="0" fontId="6" fillId="0" borderId="117" xfId="0" applyFont="1" applyFill="1" applyBorder="1" applyAlignment="1">
      <alignment horizontal="center"/>
    </xf>
    <xf numFmtId="0" fontId="6" fillId="0" borderId="117" xfId="0" applyFont="1" applyFill="1" applyBorder="1" applyAlignment="1">
      <alignment horizontal="center" wrapText="1"/>
    </xf>
    <xf numFmtId="0" fontId="6" fillId="0" borderId="54" xfId="47798" applyFont="1" applyBorder="1"/>
    <xf numFmtId="0" fontId="6" fillId="33" borderId="54" xfId="0" applyFont="1" applyFill="1" applyBorder="1"/>
    <xf numFmtId="0" fontId="6" fillId="33" borderId="54" xfId="0" applyFont="1" applyFill="1" applyBorder="1" applyAlignment="1">
      <alignment horizontal="left" indent="1"/>
    </xf>
    <xf numFmtId="0" fontId="6" fillId="33" borderId="54" xfId="0" applyFont="1" applyFill="1" applyBorder="1" applyAlignment="1">
      <alignment horizontal="left" indent="2"/>
    </xf>
    <xf numFmtId="0" fontId="141" fillId="0" borderId="0" xfId="47798" applyFont="1" applyBorder="1"/>
    <xf numFmtId="0" fontId="148" fillId="0" borderId="0" xfId="59025"/>
    <xf numFmtId="0" fontId="148" fillId="0" borderId="0" xfId="59025" applyBorder="1"/>
    <xf numFmtId="0" fontId="148" fillId="0" borderId="0" xfId="59025" applyAlignment="1"/>
    <xf numFmtId="0" fontId="144" fillId="0" borderId="111" xfId="47796" applyFont="1" applyBorder="1"/>
    <xf numFmtId="0" fontId="144" fillId="33" borderId="111" xfId="47796" applyFont="1" applyFill="1" applyBorder="1"/>
    <xf numFmtId="0" fontId="7" fillId="33" borderId="111" xfId="47796" applyFont="1" applyFill="1" applyBorder="1"/>
    <xf numFmtId="0" fontId="7" fillId="34" borderId="111" xfId="47796" applyFont="1" applyFill="1" applyBorder="1"/>
    <xf numFmtId="0" fontId="144" fillId="34" borderId="118" xfId="47796" applyFont="1" applyFill="1" applyBorder="1" applyAlignment="1">
      <alignment horizontal="center"/>
    </xf>
    <xf numFmtId="0" fontId="7" fillId="0" borderId="111" xfId="47796" applyFont="1" applyFill="1" applyBorder="1"/>
    <xf numFmtId="49" fontId="7" fillId="34" borderId="111" xfId="47796" applyNumberFormat="1" applyFont="1" applyFill="1" applyBorder="1"/>
    <xf numFmtId="0" fontId="7" fillId="0" borderId="106" xfId="47796" applyFont="1" applyFill="1" applyBorder="1" applyAlignment="1">
      <alignment horizontal="left" vertical="center"/>
    </xf>
    <xf numFmtId="0" fontId="6" fillId="33" borderId="111" xfId="47798" applyFont="1" applyFill="1" applyBorder="1" applyAlignment="1">
      <alignment horizontal="left" indent="1"/>
    </xf>
    <xf numFmtId="0" fontId="7" fillId="0" borderId="10" xfId="47796" applyFont="1" applyFill="1" applyBorder="1" applyAlignment="1">
      <alignment horizontal="center" vertical="center"/>
    </xf>
    <xf numFmtId="0" fontId="144" fillId="33" borderId="119" xfId="0" applyFont="1" applyFill="1" applyBorder="1" applyAlignment="1">
      <alignment horizontal="center" vertical="center" wrapText="1"/>
    </xf>
    <xf numFmtId="0" fontId="144" fillId="33" borderId="119" xfId="0" applyNumberFormat="1" applyFont="1" applyFill="1" applyBorder="1" applyAlignment="1">
      <alignment horizontal="center" vertical="center" wrapText="1"/>
    </xf>
    <xf numFmtId="0" fontId="144" fillId="33" borderId="119" xfId="0" applyFont="1" applyFill="1" applyBorder="1" applyAlignment="1">
      <alignment horizontal="center" vertical="center"/>
    </xf>
    <xf numFmtId="0" fontId="6" fillId="33" borderId="91" xfId="0" applyFont="1" applyFill="1" applyBorder="1"/>
    <xf numFmtId="200" fontId="6" fillId="33" borderId="91" xfId="0" applyNumberFormat="1" applyFont="1" applyFill="1" applyBorder="1"/>
    <xf numFmtId="49" fontId="6" fillId="33" borderId="91" xfId="0" applyNumberFormat="1" applyFont="1" applyFill="1" applyBorder="1"/>
    <xf numFmtId="0" fontId="0" fillId="0" borderId="111" xfId="0" applyBorder="1"/>
    <xf numFmtId="0" fontId="0" fillId="34" borderId="111" xfId="0" applyFill="1" applyBorder="1" applyAlignment="1">
      <alignment horizontal="center"/>
    </xf>
    <xf numFmtId="9" fontId="0" fillId="34" borderId="111" xfId="0" applyNumberFormat="1" applyFill="1" applyBorder="1" applyAlignment="1">
      <alignment horizontal="center"/>
    </xf>
    <xf numFmtId="0" fontId="0" fillId="34" borderId="111" xfId="0" applyFill="1" applyBorder="1" applyAlignment="1">
      <alignment wrapText="1"/>
    </xf>
    <xf numFmtId="197" fontId="0" fillId="0" borderId="111" xfId="59027" applyNumberFormat="1" applyFont="1" applyBorder="1"/>
    <xf numFmtId="0" fontId="5" fillId="33" borderId="111" xfId="0" applyFont="1" applyFill="1" applyBorder="1" applyAlignment="1">
      <alignment horizontal="center"/>
    </xf>
    <xf numFmtId="0" fontId="5" fillId="33" borderId="111" xfId="0" applyFont="1" applyFill="1" applyBorder="1"/>
    <xf numFmtId="197" fontId="0" fillId="0" borderId="111" xfId="0" applyNumberFormat="1" applyBorder="1"/>
    <xf numFmtId="0" fontId="0" fillId="33" borderId="111" xfId="0" applyFill="1" applyBorder="1" applyAlignment="1">
      <alignment horizontal="center" vertical="center"/>
    </xf>
    <xf numFmtId="0" fontId="7" fillId="34" borderId="111" xfId="47796" applyFont="1" applyFill="1" applyBorder="1" applyAlignment="1">
      <alignment horizontal="center" vertical="center"/>
    </xf>
    <xf numFmtId="0" fontId="5" fillId="0" borderId="111" xfId="0" applyFont="1" applyBorder="1"/>
    <xf numFmtId="0" fontId="144" fillId="0" borderId="0" xfId="47796" applyFont="1" applyFill="1" applyBorder="1"/>
    <xf numFmtId="198" fontId="144" fillId="0" borderId="0" xfId="47796" applyNumberFormat="1" applyFont="1" applyFill="1" applyBorder="1" applyAlignment="1">
      <alignment horizontal="center"/>
    </xf>
    <xf numFmtId="198" fontId="144" fillId="0" borderId="0" xfId="47796" applyNumberFormat="1" applyFont="1" applyFill="1" applyBorder="1" applyAlignment="1">
      <alignment horizontal="right"/>
    </xf>
    <xf numFmtId="200" fontId="6" fillId="33" borderId="111" xfId="0" applyNumberFormat="1" applyFont="1" applyFill="1" applyBorder="1"/>
    <xf numFmtId="173" fontId="6" fillId="33" borderId="111" xfId="59028" applyNumberFormat="1" applyFont="1" applyFill="1" applyBorder="1" applyAlignment="1">
      <alignment horizontal="center"/>
    </xf>
    <xf numFmtId="1" fontId="144" fillId="33" borderId="91" xfId="3719" applyNumberFormat="1" applyFont="1" applyFill="1" applyBorder="1" applyAlignment="1">
      <alignment horizontal="center" vertical="center" wrapText="1"/>
    </xf>
    <xf numFmtId="1" fontId="5" fillId="33" borderId="91" xfId="3719" applyNumberFormat="1" applyFont="1" applyFill="1" applyBorder="1" applyAlignment="1">
      <alignment horizontal="center" vertical="center" wrapText="1"/>
    </xf>
    <xf numFmtId="200" fontId="159" fillId="0" borderId="0" xfId="3719" applyNumberFormat="1" applyFont="1" applyAlignment="1">
      <alignment horizontal="center" vertical="center" wrapText="1"/>
    </xf>
    <xf numFmtId="0" fontId="160" fillId="0" borderId="0" xfId="0" applyFont="1" applyAlignment="1">
      <alignment wrapText="1"/>
    </xf>
    <xf numFmtId="0" fontId="0" fillId="33" borderId="111" xfId="0" applyFill="1" applyBorder="1"/>
    <xf numFmtId="0" fontId="144" fillId="33" borderId="120" xfId="0" applyFont="1" applyFill="1" applyBorder="1" applyAlignment="1">
      <alignment horizontal="center" vertical="center" wrapText="1"/>
    </xf>
    <xf numFmtId="0" fontId="144" fillId="33" borderId="121" xfId="0" applyFont="1" applyFill="1" applyBorder="1" applyAlignment="1">
      <alignment horizontal="center" vertical="center" wrapText="1"/>
    </xf>
    <xf numFmtId="0" fontId="0" fillId="33" borderId="106" xfId="0" applyFill="1" applyBorder="1"/>
    <xf numFmtId="0" fontId="6" fillId="33" borderId="106" xfId="0" applyFont="1" applyFill="1" applyBorder="1" applyAlignment="1">
      <alignment horizontal="center"/>
    </xf>
    <xf numFmtId="49" fontId="6" fillId="33" borderId="111" xfId="0" applyNumberFormat="1" applyFont="1" applyFill="1" applyBorder="1" applyAlignment="1">
      <alignment horizontal="left" indent="1"/>
    </xf>
    <xf numFmtId="49" fontId="6" fillId="33" borderId="111" xfId="0" applyNumberFormat="1" applyFont="1" applyFill="1" applyBorder="1" applyAlignment="1">
      <alignment horizontal="left" indent="2"/>
    </xf>
    <xf numFmtId="49" fontId="6" fillId="33" borderId="111" xfId="0" applyNumberFormat="1" applyFont="1" applyFill="1" applyBorder="1" applyAlignment="1">
      <alignment horizontal="left" indent="3"/>
    </xf>
    <xf numFmtId="0" fontId="6" fillId="33" borderId="93" xfId="0" applyFont="1" applyFill="1" applyBorder="1" applyAlignment="1">
      <alignment horizontal="center"/>
    </xf>
    <xf numFmtId="0" fontId="6" fillId="33" borderId="92" xfId="0" applyFont="1" applyFill="1" applyBorder="1"/>
    <xf numFmtId="0" fontId="6" fillId="33" borderId="111" xfId="0" applyFont="1" applyFill="1" applyBorder="1" applyAlignment="1"/>
    <xf numFmtId="0" fontId="6" fillId="33" borderId="91" xfId="0" applyFont="1" applyFill="1" applyBorder="1" applyAlignment="1"/>
    <xf numFmtId="0" fontId="6" fillId="0" borderId="110" xfId="47798" applyFont="1" applyBorder="1"/>
    <xf numFmtId="0" fontId="5" fillId="0" borderId="0" xfId="47798" applyFont="1" applyAlignment="1">
      <alignment vertical="center" wrapText="1"/>
    </xf>
    <xf numFmtId="0" fontId="7" fillId="33" borderId="103" xfId="47798" applyFont="1" applyFill="1" applyBorder="1" applyAlignment="1">
      <alignment vertical="center" wrapText="1"/>
    </xf>
    <xf numFmtId="0" fontId="144" fillId="33" borderId="111" xfId="0" applyFont="1" applyFill="1" applyBorder="1" applyAlignment="1">
      <alignment horizontal="center" vertical="center" wrapText="1"/>
    </xf>
    <xf numFmtId="0" fontId="6" fillId="33" borderId="111" xfId="47798" applyFont="1" applyFill="1" applyBorder="1"/>
    <xf numFmtId="0" fontId="6" fillId="33" borderId="111" xfId="47798" applyFont="1" applyFill="1" applyBorder="1" applyAlignment="1">
      <alignment horizontal="left" wrapText="1"/>
    </xf>
    <xf numFmtId="0" fontId="150" fillId="0" borderId="10" xfId="54712" applyFont="1" applyFill="1" applyBorder="1"/>
    <xf numFmtId="0" fontId="6" fillId="0" borderId="10" xfId="47798" applyFont="1" applyFill="1" applyBorder="1"/>
    <xf numFmtId="0" fontId="44" fillId="33" borderId="10" xfId="54712" applyFont="1" applyFill="1" applyBorder="1" applyAlignment="1">
      <alignment vertical="center"/>
    </xf>
    <xf numFmtId="0" fontId="6" fillId="33" borderId="111" xfId="47798" applyFont="1" applyFill="1" applyBorder="1" applyAlignment="1">
      <alignment horizontal="center"/>
    </xf>
    <xf numFmtId="14" fontId="6" fillId="0" borderId="10" xfId="47798" applyNumberFormat="1" applyFont="1" applyFill="1" applyBorder="1"/>
    <xf numFmtId="0" fontId="5" fillId="0" borderId="110" xfId="0" applyFont="1" applyBorder="1" applyAlignment="1"/>
    <xf numFmtId="0" fontId="5" fillId="0" borderId="21" xfId="0" applyFont="1" applyBorder="1" applyAlignment="1"/>
    <xf numFmtId="0" fontId="5" fillId="0" borderId="106" xfId="0" applyFont="1" applyBorder="1" applyAlignment="1"/>
    <xf numFmtId="0" fontId="5" fillId="0" borderId="110" xfId="47798" applyFont="1" applyBorder="1" applyAlignment="1"/>
    <xf numFmtId="0" fontId="5" fillId="0" borderId="21" xfId="47798" applyFont="1" applyBorder="1" applyAlignment="1"/>
    <xf numFmtId="0" fontId="5" fillId="0" borderId="106" xfId="47798" applyFont="1" applyBorder="1" applyAlignment="1"/>
    <xf numFmtId="0" fontId="5" fillId="33" borderId="111" xfId="0" applyFont="1" applyFill="1" applyBorder="1" applyAlignment="1">
      <alignment horizontal="center" vertical="center" wrapText="1"/>
    </xf>
    <xf numFmtId="0" fontId="6" fillId="0" borderId="10" xfId="0" applyFont="1" applyFill="1" applyBorder="1"/>
    <xf numFmtId="0" fontId="0" fillId="0" borderId="111" xfId="0" applyFill="1" applyBorder="1"/>
    <xf numFmtId="200" fontId="6" fillId="0" borderId="111" xfId="0" applyNumberFormat="1" applyFont="1" applyFill="1" applyBorder="1"/>
    <xf numFmtId="0" fontId="144" fillId="33" borderId="92" xfId="47798" applyFont="1" applyFill="1" applyBorder="1"/>
    <xf numFmtId="0" fontId="144" fillId="33" borderId="92" xfId="47798" applyFont="1" applyFill="1" applyBorder="1" applyAlignment="1">
      <alignment wrapText="1"/>
    </xf>
    <xf numFmtId="0" fontId="0" fillId="0" borderId="0" xfId="0" applyAlignment="1">
      <alignment horizontal="left" vertical="center" wrapText="1"/>
    </xf>
    <xf numFmtId="0" fontId="5" fillId="0" borderId="0" xfId="0" applyFont="1" applyBorder="1" applyAlignment="1">
      <alignment horizontal="left" vertical="center"/>
    </xf>
    <xf numFmtId="0" fontId="0" fillId="0" borderId="0" xfId="0" applyBorder="1" applyAlignment="1">
      <alignment horizontal="left" vertical="center" wrapText="1"/>
    </xf>
    <xf numFmtId="0" fontId="0" fillId="0" borderId="0" xfId="0" applyBorder="1"/>
    <xf numFmtId="0" fontId="5" fillId="33" borderId="111" xfId="0" applyFont="1" applyFill="1" applyBorder="1" applyAlignment="1">
      <alignment horizontal="left" vertical="center" wrapText="1"/>
    </xf>
    <xf numFmtId="0" fontId="152" fillId="33" borderId="111" xfId="0" applyFont="1" applyFill="1" applyBorder="1" applyAlignment="1">
      <alignment vertical="center" wrapText="1"/>
    </xf>
    <xf numFmtId="0" fontId="0" fillId="33" borderId="111" xfId="0" applyFill="1" applyBorder="1" applyAlignment="1">
      <alignment horizontal="left" vertical="center" wrapText="1"/>
    </xf>
    <xf numFmtId="0" fontId="0" fillId="0" borderId="111" xfId="0" applyBorder="1" applyAlignment="1">
      <alignment horizontal="center" vertical="center" wrapText="1"/>
    </xf>
    <xf numFmtId="0" fontId="0" fillId="0" borderId="111" xfId="0" applyBorder="1" applyAlignment="1">
      <alignment horizontal="center" vertical="center"/>
    </xf>
    <xf numFmtId="0" fontId="151" fillId="0" borderId="0" xfId="0" applyFont="1" applyAlignment="1">
      <alignment horizontal="center" vertical="center"/>
    </xf>
    <xf numFmtId="168" fontId="0" fillId="33" borderId="111" xfId="0" applyNumberFormat="1" applyFill="1" applyBorder="1" applyAlignment="1">
      <alignment horizontal="left"/>
    </xf>
    <xf numFmtId="0" fontId="0" fillId="33" borderId="111" xfId="0" applyFill="1" applyBorder="1" applyAlignment="1">
      <alignment horizontal="center"/>
    </xf>
    <xf numFmtId="0" fontId="6" fillId="33" borderId="111" xfId="0" applyFont="1" applyFill="1" applyBorder="1" applyAlignment="1">
      <alignment horizontal="center"/>
    </xf>
    <xf numFmtId="0" fontId="0" fillId="33" borderId="111" xfId="0" applyFill="1" applyBorder="1" applyAlignment="1">
      <alignment horizontal="right"/>
    </xf>
    <xf numFmtId="0" fontId="0" fillId="33" borderId="110" xfId="0" applyFill="1" applyBorder="1" applyAlignment="1">
      <alignment horizontal="center"/>
    </xf>
    <xf numFmtId="209" fontId="0" fillId="0" borderId="111" xfId="59027" applyNumberFormat="1" applyFont="1" applyBorder="1"/>
    <xf numFmtId="0" fontId="6" fillId="33" borderId="91" xfId="0" applyFont="1" applyFill="1" applyBorder="1" applyAlignment="1">
      <alignment horizontal="center"/>
    </xf>
    <xf numFmtId="0" fontId="5" fillId="33" borderId="111" xfId="0" applyFont="1" applyFill="1" applyBorder="1" applyAlignment="1">
      <alignment vertical="center"/>
    </xf>
    <xf numFmtId="0" fontId="5" fillId="33" borderId="111" xfId="0" applyFont="1" applyFill="1" applyBorder="1" applyAlignment="1">
      <alignment horizontal="center" vertical="center"/>
    </xf>
    <xf numFmtId="200" fontId="6" fillId="0" borderId="111" xfId="3719" applyNumberFormat="1" applyFont="1" applyBorder="1" applyAlignment="1">
      <alignment horizontal="left"/>
    </xf>
    <xf numFmtId="0" fontId="6" fillId="0" borderId="111" xfId="0" applyFont="1" applyBorder="1" applyAlignment="1">
      <alignment horizontal="center"/>
    </xf>
    <xf numFmtId="203" fontId="6" fillId="0" borderId="111" xfId="0" applyNumberFormat="1" applyFont="1" applyBorder="1" applyAlignment="1">
      <alignment horizontal="center"/>
    </xf>
    <xf numFmtId="2" fontId="6" fillId="0" borderId="111" xfId="0" applyNumberFormat="1" applyFont="1" applyBorder="1" applyAlignment="1">
      <alignment horizontal="center"/>
    </xf>
    <xf numFmtId="8" fontId="6" fillId="0" borderId="0" xfId="0" applyNumberFormat="1" applyFont="1"/>
    <xf numFmtId="2" fontId="6" fillId="0" borderId="0" xfId="0" applyNumberFormat="1" applyFont="1" applyAlignment="1">
      <alignment horizontal="center"/>
    </xf>
    <xf numFmtId="6" fontId="6" fillId="0" borderId="0" xfId="0" applyNumberFormat="1" applyFont="1" applyAlignment="1">
      <alignment horizontal="center"/>
    </xf>
    <xf numFmtId="0" fontId="5" fillId="0" borderId="111" xfId="0" applyFont="1" applyBorder="1" applyAlignment="1">
      <alignment horizontal="center"/>
    </xf>
    <xf numFmtId="0" fontId="6" fillId="0" borderId="111" xfId="0" applyFont="1" applyBorder="1" applyAlignment="1">
      <alignment horizontal="left" indent="1"/>
    </xf>
    <xf numFmtId="2" fontId="6" fillId="0" borderId="111" xfId="0" applyNumberFormat="1" applyFont="1" applyBorder="1" applyAlignment="1">
      <alignment horizontal="center" vertical="center"/>
    </xf>
    <xf numFmtId="6" fontId="6" fillId="0" borderId="111" xfId="0" applyNumberFormat="1" applyFont="1" applyBorder="1" applyAlignment="1">
      <alignment horizontal="center"/>
    </xf>
    <xf numFmtId="0" fontId="0" fillId="33" borderId="0" xfId="0" applyFill="1" applyBorder="1" applyAlignment="1">
      <alignment horizontal="center"/>
    </xf>
    <xf numFmtId="174" fontId="0" fillId="33" borderId="0" xfId="0" applyNumberFormat="1" applyFill="1" applyBorder="1" applyAlignment="1">
      <alignment horizontal="center"/>
    </xf>
    <xf numFmtId="0" fontId="0" fillId="0" borderId="0" xfId="0" applyBorder="1" applyAlignment="1">
      <alignment horizontal="right"/>
    </xf>
    <xf numFmtId="0" fontId="0" fillId="0" borderId="0" xfId="0" applyBorder="1" applyAlignment="1">
      <alignment horizontal="left"/>
    </xf>
    <xf numFmtId="0" fontId="0" fillId="0" borderId="0" xfId="0" applyBorder="1" applyAlignment="1">
      <alignment horizontal="left" indent="1"/>
    </xf>
    <xf numFmtId="208" fontId="0" fillId="0" borderId="0" xfId="0" applyNumberFormat="1" applyBorder="1" applyAlignment="1">
      <alignment horizontal="center"/>
    </xf>
    <xf numFmtId="0" fontId="0" fillId="0" borderId="105" xfId="0" applyBorder="1" applyAlignment="1">
      <alignment horizontal="right"/>
    </xf>
    <xf numFmtId="0" fontId="0" fillId="0" borderId="109" xfId="0" applyBorder="1" applyAlignment="1">
      <alignment horizontal="right"/>
    </xf>
    <xf numFmtId="0" fontId="0" fillId="33" borderId="13" xfId="0" applyFill="1" applyBorder="1" applyAlignment="1">
      <alignment horizontal="center"/>
    </xf>
    <xf numFmtId="174" fontId="0" fillId="33" borderId="13" xfId="0" applyNumberFormat="1" applyFill="1" applyBorder="1" applyAlignment="1">
      <alignment horizontal="center"/>
    </xf>
    <xf numFmtId="0" fontId="0" fillId="0" borderId="121" xfId="0" applyBorder="1" applyAlignment="1">
      <alignment horizontal="right"/>
    </xf>
    <xf numFmtId="174" fontId="0" fillId="33" borderId="105" xfId="0" applyNumberFormat="1" applyFill="1" applyBorder="1" applyAlignment="1">
      <alignment horizontal="center"/>
    </xf>
    <xf numFmtId="174" fontId="0" fillId="33" borderId="120" xfId="0" applyNumberFormat="1" applyFill="1" applyBorder="1" applyAlignment="1">
      <alignment horizontal="center"/>
    </xf>
    <xf numFmtId="0" fontId="0" fillId="0" borderId="92" xfId="0" applyBorder="1" applyAlignment="1">
      <alignment horizontal="right"/>
    </xf>
    <xf numFmtId="174" fontId="0" fillId="33" borderId="104" xfId="0" applyNumberFormat="1" applyFill="1" applyBorder="1" applyAlignment="1">
      <alignment horizontal="center"/>
    </xf>
    <xf numFmtId="174" fontId="0" fillId="33" borderId="93" xfId="0" applyNumberFormat="1" applyFill="1" applyBorder="1" applyAlignment="1">
      <alignment horizontal="center"/>
    </xf>
    <xf numFmtId="0" fontId="0" fillId="33" borderId="104" xfId="0" applyFill="1" applyBorder="1" applyAlignment="1">
      <alignment horizontal="center"/>
    </xf>
    <xf numFmtId="0" fontId="0" fillId="33" borderId="93" xfId="0" applyFill="1" applyBorder="1" applyAlignment="1">
      <alignment horizontal="center"/>
    </xf>
    <xf numFmtId="0" fontId="0" fillId="33" borderId="105" xfId="0" applyFill="1" applyBorder="1" applyAlignment="1">
      <alignment horizontal="center"/>
    </xf>
    <xf numFmtId="0" fontId="0" fillId="33" borderId="120" xfId="0" applyFill="1" applyBorder="1" applyAlignment="1">
      <alignment horizontal="center"/>
    </xf>
    <xf numFmtId="203" fontId="0" fillId="33" borderId="91" xfId="0" applyNumberFormat="1" applyFill="1" applyBorder="1" applyAlignment="1">
      <alignment horizontal="center"/>
    </xf>
    <xf numFmtId="0" fontId="0" fillId="33" borderId="91" xfId="0" applyFill="1" applyBorder="1" applyAlignment="1">
      <alignment horizontal="center"/>
    </xf>
    <xf numFmtId="0" fontId="0" fillId="33" borderId="11" xfId="0" applyFill="1" applyBorder="1" applyAlignment="1">
      <alignment horizontal="center"/>
    </xf>
    <xf numFmtId="0" fontId="0" fillId="33" borderId="119" xfId="0" applyFill="1" applyBorder="1" applyAlignment="1">
      <alignment horizontal="center"/>
    </xf>
    <xf numFmtId="174" fontId="0" fillId="33" borderId="91" xfId="0" applyNumberFormat="1" applyFill="1" applyBorder="1" applyAlignment="1">
      <alignment horizontal="center"/>
    </xf>
    <xf numFmtId="174" fontId="0" fillId="33" borderId="11" xfId="0" applyNumberFormat="1" applyFill="1" applyBorder="1" applyAlignment="1">
      <alignment horizontal="center"/>
    </xf>
    <xf numFmtId="174" fontId="0" fillId="33" borderId="119" xfId="0" applyNumberFormat="1" applyFill="1" applyBorder="1" applyAlignment="1">
      <alignment horizontal="center"/>
    </xf>
    <xf numFmtId="4" fontId="0" fillId="0" borderId="105" xfId="0" applyNumberFormat="1" applyBorder="1" applyAlignment="1">
      <alignment horizontal="center"/>
    </xf>
    <xf numFmtId="197" fontId="6" fillId="0" borderId="111" xfId="3719" applyNumberFormat="1" applyFont="1" applyBorder="1" applyAlignment="1">
      <alignment horizontal="center"/>
    </xf>
    <xf numFmtId="0" fontId="0" fillId="33" borderId="54" xfId="0" applyFill="1" applyBorder="1"/>
    <xf numFmtId="49" fontId="6" fillId="33" borderId="54" xfId="0" applyNumberFormat="1" applyFont="1" applyFill="1" applyBorder="1"/>
    <xf numFmtId="49" fontId="6" fillId="33" borderId="54" xfId="0" applyNumberFormat="1" applyFont="1" applyFill="1" applyBorder="1" applyAlignment="1">
      <alignment horizontal="left" indent="1"/>
    </xf>
    <xf numFmtId="49" fontId="6" fillId="33" borderId="54" xfId="0" applyNumberFormat="1" applyFont="1" applyFill="1" applyBorder="1" applyAlignment="1">
      <alignment horizontal="left" indent="2"/>
    </xf>
    <xf numFmtId="49" fontId="6" fillId="33" borderId="54" xfId="0" applyNumberFormat="1" applyFont="1" applyFill="1" applyBorder="1" applyAlignment="1">
      <alignment horizontal="left" indent="3"/>
    </xf>
    <xf numFmtId="49" fontId="6" fillId="33" borderId="54" xfId="0" applyNumberFormat="1" applyFont="1" applyFill="1" applyBorder="1" applyAlignment="1">
      <alignment horizontal="left" indent="4"/>
    </xf>
    <xf numFmtId="203" fontId="0" fillId="33" borderId="111" xfId="0" applyNumberFormat="1" applyFill="1" applyBorder="1" applyAlignment="1">
      <alignment horizontal="center"/>
    </xf>
    <xf numFmtId="0" fontId="0" fillId="0" borderId="111" xfId="0" applyBorder="1" applyAlignment="1">
      <alignment horizontal="center"/>
    </xf>
    <xf numFmtId="2" fontId="165" fillId="33" borderId="111" xfId="0" applyNumberFormat="1" applyFont="1" applyFill="1" applyBorder="1" applyAlignment="1">
      <alignment horizontal="center"/>
    </xf>
    <xf numFmtId="1" fontId="165" fillId="33" borderId="111" xfId="0" applyNumberFormat="1" applyFont="1" applyFill="1" applyBorder="1" applyAlignment="1">
      <alignment horizontal="center"/>
    </xf>
    <xf numFmtId="6" fontId="0" fillId="33" borderId="111" xfId="0" applyNumberFormat="1" applyFill="1" applyBorder="1" applyAlignment="1">
      <alignment horizontal="center"/>
    </xf>
    <xf numFmtId="6" fontId="165" fillId="33" borderId="111" xfId="0" applyNumberFormat="1" applyFont="1" applyFill="1" applyBorder="1" applyAlignment="1">
      <alignment horizontal="center"/>
    </xf>
    <xf numFmtId="4" fontId="6" fillId="0" borderId="0" xfId="0" applyNumberFormat="1" applyFont="1" applyAlignment="1">
      <alignment horizontal="center"/>
    </xf>
    <xf numFmtId="4" fontId="0" fillId="33" borderId="111" xfId="0" applyNumberFormat="1" applyFill="1" applyBorder="1" applyAlignment="1">
      <alignment horizontal="center"/>
    </xf>
    <xf numFmtId="6" fontId="0" fillId="0" borderId="111" xfId="59027" applyNumberFormat="1" applyFont="1" applyBorder="1" applyAlignment="1">
      <alignment horizontal="center"/>
    </xf>
    <xf numFmtId="6" fontId="6" fillId="33" borderId="111" xfId="0" applyNumberFormat="1" applyFont="1" applyFill="1" applyBorder="1" applyAlignment="1">
      <alignment horizontal="center"/>
    </xf>
    <xf numFmtId="6" fontId="6" fillId="33" borderId="91" xfId="0" applyNumberFormat="1" applyFont="1" applyFill="1" applyBorder="1" applyAlignment="1">
      <alignment horizontal="center"/>
    </xf>
    <xf numFmtId="3" fontId="6" fillId="0" borderId="0" xfId="0" applyNumberFormat="1" applyFont="1" applyAlignment="1">
      <alignment horizontal="center"/>
    </xf>
    <xf numFmtId="0" fontId="142" fillId="0" borderId="0" xfId="47798" applyFont="1" applyBorder="1" applyAlignment="1">
      <alignment horizontal="center"/>
    </xf>
    <xf numFmtId="0" fontId="164" fillId="0" borderId="0" xfId="47798" applyFont="1" applyBorder="1" applyAlignment="1">
      <alignment horizontal="center" vertical="center" wrapText="1"/>
    </xf>
    <xf numFmtId="0" fontId="163" fillId="0" borderId="0" xfId="47798" applyFont="1" applyBorder="1" applyAlignment="1">
      <alignment horizontal="center"/>
    </xf>
    <xf numFmtId="0" fontId="141" fillId="0" borderId="0" xfId="47798" applyFont="1" applyBorder="1" applyAlignment="1">
      <alignment horizontal="center"/>
    </xf>
    <xf numFmtId="15" fontId="141" fillId="0" borderId="0" xfId="47798" applyNumberFormat="1" applyFont="1" applyBorder="1" applyAlignment="1">
      <alignment horizontal="center"/>
    </xf>
    <xf numFmtId="0" fontId="163" fillId="0" borderId="0" xfId="47798" applyFont="1" applyBorder="1" applyAlignment="1">
      <alignment horizontal="center" wrapText="1"/>
    </xf>
    <xf numFmtId="0" fontId="5" fillId="0" borderId="0" xfId="0" applyFont="1" applyBorder="1" applyAlignment="1">
      <alignment horizontal="left" vertical="center"/>
    </xf>
    <xf numFmtId="0" fontId="0" fillId="0" borderId="10" xfId="47798" applyFont="1" applyBorder="1" applyAlignment="1">
      <alignment horizontal="left" wrapText="1"/>
    </xf>
    <xf numFmtId="0" fontId="0" fillId="114" borderId="10" xfId="47798" applyFont="1" applyFill="1" applyBorder="1" applyAlignment="1">
      <alignment horizontal="center" vertical="top" wrapText="1"/>
    </xf>
    <xf numFmtId="0" fontId="0" fillId="33" borderId="10" xfId="47798" applyFont="1" applyFill="1" applyBorder="1" applyAlignment="1">
      <alignment horizontal="center" wrapText="1"/>
    </xf>
    <xf numFmtId="0" fontId="6" fillId="0" borderId="103" xfId="47798" applyFont="1" applyBorder="1" applyAlignment="1">
      <alignment horizontal="left" vertical="center" wrapText="1" indent="1"/>
    </xf>
    <xf numFmtId="0" fontId="6" fillId="0" borderId="21" xfId="47798" applyFont="1" applyBorder="1" applyAlignment="1">
      <alignment horizontal="left" vertical="center" wrapText="1" indent="1"/>
    </xf>
    <xf numFmtId="0" fontId="6" fillId="0" borderId="106" xfId="47798" applyFont="1" applyBorder="1" applyAlignment="1">
      <alignment horizontal="left" vertical="center" wrapText="1" indent="1"/>
    </xf>
    <xf numFmtId="0" fontId="5" fillId="33" borderId="103" xfId="47798" applyFont="1" applyFill="1" applyBorder="1" applyAlignment="1">
      <alignment horizontal="center" wrapText="1"/>
    </xf>
    <xf numFmtId="0" fontId="5" fillId="33" borderId="106" xfId="47798" applyFont="1" applyFill="1" applyBorder="1" applyAlignment="1">
      <alignment horizontal="center" wrapText="1"/>
    </xf>
    <xf numFmtId="0" fontId="6" fillId="0" borderId="103" xfId="47798" applyFont="1" applyBorder="1" applyAlignment="1">
      <alignment horizontal="left" vertical="center" wrapText="1"/>
    </xf>
    <xf numFmtId="0" fontId="6" fillId="0" borderId="106" xfId="47798" applyFont="1" applyBorder="1" applyAlignment="1">
      <alignment horizontal="left" vertical="center" wrapText="1"/>
    </xf>
    <xf numFmtId="0" fontId="144" fillId="0" borderId="66" xfId="47796" applyFont="1" applyBorder="1" applyAlignment="1" applyProtection="1">
      <alignment horizontal="center" vertical="center" wrapText="1"/>
    </xf>
    <xf numFmtId="0" fontId="144" fillId="0" borderId="20" xfId="47796" applyFont="1" applyBorder="1" applyAlignment="1" applyProtection="1">
      <alignment horizontal="center" vertical="center" wrapText="1"/>
    </xf>
    <xf numFmtId="0" fontId="144" fillId="0" borderId="64" xfId="47796" applyFont="1" applyBorder="1" applyAlignment="1" applyProtection="1">
      <alignment horizontal="center" vertical="center" wrapText="1"/>
    </xf>
    <xf numFmtId="37" fontId="144" fillId="33" borderId="72" xfId="47796" applyNumberFormat="1" applyFont="1" applyFill="1" applyBorder="1" applyAlignment="1">
      <alignment horizontal="center"/>
    </xf>
    <xf numFmtId="37" fontId="144" fillId="33" borderId="73" xfId="47796" applyNumberFormat="1" applyFont="1" applyFill="1" applyBorder="1" applyAlignment="1">
      <alignment horizontal="center"/>
    </xf>
    <xf numFmtId="37" fontId="144" fillId="33" borderId="74" xfId="47796" applyNumberFormat="1" applyFont="1" applyFill="1" applyBorder="1" applyAlignment="1">
      <alignment horizontal="center"/>
    </xf>
    <xf numFmtId="0" fontId="144" fillId="0" borderId="66" xfId="47796" applyFont="1" applyBorder="1" applyAlignment="1">
      <alignment horizontal="center" vertical="center" wrapText="1"/>
    </xf>
    <xf numFmtId="0" fontId="144" fillId="0" borderId="64" xfId="47796" applyFont="1" applyBorder="1" applyAlignment="1">
      <alignment horizontal="center" vertical="center" wrapText="1"/>
    </xf>
    <xf numFmtId="0" fontId="4" fillId="0" borderId="0" xfId="55607" applyFont="1" applyBorder="1" applyAlignment="1">
      <alignment horizontal="left" vertical="top" wrapText="1"/>
    </xf>
    <xf numFmtId="0" fontId="144" fillId="116" borderId="88" xfId="47796" applyFont="1" applyFill="1" applyBorder="1" applyAlignment="1">
      <alignment horizontal="center" vertical="center" wrapText="1"/>
    </xf>
    <xf numFmtId="0" fontId="144" fillId="116" borderId="89" xfId="47796" applyFont="1" applyFill="1" applyBorder="1" applyAlignment="1">
      <alignment horizontal="center" vertical="center" wrapText="1"/>
    </xf>
    <xf numFmtId="0" fontId="144" fillId="116" borderId="84" xfId="47796" applyFont="1" applyFill="1" applyBorder="1" applyAlignment="1">
      <alignment horizontal="center" vertical="center" wrapText="1"/>
    </xf>
    <xf numFmtId="0" fontId="144" fillId="116" borderId="12" xfId="47796" applyFont="1" applyFill="1" applyBorder="1" applyAlignment="1">
      <alignment horizontal="center" vertical="center" wrapText="1"/>
    </xf>
    <xf numFmtId="0" fontId="144" fillId="116" borderId="13" xfId="47796" applyFont="1" applyFill="1" applyBorder="1" applyAlignment="1">
      <alignment horizontal="center" vertical="center" wrapText="1"/>
    </xf>
    <xf numFmtId="0" fontId="0" fillId="34" borderId="10" xfId="0" applyFill="1" applyBorder="1" applyAlignment="1">
      <alignment horizontal="center"/>
    </xf>
    <xf numFmtId="0" fontId="0" fillId="0" borderId="10" xfId="0" applyBorder="1" applyAlignment="1">
      <alignment horizontal="center"/>
    </xf>
    <xf numFmtId="0" fontId="0" fillId="0" borderId="10" xfId="0" applyBorder="1" applyAlignment="1">
      <alignment horizontal="center" wrapText="1"/>
    </xf>
    <xf numFmtId="0" fontId="6" fillId="0" borderId="111" xfId="0" applyFont="1" applyBorder="1" applyAlignment="1">
      <alignment horizontal="left" vertical="center" wrapText="1"/>
    </xf>
    <xf numFmtId="0" fontId="6" fillId="0" borderId="0" xfId="0" applyFont="1" applyAlignment="1">
      <alignment horizontal="left" wrapText="1" indent="1"/>
    </xf>
    <xf numFmtId="0" fontId="5" fillId="33" borderId="111" xfId="0" applyFont="1" applyFill="1" applyBorder="1" applyAlignment="1">
      <alignment horizontal="center" vertical="center" wrapText="1"/>
    </xf>
    <xf numFmtId="0" fontId="6" fillId="0" borderId="0" xfId="0" applyFont="1" applyAlignment="1">
      <alignment horizontal="left" vertical="top" wrapText="1" indent="2"/>
    </xf>
  </cellXfs>
  <cellStyles count="59031">
    <cellStyle name=" 1" xfId="3"/>
    <cellStyle name=" 1 2" xfId="4"/>
    <cellStyle name=" 10" xfId="5"/>
    <cellStyle name=" 10 2" xfId="6"/>
    <cellStyle name=" 10 2 2" xfId="7"/>
    <cellStyle name=" 10 2 3" xfId="8"/>
    <cellStyle name=" 10 3" xfId="9"/>
    <cellStyle name=" 10 4" xfId="10"/>
    <cellStyle name=" 11" xfId="11"/>
    <cellStyle name=" 11 2" xfId="12"/>
    <cellStyle name=" 11 2 2" xfId="13"/>
    <cellStyle name=" 11 2 3" xfId="14"/>
    <cellStyle name=" 11 3" xfId="15"/>
    <cellStyle name=" 11 4" xfId="16"/>
    <cellStyle name=" 12" xfId="17"/>
    <cellStyle name=" 12 2" xfId="18"/>
    <cellStyle name=" 12 3" xfId="19"/>
    <cellStyle name=" 13" xfId="20"/>
    <cellStyle name=" 13 2" xfId="21"/>
    <cellStyle name=" 13 3" xfId="22"/>
    <cellStyle name=" 14" xfId="23"/>
    <cellStyle name=" 14 2" xfId="24"/>
    <cellStyle name=" 14 3" xfId="25"/>
    <cellStyle name=" 15" xfId="26"/>
    <cellStyle name=" 16" xfId="27"/>
    <cellStyle name=" 17" xfId="28"/>
    <cellStyle name=" 18" xfId="29"/>
    <cellStyle name=" 19" xfId="30"/>
    <cellStyle name=" 19 2" xfId="31"/>
    <cellStyle name=" 19 3" xfId="32"/>
    <cellStyle name=" 2" xfId="33"/>
    <cellStyle name=" 20" xfId="34"/>
    <cellStyle name=" 20 2" xfId="35"/>
    <cellStyle name=" 20 3" xfId="36"/>
    <cellStyle name=" 21" xfId="37"/>
    <cellStyle name=" 21 2" xfId="38"/>
    <cellStyle name=" 21 3" xfId="39"/>
    <cellStyle name=" 22" xfId="40"/>
    <cellStyle name=" 22 2" xfId="41"/>
    <cellStyle name=" 22 3" xfId="42"/>
    <cellStyle name=" 23" xfId="43"/>
    <cellStyle name=" 24" xfId="44"/>
    <cellStyle name=" 25" xfId="45"/>
    <cellStyle name=" 26" xfId="46"/>
    <cellStyle name=" 27" xfId="47"/>
    <cellStyle name=" 28" xfId="48"/>
    <cellStyle name=" 29" xfId="49"/>
    <cellStyle name=" 29 2" xfId="50"/>
    <cellStyle name=" 29 3" xfId="51"/>
    <cellStyle name=" 3" xfId="52"/>
    <cellStyle name=" 30" xfId="53"/>
    <cellStyle name=" 30 2" xfId="54"/>
    <cellStyle name=" 30 3" xfId="55"/>
    <cellStyle name=" 31" xfId="56"/>
    <cellStyle name=" 31 2" xfId="57"/>
    <cellStyle name=" 31 3" xfId="58"/>
    <cellStyle name=" 32" xfId="59"/>
    <cellStyle name=" 32 2" xfId="60"/>
    <cellStyle name=" 32 3" xfId="61"/>
    <cellStyle name=" 33" xfId="62"/>
    <cellStyle name=" 33 2" xfId="63"/>
    <cellStyle name=" 33 3" xfId="64"/>
    <cellStyle name=" 34" xfId="65"/>
    <cellStyle name=" 34 2" xfId="66"/>
    <cellStyle name=" 34 3" xfId="67"/>
    <cellStyle name=" 35" xfId="68"/>
    <cellStyle name=" 35 2" xfId="69"/>
    <cellStyle name=" 35 3" xfId="70"/>
    <cellStyle name=" 36" xfId="71"/>
    <cellStyle name=" 36 2" xfId="72"/>
    <cellStyle name=" 36 3" xfId="73"/>
    <cellStyle name=" 37" xfId="74"/>
    <cellStyle name=" 38" xfId="75"/>
    <cellStyle name=" 39" xfId="76"/>
    <cellStyle name=" 4" xfId="77"/>
    <cellStyle name=" 4 2" xfId="78"/>
    <cellStyle name=" 4 2 2" xfId="79"/>
    <cellStyle name=" 4 2 3" xfId="80"/>
    <cellStyle name=" 40" xfId="81"/>
    <cellStyle name=" 41" xfId="82"/>
    <cellStyle name=" 41 2" xfId="83"/>
    <cellStyle name=" 41 3" xfId="84"/>
    <cellStyle name=" 42" xfId="85"/>
    <cellStyle name=" 42 2" xfId="86"/>
    <cellStyle name=" 42 3" xfId="87"/>
    <cellStyle name=" 43" xfId="88"/>
    <cellStyle name=" 43 2" xfId="89"/>
    <cellStyle name=" 43 3" xfId="90"/>
    <cellStyle name=" 44" xfId="91"/>
    <cellStyle name=" 44 2" xfId="92"/>
    <cellStyle name=" 44 3" xfId="93"/>
    <cellStyle name=" 5" xfId="94"/>
    <cellStyle name=" 5 2" xfId="95"/>
    <cellStyle name=" 5 2 2" xfId="96"/>
    <cellStyle name=" 5 2 3" xfId="97"/>
    <cellStyle name=" 6" xfId="98"/>
    <cellStyle name=" 6 2" xfId="99"/>
    <cellStyle name=" 6 2 2" xfId="100"/>
    <cellStyle name=" 6 2 3" xfId="101"/>
    <cellStyle name=" 7" xfId="102"/>
    <cellStyle name=" 7 2" xfId="103"/>
    <cellStyle name=" 7 2 2" xfId="104"/>
    <cellStyle name=" 7 2 3" xfId="105"/>
    <cellStyle name=" 7 3" xfId="106"/>
    <cellStyle name=" 7 4" xfId="107"/>
    <cellStyle name=" 8" xfId="108"/>
    <cellStyle name=" 8 2" xfId="109"/>
    <cellStyle name=" 8 3" xfId="110"/>
    <cellStyle name=" 8 4" xfId="111"/>
    <cellStyle name=" 9" xfId="112"/>
    <cellStyle name=" 9 2" xfId="113"/>
    <cellStyle name=" 9 3" xfId="114"/>
    <cellStyle name=" 9 4" xfId="115"/>
    <cellStyle name="!top/bottom" xfId="116"/>
    <cellStyle name="!top/bottom 2" xfId="117"/>
    <cellStyle name="!top/bottom 2 2" xfId="118"/>
    <cellStyle name="!top/bottom 2 3" xfId="119"/>
    <cellStyle name="!top/bottom 3" xfId="120"/>
    <cellStyle name="!top/bottom 4" xfId="121"/>
    <cellStyle name="!user entry" xfId="122"/>
    <cellStyle name="!user entry 10" xfId="123"/>
    <cellStyle name="!user entry 10 2" xfId="124"/>
    <cellStyle name="!user entry 10 2 2" xfId="125"/>
    <cellStyle name="!user entry 10 2 2 2" xfId="126"/>
    <cellStyle name="!user entry 10 2 3" xfId="127"/>
    <cellStyle name="!user entry 10 3" xfId="128"/>
    <cellStyle name="!user entry 10 3 2" xfId="129"/>
    <cellStyle name="!user entry 10 3 2 2" xfId="130"/>
    <cellStyle name="!user entry 10 3 3" xfId="131"/>
    <cellStyle name="!user entry 10 4" xfId="132"/>
    <cellStyle name="!user entry 10 4 2" xfId="133"/>
    <cellStyle name="!user entry 10 5" xfId="134"/>
    <cellStyle name="!user entry 11" xfId="135"/>
    <cellStyle name="!user entry 11 2" xfId="136"/>
    <cellStyle name="!user entry 11 2 2" xfId="137"/>
    <cellStyle name="!user entry 11 2 2 2" xfId="138"/>
    <cellStyle name="!user entry 11 2 3" xfId="139"/>
    <cellStyle name="!user entry 11 3" xfId="140"/>
    <cellStyle name="!user entry 11 3 2" xfId="141"/>
    <cellStyle name="!user entry 11 3 2 2" xfId="142"/>
    <cellStyle name="!user entry 11 3 3" xfId="143"/>
    <cellStyle name="!user entry 11 4" xfId="144"/>
    <cellStyle name="!user entry 11 4 2" xfId="145"/>
    <cellStyle name="!user entry 11 5" xfId="146"/>
    <cellStyle name="!user entry 12" xfId="147"/>
    <cellStyle name="!user entry 12 2" xfId="148"/>
    <cellStyle name="!user entry 12 2 2" xfId="149"/>
    <cellStyle name="!user entry 12 3" xfId="150"/>
    <cellStyle name="!user entry 12 4" xfId="151"/>
    <cellStyle name="!user entry 12 5" xfId="152"/>
    <cellStyle name="!user entry 13" xfId="153"/>
    <cellStyle name="!user entry 13 2" xfId="154"/>
    <cellStyle name="!user entry 13 2 2" xfId="155"/>
    <cellStyle name="!user entry 13 3" xfId="156"/>
    <cellStyle name="!user entry 14" xfId="157"/>
    <cellStyle name="!user entry 14 2" xfId="158"/>
    <cellStyle name="!user entry 14 2 2" xfId="159"/>
    <cellStyle name="!user entry 14 3" xfId="160"/>
    <cellStyle name="!user entry 15" xfId="161"/>
    <cellStyle name="!user entry 15 2" xfId="162"/>
    <cellStyle name="!user entry 16" xfId="163"/>
    <cellStyle name="!user entry 2" xfId="164"/>
    <cellStyle name="!user entry 2 2" xfId="165"/>
    <cellStyle name="!user entry 2 2 2" xfId="166"/>
    <cellStyle name="!user entry 2 2 2 2" xfId="167"/>
    <cellStyle name="!user entry 2 2 3" xfId="168"/>
    <cellStyle name="!user entry 2 2 4" xfId="169"/>
    <cellStyle name="!user entry 2 2 5" xfId="170"/>
    <cellStyle name="!user entry 2 3" xfId="171"/>
    <cellStyle name="!user entry 2 3 2" xfId="172"/>
    <cellStyle name="!user entry 2 3 2 2" xfId="173"/>
    <cellStyle name="!user entry 2 3 3" xfId="174"/>
    <cellStyle name="!user entry 2 4" xfId="175"/>
    <cellStyle name="!user entry 2 4 2" xfId="176"/>
    <cellStyle name="!user entry 2 4 2 2" xfId="177"/>
    <cellStyle name="!user entry 2 4 3" xfId="178"/>
    <cellStyle name="!user entry 2 5" xfId="179"/>
    <cellStyle name="!user entry 2 5 2" xfId="180"/>
    <cellStyle name="!user entry 2 6" xfId="181"/>
    <cellStyle name="!user entry 3" xfId="182"/>
    <cellStyle name="!user entry 3 2" xfId="183"/>
    <cellStyle name="!user entry 3 2 2" xfId="184"/>
    <cellStyle name="!user entry 3 2 2 2" xfId="185"/>
    <cellStyle name="!user entry 3 2 3" xfId="186"/>
    <cellStyle name="!user entry 3 2 4" xfId="187"/>
    <cellStyle name="!user entry 3 2 5" xfId="188"/>
    <cellStyle name="!user entry 3 3" xfId="189"/>
    <cellStyle name="!user entry 3 3 2" xfId="190"/>
    <cellStyle name="!user entry 3 3 2 2" xfId="191"/>
    <cellStyle name="!user entry 3 3 3" xfId="192"/>
    <cellStyle name="!user entry 3 4" xfId="193"/>
    <cellStyle name="!user entry 3 4 2" xfId="194"/>
    <cellStyle name="!user entry 3 4 2 2" xfId="195"/>
    <cellStyle name="!user entry 3 4 3" xfId="196"/>
    <cellStyle name="!user entry 3 5" xfId="197"/>
    <cellStyle name="!user entry 3 5 2" xfId="198"/>
    <cellStyle name="!user entry 3 6" xfId="199"/>
    <cellStyle name="!user entry 4" xfId="200"/>
    <cellStyle name="!user entry 4 2" xfId="201"/>
    <cellStyle name="!user entry 4 2 2" xfId="202"/>
    <cellStyle name="!user entry 4 2 2 2" xfId="203"/>
    <cellStyle name="!user entry 4 2 3" xfId="204"/>
    <cellStyle name="!user entry 4 2 4" xfId="205"/>
    <cellStyle name="!user entry 4 2 5" xfId="206"/>
    <cellStyle name="!user entry 4 3" xfId="207"/>
    <cellStyle name="!user entry 4 3 2" xfId="208"/>
    <cellStyle name="!user entry 4 3 2 2" xfId="209"/>
    <cellStyle name="!user entry 4 3 3" xfId="210"/>
    <cellStyle name="!user entry 4 4" xfId="211"/>
    <cellStyle name="!user entry 4 4 2" xfId="212"/>
    <cellStyle name="!user entry 4 4 2 2" xfId="213"/>
    <cellStyle name="!user entry 4 4 3" xfId="214"/>
    <cellStyle name="!user entry 4 5" xfId="215"/>
    <cellStyle name="!user entry 4 5 2" xfId="216"/>
    <cellStyle name="!user entry 4 6" xfId="217"/>
    <cellStyle name="!user entry 5" xfId="218"/>
    <cellStyle name="!user entry 5 2" xfId="219"/>
    <cellStyle name="!user entry 5 2 2" xfId="220"/>
    <cellStyle name="!user entry 5 2 2 2" xfId="221"/>
    <cellStyle name="!user entry 5 2 3" xfId="222"/>
    <cellStyle name="!user entry 5 2 4" xfId="223"/>
    <cellStyle name="!user entry 5 2 5" xfId="224"/>
    <cellStyle name="!user entry 5 3" xfId="225"/>
    <cellStyle name="!user entry 5 3 2" xfId="226"/>
    <cellStyle name="!user entry 5 3 2 2" xfId="227"/>
    <cellStyle name="!user entry 5 3 3" xfId="228"/>
    <cellStyle name="!user entry 5 4" xfId="229"/>
    <cellStyle name="!user entry 5 4 2" xfId="230"/>
    <cellStyle name="!user entry 5 4 2 2" xfId="231"/>
    <cellStyle name="!user entry 5 4 3" xfId="232"/>
    <cellStyle name="!user entry 5 5" xfId="233"/>
    <cellStyle name="!user entry 5 5 2" xfId="234"/>
    <cellStyle name="!user entry 5 6" xfId="235"/>
    <cellStyle name="!user entry 6" xfId="236"/>
    <cellStyle name="!user entry 6 2" xfId="237"/>
    <cellStyle name="!user entry 6 2 2" xfId="238"/>
    <cellStyle name="!user entry 6 2 2 2" xfId="239"/>
    <cellStyle name="!user entry 6 2 3" xfId="240"/>
    <cellStyle name="!user entry 6 3" xfId="241"/>
    <cellStyle name="!user entry 6 3 2" xfId="242"/>
    <cellStyle name="!user entry 6 3 2 2" xfId="243"/>
    <cellStyle name="!user entry 6 3 3" xfId="244"/>
    <cellStyle name="!user entry 6 4" xfId="245"/>
    <cellStyle name="!user entry 6 4 2" xfId="246"/>
    <cellStyle name="!user entry 6 4 2 2" xfId="247"/>
    <cellStyle name="!user entry 6 4 3" xfId="248"/>
    <cellStyle name="!user entry 6 5" xfId="249"/>
    <cellStyle name="!user entry 6 5 2" xfId="250"/>
    <cellStyle name="!user entry 6 6" xfId="251"/>
    <cellStyle name="!user entry 7" xfId="252"/>
    <cellStyle name="!user entry 7 2" xfId="253"/>
    <cellStyle name="!user entry 7 2 2" xfId="254"/>
    <cellStyle name="!user entry 7 2 2 2" xfId="255"/>
    <cellStyle name="!user entry 7 2 3" xfId="256"/>
    <cellStyle name="!user entry 7 3" xfId="257"/>
    <cellStyle name="!user entry 7 3 2" xfId="258"/>
    <cellStyle name="!user entry 7 3 2 2" xfId="259"/>
    <cellStyle name="!user entry 7 3 3" xfId="260"/>
    <cellStyle name="!user entry 7 4" xfId="261"/>
    <cellStyle name="!user entry 7 4 2" xfId="262"/>
    <cellStyle name="!user entry 7 4 2 2" xfId="263"/>
    <cellStyle name="!user entry 7 4 3" xfId="264"/>
    <cellStyle name="!user entry 7 5" xfId="265"/>
    <cellStyle name="!user entry 7 5 2" xfId="266"/>
    <cellStyle name="!user entry 7 6" xfId="267"/>
    <cellStyle name="!user entry 8" xfId="268"/>
    <cellStyle name="!user entry 8 2" xfId="269"/>
    <cellStyle name="!user entry 8 2 2" xfId="270"/>
    <cellStyle name="!user entry 8 2 2 2" xfId="271"/>
    <cellStyle name="!user entry 8 2 3" xfId="272"/>
    <cellStyle name="!user entry 8 3" xfId="273"/>
    <cellStyle name="!user entry 8 3 2" xfId="274"/>
    <cellStyle name="!user entry 8 3 2 2" xfId="275"/>
    <cellStyle name="!user entry 8 3 3" xfId="276"/>
    <cellStyle name="!user entry 8 4" xfId="277"/>
    <cellStyle name="!user entry 8 4 2" xfId="278"/>
    <cellStyle name="!user entry 8 4 2 2" xfId="279"/>
    <cellStyle name="!user entry 8 4 3" xfId="280"/>
    <cellStyle name="!user entry 8 5" xfId="281"/>
    <cellStyle name="!user entry 8 5 2" xfId="282"/>
    <cellStyle name="!user entry 8 6" xfId="283"/>
    <cellStyle name="!user entry 9" xfId="284"/>
    <cellStyle name="!user entry 9 2" xfId="285"/>
    <cellStyle name="!user entry 9 2 2" xfId="286"/>
    <cellStyle name="!user entry 9 2 2 2" xfId="287"/>
    <cellStyle name="!user entry 9 2 3" xfId="288"/>
    <cellStyle name="!user entry 9 3" xfId="289"/>
    <cellStyle name="!user entry 9 3 2" xfId="290"/>
    <cellStyle name="!user entry 9 3 2 2" xfId="291"/>
    <cellStyle name="!user entry 9 3 3" xfId="292"/>
    <cellStyle name="!user entry 9 4" xfId="293"/>
    <cellStyle name="!user entry 9 4 2" xfId="294"/>
    <cellStyle name="!user entry 9 5" xfId="295"/>
    <cellStyle name="&quot;oh3" xfId="296"/>
    <cellStyle name="$0" xfId="297"/>
    <cellStyle name="$0 2" xfId="298"/>
    <cellStyle name="$0 3" xfId="299"/>
    <cellStyle name="$0 4" xfId="300"/>
    <cellStyle name="$0 4 2" xfId="301"/>
    <cellStyle name="$2" xfId="302"/>
    <cellStyle name="$2 2" xfId="303"/>
    <cellStyle name="$2 3" xfId="304"/>
    <cellStyle name="$2 4" xfId="305"/>
    <cellStyle name="$2 4 2" xfId="306"/>
    <cellStyle name="%0" xfId="307"/>
    <cellStyle name="%0 2" xfId="308"/>
    <cellStyle name="%0 3" xfId="309"/>
    <cellStyle name="%0 4" xfId="310"/>
    <cellStyle name="%0 4 2" xfId="311"/>
    <cellStyle name="%1" xfId="312"/>
    <cellStyle name="%1 2" xfId="313"/>
    <cellStyle name="%1 3" xfId="314"/>
    <cellStyle name="%1 4" xfId="315"/>
    <cellStyle name="%1 4 2" xfId="316"/>
    <cellStyle name="%2" xfId="317"/>
    <cellStyle name="%2 2" xfId="318"/>
    <cellStyle name="%2 3" xfId="319"/>
    <cellStyle name="%2 4" xfId="320"/>
    <cellStyle name="%2 4 2" xfId="321"/>
    <cellStyle name=",0" xfId="322"/>
    <cellStyle name=",0 2" xfId="323"/>
    <cellStyle name=",0 3" xfId="324"/>
    <cellStyle name=",0 4" xfId="325"/>
    <cellStyle name=",0 4 2" xfId="326"/>
    <cellStyle name=",1" xfId="327"/>
    <cellStyle name=",1 2" xfId="328"/>
    <cellStyle name=",1 3" xfId="329"/>
    <cellStyle name=",1 4" xfId="330"/>
    <cellStyle name=",1 4 2" xfId="331"/>
    <cellStyle name=",2" xfId="332"/>
    <cellStyle name=",2 2" xfId="333"/>
    <cellStyle name=",2 3" xfId="334"/>
    <cellStyle name=",2 4" xfId="335"/>
    <cellStyle name=",2 4 2" xfId="336"/>
    <cellStyle name="±0" xfId="337"/>
    <cellStyle name="±0 2" xfId="338"/>
    <cellStyle name="±0 3" xfId="339"/>
    <cellStyle name="±0 4" xfId="340"/>
    <cellStyle name="±0 4 2" xfId="341"/>
    <cellStyle name="±2" xfId="342"/>
    <cellStyle name="±2 2" xfId="343"/>
    <cellStyle name="±2 3" xfId="344"/>
    <cellStyle name="±2 4" xfId="345"/>
    <cellStyle name="±2 4 2" xfId="346"/>
    <cellStyle name="0,0_x000d__x000a_NA_x000d__x000a_" xfId="347"/>
    <cellStyle name="0,0_x000d__x000a_NA_x000d__x000a_ 2" xfId="348"/>
    <cellStyle name="0,0_x000d__x000a_NA_x000d__x000a_ 2 2" xfId="349"/>
    <cellStyle name="0,0_x000d__x000a_NA_x000d__x000a_ 3" xfId="350"/>
    <cellStyle name="0,0_x000d__x000a_NA_x000d__x000a_ 5 2" xfId="351"/>
    <cellStyle name="1" xfId="352"/>
    <cellStyle name="20% - Accent1 10" xfId="353"/>
    <cellStyle name="20% - Accent1 10 2" xfId="354"/>
    <cellStyle name="20% - Accent1 11" xfId="355"/>
    <cellStyle name="20% - Accent1 11 2" xfId="356"/>
    <cellStyle name="20% - Accent1 12" xfId="357"/>
    <cellStyle name="20% - Accent1 12 2" xfId="358"/>
    <cellStyle name="20% - Accent1 13" xfId="359"/>
    <cellStyle name="20% - Accent1 13 2" xfId="360"/>
    <cellStyle name="20% - Accent1 14" xfId="361"/>
    <cellStyle name="20% - Accent1 2" xfId="362"/>
    <cellStyle name="20% - Accent1 2 2" xfId="363"/>
    <cellStyle name="20% - Accent1 2 2 2" xfId="364"/>
    <cellStyle name="20% - Accent1 2 2 3" xfId="365"/>
    <cellStyle name="20% - Accent1 2 3" xfId="366"/>
    <cellStyle name="20% - Accent1 2 3 2" xfId="367"/>
    <cellStyle name="20% - Accent1 2 4" xfId="368"/>
    <cellStyle name="20% - Accent1 2 5" xfId="369"/>
    <cellStyle name="20% - Accent1 2_P-8A FRP Make Parts Detail Estimate 08,06,2012" xfId="370"/>
    <cellStyle name="20% - Accent1 3" xfId="371"/>
    <cellStyle name="20% - Accent1 3 2" xfId="372"/>
    <cellStyle name="20% - Accent1 3 2 2" xfId="373"/>
    <cellStyle name="20% - Accent1 3 2_P-8A FRP Make Parts Detail Estimate 08,06,2012" xfId="374"/>
    <cellStyle name="20% - Accent1 3 3" xfId="375"/>
    <cellStyle name="20% - Accent1 3 4" xfId="376"/>
    <cellStyle name="20% - Accent1 3_P-8A FRP Make Parts Detail Estimate 08,06,2012" xfId="377"/>
    <cellStyle name="20% - Accent1 4" xfId="378"/>
    <cellStyle name="20% - Accent1 4 2" xfId="379"/>
    <cellStyle name="20% - Accent1 4 2 2" xfId="380"/>
    <cellStyle name="20% - Accent1 4 3" xfId="381"/>
    <cellStyle name="20% - Accent1 5" xfId="382"/>
    <cellStyle name="20% - Accent1 5 2" xfId="383"/>
    <cellStyle name="20% - Accent1 5 2 2" xfId="384"/>
    <cellStyle name="20% - Accent1 5 3" xfId="385"/>
    <cellStyle name="20% - Accent1 6" xfId="386"/>
    <cellStyle name="20% - Accent1 6 2" xfId="387"/>
    <cellStyle name="20% - Accent1 6 2 2" xfId="388"/>
    <cellStyle name="20% - Accent1 6 3" xfId="389"/>
    <cellStyle name="20% - Accent1 7" xfId="390"/>
    <cellStyle name="20% - Accent1 7 2" xfId="391"/>
    <cellStyle name="20% - Accent1 8" xfId="392"/>
    <cellStyle name="20% - Accent1 8 2" xfId="393"/>
    <cellStyle name="20% - Accent1 8 3" xfId="394"/>
    <cellStyle name="20% - Accent1 9" xfId="395"/>
    <cellStyle name="20% - Accent1 9 2" xfId="396"/>
    <cellStyle name="20% - Accent2 10" xfId="397"/>
    <cellStyle name="20% - Accent2 10 2" xfId="398"/>
    <cellStyle name="20% - Accent2 11" xfId="399"/>
    <cellStyle name="20% - Accent2 11 2" xfId="400"/>
    <cellStyle name="20% - Accent2 12" xfId="401"/>
    <cellStyle name="20% - Accent2 12 2" xfId="402"/>
    <cellStyle name="20% - Accent2 13" xfId="403"/>
    <cellStyle name="20% - Accent2 13 2" xfId="404"/>
    <cellStyle name="20% - Accent2 14" xfId="405"/>
    <cellStyle name="20% - Accent2 2" xfId="406"/>
    <cellStyle name="20% - Accent2 2 2" xfId="407"/>
    <cellStyle name="20% - Accent2 2 2 2" xfId="408"/>
    <cellStyle name="20% - Accent2 2 2 3" xfId="409"/>
    <cellStyle name="20% - Accent2 2 3" xfId="410"/>
    <cellStyle name="20% - Accent2 2 3 2" xfId="411"/>
    <cellStyle name="20% - Accent2 2 4" xfId="412"/>
    <cellStyle name="20% - Accent2 2 5" xfId="413"/>
    <cellStyle name="20% - Accent2 2_P-8A FRP Make Parts Detail Estimate 08,06,2012" xfId="414"/>
    <cellStyle name="20% - Accent2 3" xfId="415"/>
    <cellStyle name="20% - Accent2 3 2" xfId="416"/>
    <cellStyle name="20% - Accent2 3 2 2" xfId="417"/>
    <cellStyle name="20% - Accent2 3 2_P-8A FRP Make Parts Detail Estimate 08,06,2012" xfId="418"/>
    <cellStyle name="20% - Accent2 3 3" xfId="419"/>
    <cellStyle name="20% - Accent2 3 4" xfId="420"/>
    <cellStyle name="20% - Accent2 3_P-8A FRP Make Parts Detail Estimate 08,06,2012" xfId="421"/>
    <cellStyle name="20% - Accent2 4" xfId="422"/>
    <cellStyle name="20% - Accent2 4 2" xfId="423"/>
    <cellStyle name="20% - Accent2 4 2 2" xfId="424"/>
    <cellStyle name="20% - Accent2 4 3" xfId="425"/>
    <cellStyle name="20% - Accent2 5" xfId="426"/>
    <cellStyle name="20% - Accent2 5 2" xfId="427"/>
    <cellStyle name="20% - Accent2 5 2 2" xfId="428"/>
    <cellStyle name="20% - Accent2 5 3" xfId="429"/>
    <cellStyle name="20% - Accent2 6" xfId="430"/>
    <cellStyle name="20% - Accent2 6 2" xfId="431"/>
    <cellStyle name="20% - Accent2 6 2 2" xfId="432"/>
    <cellStyle name="20% - Accent2 6 3" xfId="433"/>
    <cellStyle name="20% - Accent2 7" xfId="434"/>
    <cellStyle name="20% - Accent2 7 2" xfId="435"/>
    <cellStyle name="20% - Accent2 8" xfId="436"/>
    <cellStyle name="20% - Accent2 8 2" xfId="437"/>
    <cellStyle name="20% - Accent2 8 3" xfId="438"/>
    <cellStyle name="20% - Accent2 9" xfId="439"/>
    <cellStyle name="20% - Accent2 9 2" xfId="440"/>
    <cellStyle name="20% - Accent3 10" xfId="441"/>
    <cellStyle name="20% - Accent3 10 2" xfId="442"/>
    <cellStyle name="20% - Accent3 11" xfId="443"/>
    <cellStyle name="20% - Accent3 11 2" xfId="444"/>
    <cellStyle name="20% - Accent3 12" xfId="445"/>
    <cellStyle name="20% - Accent3 12 2" xfId="446"/>
    <cellStyle name="20% - Accent3 13" xfId="447"/>
    <cellStyle name="20% - Accent3 13 2" xfId="448"/>
    <cellStyle name="20% - Accent3 14" xfId="449"/>
    <cellStyle name="20% - Accent3 2" xfId="450"/>
    <cellStyle name="20% - Accent3 2 2" xfId="451"/>
    <cellStyle name="20% - Accent3 2 2 2" xfId="452"/>
    <cellStyle name="20% - Accent3 2 2 3" xfId="453"/>
    <cellStyle name="20% - Accent3 2 3" xfId="454"/>
    <cellStyle name="20% - Accent3 2 3 2" xfId="455"/>
    <cellStyle name="20% - Accent3 2 4" xfId="456"/>
    <cellStyle name="20% - Accent3 2 5" xfId="457"/>
    <cellStyle name="20% - Accent3 2_P-8A FRP Make Parts Detail Estimate 08,06,2012" xfId="458"/>
    <cellStyle name="20% - Accent3 3" xfId="459"/>
    <cellStyle name="20% - Accent3 3 2" xfId="460"/>
    <cellStyle name="20% - Accent3 3 2 2" xfId="461"/>
    <cellStyle name="20% - Accent3 3 2_P-8A FRP Make Parts Detail Estimate 08,06,2012" xfId="462"/>
    <cellStyle name="20% - Accent3 3 3" xfId="463"/>
    <cellStyle name="20% - Accent3 3 4" xfId="464"/>
    <cellStyle name="20% - Accent3 3_P-8A FRP Make Parts Detail Estimate 08,06,2012" xfId="465"/>
    <cellStyle name="20% - Accent3 4" xfId="466"/>
    <cellStyle name="20% - Accent3 4 2" xfId="467"/>
    <cellStyle name="20% - Accent3 4 2 2" xfId="468"/>
    <cellStyle name="20% - Accent3 4 3" xfId="469"/>
    <cellStyle name="20% - Accent3 5" xfId="470"/>
    <cellStyle name="20% - Accent3 5 2" xfId="471"/>
    <cellStyle name="20% - Accent3 5 2 2" xfId="472"/>
    <cellStyle name="20% - Accent3 5 3" xfId="473"/>
    <cellStyle name="20% - Accent3 6" xfId="474"/>
    <cellStyle name="20% - Accent3 6 2" xfId="475"/>
    <cellStyle name="20% - Accent3 6 2 2" xfId="476"/>
    <cellStyle name="20% - Accent3 6 3" xfId="477"/>
    <cellStyle name="20% - Accent3 7" xfId="478"/>
    <cellStyle name="20% - Accent3 7 2" xfId="479"/>
    <cellStyle name="20% - Accent3 8" xfId="480"/>
    <cellStyle name="20% - Accent3 8 2" xfId="481"/>
    <cellStyle name="20% - Accent3 8 3" xfId="482"/>
    <cellStyle name="20% - Accent3 9" xfId="483"/>
    <cellStyle name="20% - Accent3 9 2" xfId="484"/>
    <cellStyle name="20% - Accent4 10" xfId="485"/>
    <cellStyle name="20% - Accent4 10 2" xfId="486"/>
    <cellStyle name="20% - Accent4 11" xfId="487"/>
    <cellStyle name="20% - Accent4 11 2" xfId="488"/>
    <cellStyle name="20% - Accent4 12" xfId="489"/>
    <cellStyle name="20% - Accent4 12 2" xfId="490"/>
    <cellStyle name="20% - Accent4 13" xfId="491"/>
    <cellStyle name="20% - Accent4 13 2" xfId="492"/>
    <cellStyle name="20% - Accent4 14" xfId="493"/>
    <cellStyle name="20% - Accent4 2" xfId="494"/>
    <cellStyle name="20% - Accent4 2 2" xfId="495"/>
    <cellStyle name="20% - Accent4 2 2 2" xfId="496"/>
    <cellStyle name="20% - Accent4 2 2 3" xfId="497"/>
    <cellStyle name="20% - Accent4 2 3" xfId="498"/>
    <cellStyle name="20% - Accent4 2 3 2" xfId="499"/>
    <cellStyle name="20% - Accent4 2 4" xfId="500"/>
    <cellStyle name="20% - Accent4 2 5" xfId="501"/>
    <cellStyle name="20% - Accent4 2_P-8A FRP Make Parts Detail Estimate 08,06,2012" xfId="502"/>
    <cellStyle name="20% - Accent4 3" xfId="503"/>
    <cellStyle name="20% - Accent4 3 2" xfId="504"/>
    <cellStyle name="20% - Accent4 3 2 2" xfId="505"/>
    <cellStyle name="20% - Accent4 3 2_P-8A FRP Make Parts Detail Estimate 08,06,2012" xfId="506"/>
    <cellStyle name="20% - Accent4 3 3" xfId="507"/>
    <cellStyle name="20% - Accent4 3 4" xfId="508"/>
    <cellStyle name="20% - Accent4 3_P-8A FRP Make Parts Detail Estimate 08,06,2012" xfId="509"/>
    <cellStyle name="20% - Accent4 4" xfId="510"/>
    <cellStyle name="20% - Accent4 4 2" xfId="511"/>
    <cellStyle name="20% - Accent4 4 2 2" xfId="512"/>
    <cellStyle name="20% - Accent4 4 3" xfId="513"/>
    <cellStyle name="20% - Accent4 5" xfId="514"/>
    <cellStyle name="20% - Accent4 5 2" xfId="515"/>
    <cellStyle name="20% - Accent4 5 2 2" xfId="516"/>
    <cellStyle name="20% - Accent4 5 3" xfId="517"/>
    <cellStyle name="20% - Accent4 6" xfId="518"/>
    <cellStyle name="20% - Accent4 6 2" xfId="519"/>
    <cellStyle name="20% - Accent4 6 2 2" xfId="520"/>
    <cellStyle name="20% - Accent4 6 3" xfId="521"/>
    <cellStyle name="20% - Accent4 7" xfId="522"/>
    <cellStyle name="20% - Accent4 7 2" xfId="523"/>
    <cellStyle name="20% - Accent4 8" xfId="524"/>
    <cellStyle name="20% - Accent4 8 2" xfId="525"/>
    <cellStyle name="20% - Accent4 8 3" xfId="526"/>
    <cellStyle name="20% - Accent4 9" xfId="527"/>
    <cellStyle name="20% - Accent4 9 2" xfId="528"/>
    <cellStyle name="20% - Accent5 10" xfId="529"/>
    <cellStyle name="20% - Accent5 10 2" xfId="530"/>
    <cellStyle name="20% - Accent5 11" xfId="531"/>
    <cellStyle name="20% - Accent5 11 2" xfId="532"/>
    <cellStyle name="20% - Accent5 12" xfId="533"/>
    <cellStyle name="20% - Accent5 12 2" xfId="534"/>
    <cellStyle name="20% - Accent5 13" xfId="535"/>
    <cellStyle name="20% - Accent5 13 2" xfId="536"/>
    <cellStyle name="20% - Accent5 14" xfId="537"/>
    <cellStyle name="20% - Accent5 2" xfId="538"/>
    <cellStyle name="20% - Accent5 2 2" xfId="539"/>
    <cellStyle name="20% - Accent5 2 2 2" xfId="540"/>
    <cellStyle name="20% - Accent5 2 2 3" xfId="541"/>
    <cellStyle name="20% - Accent5 2 3" xfId="542"/>
    <cellStyle name="20% - Accent5 2 3 2" xfId="543"/>
    <cellStyle name="20% - Accent5 2 4" xfId="544"/>
    <cellStyle name="20% - Accent5 2 5" xfId="545"/>
    <cellStyle name="20% - Accent5 2_P-8A FRP Make Parts Detail Estimate 08,06,2012" xfId="546"/>
    <cellStyle name="20% - Accent5 3" xfId="547"/>
    <cellStyle name="20% - Accent5 3 2" xfId="548"/>
    <cellStyle name="20% - Accent5 3 2 2" xfId="549"/>
    <cellStyle name="20% - Accent5 3 2_P-8A FRP Make Parts Detail Estimate 08,06,2012" xfId="550"/>
    <cellStyle name="20% - Accent5 3 3" xfId="551"/>
    <cellStyle name="20% - Accent5 3 4" xfId="552"/>
    <cellStyle name="20% - Accent5 3_P-8A FRP Make Parts Detail Estimate 08,06,2012" xfId="553"/>
    <cellStyle name="20% - Accent5 4" xfId="554"/>
    <cellStyle name="20% - Accent5 4 2" xfId="555"/>
    <cellStyle name="20% - Accent5 4 2 2" xfId="556"/>
    <cellStyle name="20% - Accent5 4 3" xfId="557"/>
    <cellStyle name="20% - Accent5 5" xfId="558"/>
    <cellStyle name="20% - Accent5 5 2" xfId="559"/>
    <cellStyle name="20% - Accent5 5 2 2" xfId="560"/>
    <cellStyle name="20% - Accent5 5 3" xfId="561"/>
    <cellStyle name="20% - Accent5 6" xfId="562"/>
    <cellStyle name="20% - Accent5 6 2" xfId="563"/>
    <cellStyle name="20% - Accent5 6 2 2" xfId="564"/>
    <cellStyle name="20% - Accent5 6 3" xfId="565"/>
    <cellStyle name="20% - Accent5 7" xfId="566"/>
    <cellStyle name="20% - Accent5 7 2" xfId="567"/>
    <cellStyle name="20% - Accent5 8" xfId="568"/>
    <cellStyle name="20% - Accent5 8 2" xfId="569"/>
    <cellStyle name="20% - Accent5 8 3" xfId="570"/>
    <cellStyle name="20% - Accent5 9" xfId="571"/>
    <cellStyle name="20% - Accent5 9 2" xfId="572"/>
    <cellStyle name="20% - Accent6 10" xfId="573"/>
    <cellStyle name="20% - Accent6 10 2" xfId="574"/>
    <cellStyle name="20% - Accent6 11" xfId="575"/>
    <cellStyle name="20% - Accent6 11 2" xfId="576"/>
    <cellStyle name="20% - Accent6 12" xfId="577"/>
    <cellStyle name="20% - Accent6 12 2" xfId="578"/>
    <cellStyle name="20% - Accent6 13" xfId="579"/>
    <cellStyle name="20% - Accent6 13 2" xfId="580"/>
    <cellStyle name="20% - Accent6 14" xfId="581"/>
    <cellStyle name="20% - Accent6 2" xfId="582"/>
    <cellStyle name="20% - Accent6 2 2" xfId="583"/>
    <cellStyle name="20% - Accent6 2 2 2" xfId="584"/>
    <cellStyle name="20% - Accent6 2 2 3" xfId="585"/>
    <cellStyle name="20% - Accent6 2 3" xfId="586"/>
    <cellStyle name="20% - Accent6 2 3 2" xfId="587"/>
    <cellStyle name="20% - Accent6 2 4" xfId="588"/>
    <cellStyle name="20% - Accent6 2 5" xfId="589"/>
    <cellStyle name="20% - Accent6 2_P-8A FRP Make Parts Detail Estimate 08,06,2012" xfId="590"/>
    <cellStyle name="20% - Accent6 3" xfId="591"/>
    <cellStyle name="20% - Accent6 3 2" xfId="592"/>
    <cellStyle name="20% - Accent6 3 2 2" xfId="593"/>
    <cellStyle name="20% - Accent6 3 2_P-8A FRP Make Parts Detail Estimate 08,06,2012" xfId="594"/>
    <cellStyle name="20% - Accent6 3 3" xfId="595"/>
    <cellStyle name="20% - Accent6 3 4" xfId="596"/>
    <cellStyle name="20% - Accent6 3_P-8A FRP Make Parts Detail Estimate 08,06,2012" xfId="597"/>
    <cellStyle name="20% - Accent6 4" xfId="598"/>
    <cellStyle name="20% - Accent6 4 2" xfId="599"/>
    <cellStyle name="20% - Accent6 4 2 2" xfId="600"/>
    <cellStyle name="20% - Accent6 4 3" xfId="601"/>
    <cellStyle name="20% - Accent6 5" xfId="602"/>
    <cellStyle name="20% - Accent6 5 2" xfId="603"/>
    <cellStyle name="20% - Accent6 5 2 2" xfId="604"/>
    <cellStyle name="20% - Accent6 5 3" xfId="605"/>
    <cellStyle name="20% - Accent6 6" xfId="606"/>
    <cellStyle name="20% - Accent6 6 2" xfId="607"/>
    <cellStyle name="20% - Accent6 6 2 2" xfId="608"/>
    <cellStyle name="20% - Accent6 6 3" xfId="609"/>
    <cellStyle name="20% - Accent6 7" xfId="610"/>
    <cellStyle name="20% - Accent6 7 2" xfId="611"/>
    <cellStyle name="20% - Accent6 8" xfId="612"/>
    <cellStyle name="20% - Accent6 8 2" xfId="613"/>
    <cellStyle name="20% - Accent6 8 3" xfId="614"/>
    <cellStyle name="20% - Accent6 9" xfId="615"/>
    <cellStyle name="20% - Accent6 9 2" xfId="616"/>
    <cellStyle name="2DRATES" xfId="617"/>
    <cellStyle name="3DRATES" xfId="618"/>
    <cellStyle name="40% - Accent1 10" xfId="619"/>
    <cellStyle name="40% - Accent1 10 2" xfId="620"/>
    <cellStyle name="40% - Accent1 11" xfId="621"/>
    <cellStyle name="40% - Accent1 11 2" xfId="622"/>
    <cellStyle name="40% - Accent1 12" xfId="623"/>
    <cellStyle name="40% - Accent1 12 2" xfId="624"/>
    <cellStyle name="40% - Accent1 13" xfId="625"/>
    <cellStyle name="40% - Accent1 13 2" xfId="626"/>
    <cellStyle name="40% - Accent1 14" xfId="627"/>
    <cellStyle name="40% - Accent1 2" xfId="628"/>
    <cellStyle name="40% - Accent1 2 2" xfId="629"/>
    <cellStyle name="40% - Accent1 2 2 2" xfId="630"/>
    <cellStyle name="40% - Accent1 2 2 2 2" xfId="631"/>
    <cellStyle name="40% - Accent1 2 2 2 3" xfId="632"/>
    <cellStyle name="40% - Accent1 2 2 3" xfId="633"/>
    <cellStyle name="40% - Accent1 2 2 4" xfId="634"/>
    <cellStyle name="40% - Accent1 2 3" xfId="635"/>
    <cellStyle name="40% - Accent1 2 3 2" xfId="636"/>
    <cellStyle name="40% - Accent1 2 3 2 2" xfId="637"/>
    <cellStyle name="40% - Accent1 2 3 3" xfId="638"/>
    <cellStyle name="40% - Accent1 2 3 4" xfId="639"/>
    <cellStyle name="40% - Accent1 2 4" xfId="640"/>
    <cellStyle name="40% - Accent1 2 4 2" xfId="641"/>
    <cellStyle name="40% - Accent1 2 4 3" xfId="642"/>
    <cellStyle name="40% - Accent1 2 5" xfId="643"/>
    <cellStyle name="40% - Accent1 2 6" xfId="644"/>
    <cellStyle name="40% - Accent1 2_P-8A FRP Make Parts Detail Estimate 08,06,2012" xfId="645"/>
    <cellStyle name="40% - Accent1 3" xfId="646"/>
    <cellStyle name="40% - Accent1 3 2" xfId="647"/>
    <cellStyle name="40% - Accent1 3 2 2" xfId="648"/>
    <cellStyle name="40% - Accent1 3 2_P-8A FRP Make Parts Detail Estimate 08,06,2012" xfId="649"/>
    <cellStyle name="40% - Accent1 3 3" xfId="650"/>
    <cellStyle name="40% - Accent1 3 4" xfId="651"/>
    <cellStyle name="40% - Accent1 3_P-8A FRP Make Parts Detail Estimate 08,06,2012" xfId="652"/>
    <cellStyle name="40% - Accent1 4" xfId="653"/>
    <cellStyle name="40% - Accent1 4 2" xfId="654"/>
    <cellStyle name="40% - Accent1 4 2 2" xfId="655"/>
    <cellStyle name="40% - Accent1 4 3" xfId="656"/>
    <cellStyle name="40% - Accent1 5" xfId="657"/>
    <cellStyle name="40% - Accent1 5 2" xfId="658"/>
    <cellStyle name="40% - Accent1 5 2 2" xfId="659"/>
    <cellStyle name="40% - Accent1 5 3" xfId="660"/>
    <cellStyle name="40% - Accent1 6" xfId="661"/>
    <cellStyle name="40% - Accent1 6 2" xfId="662"/>
    <cellStyle name="40% - Accent1 6 2 2" xfId="663"/>
    <cellStyle name="40% - Accent1 6 3" xfId="664"/>
    <cellStyle name="40% - Accent1 7" xfId="665"/>
    <cellStyle name="40% - Accent1 7 2" xfId="666"/>
    <cellStyle name="40% - Accent1 8" xfId="667"/>
    <cellStyle name="40% - Accent1 8 2" xfId="668"/>
    <cellStyle name="40% - Accent1 8 3" xfId="669"/>
    <cellStyle name="40% - Accent1 9" xfId="670"/>
    <cellStyle name="40% - Accent1 9 2" xfId="671"/>
    <cellStyle name="40% - Accent2 10" xfId="672"/>
    <cellStyle name="40% - Accent2 10 2" xfId="673"/>
    <cellStyle name="40% - Accent2 11" xfId="674"/>
    <cellStyle name="40% - Accent2 11 2" xfId="675"/>
    <cellStyle name="40% - Accent2 12" xfId="676"/>
    <cellStyle name="40% - Accent2 12 2" xfId="677"/>
    <cellStyle name="40% - Accent2 13" xfId="678"/>
    <cellStyle name="40% - Accent2 13 2" xfId="679"/>
    <cellStyle name="40% - Accent2 14" xfId="680"/>
    <cellStyle name="40% - Accent2 2" xfId="681"/>
    <cellStyle name="40% - Accent2 2 2" xfId="682"/>
    <cellStyle name="40% - Accent2 2 2 2" xfId="683"/>
    <cellStyle name="40% - Accent2 2 2 3" xfId="684"/>
    <cellStyle name="40% - Accent2 2 3" xfId="685"/>
    <cellStyle name="40% - Accent2 2 3 2" xfId="686"/>
    <cellStyle name="40% - Accent2 2 4" xfId="687"/>
    <cellStyle name="40% - Accent2 2 5" xfId="688"/>
    <cellStyle name="40% - Accent2 2_P-8A FRP Make Parts Detail Estimate 08,06,2012" xfId="689"/>
    <cellStyle name="40% - Accent2 3" xfId="690"/>
    <cellStyle name="40% - Accent2 3 2" xfId="691"/>
    <cellStyle name="40% - Accent2 3 2 2" xfId="692"/>
    <cellStyle name="40% - Accent2 3 2_P-8A FRP Make Parts Detail Estimate 08,06,2012" xfId="693"/>
    <cellStyle name="40% - Accent2 3 3" xfId="694"/>
    <cellStyle name="40% - Accent2 3 4" xfId="695"/>
    <cellStyle name="40% - Accent2 3_P-8A FRP Make Parts Detail Estimate 08,06,2012" xfId="696"/>
    <cellStyle name="40% - Accent2 4" xfId="697"/>
    <cellStyle name="40% - Accent2 4 2" xfId="698"/>
    <cellStyle name="40% - Accent2 4 2 2" xfId="699"/>
    <cellStyle name="40% - Accent2 4 3" xfId="700"/>
    <cellStyle name="40% - Accent2 5" xfId="701"/>
    <cellStyle name="40% - Accent2 5 2" xfId="702"/>
    <cellStyle name="40% - Accent2 5 2 2" xfId="703"/>
    <cellStyle name="40% - Accent2 5 3" xfId="704"/>
    <cellStyle name="40% - Accent2 6" xfId="705"/>
    <cellStyle name="40% - Accent2 6 2" xfId="706"/>
    <cellStyle name="40% - Accent2 6 2 2" xfId="707"/>
    <cellStyle name="40% - Accent2 6 3" xfId="708"/>
    <cellStyle name="40% - Accent2 7" xfId="709"/>
    <cellStyle name="40% - Accent2 7 2" xfId="710"/>
    <cellStyle name="40% - Accent2 8" xfId="711"/>
    <cellStyle name="40% - Accent2 8 2" xfId="712"/>
    <cellStyle name="40% - Accent2 8 3" xfId="713"/>
    <cellStyle name="40% - Accent2 9" xfId="714"/>
    <cellStyle name="40% - Accent2 9 2" xfId="715"/>
    <cellStyle name="40% - Accent3 10" xfId="716"/>
    <cellStyle name="40% - Accent3 10 2" xfId="717"/>
    <cellStyle name="40% - Accent3 11" xfId="718"/>
    <cellStyle name="40% - Accent3 11 2" xfId="719"/>
    <cellStyle name="40% - Accent3 12" xfId="720"/>
    <cellStyle name="40% - Accent3 12 2" xfId="721"/>
    <cellStyle name="40% - Accent3 13" xfId="722"/>
    <cellStyle name="40% - Accent3 13 2" xfId="723"/>
    <cellStyle name="40% - Accent3 14" xfId="724"/>
    <cellStyle name="40% - Accent3 2" xfId="725"/>
    <cellStyle name="40% - Accent3 2 2" xfId="726"/>
    <cellStyle name="40% - Accent3 2 2 2" xfId="727"/>
    <cellStyle name="40% - Accent3 2 2 3" xfId="728"/>
    <cellStyle name="40% - Accent3 2 3" xfId="729"/>
    <cellStyle name="40% - Accent3 2 3 2" xfId="730"/>
    <cellStyle name="40% - Accent3 2 4" xfId="731"/>
    <cellStyle name="40% - Accent3 2 5" xfId="732"/>
    <cellStyle name="40% - Accent3 2_P-8A FRP Make Parts Detail Estimate 08,06,2012" xfId="733"/>
    <cellStyle name="40% - Accent3 3" xfId="734"/>
    <cellStyle name="40% - Accent3 3 2" xfId="735"/>
    <cellStyle name="40% - Accent3 3 2 2" xfId="736"/>
    <cellStyle name="40% - Accent3 3 2_P-8A FRP Make Parts Detail Estimate 08,06,2012" xfId="737"/>
    <cellStyle name="40% - Accent3 3 3" xfId="738"/>
    <cellStyle name="40% - Accent3 3 4" xfId="739"/>
    <cellStyle name="40% - Accent3 3_P-8A FRP Make Parts Detail Estimate 08,06,2012" xfId="740"/>
    <cellStyle name="40% - Accent3 4" xfId="741"/>
    <cellStyle name="40% - Accent3 4 2" xfId="742"/>
    <cellStyle name="40% - Accent3 4 2 2" xfId="743"/>
    <cellStyle name="40% - Accent3 4 3" xfId="744"/>
    <cellStyle name="40% - Accent3 5" xfId="745"/>
    <cellStyle name="40% - Accent3 5 2" xfId="746"/>
    <cellStyle name="40% - Accent3 5 2 2" xfId="747"/>
    <cellStyle name="40% - Accent3 5 3" xfId="748"/>
    <cellStyle name="40% - Accent3 6" xfId="749"/>
    <cellStyle name="40% - Accent3 6 2" xfId="750"/>
    <cellStyle name="40% - Accent3 6 2 2" xfId="751"/>
    <cellStyle name="40% - Accent3 6 3" xfId="752"/>
    <cellStyle name="40% - Accent3 7" xfId="753"/>
    <cellStyle name="40% - Accent3 7 2" xfId="754"/>
    <cellStyle name="40% - Accent3 8" xfId="755"/>
    <cellStyle name="40% - Accent3 8 2" xfId="756"/>
    <cellStyle name="40% - Accent3 8 3" xfId="757"/>
    <cellStyle name="40% - Accent3 9" xfId="758"/>
    <cellStyle name="40% - Accent3 9 2" xfId="759"/>
    <cellStyle name="40% - Accent4 10" xfId="760"/>
    <cellStyle name="40% - Accent4 10 2" xfId="761"/>
    <cellStyle name="40% - Accent4 11" xfId="762"/>
    <cellStyle name="40% - Accent4 11 2" xfId="763"/>
    <cellStyle name="40% - Accent4 12" xfId="764"/>
    <cellStyle name="40% - Accent4 12 2" xfId="765"/>
    <cellStyle name="40% - Accent4 13" xfId="766"/>
    <cellStyle name="40% - Accent4 13 2" xfId="767"/>
    <cellStyle name="40% - Accent4 14" xfId="768"/>
    <cellStyle name="40% - Accent4 2" xfId="769"/>
    <cellStyle name="40% - Accent4 2 2" xfId="770"/>
    <cellStyle name="40% - Accent4 2 2 2" xfId="771"/>
    <cellStyle name="40% - Accent4 2 2 3" xfId="772"/>
    <cellStyle name="40% - Accent4 2 3" xfId="773"/>
    <cellStyle name="40% - Accent4 2 3 2" xfId="774"/>
    <cellStyle name="40% - Accent4 2 4" xfId="775"/>
    <cellStyle name="40% - Accent4 2 5" xfId="776"/>
    <cellStyle name="40% - Accent4 2_P-8A FRP Make Parts Detail Estimate 08,06,2012" xfId="777"/>
    <cellStyle name="40% - Accent4 3" xfId="778"/>
    <cellStyle name="40% - Accent4 3 2" xfId="779"/>
    <cellStyle name="40% - Accent4 3 2 2" xfId="780"/>
    <cellStyle name="40% - Accent4 3 2_P-8A FRP Make Parts Detail Estimate 08,06,2012" xfId="781"/>
    <cellStyle name="40% - Accent4 3 3" xfId="782"/>
    <cellStyle name="40% - Accent4 3 4" xfId="783"/>
    <cellStyle name="40% - Accent4 3_P-8A FRP Make Parts Detail Estimate 08,06,2012" xfId="784"/>
    <cellStyle name="40% - Accent4 4" xfId="785"/>
    <cellStyle name="40% - Accent4 4 2" xfId="786"/>
    <cellStyle name="40% - Accent4 4 2 2" xfId="787"/>
    <cellStyle name="40% - Accent4 4 3" xfId="788"/>
    <cellStyle name="40% - Accent4 5" xfId="789"/>
    <cellStyle name="40% - Accent4 5 2" xfId="790"/>
    <cellStyle name="40% - Accent4 5 2 2" xfId="791"/>
    <cellStyle name="40% - Accent4 5 3" xfId="792"/>
    <cellStyle name="40% - Accent4 6" xfId="793"/>
    <cellStyle name="40% - Accent4 6 2" xfId="794"/>
    <cellStyle name="40% - Accent4 6 2 2" xfId="795"/>
    <cellStyle name="40% - Accent4 6 3" xfId="796"/>
    <cellStyle name="40% - Accent4 7" xfId="797"/>
    <cellStyle name="40% - Accent4 7 2" xfId="798"/>
    <cellStyle name="40% - Accent4 8" xfId="799"/>
    <cellStyle name="40% - Accent4 8 2" xfId="800"/>
    <cellStyle name="40% - Accent4 8 3" xfId="801"/>
    <cellStyle name="40% - Accent4 9" xfId="802"/>
    <cellStyle name="40% - Accent4 9 2" xfId="803"/>
    <cellStyle name="40% - Accent5 10" xfId="804"/>
    <cellStyle name="40% - Accent5 10 2" xfId="805"/>
    <cellStyle name="40% - Accent5 11" xfId="806"/>
    <cellStyle name="40% - Accent5 11 2" xfId="807"/>
    <cellStyle name="40% - Accent5 12" xfId="808"/>
    <cellStyle name="40% - Accent5 12 2" xfId="809"/>
    <cellStyle name="40% - Accent5 13" xfId="810"/>
    <cellStyle name="40% - Accent5 13 2" xfId="811"/>
    <cellStyle name="40% - Accent5 14" xfId="812"/>
    <cellStyle name="40% - Accent5 2" xfId="813"/>
    <cellStyle name="40% - Accent5 2 2" xfId="814"/>
    <cellStyle name="40% - Accent5 2 2 2" xfId="815"/>
    <cellStyle name="40% - Accent5 2 2 3" xfId="816"/>
    <cellStyle name="40% - Accent5 2 3" xfId="817"/>
    <cellStyle name="40% - Accent5 2 3 2" xfId="818"/>
    <cellStyle name="40% - Accent5 2 4" xfId="819"/>
    <cellStyle name="40% - Accent5 2 5" xfId="820"/>
    <cellStyle name="40% - Accent5 2_P-8A FRP Make Parts Detail Estimate 08,06,2012" xfId="821"/>
    <cellStyle name="40% - Accent5 3" xfId="822"/>
    <cellStyle name="40% - Accent5 3 2" xfId="823"/>
    <cellStyle name="40% - Accent5 3 2 2" xfId="824"/>
    <cellStyle name="40% - Accent5 3 2_P-8A FRP Make Parts Detail Estimate 08,06,2012" xfId="825"/>
    <cellStyle name="40% - Accent5 3 3" xfId="826"/>
    <cellStyle name="40% - Accent5 3 4" xfId="827"/>
    <cellStyle name="40% - Accent5 3_P-8A FRP Make Parts Detail Estimate 08,06,2012" xfId="828"/>
    <cellStyle name="40% - Accent5 4" xfId="829"/>
    <cellStyle name="40% - Accent5 4 2" xfId="830"/>
    <cellStyle name="40% - Accent5 4 2 2" xfId="831"/>
    <cellStyle name="40% - Accent5 4 3" xfId="832"/>
    <cellStyle name="40% - Accent5 5" xfId="833"/>
    <cellStyle name="40% - Accent5 5 2" xfId="834"/>
    <cellStyle name="40% - Accent5 5 2 2" xfId="835"/>
    <cellStyle name="40% - Accent5 5 3" xfId="836"/>
    <cellStyle name="40% - Accent5 6" xfId="837"/>
    <cellStyle name="40% - Accent5 6 2" xfId="838"/>
    <cellStyle name="40% - Accent5 6 2 2" xfId="839"/>
    <cellStyle name="40% - Accent5 6 3" xfId="840"/>
    <cellStyle name="40% - Accent5 7" xfId="841"/>
    <cellStyle name="40% - Accent5 7 2" xfId="842"/>
    <cellStyle name="40% - Accent5 8" xfId="843"/>
    <cellStyle name="40% - Accent5 8 2" xfId="844"/>
    <cellStyle name="40% - Accent5 8 3" xfId="845"/>
    <cellStyle name="40% - Accent5 9" xfId="846"/>
    <cellStyle name="40% - Accent5 9 2" xfId="847"/>
    <cellStyle name="40% - Accent6 10" xfId="848"/>
    <cellStyle name="40% - Accent6 10 2" xfId="849"/>
    <cellStyle name="40% - Accent6 11" xfId="850"/>
    <cellStyle name="40% - Accent6 11 2" xfId="851"/>
    <cellStyle name="40% - Accent6 12" xfId="852"/>
    <cellStyle name="40% - Accent6 12 2" xfId="853"/>
    <cellStyle name="40% - Accent6 13" xfId="854"/>
    <cellStyle name="40% - Accent6 13 2" xfId="855"/>
    <cellStyle name="40% - Accent6 14" xfId="856"/>
    <cellStyle name="40% - Accent6 2" xfId="857"/>
    <cellStyle name="40% - Accent6 2 2" xfId="858"/>
    <cellStyle name="40% - Accent6 2 2 2" xfId="859"/>
    <cellStyle name="40% - Accent6 2 2 3" xfId="860"/>
    <cellStyle name="40% - Accent6 2 3" xfId="861"/>
    <cellStyle name="40% - Accent6 2 3 2" xfId="862"/>
    <cellStyle name="40% - Accent6 2 4" xfId="863"/>
    <cellStyle name="40% - Accent6 2 5" xfId="864"/>
    <cellStyle name="40% - Accent6 2_P-8A FRP Make Parts Detail Estimate 08,06,2012" xfId="865"/>
    <cellStyle name="40% - Accent6 3" xfId="866"/>
    <cellStyle name="40% - Accent6 3 2" xfId="867"/>
    <cellStyle name="40% - Accent6 3 2 2" xfId="868"/>
    <cellStyle name="40% - Accent6 3 2_P-8A FRP Make Parts Detail Estimate 08,06,2012" xfId="869"/>
    <cellStyle name="40% - Accent6 3 3" xfId="870"/>
    <cellStyle name="40% - Accent6 3 4" xfId="871"/>
    <cellStyle name="40% - Accent6 3_P-8A FRP Make Parts Detail Estimate 08,06,2012" xfId="872"/>
    <cellStyle name="40% - Accent6 4" xfId="873"/>
    <cellStyle name="40% - Accent6 4 2" xfId="874"/>
    <cellStyle name="40% - Accent6 4 2 2" xfId="875"/>
    <cellStyle name="40% - Accent6 4 3" xfId="876"/>
    <cellStyle name="40% - Accent6 5" xfId="877"/>
    <cellStyle name="40% - Accent6 5 2" xfId="878"/>
    <cellStyle name="40% - Accent6 5 2 2" xfId="879"/>
    <cellStyle name="40% - Accent6 5 3" xfId="880"/>
    <cellStyle name="40% - Accent6 6" xfId="881"/>
    <cellStyle name="40% - Accent6 6 2" xfId="882"/>
    <cellStyle name="40% - Accent6 6 2 2" xfId="883"/>
    <cellStyle name="40% - Accent6 6 3" xfId="884"/>
    <cellStyle name="40% - Accent6 7" xfId="885"/>
    <cellStyle name="40% - Accent6 7 2" xfId="886"/>
    <cellStyle name="40% - Accent6 8" xfId="887"/>
    <cellStyle name="40% - Accent6 8 2" xfId="888"/>
    <cellStyle name="40% - Accent6 8 3" xfId="889"/>
    <cellStyle name="40% - Accent6 9" xfId="890"/>
    <cellStyle name="40% - Accent6 9 2" xfId="891"/>
    <cellStyle name="4DRATES" xfId="892"/>
    <cellStyle name="60% - Accent1 10" xfId="893"/>
    <cellStyle name="60% - Accent1 10 2" xfId="894"/>
    <cellStyle name="60% - Accent1 11" xfId="895"/>
    <cellStyle name="60% - Accent1 11 2" xfId="896"/>
    <cellStyle name="60% - Accent1 12" xfId="897"/>
    <cellStyle name="60% - Accent1 12 2" xfId="898"/>
    <cellStyle name="60% - Accent1 13" xfId="899"/>
    <cellStyle name="60% - Accent1 13 2" xfId="900"/>
    <cellStyle name="60% - Accent1 14" xfId="901"/>
    <cellStyle name="60% - Accent1 2" xfId="902"/>
    <cellStyle name="60% - Accent1 2 2" xfId="903"/>
    <cellStyle name="60% - Accent1 2 2 2" xfId="904"/>
    <cellStyle name="60% - Accent1 2 2 3" xfId="905"/>
    <cellStyle name="60% - Accent1 2 3" xfId="906"/>
    <cellStyle name="60% - Accent1 2 4" xfId="907"/>
    <cellStyle name="60% - Accent1 3" xfId="908"/>
    <cellStyle name="60% - Accent1 3 2" xfId="909"/>
    <cellStyle name="60% - Accent1 3 3" xfId="910"/>
    <cellStyle name="60% - Accent1 4" xfId="911"/>
    <cellStyle name="60% - Accent1 4 2" xfId="912"/>
    <cellStyle name="60% - Accent1 5" xfId="913"/>
    <cellStyle name="60% - Accent1 5 2" xfId="914"/>
    <cellStyle name="60% - Accent1 6" xfId="915"/>
    <cellStyle name="60% - Accent1 6 2" xfId="916"/>
    <cellStyle name="60% - Accent1 7" xfId="917"/>
    <cellStyle name="60% - Accent1 7 2" xfId="918"/>
    <cellStyle name="60% - Accent1 8" xfId="919"/>
    <cellStyle name="60% - Accent1 8 2" xfId="920"/>
    <cellStyle name="60% - Accent1 9" xfId="921"/>
    <cellStyle name="60% - Accent1 9 2" xfId="922"/>
    <cellStyle name="60% - Accent2 10" xfId="923"/>
    <cellStyle name="60% - Accent2 10 2" xfId="924"/>
    <cellStyle name="60% - Accent2 11" xfId="925"/>
    <cellStyle name="60% - Accent2 11 2" xfId="926"/>
    <cellStyle name="60% - Accent2 12" xfId="927"/>
    <cellStyle name="60% - Accent2 12 2" xfId="928"/>
    <cellStyle name="60% - Accent2 13" xfId="929"/>
    <cellStyle name="60% - Accent2 13 2" xfId="930"/>
    <cellStyle name="60% - Accent2 14" xfId="931"/>
    <cellStyle name="60% - Accent2 2" xfId="932"/>
    <cellStyle name="60% - Accent2 2 2" xfId="933"/>
    <cellStyle name="60% - Accent2 2 2 2" xfId="934"/>
    <cellStyle name="60% - Accent2 2 2 3" xfId="935"/>
    <cellStyle name="60% - Accent2 2 3" xfId="936"/>
    <cellStyle name="60% - Accent2 2 4" xfId="937"/>
    <cellStyle name="60% - Accent2 3" xfId="938"/>
    <cellStyle name="60% - Accent2 3 2" xfId="939"/>
    <cellStyle name="60% - Accent2 3 3" xfId="940"/>
    <cellStyle name="60% - Accent2 4" xfId="941"/>
    <cellStyle name="60% - Accent2 4 2" xfId="942"/>
    <cellStyle name="60% - Accent2 5" xfId="943"/>
    <cellStyle name="60% - Accent2 5 2" xfId="944"/>
    <cellStyle name="60% - Accent2 6" xfId="945"/>
    <cellStyle name="60% - Accent2 6 2" xfId="946"/>
    <cellStyle name="60% - Accent2 7" xfId="947"/>
    <cellStyle name="60% - Accent2 7 2" xfId="948"/>
    <cellStyle name="60% - Accent2 8" xfId="949"/>
    <cellStyle name="60% - Accent2 8 2" xfId="950"/>
    <cellStyle name="60% - Accent2 9" xfId="951"/>
    <cellStyle name="60% - Accent2 9 2" xfId="952"/>
    <cellStyle name="60% - Accent3 10" xfId="953"/>
    <cellStyle name="60% - Accent3 10 2" xfId="954"/>
    <cellStyle name="60% - Accent3 11" xfId="955"/>
    <cellStyle name="60% - Accent3 11 2" xfId="956"/>
    <cellStyle name="60% - Accent3 12" xfId="957"/>
    <cellStyle name="60% - Accent3 12 2" xfId="958"/>
    <cellStyle name="60% - Accent3 13" xfId="959"/>
    <cellStyle name="60% - Accent3 13 2" xfId="960"/>
    <cellStyle name="60% - Accent3 14" xfId="961"/>
    <cellStyle name="60% - Accent3 2" xfId="962"/>
    <cellStyle name="60% - Accent3 2 2" xfId="963"/>
    <cellStyle name="60% - Accent3 2 2 2" xfId="964"/>
    <cellStyle name="60% - Accent3 2 2 3" xfId="965"/>
    <cellStyle name="60% - Accent3 2 3" xfId="966"/>
    <cellStyle name="60% - Accent3 2 4" xfId="967"/>
    <cellStyle name="60% - Accent3 3" xfId="968"/>
    <cellStyle name="60% - Accent3 3 2" xfId="969"/>
    <cellStyle name="60% - Accent3 3 3" xfId="970"/>
    <cellStyle name="60% - Accent3 4" xfId="971"/>
    <cellStyle name="60% - Accent3 4 2" xfId="972"/>
    <cellStyle name="60% - Accent3 5" xfId="973"/>
    <cellStyle name="60% - Accent3 5 2" xfId="974"/>
    <cellStyle name="60% - Accent3 6" xfId="975"/>
    <cellStyle name="60% - Accent3 6 2" xfId="976"/>
    <cellStyle name="60% - Accent3 7" xfId="977"/>
    <cellStyle name="60% - Accent3 7 2" xfId="978"/>
    <cellStyle name="60% - Accent3 8" xfId="979"/>
    <cellStyle name="60% - Accent3 8 2" xfId="980"/>
    <cellStyle name="60% - Accent3 9" xfId="981"/>
    <cellStyle name="60% - Accent3 9 2" xfId="982"/>
    <cellStyle name="60% - Accent4 10" xfId="983"/>
    <cellStyle name="60% - Accent4 10 2" xfId="984"/>
    <cellStyle name="60% - Accent4 11" xfId="985"/>
    <cellStyle name="60% - Accent4 11 2" xfId="986"/>
    <cellStyle name="60% - Accent4 12" xfId="987"/>
    <cellStyle name="60% - Accent4 12 2" xfId="988"/>
    <cellStyle name="60% - Accent4 13" xfId="989"/>
    <cellStyle name="60% - Accent4 13 2" xfId="990"/>
    <cellStyle name="60% - Accent4 14" xfId="991"/>
    <cellStyle name="60% - Accent4 2" xfId="992"/>
    <cellStyle name="60% - Accent4 2 2" xfId="993"/>
    <cellStyle name="60% - Accent4 2 2 2" xfId="994"/>
    <cellStyle name="60% - Accent4 2 2 3" xfId="995"/>
    <cellStyle name="60% - Accent4 2 3" xfId="996"/>
    <cellStyle name="60% - Accent4 2 4" xfId="997"/>
    <cellStyle name="60% - Accent4 3" xfId="998"/>
    <cellStyle name="60% - Accent4 3 2" xfId="999"/>
    <cellStyle name="60% - Accent4 3 3" xfId="1000"/>
    <cellStyle name="60% - Accent4 4" xfId="1001"/>
    <cellStyle name="60% - Accent4 4 2" xfId="1002"/>
    <cellStyle name="60% - Accent4 5" xfId="1003"/>
    <cellStyle name="60% - Accent4 5 2" xfId="1004"/>
    <cellStyle name="60% - Accent4 6" xfId="1005"/>
    <cellStyle name="60% - Accent4 6 2" xfId="1006"/>
    <cellStyle name="60% - Accent4 7" xfId="1007"/>
    <cellStyle name="60% - Accent4 7 2" xfId="1008"/>
    <cellStyle name="60% - Accent4 8" xfId="1009"/>
    <cellStyle name="60% - Accent4 8 2" xfId="1010"/>
    <cellStyle name="60% - Accent4 9" xfId="1011"/>
    <cellStyle name="60% - Accent4 9 2" xfId="1012"/>
    <cellStyle name="60% - Accent5 10" xfId="1013"/>
    <cellStyle name="60% - Accent5 10 2" xfId="1014"/>
    <cellStyle name="60% - Accent5 11" xfId="1015"/>
    <cellStyle name="60% - Accent5 11 2" xfId="1016"/>
    <cellStyle name="60% - Accent5 12" xfId="1017"/>
    <cellStyle name="60% - Accent5 12 2" xfId="1018"/>
    <cellStyle name="60% - Accent5 13" xfId="1019"/>
    <cellStyle name="60% - Accent5 13 2" xfId="1020"/>
    <cellStyle name="60% - Accent5 14" xfId="1021"/>
    <cellStyle name="60% - Accent5 2" xfId="1022"/>
    <cellStyle name="60% - Accent5 2 2" xfId="1023"/>
    <cellStyle name="60% - Accent5 2 2 2" xfId="1024"/>
    <cellStyle name="60% - Accent5 2 2 3" xfId="1025"/>
    <cellStyle name="60% - Accent5 2 3" xfId="1026"/>
    <cellStyle name="60% - Accent5 2 4" xfId="1027"/>
    <cellStyle name="60% - Accent5 3" xfId="1028"/>
    <cellStyle name="60% - Accent5 3 2" xfId="1029"/>
    <cellStyle name="60% - Accent5 3 3" xfId="1030"/>
    <cellStyle name="60% - Accent5 4" xfId="1031"/>
    <cellStyle name="60% - Accent5 4 2" xfId="1032"/>
    <cellStyle name="60% - Accent5 5" xfId="1033"/>
    <cellStyle name="60% - Accent5 5 2" xfId="1034"/>
    <cellStyle name="60% - Accent5 6" xfId="1035"/>
    <cellStyle name="60% - Accent5 6 2" xfId="1036"/>
    <cellStyle name="60% - Accent5 7" xfId="1037"/>
    <cellStyle name="60% - Accent5 7 2" xfId="1038"/>
    <cellStyle name="60% - Accent5 8" xfId="1039"/>
    <cellStyle name="60% - Accent5 8 2" xfId="1040"/>
    <cellStyle name="60% - Accent5 9" xfId="1041"/>
    <cellStyle name="60% - Accent5 9 2" xfId="1042"/>
    <cellStyle name="60% - Accent6 10" xfId="1043"/>
    <cellStyle name="60% - Accent6 10 2" xfId="1044"/>
    <cellStyle name="60% - Accent6 11" xfId="1045"/>
    <cellStyle name="60% - Accent6 11 2" xfId="1046"/>
    <cellStyle name="60% - Accent6 12" xfId="1047"/>
    <cellStyle name="60% - Accent6 12 2" xfId="1048"/>
    <cellStyle name="60% - Accent6 13" xfId="1049"/>
    <cellStyle name="60% - Accent6 13 2" xfId="1050"/>
    <cellStyle name="60% - Accent6 14" xfId="1051"/>
    <cellStyle name="60% - Accent6 2" xfId="1052"/>
    <cellStyle name="60% - Accent6 2 2" xfId="1053"/>
    <cellStyle name="60% - Accent6 2 2 2" xfId="1054"/>
    <cellStyle name="60% - Accent6 2 2 3" xfId="1055"/>
    <cellStyle name="60% - Accent6 2 3" xfId="1056"/>
    <cellStyle name="60% - Accent6 2 4" xfId="1057"/>
    <cellStyle name="60% - Accent6 3" xfId="1058"/>
    <cellStyle name="60% - Accent6 3 2" xfId="1059"/>
    <cellStyle name="60% - Accent6 3 3" xfId="1060"/>
    <cellStyle name="60% - Accent6 4" xfId="1061"/>
    <cellStyle name="60% - Accent6 4 2" xfId="1062"/>
    <cellStyle name="60% - Accent6 5" xfId="1063"/>
    <cellStyle name="60% - Accent6 5 2" xfId="1064"/>
    <cellStyle name="60% - Accent6 6" xfId="1065"/>
    <cellStyle name="60% - Accent6 6 2" xfId="1066"/>
    <cellStyle name="60% - Accent6 7" xfId="1067"/>
    <cellStyle name="60% - Accent6 7 2" xfId="1068"/>
    <cellStyle name="60% - Accent6 8" xfId="1069"/>
    <cellStyle name="60% - Accent6 8 2" xfId="1070"/>
    <cellStyle name="60% - Accent6 9" xfId="1071"/>
    <cellStyle name="60% - Accent6 9 2" xfId="1072"/>
    <cellStyle name="Accent1 - 20%" xfId="1073"/>
    <cellStyle name="Accent1 - 40%" xfId="1074"/>
    <cellStyle name="Accent1 - 60%" xfId="1075"/>
    <cellStyle name="Accent1 10" xfId="1076"/>
    <cellStyle name="Accent1 10 2" xfId="1077"/>
    <cellStyle name="Accent1 11" xfId="1078"/>
    <cellStyle name="Accent1 11 2" xfId="1079"/>
    <cellStyle name="Accent1 12" xfId="1080"/>
    <cellStyle name="Accent1 12 2" xfId="1081"/>
    <cellStyle name="Accent1 13" xfId="1082"/>
    <cellStyle name="Accent1 13 2" xfId="1083"/>
    <cellStyle name="Accent1 14" xfId="1084"/>
    <cellStyle name="Accent1 2" xfId="1085"/>
    <cellStyle name="Accent1 2 2" xfId="1086"/>
    <cellStyle name="Accent1 2 2 2" xfId="1087"/>
    <cellStyle name="Accent1 2 2 3" xfId="1088"/>
    <cellStyle name="Accent1 2 3" xfId="1089"/>
    <cellStyle name="Accent1 2 4" xfId="1090"/>
    <cellStyle name="Accent1 3" xfId="1091"/>
    <cellStyle name="Accent1 3 2" xfId="1092"/>
    <cellStyle name="Accent1 3 3" xfId="1093"/>
    <cellStyle name="Accent1 4" xfId="1094"/>
    <cellStyle name="Accent1 4 2" xfId="1095"/>
    <cellStyle name="Accent1 5" xfId="1096"/>
    <cellStyle name="Accent1 5 2" xfId="1097"/>
    <cellStyle name="Accent1 6" xfId="1098"/>
    <cellStyle name="Accent1 6 2" xfId="1099"/>
    <cellStyle name="Accent1 7" xfId="1100"/>
    <cellStyle name="Accent1 7 2" xfId="1101"/>
    <cellStyle name="Accent1 8" xfId="1102"/>
    <cellStyle name="Accent1 8 2" xfId="1103"/>
    <cellStyle name="Accent1 9" xfId="1104"/>
    <cellStyle name="Accent1 9 2" xfId="1105"/>
    <cellStyle name="Accent2 - 20%" xfId="1106"/>
    <cellStyle name="Accent2 - 40%" xfId="1107"/>
    <cellStyle name="Accent2 - 60%" xfId="1108"/>
    <cellStyle name="Accent2 10" xfId="1109"/>
    <cellStyle name="Accent2 10 2" xfId="1110"/>
    <cellStyle name="Accent2 11" xfId="1111"/>
    <cellStyle name="Accent2 11 2" xfId="1112"/>
    <cellStyle name="Accent2 12" xfId="1113"/>
    <cellStyle name="Accent2 12 2" xfId="1114"/>
    <cellStyle name="Accent2 13" xfId="1115"/>
    <cellStyle name="Accent2 13 2" xfId="1116"/>
    <cellStyle name="Accent2 14" xfId="1117"/>
    <cellStyle name="Accent2 2" xfId="1118"/>
    <cellStyle name="Accent2 2 2" xfId="1119"/>
    <cellStyle name="Accent2 2 2 2" xfId="1120"/>
    <cellStyle name="Accent2 2 2 3" xfId="1121"/>
    <cellStyle name="Accent2 2 3" xfId="1122"/>
    <cellStyle name="Accent2 2 4" xfId="1123"/>
    <cellStyle name="Accent2 3" xfId="1124"/>
    <cellStyle name="Accent2 3 2" xfId="1125"/>
    <cellStyle name="Accent2 3 3" xfId="1126"/>
    <cellStyle name="Accent2 4" xfId="1127"/>
    <cellStyle name="Accent2 4 2" xfId="1128"/>
    <cellStyle name="Accent2 5" xfId="1129"/>
    <cellStyle name="Accent2 5 2" xfId="1130"/>
    <cellStyle name="Accent2 6" xfId="1131"/>
    <cellStyle name="Accent2 6 2" xfId="1132"/>
    <cellStyle name="Accent2 7" xfId="1133"/>
    <cellStyle name="Accent2 7 2" xfId="1134"/>
    <cellStyle name="Accent2 8" xfId="1135"/>
    <cellStyle name="Accent2 8 2" xfId="1136"/>
    <cellStyle name="Accent2 9" xfId="1137"/>
    <cellStyle name="Accent2 9 2" xfId="1138"/>
    <cellStyle name="Accent3 - 20%" xfId="1139"/>
    <cellStyle name="Accent3 - 40%" xfId="1140"/>
    <cellStyle name="Accent3 - 60%" xfId="1141"/>
    <cellStyle name="Accent3 10" xfId="1142"/>
    <cellStyle name="Accent3 10 2" xfId="1143"/>
    <cellStyle name="Accent3 11" xfId="1144"/>
    <cellStyle name="Accent3 11 2" xfId="1145"/>
    <cellStyle name="Accent3 12" xfId="1146"/>
    <cellStyle name="Accent3 12 2" xfId="1147"/>
    <cellStyle name="Accent3 13" xfId="1148"/>
    <cellStyle name="Accent3 13 2" xfId="1149"/>
    <cellStyle name="Accent3 14" xfId="1150"/>
    <cellStyle name="Accent3 2" xfId="1151"/>
    <cellStyle name="Accent3 2 2" xfId="1152"/>
    <cellStyle name="Accent3 2 2 2" xfId="1153"/>
    <cellStyle name="Accent3 2 2 3" xfId="1154"/>
    <cellStyle name="Accent3 2 3" xfId="1155"/>
    <cellStyle name="Accent3 2 4" xfId="1156"/>
    <cellStyle name="Accent3 3" xfId="1157"/>
    <cellStyle name="Accent3 3 2" xfId="1158"/>
    <cellStyle name="Accent3 3 3" xfId="1159"/>
    <cellStyle name="Accent3 4" xfId="1160"/>
    <cellStyle name="Accent3 4 2" xfId="1161"/>
    <cellStyle name="Accent3 5" xfId="1162"/>
    <cellStyle name="Accent3 5 2" xfId="1163"/>
    <cellStyle name="Accent3 6" xfId="1164"/>
    <cellStyle name="Accent3 6 2" xfId="1165"/>
    <cellStyle name="Accent3 7" xfId="1166"/>
    <cellStyle name="Accent3 7 2" xfId="1167"/>
    <cellStyle name="Accent3 8" xfId="1168"/>
    <cellStyle name="Accent3 8 2" xfId="1169"/>
    <cellStyle name="Accent3 9" xfId="1170"/>
    <cellStyle name="Accent3 9 2" xfId="1171"/>
    <cellStyle name="Accent4 - 20%" xfId="1172"/>
    <cellStyle name="Accent4 - 40%" xfId="1173"/>
    <cellStyle name="Accent4 - 60%" xfId="1174"/>
    <cellStyle name="Accent4 10" xfId="1175"/>
    <cellStyle name="Accent4 10 2" xfId="1176"/>
    <cellStyle name="Accent4 11" xfId="1177"/>
    <cellStyle name="Accent4 11 2" xfId="1178"/>
    <cellStyle name="Accent4 12" xfId="1179"/>
    <cellStyle name="Accent4 12 2" xfId="1180"/>
    <cellStyle name="Accent4 13" xfId="1181"/>
    <cellStyle name="Accent4 13 2" xfId="1182"/>
    <cellStyle name="Accent4 14" xfId="1183"/>
    <cellStyle name="Accent4 2" xfId="1184"/>
    <cellStyle name="Accent4 2 2" xfId="1185"/>
    <cellStyle name="Accent4 2 2 2" xfId="1186"/>
    <cellStyle name="Accent4 2 2 3" xfId="1187"/>
    <cellStyle name="Accent4 2 3" xfId="1188"/>
    <cellStyle name="Accent4 2 4" xfId="1189"/>
    <cellStyle name="Accent4 3" xfId="1190"/>
    <cellStyle name="Accent4 3 2" xfId="1191"/>
    <cellStyle name="Accent4 3 3" xfId="1192"/>
    <cellStyle name="Accent4 4" xfId="1193"/>
    <cellStyle name="Accent4 4 2" xfId="1194"/>
    <cellStyle name="Accent4 5" xfId="1195"/>
    <cellStyle name="Accent4 5 2" xfId="1196"/>
    <cellStyle name="Accent4 6" xfId="1197"/>
    <cellStyle name="Accent4 6 2" xfId="1198"/>
    <cellStyle name="Accent4 7" xfId="1199"/>
    <cellStyle name="Accent4 7 2" xfId="1200"/>
    <cellStyle name="Accent4 8" xfId="1201"/>
    <cellStyle name="Accent4 8 2" xfId="1202"/>
    <cellStyle name="Accent4 9" xfId="1203"/>
    <cellStyle name="Accent4 9 2" xfId="1204"/>
    <cellStyle name="Accent5 - 20%" xfId="1205"/>
    <cellStyle name="Accent5 - 40%" xfId="1206"/>
    <cellStyle name="Accent5 - 60%" xfId="1207"/>
    <cellStyle name="Accent5 10" xfId="1208"/>
    <cellStyle name="Accent5 10 2" xfId="1209"/>
    <cellStyle name="Accent5 11" xfId="1210"/>
    <cellStyle name="Accent5 11 2" xfId="1211"/>
    <cellStyle name="Accent5 12" xfId="1212"/>
    <cellStyle name="Accent5 12 2" xfId="1213"/>
    <cellStyle name="Accent5 13" xfId="1214"/>
    <cellStyle name="Accent5 13 2" xfId="1215"/>
    <cellStyle name="Accent5 14" xfId="1216"/>
    <cellStyle name="Accent5 2" xfId="1217"/>
    <cellStyle name="Accent5 2 2" xfId="1218"/>
    <cellStyle name="Accent5 2 2 2" xfId="1219"/>
    <cellStyle name="Accent5 2 2 3" xfId="1220"/>
    <cellStyle name="Accent5 2 3" xfId="1221"/>
    <cellStyle name="Accent5 2 4" xfId="1222"/>
    <cellStyle name="Accent5 3" xfId="1223"/>
    <cellStyle name="Accent5 3 2" xfId="1224"/>
    <cellStyle name="Accent5 3 3" xfId="1225"/>
    <cellStyle name="Accent5 4" xfId="1226"/>
    <cellStyle name="Accent5 4 2" xfId="1227"/>
    <cellStyle name="Accent5 5" xfId="1228"/>
    <cellStyle name="Accent5 5 2" xfId="1229"/>
    <cellStyle name="Accent5 6" xfId="1230"/>
    <cellStyle name="Accent5 6 2" xfId="1231"/>
    <cellStyle name="Accent5 7" xfId="1232"/>
    <cellStyle name="Accent5 7 2" xfId="1233"/>
    <cellStyle name="Accent5 8" xfId="1234"/>
    <cellStyle name="Accent5 8 2" xfId="1235"/>
    <cellStyle name="Accent5 9" xfId="1236"/>
    <cellStyle name="Accent5 9 2" xfId="1237"/>
    <cellStyle name="Accent6 - 20%" xfId="1238"/>
    <cellStyle name="Accent6 - 40%" xfId="1239"/>
    <cellStyle name="Accent6 - 60%" xfId="1240"/>
    <cellStyle name="Accent6 10" xfId="1241"/>
    <cellStyle name="Accent6 10 2" xfId="1242"/>
    <cellStyle name="Accent6 11" xfId="1243"/>
    <cellStyle name="Accent6 11 2" xfId="1244"/>
    <cellStyle name="Accent6 12" xfId="1245"/>
    <cellStyle name="Accent6 12 2" xfId="1246"/>
    <cellStyle name="Accent6 13" xfId="1247"/>
    <cellStyle name="Accent6 13 2" xfId="1248"/>
    <cellStyle name="Accent6 14" xfId="1249"/>
    <cellStyle name="Accent6 2" xfId="1250"/>
    <cellStyle name="Accent6 2 2" xfId="1251"/>
    <cellStyle name="Accent6 2 2 2" xfId="1252"/>
    <cellStyle name="Accent6 2 2 3" xfId="1253"/>
    <cellStyle name="Accent6 2 3" xfId="1254"/>
    <cellStyle name="Accent6 2 4" xfId="1255"/>
    <cellStyle name="Accent6 3" xfId="1256"/>
    <cellStyle name="Accent6 3 2" xfId="1257"/>
    <cellStyle name="Accent6 3 3" xfId="1258"/>
    <cellStyle name="Accent6 4" xfId="1259"/>
    <cellStyle name="Accent6 4 2" xfId="1260"/>
    <cellStyle name="Accent6 5" xfId="1261"/>
    <cellStyle name="Accent6 5 2" xfId="1262"/>
    <cellStyle name="Accent6 6" xfId="1263"/>
    <cellStyle name="Accent6 6 2" xfId="1264"/>
    <cellStyle name="Accent6 7" xfId="1265"/>
    <cellStyle name="Accent6 7 2" xfId="1266"/>
    <cellStyle name="Accent6 8" xfId="1267"/>
    <cellStyle name="Accent6 8 2" xfId="1268"/>
    <cellStyle name="Accent6 9" xfId="1269"/>
    <cellStyle name="Accent6 9 2" xfId="1270"/>
    <cellStyle name="AlternatingRow" xfId="1271"/>
    <cellStyle name="B&amp;P" xfId="1272"/>
    <cellStyle name="Bad 10" xfId="1273"/>
    <cellStyle name="Bad 10 2" xfId="1274"/>
    <cellStyle name="Bad 11" xfId="1275"/>
    <cellStyle name="Bad 11 2" xfId="1276"/>
    <cellStyle name="Bad 12" xfId="1277"/>
    <cellStyle name="Bad 12 2" xfId="1278"/>
    <cellStyle name="Bad 13" xfId="1279"/>
    <cellStyle name="Bad 13 2" xfId="1280"/>
    <cellStyle name="Bad 14" xfId="1281"/>
    <cellStyle name="Bad 2" xfId="1282"/>
    <cellStyle name="Bad 2 2" xfId="1283"/>
    <cellStyle name="Bad 2 2 2" xfId="1284"/>
    <cellStyle name="Bad 2 2 3" xfId="1285"/>
    <cellStyle name="Bad 2 3" xfId="1286"/>
    <cellStyle name="Bad 2 4" xfId="1287"/>
    <cellStyle name="Bad 3" xfId="1288"/>
    <cellStyle name="Bad 3 2" xfId="1289"/>
    <cellStyle name="Bad 3 3" xfId="1290"/>
    <cellStyle name="Bad 4" xfId="1291"/>
    <cellStyle name="Bad 4 2" xfId="1292"/>
    <cellStyle name="Bad 5" xfId="1293"/>
    <cellStyle name="Bad 5 2" xfId="1294"/>
    <cellStyle name="Bad 6" xfId="1295"/>
    <cellStyle name="Bad 6 2" xfId="1296"/>
    <cellStyle name="Bad 7" xfId="1297"/>
    <cellStyle name="Bad 7 2" xfId="1298"/>
    <cellStyle name="Bad 8" xfId="1299"/>
    <cellStyle name="Bad 8 2" xfId="1300"/>
    <cellStyle name="Bad 9" xfId="1301"/>
    <cellStyle name="Bad 9 2" xfId="1302"/>
    <cellStyle name="Body" xfId="1303"/>
    <cellStyle name="Calc Currency (0)" xfId="1304"/>
    <cellStyle name="Calc Currency (2)" xfId="1305"/>
    <cellStyle name="Calc Percent (0)" xfId="1306"/>
    <cellStyle name="Calc Percent (1)" xfId="1307"/>
    <cellStyle name="Calc Percent (2)" xfId="1308"/>
    <cellStyle name="Calc Units (0)" xfId="1309"/>
    <cellStyle name="Calc Units (1)" xfId="1310"/>
    <cellStyle name="Calc Units (2)" xfId="1311"/>
    <cellStyle name="Calculation 10" xfId="1312"/>
    <cellStyle name="Calculation 10 2" xfId="1313"/>
    <cellStyle name="Calculation 10 2 2" xfId="1314"/>
    <cellStyle name="Calculation 10 2 2 2" xfId="1315"/>
    <cellStyle name="Calculation 10 2 2 2 2" xfId="1316"/>
    <cellStyle name="Calculation 10 2 2 2 2 2" xfId="1317"/>
    <cellStyle name="Calculation 10 2 2 2 2 3" xfId="1318"/>
    <cellStyle name="Calculation 10 2 2 2 2 4" xfId="1319"/>
    <cellStyle name="Calculation 10 2 2 2 2 5" xfId="1320"/>
    <cellStyle name="Calculation 10 2 2 2 2 6" xfId="1321"/>
    <cellStyle name="Calculation 10 2 2 2 2 7" xfId="1322"/>
    <cellStyle name="Calculation 10 2 2 2 2 8" xfId="1323"/>
    <cellStyle name="Calculation 10 2 2 2 3" xfId="1324"/>
    <cellStyle name="Calculation 10 2 2 2 3 2" xfId="1325"/>
    <cellStyle name="Calculation 10 2 2 2 3 3" xfId="1326"/>
    <cellStyle name="Calculation 10 2 2 2 3 4" xfId="1327"/>
    <cellStyle name="Calculation 10 2 2 2 3 5" xfId="1328"/>
    <cellStyle name="Calculation 10 2 2 2 3 6" xfId="1329"/>
    <cellStyle name="Calculation 10 2 2 2 3 7" xfId="1330"/>
    <cellStyle name="Calculation 10 2 2 2 3 8" xfId="1331"/>
    <cellStyle name="Calculation 10 2 2 2 4" xfId="1332"/>
    <cellStyle name="Calculation 10 2 2 2 4 2" xfId="1333"/>
    <cellStyle name="Calculation 10 2 2 2 4 3" xfId="1334"/>
    <cellStyle name="Calculation 10 2 2 2 4 4" xfId="1335"/>
    <cellStyle name="Calculation 10 2 2 2 4 5" xfId="1336"/>
    <cellStyle name="Calculation 10 2 2 2 4 6" xfId="1337"/>
    <cellStyle name="Calculation 10 2 2 2 4 7" xfId="1338"/>
    <cellStyle name="Calculation 10 2 2 2 4 8" xfId="1339"/>
    <cellStyle name="Calculation 10 2 2 2 5" xfId="1340"/>
    <cellStyle name="Calculation 10 2 2 3" xfId="1341"/>
    <cellStyle name="Calculation 10 2 2 3 2" xfId="1342"/>
    <cellStyle name="Calculation 10 2 2 3 2 2" xfId="1343"/>
    <cellStyle name="Calculation 10 2 2 3 2 3" xfId="1344"/>
    <cellStyle name="Calculation 10 2 2 3 2 4" xfId="1345"/>
    <cellStyle name="Calculation 10 2 2 3 2 5" xfId="1346"/>
    <cellStyle name="Calculation 10 2 2 3 2 6" xfId="1347"/>
    <cellStyle name="Calculation 10 2 2 3 2 7" xfId="1348"/>
    <cellStyle name="Calculation 10 2 2 3 2 8" xfId="1349"/>
    <cellStyle name="Calculation 10 2 2 3 3" xfId="1350"/>
    <cellStyle name="Calculation 10 2 2 3 3 2" xfId="1351"/>
    <cellStyle name="Calculation 10 2 2 3 3 3" xfId="1352"/>
    <cellStyle name="Calculation 10 2 2 3 3 4" xfId="1353"/>
    <cellStyle name="Calculation 10 2 2 3 3 5" xfId="1354"/>
    <cellStyle name="Calculation 10 2 2 3 3 6" xfId="1355"/>
    <cellStyle name="Calculation 10 2 2 3 3 7" xfId="1356"/>
    <cellStyle name="Calculation 10 2 2 3 3 8" xfId="1357"/>
    <cellStyle name="Calculation 10 2 2 3 4" xfId="1358"/>
    <cellStyle name="Calculation 10 2 2 3 4 2" xfId="1359"/>
    <cellStyle name="Calculation 10 2 2 3 4 3" xfId="1360"/>
    <cellStyle name="Calculation 10 2 2 3 4 4" xfId="1361"/>
    <cellStyle name="Calculation 10 2 2 3 4 5" xfId="1362"/>
    <cellStyle name="Calculation 10 2 2 3 4 6" xfId="1363"/>
    <cellStyle name="Calculation 10 2 2 3 4 7" xfId="1364"/>
    <cellStyle name="Calculation 10 2 2 3 4 8" xfId="1365"/>
    <cellStyle name="Calculation 10 2 2 3 5" xfId="1366"/>
    <cellStyle name="Calculation 10 2 2 4" xfId="1367"/>
    <cellStyle name="Calculation 10 2 2 4 2" xfId="1368"/>
    <cellStyle name="Calculation 10 2 2 4 2 2" xfId="1369"/>
    <cellStyle name="Calculation 10 2 2 4 2 3" xfId="1370"/>
    <cellStyle name="Calculation 10 2 2 4 2 4" xfId="1371"/>
    <cellStyle name="Calculation 10 2 2 4 2 5" xfId="1372"/>
    <cellStyle name="Calculation 10 2 2 4 2 6" xfId="1373"/>
    <cellStyle name="Calculation 10 2 2 4 2 7" xfId="1374"/>
    <cellStyle name="Calculation 10 2 2 4 2 8" xfId="1375"/>
    <cellStyle name="Calculation 10 2 2 4 3" xfId="1376"/>
    <cellStyle name="Calculation 10 2 2 4 3 2" xfId="1377"/>
    <cellStyle name="Calculation 10 2 2 4 3 3" xfId="1378"/>
    <cellStyle name="Calculation 10 2 2 4 3 4" xfId="1379"/>
    <cellStyle name="Calculation 10 2 2 4 3 5" xfId="1380"/>
    <cellStyle name="Calculation 10 2 2 4 3 6" xfId="1381"/>
    <cellStyle name="Calculation 10 2 2 4 3 7" xfId="1382"/>
    <cellStyle name="Calculation 10 2 2 4 3 8" xfId="1383"/>
    <cellStyle name="Calculation 10 2 2 4 4" xfId="1384"/>
    <cellStyle name="Calculation 10 2 2 4 4 2" xfId="1385"/>
    <cellStyle name="Calculation 10 2 2 4 4 3" xfId="1386"/>
    <cellStyle name="Calculation 10 2 2 4 4 4" xfId="1387"/>
    <cellStyle name="Calculation 10 2 2 4 4 5" xfId="1388"/>
    <cellStyle name="Calculation 10 2 2 4 4 6" xfId="1389"/>
    <cellStyle name="Calculation 10 2 2 4 4 7" xfId="1390"/>
    <cellStyle name="Calculation 10 2 2 4 4 8" xfId="1391"/>
    <cellStyle name="Calculation 10 2 2 5" xfId="1392"/>
    <cellStyle name="Calculation 10 2 2 5 2" xfId="1393"/>
    <cellStyle name="Calculation 10 2 2 5 3" xfId="1394"/>
    <cellStyle name="Calculation 10 2 2 5 4" xfId="1395"/>
    <cellStyle name="Calculation 10 2 2 5 5" xfId="1396"/>
    <cellStyle name="Calculation 10 2 2 5 6" xfId="1397"/>
    <cellStyle name="Calculation 10 2 2 5 7" xfId="1398"/>
    <cellStyle name="Calculation 10 2 2 5 8" xfId="1399"/>
    <cellStyle name="Calculation 10 2 2 6" xfId="1400"/>
    <cellStyle name="Calculation 10 2 2 6 2" xfId="1401"/>
    <cellStyle name="Calculation 10 2 2 6 3" xfId="1402"/>
    <cellStyle name="Calculation 10 2 2 6 4" xfId="1403"/>
    <cellStyle name="Calculation 10 2 2 6 5" xfId="1404"/>
    <cellStyle name="Calculation 10 2 2 6 6" xfId="1405"/>
    <cellStyle name="Calculation 10 2 2 6 7" xfId="1406"/>
    <cellStyle name="Calculation 10 2 2 6 8" xfId="1407"/>
    <cellStyle name="Calculation 10 2 2 7" xfId="1408"/>
    <cellStyle name="Calculation 10 2 2 7 2" xfId="1409"/>
    <cellStyle name="Calculation 10 2 2 7 3" xfId="1410"/>
    <cellStyle name="Calculation 10 2 2 7 4" xfId="1411"/>
    <cellStyle name="Calculation 10 2 2 7 5" xfId="1412"/>
    <cellStyle name="Calculation 10 2 2 7 6" xfId="1413"/>
    <cellStyle name="Calculation 10 2 2 7 7" xfId="1414"/>
    <cellStyle name="Calculation 10 2 2 7 8" xfId="1415"/>
    <cellStyle name="Calculation 10 2 3" xfId="1416"/>
    <cellStyle name="Calculation 10 2 3 2" xfId="1417"/>
    <cellStyle name="Calculation 10 2 3 2 2" xfId="1418"/>
    <cellStyle name="Calculation 10 2 3 2 2 2" xfId="1419"/>
    <cellStyle name="Calculation 10 2 3 2 2 3" xfId="1420"/>
    <cellStyle name="Calculation 10 2 3 2 2 4" xfId="1421"/>
    <cellStyle name="Calculation 10 2 3 2 2 5" xfId="1422"/>
    <cellStyle name="Calculation 10 2 3 2 2 6" xfId="1423"/>
    <cellStyle name="Calculation 10 2 3 2 2 7" xfId="1424"/>
    <cellStyle name="Calculation 10 2 3 2 2 8" xfId="1425"/>
    <cellStyle name="Calculation 10 2 3 2 3" xfId="1426"/>
    <cellStyle name="Calculation 10 2 3 2 3 2" xfId="1427"/>
    <cellStyle name="Calculation 10 2 3 2 3 3" xfId="1428"/>
    <cellStyle name="Calculation 10 2 3 2 3 4" xfId="1429"/>
    <cellStyle name="Calculation 10 2 3 2 3 5" xfId="1430"/>
    <cellStyle name="Calculation 10 2 3 2 3 6" xfId="1431"/>
    <cellStyle name="Calculation 10 2 3 2 3 7" xfId="1432"/>
    <cellStyle name="Calculation 10 2 3 2 3 8" xfId="1433"/>
    <cellStyle name="Calculation 10 2 3 2 4" xfId="1434"/>
    <cellStyle name="Calculation 10 2 3 2 4 2" xfId="1435"/>
    <cellStyle name="Calculation 10 2 3 2 4 3" xfId="1436"/>
    <cellStyle name="Calculation 10 2 3 2 4 4" xfId="1437"/>
    <cellStyle name="Calculation 10 2 3 2 4 5" xfId="1438"/>
    <cellStyle name="Calculation 10 2 3 2 4 6" xfId="1439"/>
    <cellStyle name="Calculation 10 2 3 2 4 7" xfId="1440"/>
    <cellStyle name="Calculation 10 2 3 2 4 8" xfId="1441"/>
    <cellStyle name="Calculation 10 2 3 2 5" xfId="1442"/>
    <cellStyle name="Calculation 10 2 3 3" xfId="1443"/>
    <cellStyle name="Calculation 10 2 3 3 2" xfId="1444"/>
    <cellStyle name="Calculation 10 2 3 3 3" xfId="1445"/>
    <cellStyle name="Calculation 10 2 3 3 4" xfId="1446"/>
    <cellStyle name="Calculation 10 2 3 3 5" xfId="1447"/>
    <cellStyle name="Calculation 10 2 3 3 6" xfId="1448"/>
    <cellStyle name="Calculation 10 2 3 3 7" xfId="1449"/>
    <cellStyle name="Calculation 10 2 3 3 8" xfId="1450"/>
    <cellStyle name="Calculation 10 2 3 4" xfId="1451"/>
    <cellStyle name="Calculation 10 2 3 4 2" xfId="1452"/>
    <cellStyle name="Calculation 10 2 3 4 3" xfId="1453"/>
    <cellStyle name="Calculation 10 2 3 4 4" xfId="1454"/>
    <cellStyle name="Calculation 10 2 3 4 5" xfId="1455"/>
    <cellStyle name="Calculation 10 2 3 4 6" xfId="1456"/>
    <cellStyle name="Calculation 10 2 3 4 7" xfId="1457"/>
    <cellStyle name="Calculation 10 2 3 4 8" xfId="1458"/>
    <cellStyle name="Calculation 10 2 3 5" xfId="1459"/>
    <cellStyle name="Calculation 10 2 3 5 2" xfId="1460"/>
    <cellStyle name="Calculation 10 2 3 5 3" xfId="1461"/>
    <cellStyle name="Calculation 10 2 3 5 4" xfId="1462"/>
    <cellStyle name="Calculation 10 2 3 5 5" xfId="1463"/>
    <cellStyle name="Calculation 10 2 3 5 6" xfId="1464"/>
    <cellStyle name="Calculation 10 2 3 5 7" xfId="1465"/>
    <cellStyle name="Calculation 10 2 3 5 8" xfId="1466"/>
    <cellStyle name="Calculation 10 2 3 6" xfId="1467"/>
    <cellStyle name="Calculation 10 2 4" xfId="1468"/>
    <cellStyle name="Calculation 10 2 4 2" xfId="1469"/>
    <cellStyle name="Calculation 10 2 4 3" xfId="1470"/>
    <cellStyle name="Calculation 10 2 4 4" xfId="1471"/>
    <cellStyle name="Calculation 10 2 4 5" xfId="1472"/>
    <cellStyle name="Calculation 10 2 4 6" xfId="1473"/>
    <cellStyle name="Calculation 10 2 4 7" xfId="1474"/>
    <cellStyle name="Calculation 10 2 4 8" xfId="1475"/>
    <cellStyle name="Calculation 10 2 5" xfId="1476"/>
    <cellStyle name="Calculation 10 2 5 2" xfId="1477"/>
    <cellStyle name="Calculation 10 2 5 3" xfId="1478"/>
    <cellStyle name="Calculation 10 2 5 4" xfId="1479"/>
    <cellStyle name="Calculation 10 2 5 5" xfId="1480"/>
    <cellStyle name="Calculation 10 2 5 6" xfId="1481"/>
    <cellStyle name="Calculation 10 2 5 7" xfId="1482"/>
    <cellStyle name="Calculation 10 2 5 8" xfId="1483"/>
    <cellStyle name="Calculation 10 2 6" xfId="1484"/>
    <cellStyle name="Calculation 10 2 6 2" xfId="1485"/>
    <cellStyle name="Calculation 10 2 6 3" xfId="1486"/>
    <cellStyle name="Calculation 10 2 6 4" xfId="1487"/>
    <cellStyle name="Calculation 10 2 6 5" xfId="1488"/>
    <cellStyle name="Calculation 10 2 6 6" xfId="1489"/>
    <cellStyle name="Calculation 10 2 6 7" xfId="1490"/>
    <cellStyle name="Calculation 10 2 6 8" xfId="1491"/>
    <cellStyle name="Calculation 10 3" xfId="1492"/>
    <cellStyle name="Calculation 10 3 2" xfId="1493"/>
    <cellStyle name="Calculation 10 3 2 2" xfId="1494"/>
    <cellStyle name="Calculation 10 3 2 2 2" xfId="1495"/>
    <cellStyle name="Calculation 10 3 2 2 3" xfId="1496"/>
    <cellStyle name="Calculation 10 3 2 2 4" xfId="1497"/>
    <cellStyle name="Calculation 10 3 2 2 5" xfId="1498"/>
    <cellStyle name="Calculation 10 3 2 2 6" xfId="1499"/>
    <cellStyle name="Calculation 10 3 2 2 7" xfId="1500"/>
    <cellStyle name="Calculation 10 3 2 2 8" xfId="1501"/>
    <cellStyle name="Calculation 10 3 2 3" xfId="1502"/>
    <cellStyle name="Calculation 10 3 2 3 2" xfId="1503"/>
    <cellStyle name="Calculation 10 3 2 3 3" xfId="1504"/>
    <cellStyle name="Calculation 10 3 2 3 4" xfId="1505"/>
    <cellStyle name="Calculation 10 3 2 3 5" xfId="1506"/>
    <cellStyle name="Calculation 10 3 2 3 6" xfId="1507"/>
    <cellStyle name="Calculation 10 3 2 3 7" xfId="1508"/>
    <cellStyle name="Calculation 10 3 2 3 8" xfId="1509"/>
    <cellStyle name="Calculation 10 3 2 4" xfId="1510"/>
    <cellStyle name="Calculation 10 3 2 4 2" xfId="1511"/>
    <cellStyle name="Calculation 10 3 2 4 3" xfId="1512"/>
    <cellStyle name="Calculation 10 3 2 4 4" xfId="1513"/>
    <cellStyle name="Calculation 10 3 2 4 5" xfId="1514"/>
    <cellStyle name="Calculation 10 3 2 4 6" xfId="1515"/>
    <cellStyle name="Calculation 10 3 2 4 7" xfId="1516"/>
    <cellStyle name="Calculation 10 3 2 4 8" xfId="1517"/>
    <cellStyle name="Calculation 10 3 2 5" xfId="1518"/>
    <cellStyle name="Calculation 10 3 3" xfId="1519"/>
    <cellStyle name="Calculation 10 3 3 2" xfId="1520"/>
    <cellStyle name="Calculation 10 3 3 2 2" xfId="1521"/>
    <cellStyle name="Calculation 10 3 3 2 3" xfId="1522"/>
    <cellStyle name="Calculation 10 3 3 2 4" xfId="1523"/>
    <cellStyle name="Calculation 10 3 3 2 5" xfId="1524"/>
    <cellStyle name="Calculation 10 3 3 2 6" xfId="1525"/>
    <cellStyle name="Calculation 10 3 3 2 7" xfId="1526"/>
    <cellStyle name="Calculation 10 3 3 2 8" xfId="1527"/>
    <cellStyle name="Calculation 10 3 3 3" xfId="1528"/>
    <cellStyle name="Calculation 10 3 3 3 2" xfId="1529"/>
    <cellStyle name="Calculation 10 3 3 3 3" xfId="1530"/>
    <cellStyle name="Calculation 10 3 3 3 4" xfId="1531"/>
    <cellStyle name="Calculation 10 3 3 3 5" xfId="1532"/>
    <cellStyle name="Calculation 10 3 3 3 6" xfId="1533"/>
    <cellStyle name="Calculation 10 3 3 3 7" xfId="1534"/>
    <cellStyle name="Calculation 10 3 3 3 8" xfId="1535"/>
    <cellStyle name="Calculation 10 3 3 4" xfId="1536"/>
    <cellStyle name="Calculation 10 3 3 4 2" xfId="1537"/>
    <cellStyle name="Calculation 10 3 3 4 3" xfId="1538"/>
    <cellStyle name="Calculation 10 3 3 4 4" xfId="1539"/>
    <cellStyle name="Calculation 10 3 3 4 5" xfId="1540"/>
    <cellStyle name="Calculation 10 3 3 4 6" xfId="1541"/>
    <cellStyle name="Calculation 10 3 3 4 7" xfId="1542"/>
    <cellStyle name="Calculation 10 3 3 4 8" xfId="1543"/>
    <cellStyle name="Calculation 10 3 3 5" xfId="1544"/>
    <cellStyle name="Calculation 10 3 4" xfId="1545"/>
    <cellStyle name="Calculation 10 3 4 2" xfId="1546"/>
    <cellStyle name="Calculation 10 3 4 2 2" xfId="1547"/>
    <cellStyle name="Calculation 10 3 4 2 3" xfId="1548"/>
    <cellStyle name="Calculation 10 3 4 2 4" xfId="1549"/>
    <cellStyle name="Calculation 10 3 4 2 5" xfId="1550"/>
    <cellStyle name="Calculation 10 3 4 2 6" xfId="1551"/>
    <cellStyle name="Calculation 10 3 4 2 7" xfId="1552"/>
    <cellStyle name="Calculation 10 3 4 2 8" xfId="1553"/>
    <cellStyle name="Calculation 10 3 4 3" xfId="1554"/>
    <cellStyle name="Calculation 10 3 4 3 2" xfId="1555"/>
    <cellStyle name="Calculation 10 3 4 3 3" xfId="1556"/>
    <cellStyle name="Calculation 10 3 4 3 4" xfId="1557"/>
    <cellStyle name="Calculation 10 3 4 3 5" xfId="1558"/>
    <cellStyle name="Calculation 10 3 4 3 6" xfId="1559"/>
    <cellStyle name="Calculation 10 3 4 3 7" xfId="1560"/>
    <cellStyle name="Calculation 10 3 4 3 8" xfId="1561"/>
    <cellStyle name="Calculation 10 3 4 4" xfId="1562"/>
    <cellStyle name="Calculation 10 3 4 4 2" xfId="1563"/>
    <cellStyle name="Calculation 10 3 4 4 3" xfId="1564"/>
    <cellStyle name="Calculation 10 3 4 4 4" xfId="1565"/>
    <cellStyle name="Calculation 10 3 4 4 5" xfId="1566"/>
    <cellStyle name="Calculation 10 3 4 4 6" xfId="1567"/>
    <cellStyle name="Calculation 10 3 4 4 7" xfId="1568"/>
    <cellStyle name="Calculation 10 3 4 4 8" xfId="1569"/>
    <cellStyle name="Calculation 10 3 5" xfId="1570"/>
    <cellStyle name="Calculation 10 3 5 2" xfId="1571"/>
    <cellStyle name="Calculation 10 3 5 3" xfId="1572"/>
    <cellStyle name="Calculation 10 3 5 4" xfId="1573"/>
    <cellStyle name="Calculation 10 3 5 5" xfId="1574"/>
    <cellStyle name="Calculation 10 3 5 6" xfId="1575"/>
    <cellStyle name="Calculation 10 3 5 7" xfId="1576"/>
    <cellStyle name="Calculation 10 3 5 8" xfId="1577"/>
    <cellStyle name="Calculation 10 3 6" xfId="1578"/>
    <cellStyle name="Calculation 10 3 6 2" xfId="1579"/>
    <cellStyle name="Calculation 10 3 6 3" xfId="1580"/>
    <cellStyle name="Calculation 10 3 6 4" xfId="1581"/>
    <cellStyle name="Calculation 10 3 6 5" xfId="1582"/>
    <cellStyle name="Calculation 10 3 6 6" xfId="1583"/>
    <cellStyle name="Calculation 10 3 6 7" xfId="1584"/>
    <cellStyle name="Calculation 10 3 6 8" xfId="1585"/>
    <cellStyle name="Calculation 10 3 7" xfId="1586"/>
    <cellStyle name="Calculation 10 3 7 2" xfId="1587"/>
    <cellStyle name="Calculation 10 3 7 3" xfId="1588"/>
    <cellStyle name="Calculation 10 3 7 4" xfId="1589"/>
    <cellStyle name="Calculation 10 3 7 5" xfId="1590"/>
    <cellStyle name="Calculation 10 3 7 6" xfId="1591"/>
    <cellStyle name="Calculation 10 3 7 7" xfId="1592"/>
    <cellStyle name="Calculation 10 3 7 8" xfId="1593"/>
    <cellStyle name="Calculation 10 4" xfId="1594"/>
    <cellStyle name="Calculation 10 4 2" xfId="1595"/>
    <cellStyle name="Calculation 10 4 2 2" xfId="1596"/>
    <cellStyle name="Calculation 10 4 2 2 2" xfId="1597"/>
    <cellStyle name="Calculation 10 4 2 2 3" xfId="1598"/>
    <cellStyle name="Calculation 10 4 2 2 4" xfId="1599"/>
    <cellStyle name="Calculation 10 4 2 2 5" xfId="1600"/>
    <cellStyle name="Calculation 10 4 2 2 6" xfId="1601"/>
    <cellStyle name="Calculation 10 4 2 2 7" xfId="1602"/>
    <cellStyle name="Calculation 10 4 2 2 8" xfId="1603"/>
    <cellStyle name="Calculation 10 4 2 3" xfId="1604"/>
    <cellStyle name="Calculation 10 4 2 3 2" xfId="1605"/>
    <cellStyle name="Calculation 10 4 2 3 3" xfId="1606"/>
    <cellStyle name="Calculation 10 4 2 3 4" xfId="1607"/>
    <cellStyle name="Calculation 10 4 2 3 5" xfId="1608"/>
    <cellStyle name="Calculation 10 4 2 3 6" xfId="1609"/>
    <cellStyle name="Calculation 10 4 2 3 7" xfId="1610"/>
    <cellStyle name="Calculation 10 4 2 3 8" xfId="1611"/>
    <cellStyle name="Calculation 10 4 2 4" xfId="1612"/>
    <cellStyle name="Calculation 10 4 2 4 2" xfId="1613"/>
    <cellStyle name="Calculation 10 4 2 4 3" xfId="1614"/>
    <cellStyle name="Calculation 10 4 2 4 4" xfId="1615"/>
    <cellStyle name="Calculation 10 4 2 4 5" xfId="1616"/>
    <cellStyle name="Calculation 10 4 2 4 6" xfId="1617"/>
    <cellStyle name="Calculation 10 4 2 4 7" xfId="1618"/>
    <cellStyle name="Calculation 10 4 2 4 8" xfId="1619"/>
    <cellStyle name="Calculation 10 4 2 5" xfId="1620"/>
    <cellStyle name="Calculation 10 4 3" xfId="1621"/>
    <cellStyle name="Calculation 10 4 3 2" xfId="1622"/>
    <cellStyle name="Calculation 10 4 3 3" xfId="1623"/>
    <cellStyle name="Calculation 10 4 3 4" xfId="1624"/>
    <cellStyle name="Calculation 10 4 3 5" xfId="1625"/>
    <cellStyle name="Calculation 10 4 3 6" xfId="1626"/>
    <cellStyle name="Calculation 10 4 3 7" xfId="1627"/>
    <cellStyle name="Calculation 10 4 3 8" xfId="1628"/>
    <cellStyle name="Calculation 10 4 4" xfId="1629"/>
    <cellStyle name="Calculation 10 4 4 2" xfId="1630"/>
    <cellStyle name="Calculation 10 4 4 3" xfId="1631"/>
    <cellStyle name="Calculation 10 4 4 4" xfId="1632"/>
    <cellStyle name="Calculation 10 4 4 5" xfId="1633"/>
    <cellStyle name="Calculation 10 4 4 6" xfId="1634"/>
    <cellStyle name="Calculation 10 4 4 7" xfId="1635"/>
    <cellStyle name="Calculation 10 4 4 8" xfId="1636"/>
    <cellStyle name="Calculation 10 4 5" xfId="1637"/>
    <cellStyle name="Calculation 10 4 5 2" xfId="1638"/>
    <cellStyle name="Calculation 10 4 5 3" xfId="1639"/>
    <cellStyle name="Calculation 10 4 5 4" xfId="1640"/>
    <cellStyle name="Calculation 10 4 5 5" xfId="1641"/>
    <cellStyle name="Calculation 10 4 5 6" xfId="1642"/>
    <cellStyle name="Calculation 10 4 5 7" xfId="1643"/>
    <cellStyle name="Calculation 10 4 5 8" xfId="1644"/>
    <cellStyle name="Calculation 10 4 6" xfId="1645"/>
    <cellStyle name="Calculation 10 5" xfId="1646"/>
    <cellStyle name="Calculation 10 5 2" xfId="1647"/>
    <cellStyle name="Calculation 10 5 3" xfId="1648"/>
    <cellStyle name="Calculation 10 5 4" xfId="1649"/>
    <cellStyle name="Calculation 10 5 5" xfId="1650"/>
    <cellStyle name="Calculation 10 5 6" xfId="1651"/>
    <cellStyle name="Calculation 10 5 7" xfId="1652"/>
    <cellStyle name="Calculation 10 5 8" xfId="1653"/>
    <cellStyle name="Calculation 10 6" xfId="1654"/>
    <cellStyle name="Calculation 10 6 2" xfId="1655"/>
    <cellStyle name="Calculation 10 6 3" xfId="1656"/>
    <cellStyle name="Calculation 10 6 4" xfId="1657"/>
    <cellStyle name="Calculation 10 6 5" xfId="1658"/>
    <cellStyle name="Calculation 10 6 6" xfId="1659"/>
    <cellStyle name="Calculation 10 6 7" xfId="1660"/>
    <cellStyle name="Calculation 10 6 8" xfId="1661"/>
    <cellStyle name="Calculation 10 7" xfId="1662"/>
    <cellStyle name="Calculation 10 7 2" xfId="1663"/>
    <cellStyle name="Calculation 10 7 3" xfId="1664"/>
    <cellStyle name="Calculation 10 7 4" xfId="1665"/>
    <cellStyle name="Calculation 10 7 5" xfId="1666"/>
    <cellStyle name="Calculation 10 7 6" xfId="1667"/>
    <cellStyle name="Calculation 10 7 7" xfId="1668"/>
    <cellStyle name="Calculation 10 7 8" xfId="1669"/>
    <cellStyle name="Calculation 11" xfId="1670"/>
    <cellStyle name="Calculation 11 2" xfId="1671"/>
    <cellStyle name="Calculation 11 2 2" xfId="1672"/>
    <cellStyle name="Calculation 11 2 2 2" xfId="1673"/>
    <cellStyle name="Calculation 11 2 2 2 2" xfId="1674"/>
    <cellStyle name="Calculation 11 2 2 2 2 2" xfId="1675"/>
    <cellStyle name="Calculation 11 2 2 2 2 3" xfId="1676"/>
    <cellStyle name="Calculation 11 2 2 2 2 4" xfId="1677"/>
    <cellStyle name="Calculation 11 2 2 2 2 5" xfId="1678"/>
    <cellStyle name="Calculation 11 2 2 2 2 6" xfId="1679"/>
    <cellStyle name="Calculation 11 2 2 2 2 7" xfId="1680"/>
    <cellStyle name="Calculation 11 2 2 2 2 8" xfId="1681"/>
    <cellStyle name="Calculation 11 2 2 2 3" xfId="1682"/>
    <cellStyle name="Calculation 11 2 2 2 3 2" xfId="1683"/>
    <cellStyle name="Calculation 11 2 2 2 3 3" xfId="1684"/>
    <cellStyle name="Calculation 11 2 2 2 3 4" xfId="1685"/>
    <cellStyle name="Calculation 11 2 2 2 3 5" xfId="1686"/>
    <cellStyle name="Calculation 11 2 2 2 3 6" xfId="1687"/>
    <cellStyle name="Calculation 11 2 2 2 3 7" xfId="1688"/>
    <cellStyle name="Calculation 11 2 2 2 3 8" xfId="1689"/>
    <cellStyle name="Calculation 11 2 2 2 4" xfId="1690"/>
    <cellStyle name="Calculation 11 2 2 2 4 2" xfId="1691"/>
    <cellStyle name="Calculation 11 2 2 2 4 3" xfId="1692"/>
    <cellStyle name="Calculation 11 2 2 2 4 4" xfId="1693"/>
    <cellStyle name="Calculation 11 2 2 2 4 5" xfId="1694"/>
    <cellStyle name="Calculation 11 2 2 2 4 6" xfId="1695"/>
    <cellStyle name="Calculation 11 2 2 2 4 7" xfId="1696"/>
    <cellStyle name="Calculation 11 2 2 2 4 8" xfId="1697"/>
    <cellStyle name="Calculation 11 2 2 2 5" xfId="1698"/>
    <cellStyle name="Calculation 11 2 2 3" xfId="1699"/>
    <cellStyle name="Calculation 11 2 2 3 2" xfId="1700"/>
    <cellStyle name="Calculation 11 2 2 3 2 2" xfId="1701"/>
    <cellStyle name="Calculation 11 2 2 3 2 3" xfId="1702"/>
    <cellStyle name="Calculation 11 2 2 3 2 4" xfId="1703"/>
    <cellStyle name="Calculation 11 2 2 3 2 5" xfId="1704"/>
    <cellStyle name="Calculation 11 2 2 3 2 6" xfId="1705"/>
    <cellStyle name="Calculation 11 2 2 3 2 7" xfId="1706"/>
    <cellStyle name="Calculation 11 2 2 3 2 8" xfId="1707"/>
    <cellStyle name="Calculation 11 2 2 3 3" xfId="1708"/>
    <cellStyle name="Calculation 11 2 2 3 3 2" xfId="1709"/>
    <cellStyle name="Calculation 11 2 2 3 3 3" xfId="1710"/>
    <cellStyle name="Calculation 11 2 2 3 3 4" xfId="1711"/>
    <cellStyle name="Calculation 11 2 2 3 3 5" xfId="1712"/>
    <cellStyle name="Calculation 11 2 2 3 3 6" xfId="1713"/>
    <cellStyle name="Calculation 11 2 2 3 3 7" xfId="1714"/>
    <cellStyle name="Calculation 11 2 2 3 3 8" xfId="1715"/>
    <cellStyle name="Calculation 11 2 2 3 4" xfId="1716"/>
    <cellStyle name="Calculation 11 2 2 3 4 2" xfId="1717"/>
    <cellStyle name="Calculation 11 2 2 3 4 3" xfId="1718"/>
    <cellStyle name="Calculation 11 2 2 3 4 4" xfId="1719"/>
    <cellStyle name="Calculation 11 2 2 3 4 5" xfId="1720"/>
    <cellStyle name="Calculation 11 2 2 3 4 6" xfId="1721"/>
    <cellStyle name="Calculation 11 2 2 3 4 7" xfId="1722"/>
    <cellStyle name="Calculation 11 2 2 3 4 8" xfId="1723"/>
    <cellStyle name="Calculation 11 2 2 3 5" xfId="1724"/>
    <cellStyle name="Calculation 11 2 2 4" xfId="1725"/>
    <cellStyle name="Calculation 11 2 2 4 2" xfId="1726"/>
    <cellStyle name="Calculation 11 2 2 4 2 2" xfId="1727"/>
    <cellStyle name="Calculation 11 2 2 4 2 3" xfId="1728"/>
    <cellStyle name="Calculation 11 2 2 4 2 4" xfId="1729"/>
    <cellStyle name="Calculation 11 2 2 4 2 5" xfId="1730"/>
    <cellStyle name="Calculation 11 2 2 4 2 6" xfId="1731"/>
    <cellStyle name="Calculation 11 2 2 4 2 7" xfId="1732"/>
    <cellStyle name="Calculation 11 2 2 4 2 8" xfId="1733"/>
    <cellStyle name="Calculation 11 2 2 4 3" xfId="1734"/>
    <cellStyle name="Calculation 11 2 2 4 3 2" xfId="1735"/>
    <cellStyle name="Calculation 11 2 2 4 3 3" xfId="1736"/>
    <cellStyle name="Calculation 11 2 2 4 3 4" xfId="1737"/>
    <cellStyle name="Calculation 11 2 2 4 3 5" xfId="1738"/>
    <cellStyle name="Calculation 11 2 2 4 3 6" xfId="1739"/>
    <cellStyle name="Calculation 11 2 2 4 3 7" xfId="1740"/>
    <cellStyle name="Calculation 11 2 2 4 3 8" xfId="1741"/>
    <cellStyle name="Calculation 11 2 2 4 4" xfId="1742"/>
    <cellStyle name="Calculation 11 2 2 4 4 2" xfId="1743"/>
    <cellStyle name="Calculation 11 2 2 4 4 3" xfId="1744"/>
    <cellStyle name="Calculation 11 2 2 4 4 4" xfId="1745"/>
    <cellStyle name="Calculation 11 2 2 4 4 5" xfId="1746"/>
    <cellStyle name="Calculation 11 2 2 4 4 6" xfId="1747"/>
    <cellStyle name="Calculation 11 2 2 4 4 7" xfId="1748"/>
    <cellStyle name="Calculation 11 2 2 4 4 8" xfId="1749"/>
    <cellStyle name="Calculation 11 2 2 5" xfId="1750"/>
    <cellStyle name="Calculation 11 2 2 5 2" xfId="1751"/>
    <cellStyle name="Calculation 11 2 2 5 3" xfId="1752"/>
    <cellStyle name="Calculation 11 2 2 5 4" xfId="1753"/>
    <cellStyle name="Calculation 11 2 2 5 5" xfId="1754"/>
    <cellStyle name="Calculation 11 2 2 5 6" xfId="1755"/>
    <cellStyle name="Calculation 11 2 2 5 7" xfId="1756"/>
    <cellStyle name="Calculation 11 2 2 5 8" xfId="1757"/>
    <cellStyle name="Calculation 11 2 2 6" xfId="1758"/>
    <cellStyle name="Calculation 11 2 2 6 2" xfId="1759"/>
    <cellStyle name="Calculation 11 2 2 6 3" xfId="1760"/>
    <cellStyle name="Calculation 11 2 2 6 4" xfId="1761"/>
    <cellStyle name="Calculation 11 2 2 6 5" xfId="1762"/>
    <cellStyle name="Calculation 11 2 2 6 6" xfId="1763"/>
    <cellStyle name="Calculation 11 2 2 6 7" xfId="1764"/>
    <cellStyle name="Calculation 11 2 2 6 8" xfId="1765"/>
    <cellStyle name="Calculation 11 2 2 7" xfId="1766"/>
    <cellStyle name="Calculation 11 2 2 7 2" xfId="1767"/>
    <cellStyle name="Calculation 11 2 2 7 3" xfId="1768"/>
    <cellStyle name="Calculation 11 2 2 7 4" xfId="1769"/>
    <cellStyle name="Calculation 11 2 2 7 5" xfId="1770"/>
    <cellStyle name="Calculation 11 2 2 7 6" xfId="1771"/>
    <cellStyle name="Calculation 11 2 2 7 7" xfId="1772"/>
    <cellStyle name="Calculation 11 2 2 7 8" xfId="1773"/>
    <cellStyle name="Calculation 11 2 3" xfId="1774"/>
    <cellStyle name="Calculation 11 2 3 2" xfId="1775"/>
    <cellStyle name="Calculation 11 2 3 2 2" xfId="1776"/>
    <cellStyle name="Calculation 11 2 3 2 2 2" xfId="1777"/>
    <cellStyle name="Calculation 11 2 3 2 2 3" xfId="1778"/>
    <cellStyle name="Calculation 11 2 3 2 2 4" xfId="1779"/>
    <cellStyle name="Calculation 11 2 3 2 2 5" xfId="1780"/>
    <cellStyle name="Calculation 11 2 3 2 2 6" xfId="1781"/>
    <cellStyle name="Calculation 11 2 3 2 2 7" xfId="1782"/>
    <cellStyle name="Calculation 11 2 3 2 2 8" xfId="1783"/>
    <cellStyle name="Calculation 11 2 3 2 3" xfId="1784"/>
    <cellStyle name="Calculation 11 2 3 2 3 2" xfId="1785"/>
    <cellStyle name="Calculation 11 2 3 2 3 3" xfId="1786"/>
    <cellStyle name="Calculation 11 2 3 2 3 4" xfId="1787"/>
    <cellStyle name="Calculation 11 2 3 2 3 5" xfId="1788"/>
    <cellStyle name="Calculation 11 2 3 2 3 6" xfId="1789"/>
    <cellStyle name="Calculation 11 2 3 2 3 7" xfId="1790"/>
    <cellStyle name="Calculation 11 2 3 2 3 8" xfId="1791"/>
    <cellStyle name="Calculation 11 2 3 2 4" xfId="1792"/>
    <cellStyle name="Calculation 11 2 3 2 4 2" xfId="1793"/>
    <cellStyle name="Calculation 11 2 3 2 4 3" xfId="1794"/>
    <cellStyle name="Calculation 11 2 3 2 4 4" xfId="1795"/>
    <cellStyle name="Calculation 11 2 3 2 4 5" xfId="1796"/>
    <cellStyle name="Calculation 11 2 3 2 4 6" xfId="1797"/>
    <cellStyle name="Calculation 11 2 3 2 4 7" xfId="1798"/>
    <cellStyle name="Calculation 11 2 3 2 4 8" xfId="1799"/>
    <cellStyle name="Calculation 11 2 3 2 5" xfId="1800"/>
    <cellStyle name="Calculation 11 2 3 3" xfId="1801"/>
    <cellStyle name="Calculation 11 2 3 3 2" xfId="1802"/>
    <cellStyle name="Calculation 11 2 3 3 3" xfId="1803"/>
    <cellStyle name="Calculation 11 2 3 3 4" xfId="1804"/>
    <cellStyle name="Calculation 11 2 3 3 5" xfId="1805"/>
    <cellStyle name="Calculation 11 2 3 3 6" xfId="1806"/>
    <cellStyle name="Calculation 11 2 3 3 7" xfId="1807"/>
    <cellStyle name="Calculation 11 2 3 3 8" xfId="1808"/>
    <cellStyle name="Calculation 11 2 3 4" xfId="1809"/>
    <cellStyle name="Calculation 11 2 3 4 2" xfId="1810"/>
    <cellStyle name="Calculation 11 2 3 4 3" xfId="1811"/>
    <cellStyle name="Calculation 11 2 3 4 4" xfId="1812"/>
    <cellStyle name="Calculation 11 2 3 4 5" xfId="1813"/>
    <cellStyle name="Calculation 11 2 3 4 6" xfId="1814"/>
    <cellStyle name="Calculation 11 2 3 4 7" xfId="1815"/>
    <cellStyle name="Calculation 11 2 3 4 8" xfId="1816"/>
    <cellStyle name="Calculation 11 2 3 5" xfId="1817"/>
    <cellStyle name="Calculation 11 2 3 5 2" xfId="1818"/>
    <cellStyle name="Calculation 11 2 3 5 3" xfId="1819"/>
    <cellStyle name="Calculation 11 2 3 5 4" xfId="1820"/>
    <cellStyle name="Calculation 11 2 3 5 5" xfId="1821"/>
    <cellStyle name="Calculation 11 2 3 5 6" xfId="1822"/>
    <cellStyle name="Calculation 11 2 3 5 7" xfId="1823"/>
    <cellStyle name="Calculation 11 2 3 5 8" xfId="1824"/>
    <cellStyle name="Calculation 11 2 3 6" xfId="1825"/>
    <cellStyle name="Calculation 11 2 4" xfId="1826"/>
    <cellStyle name="Calculation 11 2 4 2" xfId="1827"/>
    <cellStyle name="Calculation 11 2 4 3" xfId="1828"/>
    <cellStyle name="Calculation 11 2 4 4" xfId="1829"/>
    <cellStyle name="Calculation 11 2 4 5" xfId="1830"/>
    <cellStyle name="Calculation 11 2 4 6" xfId="1831"/>
    <cellStyle name="Calculation 11 2 4 7" xfId="1832"/>
    <cellStyle name="Calculation 11 2 4 8" xfId="1833"/>
    <cellStyle name="Calculation 11 2 5" xfId="1834"/>
    <cellStyle name="Calculation 11 2 5 2" xfId="1835"/>
    <cellStyle name="Calculation 11 2 5 3" xfId="1836"/>
    <cellStyle name="Calculation 11 2 5 4" xfId="1837"/>
    <cellStyle name="Calculation 11 2 5 5" xfId="1838"/>
    <cellStyle name="Calculation 11 2 5 6" xfId="1839"/>
    <cellStyle name="Calculation 11 2 5 7" xfId="1840"/>
    <cellStyle name="Calculation 11 2 5 8" xfId="1841"/>
    <cellStyle name="Calculation 11 2 6" xfId="1842"/>
    <cellStyle name="Calculation 11 2 6 2" xfId="1843"/>
    <cellStyle name="Calculation 11 2 6 3" xfId="1844"/>
    <cellStyle name="Calculation 11 2 6 4" xfId="1845"/>
    <cellStyle name="Calculation 11 2 6 5" xfId="1846"/>
    <cellStyle name="Calculation 11 2 6 6" xfId="1847"/>
    <cellStyle name="Calculation 11 2 6 7" xfId="1848"/>
    <cellStyle name="Calculation 11 2 6 8" xfId="1849"/>
    <cellStyle name="Calculation 11 3" xfId="1850"/>
    <cellStyle name="Calculation 11 3 2" xfId="1851"/>
    <cellStyle name="Calculation 11 3 2 2" xfId="1852"/>
    <cellStyle name="Calculation 11 3 2 2 2" xfId="1853"/>
    <cellStyle name="Calculation 11 3 2 2 3" xfId="1854"/>
    <cellStyle name="Calculation 11 3 2 2 4" xfId="1855"/>
    <cellStyle name="Calculation 11 3 2 2 5" xfId="1856"/>
    <cellStyle name="Calculation 11 3 2 2 6" xfId="1857"/>
    <cellStyle name="Calculation 11 3 2 2 7" xfId="1858"/>
    <cellStyle name="Calculation 11 3 2 2 8" xfId="1859"/>
    <cellStyle name="Calculation 11 3 2 3" xfId="1860"/>
    <cellStyle name="Calculation 11 3 2 3 2" xfId="1861"/>
    <cellStyle name="Calculation 11 3 2 3 3" xfId="1862"/>
    <cellStyle name="Calculation 11 3 2 3 4" xfId="1863"/>
    <cellStyle name="Calculation 11 3 2 3 5" xfId="1864"/>
    <cellStyle name="Calculation 11 3 2 3 6" xfId="1865"/>
    <cellStyle name="Calculation 11 3 2 3 7" xfId="1866"/>
    <cellStyle name="Calculation 11 3 2 3 8" xfId="1867"/>
    <cellStyle name="Calculation 11 3 2 4" xfId="1868"/>
    <cellStyle name="Calculation 11 3 2 4 2" xfId="1869"/>
    <cellStyle name="Calculation 11 3 2 4 3" xfId="1870"/>
    <cellStyle name="Calculation 11 3 2 4 4" xfId="1871"/>
    <cellStyle name="Calculation 11 3 2 4 5" xfId="1872"/>
    <cellStyle name="Calculation 11 3 2 4 6" xfId="1873"/>
    <cellStyle name="Calculation 11 3 2 4 7" xfId="1874"/>
    <cellStyle name="Calculation 11 3 2 4 8" xfId="1875"/>
    <cellStyle name="Calculation 11 3 2 5" xfId="1876"/>
    <cellStyle name="Calculation 11 3 3" xfId="1877"/>
    <cellStyle name="Calculation 11 3 3 2" xfId="1878"/>
    <cellStyle name="Calculation 11 3 3 2 2" xfId="1879"/>
    <cellStyle name="Calculation 11 3 3 2 3" xfId="1880"/>
    <cellStyle name="Calculation 11 3 3 2 4" xfId="1881"/>
    <cellStyle name="Calculation 11 3 3 2 5" xfId="1882"/>
    <cellStyle name="Calculation 11 3 3 2 6" xfId="1883"/>
    <cellStyle name="Calculation 11 3 3 2 7" xfId="1884"/>
    <cellStyle name="Calculation 11 3 3 2 8" xfId="1885"/>
    <cellStyle name="Calculation 11 3 3 3" xfId="1886"/>
    <cellStyle name="Calculation 11 3 3 3 2" xfId="1887"/>
    <cellStyle name="Calculation 11 3 3 3 3" xfId="1888"/>
    <cellStyle name="Calculation 11 3 3 3 4" xfId="1889"/>
    <cellStyle name="Calculation 11 3 3 3 5" xfId="1890"/>
    <cellStyle name="Calculation 11 3 3 3 6" xfId="1891"/>
    <cellStyle name="Calculation 11 3 3 3 7" xfId="1892"/>
    <cellStyle name="Calculation 11 3 3 3 8" xfId="1893"/>
    <cellStyle name="Calculation 11 3 3 4" xfId="1894"/>
    <cellStyle name="Calculation 11 3 3 4 2" xfId="1895"/>
    <cellStyle name="Calculation 11 3 3 4 3" xfId="1896"/>
    <cellStyle name="Calculation 11 3 3 4 4" xfId="1897"/>
    <cellStyle name="Calculation 11 3 3 4 5" xfId="1898"/>
    <cellStyle name="Calculation 11 3 3 4 6" xfId="1899"/>
    <cellStyle name="Calculation 11 3 3 4 7" xfId="1900"/>
    <cellStyle name="Calculation 11 3 3 4 8" xfId="1901"/>
    <cellStyle name="Calculation 11 3 3 5" xfId="1902"/>
    <cellStyle name="Calculation 11 3 4" xfId="1903"/>
    <cellStyle name="Calculation 11 3 4 2" xfId="1904"/>
    <cellStyle name="Calculation 11 3 4 2 2" xfId="1905"/>
    <cellStyle name="Calculation 11 3 4 2 3" xfId="1906"/>
    <cellStyle name="Calculation 11 3 4 2 4" xfId="1907"/>
    <cellStyle name="Calculation 11 3 4 2 5" xfId="1908"/>
    <cellStyle name="Calculation 11 3 4 2 6" xfId="1909"/>
    <cellStyle name="Calculation 11 3 4 2 7" xfId="1910"/>
    <cellStyle name="Calculation 11 3 4 2 8" xfId="1911"/>
    <cellStyle name="Calculation 11 3 4 3" xfId="1912"/>
    <cellStyle name="Calculation 11 3 4 3 2" xfId="1913"/>
    <cellStyle name="Calculation 11 3 4 3 3" xfId="1914"/>
    <cellStyle name="Calculation 11 3 4 3 4" xfId="1915"/>
    <cellStyle name="Calculation 11 3 4 3 5" xfId="1916"/>
    <cellStyle name="Calculation 11 3 4 3 6" xfId="1917"/>
    <cellStyle name="Calculation 11 3 4 3 7" xfId="1918"/>
    <cellStyle name="Calculation 11 3 4 3 8" xfId="1919"/>
    <cellStyle name="Calculation 11 3 4 4" xfId="1920"/>
    <cellStyle name="Calculation 11 3 4 4 2" xfId="1921"/>
    <cellStyle name="Calculation 11 3 4 4 3" xfId="1922"/>
    <cellStyle name="Calculation 11 3 4 4 4" xfId="1923"/>
    <cellStyle name="Calculation 11 3 4 4 5" xfId="1924"/>
    <cellStyle name="Calculation 11 3 4 4 6" xfId="1925"/>
    <cellStyle name="Calculation 11 3 4 4 7" xfId="1926"/>
    <cellStyle name="Calculation 11 3 4 4 8" xfId="1927"/>
    <cellStyle name="Calculation 11 3 5" xfId="1928"/>
    <cellStyle name="Calculation 11 3 5 2" xfId="1929"/>
    <cellStyle name="Calculation 11 3 5 3" xfId="1930"/>
    <cellStyle name="Calculation 11 3 5 4" xfId="1931"/>
    <cellStyle name="Calculation 11 3 5 5" xfId="1932"/>
    <cellStyle name="Calculation 11 3 5 6" xfId="1933"/>
    <cellStyle name="Calculation 11 3 5 7" xfId="1934"/>
    <cellStyle name="Calculation 11 3 5 8" xfId="1935"/>
    <cellStyle name="Calculation 11 3 6" xfId="1936"/>
    <cellStyle name="Calculation 11 3 6 2" xfId="1937"/>
    <cellStyle name="Calculation 11 3 6 3" xfId="1938"/>
    <cellStyle name="Calculation 11 3 6 4" xfId="1939"/>
    <cellStyle name="Calculation 11 3 6 5" xfId="1940"/>
    <cellStyle name="Calculation 11 3 6 6" xfId="1941"/>
    <cellStyle name="Calculation 11 3 6 7" xfId="1942"/>
    <cellStyle name="Calculation 11 3 6 8" xfId="1943"/>
    <cellStyle name="Calculation 11 3 7" xfId="1944"/>
    <cellStyle name="Calculation 11 3 7 2" xfId="1945"/>
    <cellStyle name="Calculation 11 3 7 3" xfId="1946"/>
    <cellStyle name="Calculation 11 3 7 4" xfId="1947"/>
    <cellStyle name="Calculation 11 3 7 5" xfId="1948"/>
    <cellStyle name="Calculation 11 3 7 6" xfId="1949"/>
    <cellStyle name="Calculation 11 3 7 7" xfId="1950"/>
    <cellStyle name="Calculation 11 3 7 8" xfId="1951"/>
    <cellStyle name="Calculation 11 4" xfId="1952"/>
    <cellStyle name="Calculation 11 4 2" xfId="1953"/>
    <cellStyle name="Calculation 11 4 2 2" xfId="1954"/>
    <cellStyle name="Calculation 11 4 2 2 2" xfId="1955"/>
    <cellStyle name="Calculation 11 4 2 2 3" xfId="1956"/>
    <cellStyle name="Calculation 11 4 2 2 4" xfId="1957"/>
    <cellStyle name="Calculation 11 4 2 2 5" xfId="1958"/>
    <cellStyle name="Calculation 11 4 2 2 6" xfId="1959"/>
    <cellStyle name="Calculation 11 4 2 2 7" xfId="1960"/>
    <cellStyle name="Calculation 11 4 2 2 8" xfId="1961"/>
    <cellStyle name="Calculation 11 4 2 3" xfId="1962"/>
    <cellStyle name="Calculation 11 4 2 3 2" xfId="1963"/>
    <cellStyle name="Calculation 11 4 2 3 3" xfId="1964"/>
    <cellStyle name="Calculation 11 4 2 3 4" xfId="1965"/>
    <cellStyle name="Calculation 11 4 2 3 5" xfId="1966"/>
    <cellStyle name="Calculation 11 4 2 3 6" xfId="1967"/>
    <cellStyle name="Calculation 11 4 2 3 7" xfId="1968"/>
    <cellStyle name="Calculation 11 4 2 3 8" xfId="1969"/>
    <cellStyle name="Calculation 11 4 2 4" xfId="1970"/>
    <cellStyle name="Calculation 11 4 2 4 2" xfId="1971"/>
    <cellStyle name="Calculation 11 4 2 4 3" xfId="1972"/>
    <cellStyle name="Calculation 11 4 2 4 4" xfId="1973"/>
    <cellStyle name="Calculation 11 4 2 4 5" xfId="1974"/>
    <cellStyle name="Calculation 11 4 2 4 6" xfId="1975"/>
    <cellStyle name="Calculation 11 4 2 4 7" xfId="1976"/>
    <cellStyle name="Calculation 11 4 2 4 8" xfId="1977"/>
    <cellStyle name="Calculation 11 4 2 5" xfId="1978"/>
    <cellStyle name="Calculation 11 4 3" xfId="1979"/>
    <cellStyle name="Calculation 11 4 3 2" xfId="1980"/>
    <cellStyle name="Calculation 11 4 3 3" xfId="1981"/>
    <cellStyle name="Calculation 11 4 3 4" xfId="1982"/>
    <cellStyle name="Calculation 11 4 3 5" xfId="1983"/>
    <cellStyle name="Calculation 11 4 3 6" xfId="1984"/>
    <cellStyle name="Calculation 11 4 3 7" xfId="1985"/>
    <cellStyle name="Calculation 11 4 3 8" xfId="1986"/>
    <cellStyle name="Calculation 11 4 4" xfId="1987"/>
    <cellStyle name="Calculation 11 4 4 2" xfId="1988"/>
    <cellStyle name="Calculation 11 4 4 3" xfId="1989"/>
    <cellStyle name="Calculation 11 4 4 4" xfId="1990"/>
    <cellStyle name="Calculation 11 4 4 5" xfId="1991"/>
    <cellStyle name="Calculation 11 4 4 6" xfId="1992"/>
    <cellStyle name="Calculation 11 4 4 7" xfId="1993"/>
    <cellStyle name="Calculation 11 4 4 8" xfId="1994"/>
    <cellStyle name="Calculation 11 4 5" xfId="1995"/>
    <cellStyle name="Calculation 11 4 5 2" xfId="1996"/>
    <cellStyle name="Calculation 11 4 5 3" xfId="1997"/>
    <cellStyle name="Calculation 11 4 5 4" xfId="1998"/>
    <cellStyle name="Calculation 11 4 5 5" xfId="1999"/>
    <cellStyle name="Calculation 11 4 5 6" xfId="2000"/>
    <cellStyle name="Calculation 11 4 5 7" xfId="2001"/>
    <cellStyle name="Calculation 11 4 5 8" xfId="2002"/>
    <cellStyle name="Calculation 11 4 6" xfId="2003"/>
    <cellStyle name="Calculation 11 5" xfId="2004"/>
    <cellStyle name="Calculation 11 5 2" xfId="2005"/>
    <cellStyle name="Calculation 11 5 3" xfId="2006"/>
    <cellStyle name="Calculation 11 5 4" xfId="2007"/>
    <cellStyle name="Calculation 11 5 5" xfId="2008"/>
    <cellStyle name="Calculation 11 5 6" xfId="2009"/>
    <cellStyle name="Calculation 11 5 7" xfId="2010"/>
    <cellStyle name="Calculation 11 5 8" xfId="2011"/>
    <cellStyle name="Calculation 11 6" xfId="2012"/>
    <cellStyle name="Calculation 11 6 2" xfId="2013"/>
    <cellStyle name="Calculation 11 6 3" xfId="2014"/>
    <cellStyle name="Calculation 11 6 4" xfId="2015"/>
    <cellStyle name="Calculation 11 6 5" xfId="2016"/>
    <cellStyle name="Calculation 11 6 6" xfId="2017"/>
    <cellStyle name="Calculation 11 6 7" xfId="2018"/>
    <cellStyle name="Calculation 11 6 8" xfId="2019"/>
    <cellStyle name="Calculation 11 7" xfId="2020"/>
    <cellStyle name="Calculation 11 7 2" xfId="2021"/>
    <cellStyle name="Calculation 11 7 3" xfId="2022"/>
    <cellStyle name="Calculation 11 7 4" xfId="2023"/>
    <cellStyle name="Calculation 11 7 5" xfId="2024"/>
    <cellStyle name="Calculation 11 7 6" xfId="2025"/>
    <cellStyle name="Calculation 11 7 7" xfId="2026"/>
    <cellStyle name="Calculation 11 7 8" xfId="2027"/>
    <cellStyle name="Calculation 12" xfId="2028"/>
    <cellStyle name="Calculation 12 2" xfId="2029"/>
    <cellStyle name="Calculation 12 2 2" xfId="2030"/>
    <cellStyle name="Calculation 12 2 2 2" xfId="2031"/>
    <cellStyle name="Calculation 12 2 2 2 2" xfId="2032"/>
    <cellStyle name="Calculation 12 2 2 2 2 2" xfId="2033"/>
    <cellStyle name="Calculation 12 2 2 2 2 3" xfId="2034"/>
    <cellStyle name="Calculation 12 2 2 2 2 4" xfId="2035"/>
    <cellStyle name="Calculation 12 2 2 2 2 5" xfId="2036"/>
    <cellStyle name="Calculation 12 2 2 2 2 6" xfId="2037"/>
    <cellStyle name="Calculation 12 2 2 2 2 7" xfId="2038"/>
    <cellStyle name="Calculation 12 2 2 2 2 8" xfId="2039"/>
    <cellStyle name="Calculation 12 2 2 2 3" xfId="2040"/>
    <cellStyle name="Calculation 12 2 2 2 3 2" xfId="2041"/>
    <cellStyle name="Calculation 12 2 2 2 3 3" xfId="2042"/>
    <cellStyle name="Calculation 12 2 2 2 3 4" xfId="2043"/>
    <cellStyle name="Calculation 12 2 2 2 3 5" xfId="2044"/>
    <cellStyle name="Calculation 12 2 2 2 3 6" xfId="2045"/>
    <cellStyle name="Calculation 12 2 2 2 3 7" xfId="2046"/>
    <cellStyle name="Calculation 12 2 2 2 3 8" xfId="2047"/>
    <cellStyle name="Calculation 12 2 2 2 4" xfId="2048"/>
    <cellStyle name="Calculation 12 2 2 2 4 2" xfId="2049"/>
    <cellStyle name="Calculation 12 2 2 2 4 3" xfId="2050"/>
    <cellStyle name="Calculation 12 2 2 2 4 4" xfId="2051"/>
    <cellStyle name="Calculation 12 2 2 2 4 5" xfId="2052"/>
    <cellStyle name="Calculation 12 2 2 2 4 6" xfId="2053"/>
    <cellStyle name="Calculation 12 2 2 2 4 7" xfId="2054"/>
    <cellStyle name="Calculation 12 2 2 2 4 8" xfId="2055"/>
    <cellStyle name="Calculation 12 2 2 2 5" xfId="2056"/>
    <cellStyle name="Calculation 12 2 2 3" xfId="2057"/>
    <cellStyle name="Calculation 12 2 2 3 2" xfId="2058"/>
    <cellStyle name="Calculation 12 2 2 3 2 2" xfId="2059"/>
    <cellStyle name="Calculation 12 2 2 3 2 3" xfId="2060"/>
    <cellStyle name="Calculation 12 2 2 3 2 4" xfId="2061"/>
    <cellStyle name="Calculation 12 2 2 3 2 5" xfId="2062"/>
    <cellStyle name="Calculation 12 2 2 3 2 6" xfId="2063"/>
    <cellStyle name="Calculation 12 2 2 3 2 7" xfId="2064"/>
    <cellStyle name="Calculation 12 2 2 3 2 8" xfId="2065"/>
    <cellStyle name="Calculation 12 2 2 3 3" xfId="2066"/>
    <cellStyle name="Calculation 12 2 2 3 3 2" xfId="2067"/>
    <cellStyle name="Calculation 12 2 2 3 3 3" xfId="2068"/>
    <cellStyle name="Calculation 12 2 2 3 3 4" xfId="2069"/>
    <cellStyle name="Calculation 12 2 2 3 3 5" xfId="2070"/>
    <cellStyle name="Calculation 12 2 2 3 3 6" xfId="2071"/>
    <cellStyle name="Calculation 12 2 2 3 3 7" xfId="2072"/>
    <cellStyle name="Calculation 12 2 2 3 3 8" xfId="2073"/>
    <cellStyle name="Calculation 12 2 2 3 4" xfId="2074"/>
    <cellStyle name="Calculation 12 2 2 3 4 2" xfId="2075"/>
    <cellStyle name="Calculation 12 2 2 3 4 3" xfId="2076"/>
    <cellStyle name="Calculation 12 2 2 3 4 4" xfId="2077"/>
    <cellStyle name="Calculation 12 2 2 3 4 5" xfId="2078"/>
    <cellStyle name="Calculation 12 2 2 3 4 6" xfId="2079"/>
    <cellStyle name="Calculation 12 2 2 3 4 7" xfId="2080"/>
    <cellStyle name="Calculation 12 2 2 3 4 8" xfId="2081"/>
    <cellStyle name="Calculation 12 2 2 3 5" xfId="2082"/>
    <cellStyle name="Calculation 12 2 2 4" xfId="2083"/>
    <cellStyle name="Calculation 12 2 2 4 2" xfId="2084"/>
    <cellStyle name="Calculation 12 2 2 4 2 2" xfId="2085"/>
    <cellStyle name="Calculation 12 2 2 4 2 3" xfId="2086"/>
    <cellStyle name="Calculation 12 2 2 4 2 4" xfId="2087"/>
    <cellStyle name="Calculation 12 2 2 4 2 5" xfId="2088"/>
    <cellStyle name="Calculation 12 2 2 4 2 6" xfId="2089"/>
    <cellStyle name="Calculation 12 2 2 4 2 7" xfId="2090"/>
    <cellStyle name="Calculation 12 2 2 4 2 8" xfId="2091"/>
    <cellStyle name="Calculation 12 2 2 4 3" xfId="2092"/>
    <cellStyle name="Calculation 12 2 2 4 3 2" xfId="2093"/>
    <cellStyle name="Calculation 12 2 2 4 3 3" xfId="2094"/>
    <cellStyle name="Calculation 12 2 2 4 3 4" xfId="2095"/>
    <cellStyle name="Calculation 12 2 2 4 3 5" xfId="2096"/>
    <cellStyle name="Calculation 12 2 2 4 3 6" xfId="2097"/>
    <cellStyle name="Calculation 12 2 2 4 3 7" xfId="2098"/>
    <cellStyle name="Calculation 12 2 2 4 3 8" xfId="2099"/>
    <cellStyle name="Calculation 12 2 2 4 4" xfId="2100"/>
    <cellStyle name="Calculation 12 2 2 4 4 2" xfId="2101"/>
    <cellStyle name="Calculation 12 2 2 4 4 3" xfId="2102"/>
    <cellStyle name="Calculation 12 2 2 4 4 4" xfId="2103"/>
    <cellStyle name="Calculation 12 2 2 4 4 5" xfId="2104"/>
    <cellStyle name="Calculation 12 2 2 4 4 6" xfId="2105"/>
    <cellStyle name="Calculation 12 2 2 4 4 7" xfId="2106"/>
    <cellStyle name="Calculation 12 2 2 4 4 8" xfId="2107"/>
    <cellStyle name="Calculation 12 2 2 5" xfId="2108"/>
    <cellStyle name="Calculation 12 2 2 5 2" xfId="2109"/>
    <cellStyle name="Calculation 12 2 2 5 3" xfId="2110"/>
    <cellStyle name="Calculation 12 2 2 5 4" xfId="2111"/>
    <cellStyle name="Calculation 12 2 2 5 5" xfId="2112"/>
    <cellStyle name="Calculation 12 2 2 5 6" xfId="2113"/>
    <cellStyle name="Calculation 12 2 2 5 7" xfId="2114"/>
    <cellStyle name="Calculation 12 2 2 5 8" xfId="2115"/>
    <cellStyle name="Calculation 12 2 2 6" xfId="2116"/>
    <cellStyle name="Calculation 12 2 2 6 2" xfId="2117"/>
    <cellStyle name="Calculation 12 2 2 6 3" xfId="2118"/>
    <cellStyle name="Calculation 12 2 2 6 4" xfId="2119"/>
    <cellStyle name="Calculation 12 2 2 6 5" xfId="2120"/>
    <cellStyle name="Calculation 12 2 2 6 6" xfId="2121"/>
    <cellStyle name="Calculation 12 2 2 6 7" xfId="2122"/>
    <cellStyle name="Calculation 12 2 2 6 8" xfId="2123"/>
    <cellStyle name="Calculation 12 2 2 7" xfId="2124"/>
    <cellStyle name="Calculation 12 2 2 7 2" xfId="2125"/>
    <cellStyle name="Calculation 12 2 2 7 3" xfId="2126"/>
    <cellStyle name="Calculation 12 2 2 7 4" xfId="2127"/>
    <cellStyle name="Calculation 12 2 2 7 5" xfId="2128"/>
    <cellStyle name="Calculation 12 2 2 7 6" xfId="2129"/>
    <cellStyle name="Calculation 12 2 2 7 7" xfId="2130"/>
    <cellStyle name="Calculation 12 2 2 7 8" xfId="2131"/>
    <cellStyle name="Calculation 12 2 3" xfId="2132"/>
    <cellStyle name="Calculation 12 2 3 2" xfId="2133"/>
    <cellStyle name="Calculation 12 2 3 2 2" xfId="2134"/>
    <cellStyle name="Calculation 12 2 3 2 2 2" xfId="2135"/>
    <cellStyle name="Calculation 12 2 3 2 2 3" xfId="2136"/>
    <cellStyle name="Calculation 12 2 3 2 2 4" xfId="2137"/>
    <cellStyle name="Calculation 12 2 3 2 2 5" xfId="2138"/>
    <cellStyle name="Calculation 12 2 3 2 2 6" xfId="2139"/>
    <cellStyle name="Calculation 12 2 3 2 2 7" xfId="2140"/>
    <cellStyle name="Calculation 12 2 3 2 2 8" xfId="2141"/>
    <cellStyle name="Calculation 12 2 3 2 3" xfId="2142"/>
    <cellStyle name="Calculation 12 2 3 2 3 2" xfId="2143"/>
    <cellStyle name="Calculation 12 2 3 2 3 3" xfId="2144"/>
    <cellStyle name="Calculation 12 2 3 2 3 4" xfId="2145"/>
    <cellStyle name="Calculation 12 2 3 2 3 5" xfId="2146"/>
    <cellStyle name="Calculation 12 2 3 2 3 6" xfId="2147"/>
    <cellStyle name="Calculation 12 2 3 2 3 7" xfId="2148"/>
    <cellStyle name="Calculation 12 2 3 2 3 8" xfId="2149"/>
    <cellStyle name="Calculation 12 2 3 2 4" xfId="2150"/>
    <cellStyle name="Calculation 12 2 3 2 4 2" xfId="2151"/>
    <cellStyle name="Calculation 12 2 3 2 4 3" xfId="2152"/>
    <cellStyle name="Calculation 12 2 3 2 4 4" xfId="2153"/>
    <cellStyle name="Calculation 12 2 3 2 4 5" xfId="2154"/>
    <cellStyle name="Calculation 12 2 3 2 4 6" xfId="2155"/>
    <cellStyle name="Calculation 12 2 3 2 4 7" xfId="2156"/>
    <cellStyle name="Calculation 12 2 3 2 4 8" xfId="2157"/>
    <cellStyle name="Calculation 12 2 3 2 5" xfId="2158"/>
    <cellStyle name="Calculation 12 2 3 3" xfId="2159"/>
    <cellStyle name="Calculation 12 2 3 3 2" xfId="2160"/>
    <cellStyle name="Calculation 12 2 3 3 3" xfId="2161"/>
    <cellStyle name="Calculation 12 2 3 3 4" xfId="2162"/>
    <cellStyle name="Calculation 12 2 3 3 5" xfId="2163"/>
    <cellStyle name="Calculation 12 2 3 3 6" xfId="2164"/>
    <cellStyle name="Calculation 12 2 3 3 7" xfId="2165"/>
    <cellStyle name="Calculation 12 2 3 3 8" xfId="2166"/>
    <cellStyle name="Calculation 12 2 3 4" xfId="2167"/>
    <cellStyle name="Calculation 12 2 3 4 2" xfId="2168"/>
    <cellStyle name="Calculation 12 2 3 4 3" xfId="2169"/>
    <cellStyle name="Calculation 12 2 3 4 4" xfId="2170"/>
    <cellStyle name="Calculation 12 2 3 4 5" xfId="2171"/>
    <cellStyle name="Calculation 12 2 3 4 6" xfId="2172"/>
    <cellStyle name="Calculation 12 2 3 4 7" xfId="2173"/>
    <cellStyle name="Calculation 12 2 3 4 8" xfId="2174"/>
    <cellStyle name="Calculation 12 2 3 5" xfId="2175"/>
    <cellStyle name="Calculation 12 2 3 5 2" xfId="2176"/>
    <cellStyle name="Calculation 12 2 3 5 3" xfId="2177"/>
    <cellStyle name="Calculation 12 2 3 5 4" xfId="2178"/>
    <cellStyle name="Calculation 12 2 3 5 5" xfId="2179"/>
    <cellStyle name="Calculation 12 2 3 5 6" xfId="2180"/>
    <cellStyle name="Calculation 12 2 3 5 7" xfId="2181"/>
    <cellStyle name="Calculation 12 2 3 5 8" xfId="2182"/>
    <cellStyle name="Calculation 12 2 3 6" xfId="2183"/>
    <cellStyle name="Calculation 12 2 4" xfId="2184"/>
    <cellStyle name="Calculation 12 2 4 2" xfId="2185"/>
    <cellStyle name="Calculation 12 2 4 3" xfId="2186"/>
    <cellStyle name="Calculation 12 2 4 4" xfId="2187"/>
    <cellStyle name="Calculation 12 2 4 5" xfId="2188"/>
    <cellStyle name="Calculation 12 2 4 6" xfId="2189"/>
    <cellStyle name="Calculation 12 2 4 7" xfId="2190"/>
    <cellStyle name="Calculation 12 2 4 8" xfId="2191"/>
    <cellStyle name="Calculation 12 2 5" xfId="2192"/>
    <cellStyle name="Calculation 12 2 5 2" xfId="2193"/>
    <cellStyle name="Calculation 12 2 5 3" xfId="2194"/>
    <cellStyle name="Calculation 12 2 5 4" xfId="2195"/>
    <cellStyle name="Calculation 12 2 5 5" xfId="2196"/>
    <cellStyle name="Calculation 12 2 5 6" xfId="2197"/>
    <cellStyle name="Calculation 12 2 5 7" xfId="2198"/>
    <cellStyle name="Calculation 12 2 5 8" xfId="2199"/>
    <cellStyle name="Calculation 12 2 6" xfId="2200"/>
    <cellStyle name="Calculation 12 2 6 2" xfId="2201"/>
    <cellStyle name="Calculation 12 2 6 3" xfId="2202"/>
    <cellStyle name="Calculation 12 2 6 4" xfId="2203"/>
    <cellStyle name="Calculation 12 2 6 5" xfId="2204"/>
    <cellStyle name="Calculation 12 2 6 6" xfId="2205"/>
    <cellStyle name="Calculation 12 2 6 7" xfId="2206"/>
    <cellStyle name="Calculation 12 2 6 8" xfId="2207"/>
    <cellStyle name="Calculation 12 3" xfId="2208"/>
    <cellStyle name="Calculation 12 3 2" xfId="2209"/>
    <cellStyle name="Calculation 12 3 2 2" xfId="2210"/>
    <cellStyle name="Calculation 12 3 2 2 2" xfId="2211"/>
    <cellStyle name="Calculation 12 3 2 2 3" xfId="2212"/>
    <cellStyle name="Calculation 12 3 2 2 4" xfId="2213"/>
    <cellStyle name="Calculation 12 3 2 2 5" xfId="2214"/>
    <cellStyle name="Calculation 12 3 2 2 6" xfId="2215"/>
    <cellStyle name="Calculation 12 3 2 2 7" xfId="2216"/>
    <cellStyle name="Calculation 12 3 2 2 8" xfId="2217"/>
    <cellStyle name="Calculation 12 3 2 3" xfId="2218"/>
    <cellStyle name="Calculation 12 3 2 3 2" xfId="2219"/>
    <cellStyle name="Calculation 12 3 2 3 3" xfId="2220"/>
    <cellStyle name="Calculation 12 3 2 3 4" xfId="2221"/>
    <cellStyle name="Calculation 12 3 2 3 5" xfId="2222"/>
    <cellStyle name="Calculation 12 3 2 3 6" xfId="2223"/>
    <cellStyle name="Calculation 12 3 2 3 7" xfId="2224"/>
    <cellStyle name="Calculation 12 3 2 3 8" xfId="2225"/>
    <cellStyle name="Calculation 12 3 2 4" xfId="2226"/>
    <cellStyle name="Calculation 12 3 2 4 2" xfId="2227"/>
    <cellStyle name="Calculation 12 3 2 4 3" xfId="2228"/>
    <cellStyle name="Calculation 12 3 2 4 4" xfId="2229"/>
    <cellStyle name="Calculation 12 3 2 4 5" xfId="2230"/>
    <cellStyle name="Calculation 12 3 2 4 6" xfId="2231"/>
    <cellStyle name="Calculation 12 3 2 4 7" xfId="2232"/>
    <cellStyle name="Calculation 12 3 2 4 8" xfId="2233"/>
    <cellStyle name="Calculation 12 3 2 5" xfId="2234"/>
    <cellStyle name="Calculation 12 3 3" xfId="2235"/>
    <cellStyle name="Calculation 12 3 3 2" xfId="2236"/>
    <cellStyle name="Calculation 12 3 3 2 2" xfId="2237"/>
    <cellStyle name="Calculation 12 3 3 2 3" xfId="2238"/>
    <cellStyle name="Calculation 12 3 3 2 4" xfId="2239"/>
    <cellStyle name="Calculation 12 3 3 2 5" xfId="2240"/>
    <cellStyle name="Calculation 12 3 3 2 6" xfId="2241"/>
    <cellStyle name="Calculation 12 3 3 2 7" xfId="2242"/>
    <cellStyle name="Calculation 12 3 3 2 8" xfId="2243"/>
    <cellStyle name="Calculation 12 3 3 3" xfId="2244"/>
    <cellStyle name="Calculation 12 3 3 3 2" xfId="2245"/>
    <cellStyle name="Calculation 12 3 3 3 3" xfId="2246"/>
    <cellStyle name="Calculation 12 3 3 3 4" xfId="2247"/>
    <cellStyle name="Calculation 12 3 3 3 5" xfId="2248"/>
    <cellStyle name="Calculation 12 3 3 3 6" xfId="2249"/>
    <cellStyle name="Calculation 12 3 3 3 7" xfId="2250"/>
    <cellStyle name="Calculation 12 3 3 3 8" xfId="2251"/>
    <cellStyle name="Calculation 12 3 3 4" xfId="2252"/>
    <cellStyle name="Calculation 12 3 3 4 2" xfId="2253"/>
    <cellStyle name="Calculation 12 3 3 4 3" xfId="2254"/>
    <cellStyle name="Calculation 12 3 3 4 4" xfId="2255"/>
    <cellStyle name="Calculation 12 3 3 4 5" xfId="2256"/>
    <cellStyle name="Calculation 12 3 3 4 6" xfId="2257"/>
    <cellStyle name="Calculation 12 3 3 4 7" xfId="2258"/>
    <cellStyle name="Calculation 12 3 3 4 8" xfId="2259"/>
    <cellStyle name="Calculation 12 3 3 5" xfId="2260"/>
    <cellStyle name="Calculation 12 3 4" xfId="2261"/>
    <cellStyle name="Calculation 12 3 4 2" xfId="2262"/>
    <cellStyle name="Calculation 12 3 4 2 2" xfId="2263"/>
    <cellStyle name="Calculation 12 3 4 2 3" xfId="2264"/>
    <cellStyle name="Calculation 12 3 4 2 4" xfId="2265"/>
    <cellStyle name="Calculation 12 3 4 2 5" xfId="2266"/>
    <cellStyle name="Calculation 12 3 4 2 6" xfId="2267"/>
    <cellStyle name="Calculation 12 3 4 2 7" xfId="2268"/>
    <cellStyle name="Calculation 12 3 4 2 8" xfId="2269"/>
    <cellStyle name="Calculation 12 3 4 3" xfId="2270"/>
    <cellStyle name="Calculation 12 3 4 3 2" xfId="2271"/>
    <cellStyle name="Calculation 12 3 4 3 3" xfId="2272"/>
    <cellStyle name="Calculation 12 3 4 3 4" xfId="2273"/>
    <cellStyle name="Calculation 12 3 4 3 5" xfId="2274"/>
    <cellStyle name="Calculation 12 3 4 3 6" xfId="2275"/>
    <cellStyle name="Calculation 12 3 4 3 7" xfId="2276"/>
    <cellStyle name="Calculation 12 3 4 3 8" xfId="2277"/>
    <cellStyle name="Calculation 12 3 4 4" xfId="2278"/>
    <cellStyle name="Calculation 12 3 4 4 2" xfId="2279"/>
    <cellStyle name="Calculation 12 3 4 4 3" xfId="2280"/>
    <cellStyle name="Calculation 12 3 4 4 4" xfId="2281"/>
    <cellStyle name="Calculation 12 3 4 4 5" xfId="2282"/>
    <cellStyle name="Calculation 12 3 4 4 6" xfId="2283"/>
    <cellStyle name="Calculation 12 3 4 4 7" xfId="2284"/>
    <cellStyle name="Calculation 12 3 4 4 8" xfId="2285"/>
    <cellStyle name="Calculation 12 3 5" xfId="2286"/>
    <cellStyle name="Calculation 12 3 5 2" xfId="2287"/>
    <cellStyle name="Calculation 12 3 5 3" xfId="2288"/>
    <cellStyle name="Calculation 12 3 5 4" xfId="2289"/>
    <cellStyle name="Calculation 12 3 5 5" xfId="2290"/>
    <cellStyle name="Calculation 12 3 5 6" xfId="2291"/>
    <cellStyle name="Calculation 12 3 5 7" xfId="2292"/>
    <cellStyle name="Calculation 12 3 5 8" xfId="2293"/>
    <cellStyle name="Calculation 12 3 6" xfId="2294"/>
    <cellStyle name="Calculation 12 3 6 2" xfId="2295"/>
    <cellStyle name="Calculation 12 3 6 3" xfId="2296"/>
    <cellStyle name="Calculation 12 3 6 4" xfId="2297"/>
    <cellStyle name="Calculation 12 3 6 5" xfId="2298"/>
    <cellStyle name="Calculation 12 3 6 6" xfId="2299"/>
    <cellStyle name="Calculation 12 3 6 7" xfId="2300"/>
    <cellStyle name="Calculation 12 3 6 8" xfId="2301"/>
    <cellStyle name="Calculation 12 3 7" xfId="2302"/>
    <cellStyle name="Calculation 12 3 7 2" xfId="2303"/>
    <cellStyle name="Calculation 12 3 7 3" xfId="2304"/>
    <cellStyle name="Calculation 12 3 7 4" xfId="2305"/>
    <cellStyle name="Calculation 12 3 7 5" xfId="2306"/>
    <cellStyle name="Calculation 12 3 7 6" xfId="2307"/>
    <cellStyle name="Calculation 12 3 7 7" xfId="2308"/>
    <cellStyle name="Calculation 12 3 7 8" xfId="2309"/>
    <cellStyle name="Calculation 12 4" xfId="2310"/>
    <cellStyle name="Calculation 12 4 2" xfId="2311"/>
    <cellStyle name="Calculation 12 4 2 2" xfId="2312"/>
    <cellStyle name="Calculation 12 4 2 2 2" xfId="2313"/>
    <cellStyle name="Calculation 12 4 2 2 3" xfId="2314"/>
    <cellStyle name="Calculation 12 4 2 2 4" xfId="2315"/>
    <cellStyle name="Calculation 12 4 2 2 5" xfId="2316"/>
    <cellStyle name="Calculation 12 4 2 2 6" xfId="2317"/>
    <cellStyle name="Calculation 12 4 2 2 7" xfId="2318"/>
    <cellStyle name="Calculation 12 4 2 2 8" xfId="2319"/>
    <cellStyle name="Calculation 12 4 2 3" xfId="2320"/>
    <cellStyle name="Calculation 12 4 2 3 2" xfId="2321"/>
    <cellStyle name="Calculation 12 4 2 3 3" xfId="2322"/>
    <cellStyle name="Calculation 12 4 2 3 4" xfId="2323"/>
    <cellStyle name="Calculation 12 4 2 3 5" xfId="2324"/>
    <cellStyle name="Calculation 12 4 2 3 6" xfId="2325"/>
    <cellStyle name="Calculation 12 4 2 3 7" xfId="2326"/>
    <cellStyle name="Calculation 12 4 2 3 8" xfId="2327"/>
    <cellStyle name="Calculation 12 4 2 4" xfId="2328"/>
    <cellStyle name="Calculation 12 4 2 4 2" xfId="2329"/>
    <cellStyle name="Calculation 12 4 2 4 3" xfId="2330"/>
    <cellStyle name="Calculation 12 4 2 4 4" xfId="2331"/>
    <cellStyle name="Calculation 12 4 2 4 5" xfId="2332"/>
    <cellStyle name="Calculation 12 4 2 4 6" xfId="2333"/>
    <cellStyle name="Calculation 12 4 2 4 7" xfId="2334"/>
    <cellStyle name="Calculation 12 4 2 4 8" xfId="2335"/>
    <cellStyle name="Calculation 12 4 2 5" xfId="2336"/>
    <cellStyle name="Calculation 12 4 3" xfId="2337"/>
    <cellStyle name="Calculation 12 4 3 2" xfId="2338"/>
    <cellStyle name="Calculation 12 4 3 3" xfId="2339"/>
    <cellStyle name="Calculation 12 4 3 4" xfId="2340"/>
    <cellStyle name="Calculation 12 4 3 5" xfId="2341"/>
    <cellStyle name="Calculation 12 4 3 6" xfId="2342"/>
    <cellStyle name="Calculation 12 4 3 7" xfId="2343"/>
    <cellStyle name="Calculation 12 4 3 8" xfId="2344"/>
    <cellStyle name="Calculation 12 4 4" xfId="2345"/>
    <cellStyle name="Calculation 12 4 4 2" xfId="2346"/>
    <cellStyle name="Calculation 12 4 4 3" xfId="2347"/>
    <cellStyle name="Calculation 12 4 4 4" xfId="2348"/>
    <cellStyle name="Calculation 12 4 4 5" xfId="2349"/>
    <cellStyle name="Calculation 12 4 4 6" xfId="2350"/>
    <cellStyle name="Calculation 12 4 4 7" xfId="2351"/>
    <cellStyle name="Calculation 12 4 4 8" xfId="2352"/>
    <cellStyle name="Calculation 12 4 5" xfId="2353"/>
    <cellStyle name="Calculation 12 4 5 2" xfId="2354"/>
    <cellStyle name="Calculation 12 4 5 3" xfId="2355"/>
    <cellStyle name="Calculation 12 4 5 4" xfId="2356"/>
    <cellStyle name="Calculation 12 4 5 5" xfId="2357"/>
    <cellStyle name="Calculation 12 4 5 6" xfId="2358"/>
    <cellStyle name="Calculation 12 4 5 7" xfId="2359"/>
    <cellStyle name="Calculation 12 4 5 8" xfId="2360"/>
    <cellStyle name="Calculation 12 4 6" xfId="2361"/>
    <cellStyle name="Calculation 12 5" xfId="2362"/>
    <cellStyle name="Calculation 12 5 2" xfId="2363"/>
    <cellStyle name="Calculation 12 5 3" xfId="2364"/>
    <cellStyle name="Calculation 12 5 4" xfId="2365"/>
    <cellStyle name="Calculation 12 5 5" xfId="2366"/>
    <cellStyle name="Calculation 12 5 6" xfId="2367"/>
    <cellStyle name="Calculation 12 5 7" xfId="2368"/>
    <cellStyle name="Calculation 12 5 8" xfId="2369"/>
    <cellStyle name="Calculation 12 6" xfId="2370"/>
    <cellStyle name="Calculation 12 6 2" xfId="2371"/>
    <cellStyle name="Calculation 12 6 3" xfId="2372"/>
    <cellStyle name="Calculation 12 6 4" xfId="2373"/>
    <cellStyle name="Calculation 12 6 5" xfId="2374"/>
    <cellStyle name="Calculation 12 6 6" xfId="2375"/>
    <cellStyle name="Calculation 12 6 7" xfId="2376"/>
    <cellStyle name="Calculation 12 6 8" xfId="2377"/>
    <cellStyle name="Calculation 12 7" xfId="2378"/>
    <cellStyle name="Calculation 12 7 2" xfId="2379"/>
    <cellStyle name="Calculation 12 7 3" xfId="2380"/>
    <cellStyle name="Calculation 12 7 4" xfId="2381"/>
    <cellStyle name="Calculation 12 7 5" xfId="2382"/>
    <cellStyle name="Calculation 12 7 6" xfId="2383"/>
    <cellStyle name="Calculation 12 7 7" xfId="2384"/>
    <cellStyle name="Calculation 12 7 8" xfId="2385"/>
    <cellStyle name="Calculation 13" xfId="2386"/>
    <cellStyle name="Calculation 13 2" xfId="2387"/>
    <cellStyle name="Calculation 13 2 2" xfId="2388"/>
    <cellStyle name="Calculation 13 2 2 2" xfId="2389"/>
    <cellStyle name="Calculation 13 2 2 2 2" xfId="2390"/>
    <cellStyle name="Calculation 13 2 2 2 2 2" xfId="2391"/>
    <cellStyle name="Calculation 13 2 2 2 2 3" xfId="2392"/>
    <cellStyle name="Calculation 13 2 2 2 2 4" xfId="2393"/>
    <cellStyle name="Calculation 13 2 2 2 2 5" xfId="2394"/>
    <cellStyle name="Calculation 13 2 2 2 2 6" xfId="2395"/>
    <cellStyle name="Calculation 13 2 2 2 2 7" xfId="2396"/>
    <cellStyle name="Calculation 13 2 2 2 2 8" xfId="2397"/>
    <cellStyle name="Calculation 13 2 2 2 3" xfId="2398"/>
    <cellStyle name="Calculation 13 2 2 2 3 2" xfId="2399"/>
    <cellStyle name="Calculation 13 2 2 2 3 3" xfId="2400"/>
    <cellStyle name="Calculation 13 2 2 2 3 4" xfId="2401"/>
    <cellStyle name="Calculation 13 2 2 2 3 5" xfId="2402"/>
    <cellStyle name="Calculation 13 2 2 2 3 6" xfId="2403"/>
    <cellStyle name="Calculation 13 2 2 2 3 7" xfId="2404"/>
    <cellStyle name="Calculation 13 2 2 2 3 8" xfId="2405"/>
    <cellStyle name="Calculation 13 2 2 2 4" xfId="2406"/>
    <cellStyle name="Calculation 13 2 2 2 4 2" xfId="2407"/>
    <cellStyle name="Calculation 13 2 2 2 4 3" xfId="2408"/>
    <cellStyle name="Calculation 13 2 2 2 4 4" xfId="2409"/>
    <cellStyle name="Calculation 13 2 2 2 4 5" xfId="2410"/>
    <cellStyle name="Calculation 13 2 2 2 4 6" xfId="2411"/>
    <cellStyle name="Calculation 13 2 2 2 4 7" xfId="2412"/>
    <cellStyle name="Calculation 13 2 2 2 4 8" xfId="2413"/>
    <cellStyle name="Calculation 13 2 2 2 5" xfId="2414"/>
    <cellStyle name="Calculation 13 2 2 3" xfId="2415"/>
    <cellStyle name="Calculation 13 2 2 3 2" xfId="2416"/>
    <cellStyle name="Calculation 13 2 2 3 2 2" xfId="2417"/>
    <cellStyle name="Calculation 13 2 2 3 2 3" xfId="2418"/>
    <cellStyle name="Calculation 13 2 2 3 2 4" xfId="2419"/>
    <cellStyle name="Calculation 13 2 2 3 2 5" xfId="2420"/>
    <cellStyle name="Calculation 13 2 2 3 2 6" xfId="2421"/>
    <cellStyle name="Calculation 13 2 2 3 2 7" xfId="2422"/>
    <cellStyle name="Calculation 13 2 2 3 2 8" xfId="2423"/>
    <cellStyle name="Calculation 13 2 2 3 3" xfId="2424"/>
    <cellStyle name="Calculation 13 2 2 3 3 2" xfId="2425"/>
    <cellStyle name="Calculation 13 2 2 3 3 3" xfId="2426"/>
    <cellStyle name="Calculation 13 2 2 3 3 4" xfId="2427"/>
    <cellStyle name="Calculation 13 2 2 3 3 5" xfId="2428"/>
    <cellStyle name="Calculation 13 2 2 3 3 6" xfId="2429"/>
    <cellStyle name="Calculation 13 2 2 3 3 7" xfId="2430"/>
    <cellStyle name="Calculation 13 2 2 3 3 8" xfId="2431"/>
    <cellStyle name="Calculation 13 2 2 3 4" xfId="2432"/>
    <cellStyle name="Calculation 13 2 2 3 4 2" xfId="2433"/>
    <cellStyle name="Calculation 13 2 2 3 4 3" xfId="2434"/>
    <cellStyle name="Calculation 13 2 2 3 4 4" xfId="2435"/>
    <cellStyle name="Calculation 13 2 2 3 4 5" xfId="2436"/>
    <cellStyle name="Calculation 13 2 2 3 4 6" xfId="2437"/>
    <cellStyle name="Calculation 13 2 2 3 4 7" xfId="2438"/>
    <cellStyle name="Calculation 13 2 2 3 4 8" xfId="2439"/>
    <cellStyle name="Calculation 13 2 2 3 5" xfId="2440"/>
    <cellStyle name="Calculation 13 2 2 4" xfId="2441"/>
    <cellStyle name="Calculation 13 2 2 4 2" xfId="2442"/>
    <cellStyle name="Calculation 13 2 2 4 2 2" xfId="2443"/>
    <cellStyle name="Calculation 13 2 2 4 2 3" xfId="2444"/>
    <cellStyle name="Calculation 13 2 2 4 2 4" xfId="2445"/>
    <cellStyle name="Calculation 13 2 2 4 2 5" xfId="2446"/>
    <cellStyle name="Calculation 13 2 2 4 2 6" xfId="2447"/>
    <cellStyle name="Calculation 13 2 2 4 2 7" xfId="2448"/>
    <cellStyle name="Calculation 13 2 2 4 2 8" xfId="2449"/>
    <cellStyle name="Calculation 13 2 2 4 3" xfId="2450"/>
    <cellStyle name="Calculation 13 2 2 4 3 2" xfId="2451"/>
    <cellStyle name="Calculation 13 2 2 4 3 3" xfId="2452"/>
    <cellStyle name="Calculation 13 2 2 4 3 4" xfId="2453"/>
    <cellStyle name="Calculation 13 2 2 4 3 5" xfId="2454"/>
    <cellStyle name="Calculation 13 2 2 4 3 6" xfId="2455"/>
    <cellStyle name="Calculation 13 2 2 4 3 7" xfId="2456"/>
    <cellStyle name="Calculation 13 2 2 4 3 8" xfId="2457"/>
    <cellStyle name="Calculation 13 2 2 4 4" xfId="2458"/>
    <cellStyle name="Calculation 13 2 2 4 4 2" xfId="2459"/>
    <cellStyle name="Calculation 13 2 2 4 4 3" xfId="2460"/>
    <cellStyle name="Calculation 13 2 2 4 4 4" xfId="2461"/>
    <cellStyle name="Calculation 13 2 2 4 4 5" xfId="2462"/>
    <cellStyle name="Calculation 13 2 2 4 4 6" xfId="2463"/>
    <cellStyle name="Calculation 13 2 2 4 4 7" xfId="2464"/>
    <cellStyle name="Calculation 13 2 2 4 4 8" xfId="2465"/>
    <cellStyle name="Calculation 13 2 2 5" xfId="2466"/>
    <cellStyle name="Calculation 13 2 2 5 2" xfId="2467"/>
    <cellStyle name="Calculation 13 2 2 5 3" xfId="2468"/>
    <cellStyle name="Calculation 13 2 2 5 4" xfId="2469"/>
    <cellStyle name="Calculation 13 2 2 5 5" xfId="2470"/>
    <cellStyle name="Calculation 13 2 2 5 6" xfId="2471"/>
    <cellStyle name="Calculation 13 2 2 5 7" xfId="2472"/>
    <cellStyle name="Calculation 13 2 2 5 8" xfId="2473"/>
    <cellStyle name="Calculation 13 2 2 6" xfId="2474"/>
    <cellStyle name="Calculation 13 2 2 6 2" xfId="2475"/>
    <cellStyle name="Calculation 13 2 2 6 3" xfId="2476"/>
    <cellStyle name="Calculation 13 2 2 6 4" xfId="2477"/>
    <cellStyle name="Calculation 13 2 2 6 5" xfId="2478"/>
    <cellStyle name="Calculation 13 2 2 6 6" xfId="2479"/>
    <cellStyle name="Calculation 13 2 2 6 7" xfId="2480"/>
    <cellStyle name="Calculation 13 2 2 6 8" xfId="2481"/>
    <cellStyle name="Calculation 13 2 2 7" xfId="2482"/>
    <cellStyle name="Calculation 13 2 2 7 2" xfId="2483"/>
    <cellStyle name="Calculation 13 2 2 7 3" xfId="2484"/>
    <cellStyle name="Calculation 13 2 2 7 4" xfId="2485"/>
    <cellStyle name="Calculation 13 2 2 7 5" xfId="2486"/>
    <cellStyle name="Calculation 13 2 2 7 6" xfId="2487"/>
    <cellStyle name="Calculation 13 2 2 7 7" xfId="2488"/>
    <cellStyle name="Calculation 13 2 2 7 8" xfId="2489"/>
    <cellStyle name="Calculation 13 2 3" xfId="2490"/>
    <cellStyle name="Calculation 13 2 3 2" xfId="2491"/>
    <cellStyle name="Calculation 13 2 3 2 2" xfId="2492"/>
    <cellStyle name="Calculation 13 2 3 2 2 2" xfId="2493"/>
    <cellStyle name="Calculation 13 2 3 2 2 3" xfId="2494"/>
    <cellStyle name="Calculation 13 2 3 2 2 4" xfId="2495"/>
    <cellStyle name="Calculation 13 2 3 2 2 5" xfId="2496"/>
    <cellStyle name="Calculation 13 2 3 2 2 6" xfId="2497"/>
    <cellStyle name="Calculation 13 2 3 2 2 7" xfId="2498"/>
    <cellStyle name="Calculation 13 2 3 2 2 8" xfId="2499"/>
    <cellStyle name="Calculation 13 2 3 2 3" xfId="2500"/>
    <cellStyle name="Calculation 13 2 3 2 3 2" xfId="2501"/>
    <cellStyle name="Calculation 13 2 3 2 3 3" xfId="2502"/>
    <cellStyle name="Calculation 13 2 3 2 3 4" xfId="2503"/>
    <cellStyle name="Calculation 13 2 3 2 3 5" xfId="2504"/>
    <cellStyle name="Calculation 13 2 3 2 3 6" xfId="2505"/>
    <cellStyle name="Calculation 13 2 3 2 3 7" xfId="2506"/>
    <cellStyle name="Calculation 13 2 3 2 3 8" xfId="2507"/>
    <cellStyle name="Calculation 13 2 3 2 4" xfId="2508"/>
    <cellStyle name="Calculation 13 2 3 2 4 2" xfId="2509"/>
    <cellStyle name="Calculation 13 2 3 2 4 3" xfId="2510"/>
    <cellStyle name="Calculation 13 2 3 2 4 4" xfId="2511"/>
    <cellStyle name="Calculation 13 2 3 2 4 5" xfId="2512"/>
    <cellStyle name="Calculation 13 2 3 2 4 6" xfId="2513"/>
    <cellStyle name="Calculation 13 2 3 2 4 7" xfId="2514"/>
    <cellStyle name="Calculation 13 2 3 2 4 8" xfId="2515"/>
    <cellStyle name="Calculation 13 2 3 2 5" xfId="2516"/>
    <cellStyle name="Calculation 13 2 3 3" xfId="2517"/>
    <cellStyle name="Calculation 13 2 3 3 2" xfId="2518"/>
    <cellStyle name="Calculation 13 2 3 3 3" xfId="2519"/>
    <cellStyle name="Calculation 13 2 3 3 4" xfId="2520"/>
    <cellStyle name="Calculation 13 2 3 3 5" xfId="2521"/>
    <cellStyle name="Calculation 13 2 3 3 6" xfId="2522"/>
    <cellStyle name="Calculation 13 2 3 3 7" xfId="2523"/>
    <cellStyle name="Calculation 13 2 3 3 8" xfId="2524"/>
    <cellStyle name="Calculation 13 2 3 4" xfId="2525"/>
    <cellStyle name="Calculation 13 2 3 4 2" xfId="2526"/>
    <cellStyle name="Calculation 13 2 3 4 3" xfId="2527"/>
    <cellStyle name="Calculation 13 2 3 4 4" xfId="2528"/>
    <cellStyle name="Calculation 13 2 3 4 5" xfId="2529"/>
    <cellStyle name="Calculation 13 2 3 4 6" xfId="2530"/>
    <cellStyle name="Calculation 13 2 3 4 7" xfId="2531"/>
    <cellStyle name="Calculation 13 2 3 4 8" xfId="2532"/>
    <cellStyle name="Calculation 13 2 3 5" xfId="2533"/>
    <cellStyle name="Calculation 13 2 3 5 2" xfId="2534"/>
    <cellStyle name="Calculation 13 2 3 5 3" xfId="2535"/>
    <cellStyle name="Calculation 13 2 3 5 4" xfId="2536"/>
    <cellStyle name="Calculation 13 2 3 5 5" xfId="2537"/>
    <cellStyle name="Calculation 13 2 3 5 6" xfId="2538"/>
    <cellStyle name="Calculation 13 2 3 5 7" xfId="2539"/>
    <cellStyle name="Calculation 13 2 3 5 8" xfId="2540"/>
    <cellStyle name="Calculation 13 2 3 6" xfId="2541"/>
    <cellStyle name="Calculation 13 2 4" xfId="2542"/>
    <cellStyle name="Calculation 13 2 4 2" xfId="2543"/>
    <cellStyle name="Calculation 13 2 4 3" xfId="2544"/>
    <cellStyle name="Calculation 13 2 4 4" xfId="2545"/>
    <cellStyle name="Calculation 13 2 4 5" xfId="2546"/>
    <cellStyle name="Calculation 13 2 4 6" xfId="2547"/>
    <cellStyle name="Calculation 13 2 4 7" xfId="2548"/>
    <cellStyle name="Calculation 13 2 4 8" xfId="2549"/>
    <cellStyle name="Calculation 13 2 5" xfId="2550"/>
    <cellStyle name="Calculation 13 2 5 2" xfId="2551"/>
    <cellStyle name="Calculation 13 2 5 3" xfId="2552"/>
    <cellStyle name="Calculation 13 2 5 4" xfId="2553"/>
    <cellStyle name="Calculation 13 2 5 5" xfId="2554"/>
    <cellStyle name="Calculation 13 2 5 6" xfId="2555"/>
    <cellStyle name="Calculation 13 2 5 7" xfId="2556"/>
    <cellStyle name="Calculation 13 2 5 8" xfId="2557"/>
    <cellStyle name="Calculation 13 2 6" xfId="2558"/>
    <cellStyle name="Calculation 13 2 6 2" xfId="2559"/>
    <cellStyle name="Calculation 13 2 6 3" xfId="2560"/>
    <cellStyle name="Calculation 13 2 6 4" xfId="2561"/>
    <cellStyle name="Calculation 13 2 6 5" xfId="2562"/>
    <cellStyle name="Calculation 13 2 6 6" xfId="2563"/>
    <cellStyle name="Calculation 13 2 6 7" xfId="2564"/>
    <cellStyle name="Calculation 13 2 6 8" xfId="2565"/>
    <cellStyle name="Calculation 13 3" xfId="2566"/>
    <cellStyle name="Calculation 13 3 2" xfId="2567"/>
    <cellStyle name="Calculation 13 3 2 2" xfId="2568"/>
    <cellStyle name="Calculation 13 3 2 2 2" xfId="2569"/>
    <cellStyle name="Calculation 13 3 2 2 3" xfId="2570"/>
    <cellStyle name="Calculation 13 3 2 2 4" xfId="2571"/>
    <cellStyle name="Calculation 13 3 2 2 5" xfId="2572"/>
    <cellStyle name="Calculation 13 3 2 2 6" xfId="2573"/>
    <cellStyle name="Calculation 13 3 2 2 7" xfId="2574"/>
    <cellStyle name="Calculation 13 3 2 2 8" xfId="2575"/>
    <cellStyle name="Calculation 13 3 2 3" xfId="2576"/>
    <cellStyle name="Calculation 13 3 2 3 2" xfId="2577"/>
    <cellStyle name="Calculation 13 3 2 3 3" xfId="2578"/>
    <cellStyle name="Calculation 13 3 2 3 4" xfId="2579"/>
    <cellStyle name="Calculation 13 3 2 3 5" xfId="2580"/>
    <cellStyle name="Calculation 13 3 2 3 6" xfId="2581"/>
    <cellStyle name="Calculation 13 3 2 3 7" xfId="2582"/>
    <cellStyle name="Calculation 13 3 2 3 8" xfId="2583"/>
    <cellStyle name="Calculation 13 3 2 4" xfId="2584"/>
    <cellStyle name="Calculation 13 3 2 4 2" xfId="2585"/>
    <cellStyle name="Calculation 13 3 2 4 3" xfId="2586"/>
    <cellStyle name="Calculation 13 3 2 4 4" xfId="2587"/>
    <cellStyle name="Calculation 13 3 2 4 5" xfId="2588"/>
    <cellStyle name="Calculation 13 3 2 4 6" xfId="2589"/>
    <cellStyle name="Calculation 13 3 2 4 7" xfId="2590"/>
    <cellStyle name="Calculation 13 3 2 4 8" xfId="2591"/>
    <cellStyle name="Calculation 13 3 2 5" xfId="2592"/>
    <cellStyle name="Calculation 13 3 3" xfId="2593"/>
    <cellStyle name="Calculation 13 3 3 2" xfId="2594"/>
    <cellStyle name="Calculation 13 3 3 2 2" xfId="2595"/>
    <cellStyle name="Calculation 13 3 3 2 3" xfId="2596"/>
    <cellStyle name="Calculation 13 3 3 2 4" xfId="2597"/>
    <cellStyle name="Calculation 13 3 3 2 5" xfId="2598"/>
    <cellStyle name="Calculation 13 3 3 2 6" xfId="2599"/>
    <cellStyle name="Calculation 13 3 3 2 7" xfId="2600"/>
    <cellStyle name="Calculation 13 3 3 2 8" xfId="2601"/>
    <cellStyle name="Calculation 13 3 3 3" xfId="2602"/>
    <cellStyle name="Calculation 13 3 3 3 2" xfId="2603"/>
    <cellStyle name="Calculation 13 3 3 3 3" xfId="2604"/>
    <cellStyle name="Calculation 13 3 3 3 4" xfId="2605"/>
    <cellStyle name="Calculation 13 3 3 3 5" xfId="2606"/>
    <cellStyle name="Calculation 13 3 3 3 6" xfId="2607"/>
    <cellStyle name="Calculation 13 3 3 3 7" xfId="2608"/>
    <cellStyle name="Calculation 13 3 3 3 8" xfId="2609"/>
    <cellStyle name="Calculation 13 3 3 4" xfId="2610"/>
    <cellStyle name="Calculation 13 3 3 4 2" xfId="2611"/>
    <cellStyle name="Calculation 13 3 3 4 3" xfId="2612"/>
    <cellStyle name="Calculation 13 3 3 4 4" xfId="2613"/>
    <cellStyle name="Calculation 13 3 3 4 5" xfId="2614"/>
    <cellStyle name="Calculation 13 3 3 4 6" xfId="2615"/>
    <cellStyle name="Calculation 13 3 3 4 7" xfId="2616"/>
    <cellStyle name="Calculation 13 3 3 4 8" xfId="2617"/>
    <cellStyle name="Calculation 13 3 3 5" xfId="2618"/>
    <cellStyle name="Calculation 13 3 4" xfId="2619"/>
    <cellStyle name="Calculation 13 3 4 2" xfId="2620"/>
    <cellStyle name="Calculation 13 3 4 2 2" xfId="2621"/>
    <cellStyle name="Calculation 13 3 4 2 3" xfId="2622"/>
    <cellStyle name="Calculation 13 3 4 2 4" xfId="2623"/>
    <cellStyle name="Calculation 13 3 4 2 5" xfId="2624"/>
    <cellStyle name="Calculation 13 3 4 2 6" xfId="2625"/>
    <cellStyle name="Calculation 13 3 4 2 7" xfId="2626"/>
    <cellStyle name="Calculation 13 3 4 2 8" xfId="2627"/>
    <cellStyle name="Calculation 13 3 4 3" xfId="2628"/>
    <cellStyle name="Calculation 13 3 4 3 2" xfId="2629"/>
    <cellStyle name="Calculation 13 3 4 3 3" xfId="2630"/>
    <cellStyle name="Calculation 13 3 4 3 4" xfId="2631"/>
    <cellStyle name="Calculation 13 3 4 3 5" xfId="2632"/>
    <cellStyle name="Calculation 13 3 4 3 6" xfId="2633"/>
    <cellStyle name="Calculation 13 3 4 3 7" xfId="2634"/>
    <cellStyle name="Calculation 13 3 4 3 8" xfId="2635"/>
    <cellStyle name="Calculation 13 3 4 4" xfId="2636"/>
    <cellStyle name="Calculation 13 3 4 4 2" xfId="2637"/>
    <cellStyle name="Calculation 13 3 4 4 3" xfId="2638"/>
    <cellStyle name="Calculation 13 3 4 4 4" xfId="2639"/>
    <cellStyle name="Calculation 13 3 4 4 5" xfId="2640"/>
    <cellStyle name="Calculation 13 3 4 4 6" xfId="2641"/>
    <cellStyle name="Calculation 13 3 4 4 7" xfId="2642"/>
    <cellStyle name="Calculation 13 3 4 4 8" xfId="2643"/>
    <cellStyle name="Calculation 13 3 5" xfId="2644"/>
    <cellStyle name="Calculation 13 3 5 2" xfId="2645"/>
    <cellStyle name="Calculation 13 3 5 3" xfId="2646"/>
    <cellStyle name="Calculation 13 3 5 4" xfId="2647"/>
    <cellStyle name="Calculation 13 3 5 5" xfId="2648"/>
    <cellStyle name="Calculation 13 3 5 6" xfId="2649"/>
    <cellStyle name="Calculation 13 3 5 7" xfId="2650"/>
    <cellStyle name="Calculation 13 3 5 8" xfId="2651"/>
    <cellStyle name="Calculation 13 3 6" xfId="2652"/>
    <cellStyle name="Calculation 13 3 6 2" xfId="2653"/>
    <cellStyle name="Calculation 13 3 6 3" xfId="2654"/>
    <cellStyle name="Calculation 13 3 6 4" xfId="2655"/>
    <cellStyle name="Calculation 13 3 6 5" xfId="2656"/>
    <cellStyle name="Calculation 13 3 6 6" xfId="2657"/>
    <cellStyle name="Calculation 13 3 6 7" xfId="2658"/>
    <cellStyle name="Calculation 13 3 6 8" xfId="2659"/>
    <cellStyle name="Calculation 13 3 7" xfId="2660"/>
    <cellStyle name="Calculation 13 3 7 2" xfId="2661"/>
    <cellStyle name="Calculation 13 3 7 3" xfId="2662"/>
    <cellStyle name="Calculation 13 3 7 4" xfId="2663"/>
    <cellStyle name="Calculation 13 3 7 5" xfId="2664"/>
    <cellStyle name="Calculation 13 3 7 6" xfId="2665"/>
    <cellStyle name="Calculation 13 3 7 7" xfId="2666"/>
    <cellStyle name="Calculation 13 3 7 8" xfId="2667"/>
    <cellStyle name="Calculation 13 4" xfId="2668"/>
    <cellStyle name="Calculation 13 4 2" xfId="2669"/>
    <cellStyle name="Calculation 13 4 2 2" xfId="2670"/>
    <cellStyle name="Calculation 13 4 2 2 2" xfId="2671"/>
    <cellStyle name="Calculation 13 4 2 2 3" xfId="2672"/>
    <cellStyle name="Calculation 13 4 2 2 4" xfId="2673"/>
    <cellStyle name="Calculation 13 4 2 2 5" xfId="2674"/>
    <cellStyle name="Calculation 13 4 2 2 6" xfId="2675"/>
    <cellStyle name="Calculation 13 4 2 2 7" xfId="2676"/>
    <cellStyle name="Calculation 13 4 2 2 8" xfId="2677"/>
    <cellStyle name="Calculation 13 4 2 3" xfId="2678"/>
    <cellStyle name="Calculation 13 4 2 3 2" xfId="2679"/>
    <cellStyle name="Calculation 13 4 2 3 3" xfId="2680"/>
    <cellStyle name="Calculation 13 4 2 3 4" xfId="2681"/>
    <cellStyle name="Calculation 13 4 2 3 5" xfId="2682"/>
    <cellStyle name="Calculation 13 4 2 3 6" xfId="2683"/>
    <cellStyle name="Calculation 13 4 2 3 7" xfId="2684"/>
    <cellStyle name="Calculation 13 4 2 3 8" xfId="2685"/>
    <cellStyle name="Calculation 2" xfId="2686"/>
    <cellStyle name="Calculation 2 10" xfId="2687"/>
    <cellStyle name="Calculation 2 2" xfId="2688"/>
    <cellStyle name="Calculation 2 2 2" xfId="2689"/>
    <cellStyle name="Calculation 2 2 2 2" xfId="2690"/>
    <cellStyle name="Calculation 2 2 3" xfId="2691"/>
    <cellStyle name="Calculation 2 2 3 2" xfId="2692"/>
    <cellStyle name="Calculation 2 2 4" xfId="2693"/>
    <cellStyle name="Calculation 2 2 4 2" xfId="2694"/>
    <cellStyle name="Calculation 2 2 5" xfId="2695"/>
    <cellStyle name="Calculation 2 2 5 2" xfId="2696"/>
    <cellStyle name="Calculation 2 2 6" xfId="2697"/>
    <cellStyle name="Calculation 2 2 6 2" xfId="2698"/>
    <cellStyle name="Calculation 2 2 7" xfId="2699"/>
    <cellStyle name="Calculation 2 2 7 2" xfId="2700"/>
    <cellStyle name="Calculation 2 2 8" xfId="2701"/>
    <cellStyle name="Calculation 2 2 8 2" xfId="2702"/>
    <cellStyle name="Calculation 2 2 9" xfId="2703"/>
    <cellStyle name="Calculation 2 3" xfId="2704"/>
    <cellStyle name="Calculation 2 3 2" xfId="2705"/>
    <cellStyle name="Calculation 2 4" xfId="2706"/>
    <cellStyle name="Calculation 2 4 2" xfId="2707"/>
    <cellStyle name="Calculation 2 5" xfId="2708"/>
    <cellStyle name="Calculation 2 5 2" xfId="2709"/>
    <cellStyle name="Calculation 2 6" xfId="2710"/>
    <cellStyle name="Calculation 2 6 2" xfId="2711"/>
    <cellStyle name="Calculation 2 7" xfId="2712"/>
    <cellStyle name="Calculation 2 7 2" xfId="2713"/>
    <cellStyle name="Calculation 2 8" xfId="2714"/>
    <cellStyle name="Calculation 2 8 2" xfId="2715"/>
    <cellStyle name="Calculation 2 9" xfId="2716"/>
    <cellStyle name="Calculation 2 9 2" xfId="2717"/>
    <cellStyle name="Calculation 3" xfId="2718"/>
    <cellStyle name="Calculation 3 10" xfId="2719"/>
    <cellStyle name="Calculation 3 2" xfId="2720"/>
    <cellStyle name="Calculation 3 2 2" xfId="2721"/>
    <cellStyle name="Calculation 3 2 2 2" xfId="2722"/>
    <cellStyle name="Calculation 3 2 2 3" xfId="2723"/>
    <cellStyle name="Calculation 3 2 2 4" xfId="2724"/>
    <cellStyle name="Calculation 3 2 3" xfId="2725"/>
    <cellStyle name="Calculation 3 2 3 2" xfId="2726"/>
    <cellStyle name="Calculation 3 2 4" xfId="2727"/>
    <cellStyle name="Calculation 3 2 4 2" xfId="2728"/>
    <cellStyle name="Calculation 3 2 5" xfId="2729"/>
    <cellStyle name="Calculation 3 3" xfId="2730"/>
    <cellStyle name="Calculation 3 3 2" xfId="2731"/>
    <cellStyle name="Calculation 3 3 2 2" xfId="2732"/>
    <cellStyle name="Calculation 3 3 2 3" xfId="2733"/>
    <cellStyle name="Calculation 3 3 2 4" xfId="2734"/>
    <cellStyle name="Calculation 3 3 3" xfId="2735"/>
    <cellStyle name="Calculation 3 3 3 2" xfId="2736"/>
    <cellStyle name="Calculation 3 3 4" xfId="2737"/>
    <cellStyle name="Calculation 3 3 4 2" xfId="2738"/>
    <cellStyle name="Calculation 3 3 5" xfId="2739"/>
    <cellStyle name="Calculation 3 4" xfId="2740"/>
    <cellStyle name="Calculation 3 4 2" xfId="2741"/>
    <cellStyle name="Calculation 3 4 2 2" xfId="2742"/>
    <cellStyle name="Calculation 3 4 2 3" xfId="2743"/>
    <cellStyle name="Calculation 3 4 2 4" xfId="2744"/>
    <cellStyle name="Calculation 3 4 3" xfId="2745"/>
    <cellStyle name="Calculation 3 4 3 2" xfId="2746"/>
    <cellStyle name="Calculation 3 4 4" xfId="2747"/>
    <cellStyle name="Calculation 3 4 4 2" xfId="2748"/>
    <cellStyle name="Calculation 3 4 5" xfId="2749"/>
    <cellStyle name="Calculation 3 5" xfId="2750"/>
    <cellStyle name="Calculation 3 5 2" xfId="2751"/>
    <cellStyle name="Calculation 3 5 2 2" xfId="2752"/>
    <cellStyle name="Calculation 3 5 2 3" xfId="2753"/>
    <cellStyle name="Calculation 3 5 2 4" xfId="2754"/>
    <cellStyle name="Calculation 3 5 3" xfId="2755"/>
    <cellStyle name="Calculation 3 5 3 2" xfId="2756"/>
    <cellStyle name="Calculation 3 5 4" xfId="2757"/>
    <cellStyle name="Calculation 3 5 4 2" xfId="2758"/>
    <cellStyle name="Calculation 3 5 5" xfId="2759"/>
    <cellStyle name="Calculation 3 6" xfId="2760"/>
    <cellStyle name="Calculation 3 6 2" xfId="2761"/>
    <cellStyle name="Calculation 3 6 2 2" xfId="2762"/>
    <cellStyle name="Calculation 3 6 2 3" xfId="2763"/>
    <cellStyle name="Calculation 3 6 2 4" xfId="2764"/>
    <cellStyle name="Calculation 3 6 3" xfId="2765"/>
    <cellStyle name="Calculation 3 6 3 2" xfId="2766"/>
    <cellStyle name="Calculation 3 6 4" xfId="2767"/>
    <cellStyle name="Calculation 3 6 4 2" xfId="2768"/>
    <cellStyle name="Calculation 3 6 5" xfId="2769"/>
    <cellStyle name="Calculation 3 7" xfId="2770"/>
    <cellStyle name="Calculation 3 7 2" xfId="2771"/>
    <cellStyle name="Calculation 3 7 3" xfId="2772"/>
    <cellStyle name="Calculation 3 7 4" xfId="2773"/>
    <cellStyle name="Calculation 3 8" xfId="2774"/>
    <cellStyle name="Calculation 3 8 2" xfId="2775"/>
    <cellStyle name="Calculation 3 9" xfId="2776"/>
    <cellStyle name="Calculation 3 9 2" xfId="2777"/>
    <cellStyle name="Calculation 4" xfId="2778"/>
    <cellStyle name="Calculation 4 2" xfId="2779"/>
    <cellStyle name="Calculation 4 2 2" xfId="2780"/>
    <cellStyle name="Calculation 4 2 3" xfId="2781"/>
    <cellStyle name="Calculation 4 2 4" xfId="2782"/>
    <cellStyle name="Calculation 4 3" xfId="2783"/>
    <cellStyle name="Calculation 4 3 2" xfId="2784"/>
    <cellStyle name="Calculation 4 4" xfId="2785"/>
    <cellStyle name="Calculation 4 4 2" xfId="2786"/>
    <cellStyle name="Calculation 4 5" xfId="2787"/>
    <cellStyle name="Calculation 5" xfId="2788"/>
    <cellStyle name="Calculation 5 2" xfId="2789"/>
    <cellStyle name="Calculation 5 3" xfId="2790"/>
    <cellStyle name="Calculation 6" xfId="2791"/>
    <cellStyle name="Calculation 6 2" xfId="2792"/>
    <cellStyle name="Calculation 6 3" xfId="2793"/>
    <cellStyle name="Calculation 7" xfId="2794"/>
    <cellStyle name="Calculation 7 2" xfId="2795"/>
    <cellStyle name="Calculation 8" xfId="2796"/>
    <cellStyle name="Calculation 9" xfId="2797"/>
    <cellStyle name="Calculation 9 2" xfId="2798"/>
    <cellStyle name="Capable to Test" xfId="2799"/>
    <cellStyle name="Check Cell 2" xfId="2800"/>
    <cellStyle name="Check Cell 2 2" xfId="2801"/>
    <cellStyle name="Check Cell 2 2 2" xfId="2802"/>
    <cellStyle name="Check Cell 2 2 3" xfId="2803"/>
    <cellStyle name="Check Cell 2 3" xfId="2804"/>
    <cellStyle name="Check Cell 2 4" xfId="2805"/>
    <cellStyle name="Check Cell 3" xfId="2806"/>
    <cellStyle name="Check Cell 3 2" xfId="2807"/>
    <cellStyle name="Check Cell 3 3" xfId="2808"/>
    <cellStyle name="Check Cell 4" xfId="2809"/>
    <cellStyle name="Check Cell 4 2" xfId="2810"/>
    <cellStyle name="Check Cell 5" xfId="2811"/>
    <cellStyle name="Check Cell 6" xfId="2812"/>
    <cellStyle name="Check Cell 6 2" xfId="2813"/>
    <cellStyle name="Check Cell 7" xfId="2814"/>
    <cellStyle name="Check Cell 8" xfId="2815"/>
    <cellStyle name="Check Cell 9" xfId="2816"/>
    <cellStyle name="Comma" xfId="59026" builtinId="3"/>
    <cellStyle name="Comma  - Style1" xfId="2817"/>
    <cellStyle name="Comma  - Style2" xfId="2818"/>
    <cellStyle name="Comma  - Style3" xfId="2819"/>
    <cellStyle name="Comma  - Style4" xfId="2820"/>
    <cellStyle name="Comma  - Style5" xfId="2821"/>
    <cellStyle name="Comma  - Style6" xfId="2822"/>
    <cellStyle name="Comma  - Style7" xfId="2823"/>
    <cellStyle name="Comma  - Style8" xfId="2824"/>
    <cellStyle name="Comma [0] 2" xfId="2825"/>
    <cellStyle name="Comma [00]" xfId="2826"/>
    <cellStyle name="Comma [2]" xfId="2827"/>
    <cellStyle name="Comma 10" xfId="2828"/>
    <cellStyle name="Comma 10 2" xfId="2829"/>
    <cellStyle name="Comma 10 3" xfId="2830"/>
    <cellStyle name="Comma 10 3 2" xfId="2831"/>
    <cellStyle name="Comma 10 3 3" xfId="2832"/>
    <cellStyle name="Comma 11" xfId="2833"/>
    <cellStyle name="Comma 11 2" xfId="2834"/>
    <cellStyle name="Comma 11 2 2" xfId="2835"/>
    <cellStyle name="Comma 11 3" xfId="2836"/>
    <cellStyle name="Comma 12" xfId="2837"/>
    <cellStyle name="Comma 12 2" xfId="2838"/>
    <cellStyle name="Comma 12 2 2" xfId="2839"/>
    <cellStyle name="Comma 13" xfId="2840"/>
    <cellStyle name="Comma 13 2" xfId="2841"/>
    <cellStyle name="Comma 13 2 2" xfId="2842"/>
    <cellStyle name="Comma 14" xfId="2843"/>
    <cellStyle name="Comma 14 2" xfId="2844"/>
    <cellStyle name="Comma 14 2 2" xfId="2845"/>
    <cellStyle name="Comma 14 3" xfId="2846"/>
    <cellStyle name="Comma 15" xfId="2847"/>
    <cellStyle name="Comma 15 2" xfId="2848"/>
    <cellStyle name="Comma 16" xfId="2849"/>
    <cellStyle name="Comma 17" xfId="2850"/>
    <cellStyle name="Comma 17 2" xfId="2851"/>
    <cellStyle name="Comma 17 2 2" xfId="2852"/>
    <cellStyle name="Comma 17 3" xfId="2853"/>
    <cellStyle name="Comma 18" xfId="2854"/>
    <cellStyle name="Comma 18 2" xfId="2855"/>
    <cellStyle name="Comma 18 2 2" xfId="2856"/>
    <cellStyle name="Comma 18 3" xfId="2857"/>
    <cellStyle name="Comma 19" xfId="2858"/>
    <cellStyle name="Comma 19 2" xfId="2859"/>
    <cellStyle name="Comma 19 2 2" xfId="2860"/>
    <cellStyle name="Comma 19 3" xfId="2861"/>
    <cellStyle name="Comma 2" xfId="2"/>
    <cellStyle name="Comma 2 10" xfId="2862"/>
    <cellStyle name="Comma 2 10 2" xfId="2863"/>
    <cellStyle name="Comma 2 10 2 2" xfId="2864"/>
    <cellStyle name="Comma 2 10 2 2 2" xfId="2865"/>
    <cellStyle name="Comma 2 10 2 3" xfId="2866"/>
    <cellStyle name="Comma 2 10 3" xfId="2867"/>
    <cellStyle name="Comma 2 10 4" xfId="2868"/>
    <cellStyle name="Comma 2 11" xfId="2869"/>
    <cellStyle name="Comma 2 11 2" xfId="2870"/>
    <cellStyle name="Comma 2 11 2 2" xfId="2871"/>
    <cellStyle name="Comma 2 11 2 2 2" xfId="2872"/>
    <cellStyle name="Comma 2 11 2 3" xfId="2873"/>
    <cellStyle name="Comma 2 11 3" xfId="2874"/>
    <cellStyle name="Comma 2 12" xfId="2875"/>
    <cellStyle name="Comma 2 12 2" xfId="2876"/>
    <cellStyle name="Comma 2 12 2 2" xfId="2877"/>
    <cellStyle name="Comma 2 12 2 2 2" xfId="2878"/>
    <cellStyle name="Comma 2 12 2 3" xfId="2879"/>
    <cellStyle name="Comma 2 12 3" xfId="2880"/>
    <cellStyle name="Comma 2 13" xfId="2881"/>
    <cellStyle name="Comma 2 13 2" xfId="2882"/>
    <cellStyle name="Comma 2 13 2 2" xfId="2883"/>
    <cellStyle name="Comma 2 13 2 2 2" xfId="2884"/>
    <cellStyle name="Comma 2 13 2 3" xfId="2885"/>
    <cellStyle name="Comma 2 13 3" xfId="2886"/>
    <cellStyle name="Comma 2 14" xfId="2887"/>
    <cellStyle name="Comma 2 14 2" xfId="2888"/>
    <cellStyle name="Comma 2 14 2 2" xfId="2889"/>
    <cellStyle name="Comma 2 14 2 2 2" xfId="2890"/>
    <cellStyle name="Comma 2 14 2 3" xfId="2891"/>
    <cellStyle name="Comma 2 14 3" xfId="2892"/>
    <cellStyle name="Comma 2 15" xfId="2893"/>
    <cellStyle name="Comma 2 15 2" xfId="2894"/>
    <cellStyle name="Comma 2 15 2 2" xfId="2895"/>
    <cellStyle name="Comma 2 15 2 2 2" xfId="2896"/>
    <cellStyle name="Comma 2 15 2 3" xfId="2897"/>
    <cellStyle name="Comma 2 15 3" xfId="2898"/>
    <cellStyle name="Comma 2 16" xfId="2899"/>
    <cellStyle name="Comma 2 16 2" xfId="2900"/>
    <cellStyle name="Comma 2 16 2 2" xfId="2901"/>
    <cellStyle name="Comma 2 16 2 2 2" xfId="2902"/>
    <cellStyle name="Comma 2 16 2 3" xfId="2903"/>
    <cellStyle name="Comma 2 16 3" xfId="2904"/>
    <cellStyle name="Comma 2 17" xfId="2905"/>
    <cellStyle name="Comma 2 17 2" xfId="2906"/>
    <cellStyle name="Comma 2 17 2 2" xfId="2907"/>
    <cellStyle name="Comma 2 17 2 2 2" xfId="2908"/>
    <cellStyle name="Comma 2 17 2 3" xfId="2909"/>
    <cellStyle name="Comma 2 17 3" xfId="2910"/>
    <cellStyle name="Comma 2 18" xfId="2911"/>
    <cellStyle name="Comma 2 18 2" xfId="2912"/>
    <cellStyle name="Comma 2 18 2 2" xfId="2913"/>
    <cellStyle name="Comma 2 18 2 2 2" xfId="2914"/>
    <cellStyle name="Comma 2 18 2 3" xfId="2915"/>
    <cellStyle name="Comma 2 18 3" xfId="2916"/>
    <cellStyle name="Comma 2 19" xfId="2917"/>
    <cellStyle name="Comma 2 19 2" xfId="2918"/>
    <cellStyle name="Comma 2 19 2 2" xfId="2919"/>
    <cellStyle name="Comma 2 19 2 2 2" xfId="2920"/>
    <cellStyle name="Comma 2 19 2 3" xfId="2921"/>
    <cellStyle name="Comma 2 19 3" xfId="2922"/>
    <cellStyle name="Comma 2 2" xfId="2923"/>
    <cellStyle name="Comma 2 2 10" xfId="2924"/>
    <cellStyle name="Comma 2 2 2" xfId="2925"/>
    <cellStyle name="Comma 2 2 2 2" xfId="2926"/>
    <cellStyle name="Comma 2 2 2 2 2" xfId="2927"/>
    <cellStyle name="Comma 2 2 2 2 3" xfId="2928"/>
    <cellStyle name="Comma 2 2 2 2 4" xfId="2929"/>
    <cellStyle name="Comma 2 2 2 2 5" xfId="2930"/>
    <cellStyle name="Comma 2 2 2 3" xfId="2931"/>
    <cellStyle name="Comma 2 2 2 4" xfId="2932"/>
    <cellStyle name="Comma 2 2 2 5" xfId="2933"/>
    <cellStyle name="Comma 2 2 2 6" xfId="2934"/>
    <cellStyle name="Comma 2 2 2 7" xfId="2935"/>
    <cellStyle name="Comma 2 2 2 8" xfId="2936"/>
    <cellStyle name="Comma 2 2 3" xfId="2937"/>
    <cellStyle name="Comma 2 2 3 2" xfId="2938"/>
    <cellStyle name="Comma 2 2 3 3" xfId="2939"/>
    <cellStyle name="Comma 2 2 3 4" xfId="2940"/>
    <cellStyle name="Comma 2 2 3 5" xfId="2941"/>
    <cellStyle name="Comma 2 2 4" xfId="2942"/>
    <cellStyle name="Comma 2 2 5" xfId="2943"/>
    <cellStyle name="Comma 2 2 6" xfId="2944"/>
    <cellStyle name="Comma 2 2 7" xfId="2945"/>
    <cellStyle name="Comma 2 2 8" xfId="2946"/>
    <cellStyle name="Comma 2 2 9" xfId="2947"/>
    <cellStyle name="Comma 2 20" xfId="2948"/>
    <cellStyle name="Comma 2 20 2" xfId="2949"/>
    <cellStyle name="Comma 2 20 2 2" xfId="2950"/>
    <cellStyle name="Comma 2 20 2 2 2" xfId="2951"/>
    <cellStyle name="Comma 2 20 2 3" xfId="2952"/>
    <cellStyle name="Comma 2 20 3" xfId="2953"/>
    <cellStyle name="Comma 2 21" xfId="2954"/>
    <cellStyle name="Comma 2 21 2" xfId="2955"/>
    <cellStyle name="Comma 2 22" xfId="2956"/>
    <cellStyle name="Comma 2 22 2" xfId="2957"/>
    <cellStyle name="Comma 2 23" xfId="2958"/>
    <cellStyle name="Comma 2 23 2" xfId="2959"/>
    <cellStyle name="Comma 2 24" xfId="2960"/>
    <cellStyle name="Comma 2 24 2" xfId="2961"/>
    <cellStyle name="Comma 2 25" xfId="2962"/>
    <cellStyle name="Comma 2 25 2" xfId="2963"/>
    <cellStyle name="Comma 2 26" xfId="2964"/>
    <cellStyle name="Comma 2 26 2" xfId="2965"/>
    <cellStyle name="Comma 2 27" xfId="2966"/>
    <cellStyle name="Comma 2 27 2" xfId="2967"/>
    <cellStyle name="Comma 2 28" xfId="2968"/>
    <cellStyle name="Comma 2 28 2" xfId="2969"/>
    <cellStyle name="Comma 2 29" xfId="2970"/>
    <cellStyle name="Comma 2 29 2" xfId="2971"/>
    <cellStyle name="Comma 2 3" xfId="2972"/>
    <cellStyle name="Comma 2 3 2" xfId="2973"/>
    <cellStyle name="Comma 2 3 2 2" xfId="2974"/>
    <cellStyle name="Comma 2 3 2 2 2" xfId="2975"/>
    <cellStyle name="Comma 2 3 2 3" xfId="2976"/>
    <cellStyle name="Comma 2 3 2 4" xfId="2977"/>
    <cellStyle name="Comma 2 3 2 5" xfId="2978"/>
    <cellStyle name="Comma 2 3 3" xfId="2979"/>
    <cellStyle name="Comma 2 3 4" xfId="2980"/>
    <cellStyle name="Comma 2 3 5" xfId="2981"/>
    <cellStyle name="Comma 2 3 6" xfId="2982"/>
    <cellStyle name="Comma 2 3 7" xfId="2983"/>
    <cellStyle name="Comma 2 3 8" xfId="2984"/>
    <cellStyle name="Comma 2 30" xfId="2985"/>
    <cellStyle name="Comma 2 30 2" xfId="2986"/>
    <cellStyle name="Comma 2 31" xfId="2987"/>
    <cellStyle name="Comma 2 31 2" xfId="2988"/>
    <cellStyle name="Comma 2 32" xfId="2989"/>
    <cellStyle name="Comma 2 32 2" xfId="2990"/>
    <cellStyle name="Comma 2 33" xfId="2991"/>
    <cellStyle name="Comma 2 33 2" xfId="2992"/>
    <cellStyle name="Comma 2 34" xfId="2993"/>
    <cellStyle name="Comma 2 34 2" xfId="2994"/>
    <cellStyle name="Comma 2 35" xfId="2995"/>
    <cellStyle name="Comma 2 35 2" xfId="2996"/>
    <cellStyle name="Comma 2 36" xfId="2997"/>
    <cellStyle name="Comma 2 36 2" xfId="2998"/>
    <cellStyle name="Comma 2 37" xfId="2999"/>
    <cellStyle name="Comma 2 38" xfId="3000"/>
    <cellStyle name="Comma 2 4" xfId="3001"/>
    <cellStyle name="Comma 2 4 2" xfId="3002"/>
    <cellStyle name="Comma 2 4 2 2" xfId="3003"/>
    <cellStyle name="Comma 2 4 2 2 2" xfId="3004"/>
    <cellStyle name="Comma 2 4 2 3" xfId="3005"/>
    <cellStyle name="Comma 2 4 3" xfId="3006"/>
    <cellStyle name="Comma 2 4 4" xfId="3007"/>
    <cellStyle name="Comma 2 4 5" xfId="3008"/>
    <cellStyle name="Comma 2 4 6" xfId="3009"/>
    <cellStyle name="Comma 2 4 7" xfId="3010"/>
    <cellStyle name="Comma 2 5" xfId="3011"/>
    <cellStyle name="Comma 2 5 2" xfId="3012"/>
    <cellStyle name="Comma 2 5 2 2" xfId="3013"/>
    <cellStyle name="Comma 2 5 2 2 2" xfId="3014"/>
    <cellStyle name="Comma 2 5 2 3" xfId="3015"/>
    <cellStyle name="Comma 2 5 3" xfId="3016"/>
    <cellStyle name="Comma 2 6" xfId="3017"/>
    <cellStyle name="Comma 2 6 2" xfId="3018"/>
    <cellStyle name="Comma 2 6 2 2" xfId="3019"/>
    <cellStyle name="Comma 2 6 2 2 2" xfId="3020"/>
    <cellStyle name="Comma 2 6 2 3" xfId="3021"/>
    <cellStyle name="Comma 2 6 3" xfId="3022"/>
    <cellStyle name="Comma 2 7" xfId="3023"/>
    <cellStyle name="Comma 2 7 2" xfId="3024"/>
    <cellStyle name="Comma 2 7 2 2" xfId="3025"/>
    <cellStyle name="Comma 2 7 2 2 2" xfId="3026"/>
    <cellStyle name="Comma 2 7 2 3" xfId="3027"/>
    <cellStyle name="Comma 2 7 3" xfId="3028"/>
    <cellStyle name="Comma 2 8" xfId="3029"/>
    <cellStyle name="Comma 2 8 2" xfId="3030"/>
    <cellStyle name="Comma 2 8 2 2" xfId="3031"/>
    <cellStyle name="Comma 2 8 2 2 2" xfId="3032"/>
    <cellStyle name="Comma 2 8 2 3" xfId="3033"/>
    <cellStyle name="Comma 2 8 3" xfId="3034"/>
    <cellStyle name="Comma 2 9" xfId="3035"/>
    <cellStyle name="Comma 2 9 2" xfId="3036"/>
    <cellStyle name="Comma 2 9 2 2" xfId="3037"/>
    <cellStyle name="Comma 2 9 2 2 2" xfId="3038"/>
    <cellStyle name="Comma 2 9 2 3" xfId="3039"/>
    <cellStyle name="Comma 2 9 3" xfId="3040"/>
    <cellStyle name="Comma 20" xfId="3041"/>
    <cellStyle name="Comma 20 2" xfId="3042"/>
    <cellStyle name="Comma 20 2 2" xfId="3043"/>
    <cellStyle name="Comma 20 3" xfId="3044"/>
    <cellStyle name="Comma 21" xfId="3045"/>
    <cellStyle name="Comma 21 2" xfId="3046"/>
    <cellStyle name="Comma 21 2 2" xfId="3047"/>
    <cellStyle name="Comma 21 3" xfId="3048"/>
    <cellStyle name="Comma 22" xfId="3049"/>
    <cellStyle name="Comma 23" xfId="3050"/>
    <cellStyle name="Comma 24" xfId="3051"/>
    <cellStyle name="Comma 24 2" xfId="3052"/>
    <cellStyle name="Comma 24 3" xfId="3053"/>
    <cellStyle name="Comma 25" xfId="3054"/>
    <cellStyle name="Comma 25 2" xfId="3055"/>
    <cellStyle name="Comma 26" xfId="3056"/>
    <cellStyle name="Comma 26 2" xfId="3057"/>
    <cellStyle name="Comma 26 3" xfId="3058"/>
    <cellStyle name="Comma 27" xfId="3059"/>
    <cellStyle name="Comma 27 2" xfId="3060"/>
    <cellStyle name="Comma 28" xfId="3061"/>
    <cellStyle name="Comma 28 2" xfId="3062"/>
    <cellStyle name="Comma 29" xfId="3063"/>
    <cellStyle name="Comma 29 2" xfId="3064"/>
    <cellStyle name="Comma 3" xfId="3065"/>
    <cellStyle name="Comma 3 2" xfId="3066"/>
    <cellStyle name="Comma 3 2 2" xfId="3067"/>
    <cellStyle name="Comma 3 2 2 2" xfId="3068"/>
    <cellStyle name="Comma 3 2 2 3" xfId="3069"/>
    <cellStyle name="Comma 3 2 3" xfId="3070"/>
    <cellStyle name="Comma 3 2 3 2" xfId="3071"/>
    <cellStyle name="Comma 3 2 4" xfId="3072"/>
    <cellStyle name="Comma 3 2 5" xfId="3073"/>
    <cellStyle name="Comma 3 2 6" xfId="3074"/>
    <cellStyle name="Comma 3 2 7" xfId="3075"/>
    <cellStyle name="Comma 3 3" xfId="3076"/>
    <cellStyle name="Comma 3 3 2" xfId="3077"/>
    <cellStyle name="Comma 3 3 2 2" xfId="3078"/>
    <cellStyle name="Comma 3 3 3" xfId="3079"/>
    <cellStyle name="Comma 3 3 4" xfId="3080"/>
    <cellStyle name="Comma 3 4" xfId="3081"/>
    <cellStyle name="Comma 3 4 2" xfId="3082"/>
    <cellStyle name="Comma 3 4 2 2" xfId="3083"/>
    <cellStyle name="Comma 3 4 3" xfId="3084"/>
    <cellStyle name="Comma 3 4 4" xfId="3085"/>
    <cellStyle name="Comma 3 5" xfId="3086"/>
    <cellStyle name="Comma 3 5 2" xfId="3087"/>
    <cellStyle name="Comma 3 6" xfId="3088"/>
    <cellStyle name="Comma 3 7" xfId="3089"/>
    <cellStyle name="Comma 30" xfId="3090"/>
    <cellStyle name="Comma 31" xfId="3091"/>
    <cellStyle name="Comma 32" xfId="3092"/>
    <cellStyle name="Comma 33" xfId="3093"/>
    <cellStyle name="Comma 34" xfId="3094"/>
    <cellStyle name="Comma 35" xfId="3095"/>
    <cellStyle name="Comma 36" xfId="3096"/>
    <cellStyle name="Comma 37" xfId="3097"/>
    <cellStyle name="Comma 37 2" xfId="3098"/>
    <cellStyle name="Comma 37 3" xfId="3099"/>
    <cellStyle name="Comma 38" xfId="3100"/>
    <cellStyle name="Comma 38 2" xfId="3101"/>
    <cellStyle name="Comma 38 3" xfId="3102"/>
    <cellStyle name="Comma 39" xfId="3103"/>
    <cellStyle name="Comma 39 2" xfId="3104"/>
    <cellStyle name="Comma 39 3" xfId="3105"/>
    <cellStyle name="Comma 4" xfId="3106"/>
    <cellStyle name="Comma 4 2" xfId="3107"/>
    <cellStyle name="Comma 4 3" xfId="3108"/>
    <cellStyle name="Comma 4 4" xfId="3109"/>
    <cellStyle name="Comma 4 5" xfId="3110"/>
    <cellStyle name="Comma 40" xfId="3111"/>
    <cellStyle name="Comma 40 2" xfId="3112"/>
    <cellStyle name="Comma 40 3" xfId="3113"/>
    <cellStyle name="Comma 41" xfId="3114"/>
    <cellStyle name="Comma 41 2" xfId="3115"/>
    <cellStyle name="Comma 41 3" xfId="3116"/>
    <cellStyle name="Comma 42" xfId="3117"/>
    <cellStyle name="Comma 42 2" xfId="3118"/>
    <cellStyle name="Comma 42 2 2" xfId="3119"/>
    <cellStyle name="Comma 42 3" xfId="3120"/>
    <cellStyle name="Comma 43" xfId="3121"/>
    <cellStyle name="Comma 43 2" xfId="3122"/>
    <cellStyle name="Comma 44" xfId="3123"/>
    <cellStyle name="Comma 44 2" xfId="3124"/>
    <cellStyle name="Comma 45" xfId="3125"/>
    <cellStyle name="Comma 46" xfId="3126"/>
    <cellStyle name="Comma 47" xfId="3127"/>
    <cellStyle name="Comma 48" xfId="3128"/>
    <cellStyle name="Comma 49" xfId="3129"/>
    <cellStyle name="Comma 5" xfId="3130"/>
    <cellStyle name="Comma 5 2" xfId="3131"/>
    <cellStyle name="Comma 5 2 2" xfId="3132"/>
    <cellStyle name="Comma 5 3" xfId="3133"/>
    <cellStyle name="Comma 5 3 2" xfId="3134"/>
    <cellStyle name="Comma 5 4" xfId="3135"/>
    <cellStyle name="Comma 5 5" xfId="3136"/>
    <cellStyle name="Comma 50" xfId="3137"/>
    <cellStyle name="Comma 51" xfId="3138"/>
    <cellStyle name="Comma 52" xfId="3139"/>
    <cellStyle name="Comma 53" xfId="59030"/>
    <cellStyle name="Comma 6" xfId="3140"/>
    <cellStyle name="Comma 6 2" xfId="3141"/>
    <cellStyle name="Comma 6 2 2" xfId="3142"/>
    <cellStyle name="Comma 6 2 2 2" xfId="3143"/>
    <cellStyle name="Comma 6 2 3" xfId="3144"/>
    <cellStyle name="Comma 6 2 4" xfId="3145"/>
    <cellStyle name="Comma 6 3" xfId="3146"/>
    <cellStyle name="Comma 6 3 2" xfId="3147"/>
    <cellStyle name="Comma 6 3 2 2" xfId="3148"/>
    <cellStyle name="Comma 6 3 3" xfId="3149"/>
    <cellStyle name="Comma 6 3 4" xfId="3150"/>
    <cellStyle name="Comma 6 4" xfId="3151"/>
    <cellStyle name="Comma 6 4 2" xfId="3152"/>
    <cellStyle name="Comma 6 5" xfId="3153"/>
    <cellStyle name="Comma 6 6" xfId="3154"/>
    <cellStyle name="Comma 7" xfId="3155"/>
    <cellStyle name="Comma 7 2" xfId="3156"/>
    <cellStyle name="Comma 7 2 2" xfId="3157"/>
    <cellStyle name="Comma 7 2 2 2" xfId="3158"/>
    <cellStyle name="Comma 7 2 3" xfId="3159"/>
    <cellStyle name="Comma 7 2 4" xfId="3160"/>
    <cellStyle name="Comma 7 3" xfId="3161"/>
    <cellStyle name="Comma 7 3 2" xfId="3162"/>
    <cellStyle name="Comma 7 3 2 2" xfId="3163"/>
    <cellStyle name="Comma 7 3 3" xfId="3164"/>
    <cellStyle name="Comma 7 3 4" xfId="3165"/>
    <cellStyle name="Comma 7 4" xfId="3166"/>
    <cellStyle name="Comma 7 4 2" xfId="3167"/>
    <cellStyle name="Comma 7 5" xfId="3168"/>
    <cellStyle name="Comma 7 6" xfId="3169"/>
    <cellStyle name="Comma 8" xfId="3170"/>
    <cellStyle name="Comma 8 2" xfId="3171"/>
    <cellStyle name="Comma 8 2 2" xfId="3172"/>
    <cellStyle name="Comma 8 2 2 2" xfId="3173"/>
    <cellStyle name="Comma 8 2 3" xfId="3174"/>
    <cellStyle name="Comma 8 2 4" xfId="3175"/>
    <cellStyle name="Comma 8 3" xfId="3176"/>
    <cellStyle name="Comma 8 3 2" xfId="3177"/>
    <cellStyle name="Comma 8 3 2 2" xfId="3178"/>
    <cellStyle name="Comma 8 3 3" xfId="3179"/>
    <cellStyle name="Comma 8 3 4" xfId="3180"/>
    <cellStyle name="Comma 8 4" xfId="3181"/>
    <cellStyle name="Comma 8 4 2" xfId="3182"/>
    <cellStyle name="Comma 8 5" xfId="3183"/>
    <cellStyle name="Comma 8 6" xfId="3184"/>
    <cellStyle name="Comma 9" xfId="3185"/>
    <cellStyle name="Comma 9 2" xfId="3186"/>
    <cellStyle name="Comma 9 2 2" xfId="3187"/>
    <cellStyle name="Comma 9 2 2 2" xfId="3188"/>
    <cellStyle name="Comma 9 2 3" xfId="3189"/>
    <cellStyle name="Comma 9 2 4" xfId="3190"/>
    <cellStyle name="Comma 9 3" xfId="3191"/>
    <cellStyle name="Comma 9 3 2" xfId="3192"/>
    <cellStyle name="Comma 9 3 2 2" xfId="3193"/>
    <cellStyle name="Comma 9 3 3" xfId="3194"/>
    <cellStyle name="Comma 9 3 4" xfId="3195"/>
    <cellStyle name="Comma 9 4" xfId="3196"/>
    <cellStyle name="Comma 9 4 2" xfId="3197"/>
    <cellStyle name="Comma 9 5" xfId="3198"/>
    <cellStyle name="Comma 9 6" xfId="3199"/>
    <cellStyle name="Comma(0)" xfId="3200"/>
    <cellStyle name="Comma(1)" xfId="3201"/>
    <cellStyle name="Comma(2)" xfId="3202"/>
    <cellStyle name="Comma0" xfId="3203"/>
    <cellStyle name="Comma0 - Style1" xfId="3204"/>
    <cellStyle name="Comma0 - Style1 2" xfId="3205"/>
    <cellStyle name="Comma0 - Style1 2 2" xfId="3206"/>
    <cellStyle name="Comma0 - Style1 2 3" xfId="3207"/>
    <cellStyle name="Comma0 - Style1 3" xfId="3208"/>
    <cellStyle name="Comma0 - Style1 4" xfId="3209"/>
    <cellStyle name="Comma0 - Style4" xfId="3210"/>
    <cellStyle name="Comma0 - Style4 2" xfId="3211"/>
    <cellStyle name="Comma0 - Style4 2 2" xfId="3212"/>
    <cellStyle name="Comma0 - Style4 2 3" xfId="3213"/>
    <cellStyle name="Comma0 - Style4 3" xfId="3214"/>
    <cellStyle name="Comma0 - Style4 4" xfId="3215"/>
    <cellStyle name="Comma0 10" xfId="3216"/>
    <cellStyle name="Comma0 10 2" xfId="3217"/>
    <cellStyle name="Comma0 10 2 2" xfId="3218"/>
    <cellStyle name="Comma0 10 3" xfId="3219"/>
    <cellStyle name="Comma0 100" xfId="3220"/>
    <cellStyle name="Comma0 100 2" xfId="3221"/>
    <cellStyle name="Comma0 101" xfId="3222"/>
    <cellStyle name="Comma0 101 2" xfId="3223"/>
    <cellStyle name="Comma0 102" xfId="3224"/>
    <cellStyle name="Comma0 102 2" xfId="3225"/>
    <cellStyle name="Comma0 103" xfId="3226"/>
    <cellStyle name="Comma0 103 2" xfId="3227"/>
    <cellStyle name="Comma0 104" xfId="3228"/>
    <cellStyle name="Comma0 104 2" xfId="3229"/>
    <cellStyle name="Comma0 105" xfId="3230"/>
    <cellStyle name="Comma0 105 2" xfId="3231"/>
    <cellStyle name="Comma0 106" xfId="3232"/>
    <cellStyle name="Comma0 106 2" xfId="3233"/>
    <cellStyle name="Comma0 107" xfId="3234"/>
    <cellStyle name="Comma0 107 2" xfId="3235"/>
    <cellStyle name="Comma0 108" xfId="3236"/>
    <cellStyle name="Comma0 108 2" xfId="3237"/>
    <cellStyle name="Comma0 109" xfId="3238"/>
    <cellStyle name="Comma0 109 2" xfId="3239"/>
    <cellStyle name="Comma0 11" xfId="3240"/>
    <cellStyle name="Comma0 11 2" xfId="3241"/>
    <cellStyle name="Comma0 11 2 2" xfId="3242"/>
    <cellStyle name="Comma0 11 3" xfId="3243"/>
    <cellStyle name="Comma0 110" xfId="3244"/>
    <cellStyle name="Comma0 110 2" xfId="3245"/>
    <cellStyle name="Comma0 111" xfId="3246"/>
    <cellStyle name="Comma0 111 2" xfId="3247"/>
    <cellStyle name="Comma0 112" xfId="3248"/>
    <cellStyle name="Comma0 112 2" xfId="3249"/>
    <cellStyle name="Comma0 113" xfId="3250"/>
    <cellStyle name="Comma0 113 2" xfId="3251"/>
    <cellStyle name="Comma0 114" xfId="3252"/>
    <cellStyle name="Comma0 114 2" xfId="3253"/>
    <cellStyle name="Comma0 115" xfId="3254"/>
    <cellStyle name="Comma0 115 2" xfId="3255"/>
    <cellStyle name="Comma0 116" xfId="3256"/>
    <cellStyle name="Comma0 116 2" xfId="3257"/>
    <cellStyle name="Comma0 117" xfId="3258"/>
    <cellStyle name="Comma0 117 2" xfId="3259"/>
    <cellStyle name="Comma0 118" xfId="3260"/>
    <cellStyle name="Comma0 118 2" xfId="3261"/>
    <cellStyle name="Comma0 119" xfId="3262"/>
    <cellStyle name="Comma0 119 2" xfId="3263"/>
    <cellStyle name="Comma0 12" xfId="3264"/>
    <cellStyle name="Comma0 12 2" xfId="3265"/>
    <cellStyle name="Comma0 12 2 2" xfId="3266"/>
    <cellStyle name="Comma0 12 3" xfId="3267"/>
    <cellStyle name="Comma0 120" xfId="3268"/>
    <cellStyle name="Comma0 120 2" xfId="3269"/>
    <cellStyle name="Comma0 121" xfId="3270"/>
    <cellStyle name="Comma0 121 2" xfId="3271"/>
    <cellStyle name="Comma0 121 2 2" xfId="3272"/>
    <cellStyle name="Comma0 121 3" xfId="3273"/>
    <cellStyle name="Comma0 122" xfId="3274"/>
    <cellStyle name="Comma0 122 2" xfId="3275"/>
    <cellStyle name="Comma0 122 2 2" xfId="3276"/>
    <cellStyle name="Comma0 122 3" xfId="3277"/>
    <cellStyle name="Comma0 123" xfId="3278"/>
    <cellStyle name="Comma0 123 2" xfId="3279"/>
    <cellStyle name="Comma0 123 2 2" xfId="3280"/>
    <cellStyle name="Comma0 123 3" xfId="3281"/>
    <cellStyle name="Comma0 124" xfId="3282"/>
    <cellStyle name="Comma0 124 2" xfId="3283"/>
    <cellStyle name="Comma0 124 2 2" xfId="3284"/>
    <cellStyle name="Comma0 124 3" xfId="3285"/>
    <cellStyle name="Comma0 125" xfId="3286"/>
    <cellStyle name="Comma0 125 2" xfId="3287"/>
    <cellStyle name="Comma0 125 2 2" xfId="3288"/>
    <cellStyle name="Comma0 125 3" xfId="3289"/>
    <cellStyle name="Comma0 126" xfId="3290"/>
    <cellStyle name="Comma0 126 2" xfId="3291"/>
    <cellStyle name="Comma0 126 2 2" xfId="3292"/>
    <cellStyle name="Comma0 126 3" xfId="3293"/>
    <cellStyle name="Comma0 127" xfId="3294"/>
    <cellStyle name="Comma0 127 2" xfId="3295"/>
    <cellStyle name="Comma0 127 2 2" xfId="3296"/>
    <cellStyle name="Comma0 127 3" xfId="3297"/>
    <cellStyle name="Comma0 128" xfId="3298"/>
    <cellStyle name="Comma0 128 2" xfId="3299"/>
    <cellStyle name="Comma0 128 2 2" xfId="3300"/>
    <cellStyle name="Comma0 128 3" xfId="3301"/>
    <cellStyle name="Comma0 129" xfId="3302"/>
    <cellStyle name="Comma0 129 2" xfId="3303"/>
    <cellStyle name="Comma0 129 2 2" xfId="3304"/>
    <cellStyle name="Comma0 129 3" xfId="3305"/>
    <cellStyle name="Comma0 13" xfId="3306"/>
    <cellStyle name="Comma0 13 2" xfId="3307"/>
    <cellStyle name="Comma0 13 2 2" xfId="3308"/>
    <cellStyle name="Comma0 13 3" xfId="3309"/>
    <cellStyle name="Comma0 130" xfId="3310"/>
    <cellStyle name="Comma0 130 2" xfId="3311"/>
    <cellStyle name="Comma0 130 2 2" xfId="3312"/>
    <cellStyle name="Comma0 130 3" xfId="3313"/>
    <cellStyle name="Comma0 131" xfId="3314"/>
    <cellStyle name="Comma0 131 2" xfId="3315"/>
    <cellStyle name="Comma0 131 2 2" xfId="3316"/>
    <cellStyle name="Comma0 131 3" xfId="3317"/>
    <cellStyle name="Comma0 132" xfId="3318"/>
    <cellStyle name="Comma0 132 2" xfId="3319"/>
    <cellStyle name="Comma0 132 2 2" xfId="3320"/>
    <cellStyle name="Comma0 132 3" xfId="3321"/>
    <cellStyle name="Comma0 133" xfId="3322"/>
    <cellStyle name="Comma0 133 2" xfId="3323"/>
    <cellStyle name="Comma0 133 2 2" xfId="3324"/>
    <cellStyle name="Comma0 133 3" xfId="3325"/>
    <cellStyle name="Comma0 134" xfId="3326"/>
    <cellStyle name="Comma0 134 2" xfId="3327"/>
    <cellStyle name="Comma0 134 2 2" xfId="3328"/>
    <cellStyle name="Comma0 134 3" xfId="3329"/>
    <cellStyle name="Comma0 135" xfId="3330"/>
    <cellStyle name="Comma0 135 2" xfId="3331"/>
    <cellStyle name="Comma0 135 2 2" xfId="3332"/>
    <cellStyle name="Comma0 135 3" xfId="3333"/>
    <cellStyle name="Comma0 136" xfId="3334"/>
    <cellStyle name="Comma0 136 2" xfId="3335"/>
    <cellStyle name="Comma0 136 2 2" xfId="3336"/>
    <cellStyle name="Comma0 136 3" xfId="3337"/>
    <cellStyle name="Comma0 137" xfId="3338"/>
    <cellStyle name="Comma0 137 2" xfId="3339"/>
    <cellStyle name="Comma0 137 2 2" xfId="3340"/>
    <cellStyle name="Comma0 137 3" xfId="3341"/>
    <cellStyle name="Comma0 138" xfId="3342"/>
    <cellStyle name="Comma0 138 2" xfId="3343"/>
    <cellStyle name="Comma0 138 2 2" xfId="3344"/>
    <cellStyle name="Comma0 138 3" xfId="3345"/>
    <cellStyle name="Comma0 139" xfId="3346"/>
    <cellStyle name="Comma0 139 2" xfId="3347"/>
    <cellStyle name="Comma0 139 2 2" xfId="3348"/>
    <cellStyle name="Comma0 139 3" xfId="3349"/>
    <cellStyle name="Comma0 14" xfId="3350"/>
    <cellStyle name="Comma0 14 2" xfId="3351"/>
    <cellStyle name="Comma0 14 2 2" xfId="3352"/>
    <cellStyle name="Comma0 14 3" xfId="3353"/>
    <cellStyle name="Comma0 140" xfId="3354"/>
    <cellStyle name="Comma0 140 2" xfId="3355"/>
    <cellStyle name="Comma0 140 2 2" xfId="3356"/>
    <cellStyle name="Comma0 140 3" xfId="3357"/>
    <cellStyle name="Comma0 141" xfId="3358"/>
    <cellStyle name="Comma0 141 2" xfId="3359"/>
    <cellStyle name="Comma0 141 2 2" xfId="3360"/>
    <cellStyle name="Comma0 141 3" xfId="3361"/>
    <cellStyle name="Comma0 142" xfId="3362"/>
    <cellStyle name="Comma0 142 2" xfId="3363"/>
    <cellStyle name="Comma0 142 2 2" xfId="3364"/>
    <cellStyle name="Comma0 142 3" xfId="3365"/>
    <cellStyle name="Comma0 143" xfId="3366"/>
    <cellStyle name="Comma0 143 2" xfId="3367"/>
    <cellStyle name="Comma0 143 2 2" xfId="3368"/>
    <cellStyle name="Comma0 143 3" xfId="3369"/>
    <cellStyle name="Comma0 144" xfId="3370"/>
    <cellStyle name="Comma0 144 2" xfId="3371"/>
    <cellStyle name="Comma0 144 2 2" xfId="3372"/>
    <cellStyle name="Comma0 144 3" xfId="3373"/>
    <cellStyle name="Comma0 145" xfId="3374"/>
    <cellStyle name="Comma0 145 2" xfId="3375"/>
    <cellStyle name="Comma0 145 2 2" xfId="3376"/>
    <cellStyle name="Comma0 145 3" xfId="3377"/>
    <cellStyle name="Comma0 146" xfId="3378"/>
    <cellStyle name="Comma0 146 2" xfId="3379"/>
    <cellStyle name="Comma0 146 2 2" xfId="3380"/>
    <cellStyle name="Comma0 146 3" xfId="3381"/>
    <cellStyle name="Comma0 147" xfId="3382"/>
    <cellStyle name="Comma0 147 2" xfId="3383"/>
    <cellStyle name="Comma0 147 2 2" xfId="3384"/>
    <cellStyle name="Comma0 147 3" xfId="3385"/>
    <cellStyle name="Comma0 148" xfId="3386"/>
    <cellStyle name="Comma0 148 2" xfId="3387"/>
    <cellStyle name="Comma0 148 2 2" xfId="3388"/>
    <cellStyle name="Comma0 148 3" xfId="3389"/>
    <cellStyle name="Comma0 149" xfId="3390"/>
    <cellStyle name="Comma0 149 2" xfId="3391"/>
    <cellStyle name="Comma0 149 2 2" xfId="3392"/>
    <cellStyle name="Comma0 149 3" xfId="3393"/>
    <cellStyle name="Comma0 15" xfId="3394"/>
    <cellStyle name="Comma0 15 2" xfId="3395"/>
    <cellStyle name="Comma0 150" xfId="3396"/>
    <cellStyle name="Comma0 150 2" xfId="3397"/>
    <cellStyle name="Comma0 150 2 2" xfId="3398"/>
    <cellStyle name="Comma0 150 3" xfId="3399"/>
    <cellStyle name="Comma0 151" xfId="3400"/>
    <cellStyle name="Comma0 151 2" xfId="3401"/>
    <cellStyle name="Comma0 151 2 2" xfId="3402"/>
    <cellStyle name="Comma0 151 3" xfId="3403"/>
    <cellStyle name="Comma0 152" xfId="3404"/>
    <cellStyle name="Comma0 152 2" xfId="3405"/>
    <cellStyle name="Comma0 152 2 2" xfId="3406"/>
    <cellStyle name="Comma0 152 3" xfId="3407"/>
    <cellStyle name="Comma0 153" xfId="3408"/>
    <cellStyle name="Comma0 153 2" xfId="3409"/>
    <cellStyle name="Comma0 153 2 2" xfId="3410"/>
    <cellStyle name="Comma0 153 3" xfId="3411"/>
    <cellStyle name="Comma0 154" xfId="3412"/>
    <cellStyle name="Comma0 154 2" xfId="3413"/>
    <cellStyle name="Comma0 154 2 2" xfId="3414"/>
    <cellStyle name="Comma0 154 3" xfId="3415"/>
    <cellStyle name="Comma0 155" xfId="3416"/>
    <cellStyle name="Comma0 155 2" xfId="3417"/>
    <cellStyle name="Comma0 155 2 2" xfId="3418"/>
    <cellStyle name="Comma0 155 3" xfId="3419"/>
    <cellStyle name="Comma0 156" xfId="3420"/>
    <cellStyle name="Comma0 156 2" xfId="3421"/>
    <cellStyle name="Comma0 157" xfId="3422"/>
    <cellStyle name="Comma0 157 2" xfId="3423"/>
    <cellStyle name="Comma0 158" xfId="3424"/>
    <cellStyle name="Comma0 158 2" xfId="3425"/>
    <cellStyle name="Comma0 159" xfId="3426"/>
    <cellStyle name="Comma0 159 2" xfId="3427"/>
    <cellStyle name="Comma0 16" xfId="3428"/>
    <cellStyle name="Comma0 16 2" xfId="3429"/>
    <cellStyle name="Comma0 160" xfId="3430"/>
    <cellStyle name="Comma0 160 2" xfId="3431"/>
    <cellStyle name="Comma0 161" xfId="3432"/>
    <cellStyle name="Comma0 161 2" xfId="3433"/>
    <cellStyle name="Comma0 162" xfId="3434"/>
    <cellStyle name="Comma0 162 2" xfId="3435"/>
    <cellStyle name="Comma0 163" xfId="3436"/>
    <cellStyle name="Comma0 163 2" xfId="3437"/>
    <cellStyle name="Comma0 164" xfId="3438"/>
    <cellStyle name="Comma0 164 2" xfId="3439"/>
    <cellStyle name="Comma0 165" xfId="3440"/>
    <cellStyle name="Comma0 165 2" xfId="3441"/>
    <cellStyle name="Comma0 166" xfId="3442"/>
    <cellStyle name="Comma0 166 2" xfId="3443"/>
    <cellStyle name="Comma0 167" xfId="3444"/>
    <cellStyle name="Comma0 167 2" xfId="3445"/>
    <cellStyle name="Comma0 168" xfId="3446"/>
    <cellStyle name="Comma0 168 2" xfId="3447"/>
    <cellStyle name="Comma0 169" xfId="3448"/>
    <cellStyle name="Comma0 169 2" xfId="3449"/>
    <cellStyle name="Comma0 17" xfId="3450"/>
    <cellStyle name="Comma0 17 2" xfId="3451"/>
    <cellStyle name="Comma0 170" xfId="3452"/>
    <cellStyle name="Comma0 170 2" xfId="3453"/>
    <cellStyle name="Comma0 171" xfId="3454"/>
    <cellStyle name="Comma0 171 2" xfId="3455"/>
    <cellStyle name="Comma0 172" xfId="3456"/>
    <cellStyle name="Comma0 172 2" xfId="3457"/>
    <cellStyle name="Comma0 173" xfId="3458"/>
    <cellStyle name="Comma0 173 2" xfId="3459"/>
    <cellStyle name="Comma0 174" xfId="3460"/>
    <cellStyle name="Comma0 174 2" xfId="3461"/>
    <cellStyle name="Comma0 175" xfId="3462"/>
    <cellStyle name="Comma0 175 2" xfId="3463"/>
    <cellStyle name="Comma0 176" xfId="3464"/>
    <cellStyle name="Comma0 176 2" xfId="3465"/>
    <cellStyle name="Comma0 177" xfId="3466"/>
    <cellStyle name="Comma0 177 2" xfId="3467"/>
    <cellStyle name="Comma0 178" xfId="3468"/>
    <cellStyle name="Comma0 178 2" xfId="3469"/>
    <cellStyle name="Comma0 179" xfId="3470"/>
    <cellStyle name="Comma0 179 2" xfId="3471"/>
    <cellStyle name="Comma0 18" xfId="3472"/>
    <cellStyle name="Comma0 18 2" xfId="3473"/>
    <cellStyle name="Comma0 180" xfId="3474"/>
    <cellStyle name="Comma0 180 2" xfId="3475"/>
    <cellStyle name="Comma0 181" xfId="3476"/>
    <cellStyle name="Comma0 181 2" xfId="3477"/>
    <cellStyle name="Comma0 182" xfId="3478"/>
    <cellStyle name="Comma0 182 2" xfId="3479"/>
    <cellStyle name="Comma0 183" xfId="3480"/>
    <cellStyle name="Comma0 183 2" xfId="3481"/>
    <cellStyle name="Comma0 184" xfId="3482"/>
    <cellStyle name="Comma0 184 2" xfId="3483"/>
    <cellStyle name="Comma0 185" xfId="3484"/>
    <cellStyle name="Comma0 185 2" xfId="3485"/>
    <cellStyle name="Comma0 186" xfId="3486"/>
    <cellStyle name="Comma0 186 2" xfId="3487"/>
    <cellStyle name="Comma0 187" xfId="3488"/>
    <cellStyle name="Comma0 187 2" xfId="3489"/>
    <cellStyle name="Comma0 188" xfId="3490"/>
    <cellStyle name="Comma0 188 2" xfId="3491"/>
    <cellStyle name="Comma0 189" xfId="3492"/>
    <cellStyle name="Comma0 19" xfId="3493"/>
    <cellStyle name="Comma0 19 2" xfId="3494"/>
    <cellStyle name="Comma0 190" xfId="3495"/>
    <cellStyle name="Comma0 191" xfId="3496"/>
    <cellStyle name="Comma0 192" xfId="3497"/>
    <cellStyle name="Comma0 193" xfId="3498"/>
    <cellStyle name="Comma0 194" xfId="3499"/>
    <cellStyle name="Comma0 2" xfId="3500"/>
    <cellStyle name="Comma0 2 2" xfId="3501"/>
    <cellStyle name="Comma0 2 2 2" xfId="3502"/>
    <cellStyle name="Comma0 2 3" xfId="3503"/>
    <cellStyle name="Comma0 20" xfId="3504"/>
    <cellStyle name="Comma0 20 2" xfId="3505"/>
    <cellStyle name="Comma0 21" xfId="3506"/>
    <cellStyle name="Comma0 21 2" xfId="3507"/>
    <cellStyle name="Comma0 22" xfId="3508"/>
    <cellStyle name="Comma0 22 2" xfId="3509"/>
    <cellStyle name="Comma0 23" xfId="3510"/>
    <cellStyle name="Comma0 23 2" xfId="3511"/>
    <cellStyle name="Comma0 24" xfId="3512"/>
    <cellStyle name="Comma0 24 2" xfId="3513"/>
    <cellStyle name="Comma0 25" xfId="3514"/>
    <cellStyle name="Comma0 25 2" xfId="3515"/>
    <cellStyle name="Comma0 26" xfId="3516"/>
    <cellStyle name="Comma0 26 2" xfId="3517"/>
    <cellStyle name="Comma0 27" xfId="3518"/>
    <cellStyle name="Comma0 27 2" xfId="3519"/>
    <cellStyle name="Comma0 28" xfId="3520"/>
    <cellStyle name="Comma0 28 2" xfId="3521"/>
    <cellStyle name="Comma0 29" xfId="3522"/>
    <cellStyle name="Comma0 29 2" xfId="3523"/>
    <cellStyle name="Comma0 3" xfId="3524"/>
    <cellStyle name="Comma0 3 2" xfId="3525"/>
    <cellStyle name="Comma0 30" xfId="3526"/>
    <cellStyle name="Comma0 30 2" xfId="3527"/>
    <cellStyle name="Comma0 31" xfId="3528"/>
    <cellStyle name="Comma0 31 2" xfId="3529"/>
    <cellStyle name="Comma0 32" xfId="3530"/>
    <cellStyle name="Comma0 32 2" xfId="3531"/>
    <cellStyle name="Comma0 33" xfId="3532"/>
    <cellStyle name="Comma0 33 2" xfId="3533"/>
    <cellStyle name="Comma0 34" xfId="3534"/>
    <cellStyle name="Comma0 34 2" xfId="3535"/>
    <cellStyle name="Comma0 35" xfId="3536"/>
    <cellStyle name="Comma0 35 2" xfId="3537"/>
    <cellStyle name="Comma0 36" xfId="3538"/>
    <cellStyle name="Comma0 36 2" xfId="3539"/>
    <cellStyle name="Comma0 37" xfId="3540"/>
    <cellStyle name="Comma0 37 2" xfId="3541"/>
    <cellStyle name="Comma0 38" xfId="3542"/>
    <cellStyle name="Comma0 38 2" xfId="3543"/>
    <cellStyle name="Comma0 39" xfId="3544"/>
    <cellStyle name="Comma0 39 2" xfId="3545"/>
    <cellStyle name="Comma0 4" xfId="3546"/>
    <cellStyle name="Comma0 4 2" xfId="3547"/>
    <cellStyle name="Comma0 4 2 2" xfId="3548"/>
    <cellStyle name="Comma0 4 3" xfId="3549"/>
    <cellStyle name="Comma0 40" xfId="3550"/>
    <cellStyle name="Comma0 40 2" xfId="3551"/>
    <cellStyle name="Comma0 41" xfId="3552"/>
    <cellStyle name="Comma0 41 2" xfId="3553"/>
    <cellStyle name="Comma0 42" xfId="3554"/>
    <cellStyle name="Comma0 42 2" xfId="3555"/>
    <cellStyle name="Comma0 43" xfId="3556"/>
    <cellStyle name="Comma0 43 2" xfId="3557"/>
    <cellStyle name="Comma0 44" xfId="3558"/>
    <cellStyle name="Comma0 44 2" xfId="3559"/>
    <cellStyle name="Comma0 45" xfId="3560"/>
    <cellStyle name="Comma0 45 2" xfId="3561"/>
    <cellStyle name="Comma0 46" xfId="3562"/>
    <cellStyle name="Comma0 46 2" xfId="3563"/>
    <cellStyle name="Comma0 47" xfId="3564"/>
    <cellStyle name="Comma0 47 2" xfId="3565"/>
    <cellStyle name="Comma0 48" xfId="3566"/>
    <cellStyle name="Comma0 48 2" xfId="3567"/>
    <cellStyle name="Comma0 49" xfId="3568"/>
    <cellStyle name="Comma0 49 2" xfId="3569"/>
    <cellStyle name="Comma0 5" xfId="3570"/>
    <cellStyle name="Comma0 5 2" xfId="3571"/>
    <cellStyle name="Comma0 5 2 2" xfId="3572"/>
    <cellStyle name="Comma0 5 3" xfId="3573"/>
    <cellStyle name="Comma0 50" xfId="3574"/>
    <cellStyle name="Comma0 50 2" xfId="3575"/>
    <cellStyle name="Comma0 51" xfId="3576"/>
    <cellStyle name="Comma0 51 2" xfId="3577"/>
    <cellStyle name="Comma0 52" xfId="3578"/>
    <cellStyle name="Comma0 52 2" xfId="3579"/>
    <cellStyle name="Comma0 53" xfId="3580"/>
    <cellStyle name="Comma0 53 2" xfId="3581"/>
    <cellStyle name="Comma0 54" xfId="3582"/>
    <cellStyle name="Comma0 54 2" xfId="3583"/>
    <cellStyle name="Comma0 55" xfId="3584"/>
    <cellStyle name="Comma0 55 2" xfId="3585"/>
    <cellStyle name="Comma0 56" xfId="3586"/>
    <cellStyle name="Comma0 56 2" xfId="3587"/>
    <cellStyle name="Comma0 57" xfId="3588"/>
    <cellStyle name="Comma0 57 2" xfId="3589"/>
    <cellStyle name="Comma0 58" xfId="3590"/>
    <cellStyle name="Comma0 58 2" xfId="3591"/>
    <cellStyle name="Comma0 59" xfId="3592"/>
    <cellStyle name="Comma0 59 2" xfId="3593"/>
    <cellStyle name="Comma0 6" xfId="3594"/>
    <cellStyle name="Comma0 6 2" xfId="3595"/>
    <cellStyle name="Comma0 6 2 2" xfId="3596"/>
    <cellStyle name="Comma0 6 3" xfId="3597"/>
    <cellStyle name="Comma0 60" xfId="3598"/>
    <cellStyle name="Comma0 60 2" xfId="3599"/>
    <cellStyle name="Comma0 61" xfId="3600"/>
    <cellStyle name="Comma0 61 2" xfId="3601"/>
    <cellStyle name="Comma0 62" xfId="3602"/>
    <cellStyle name="Comma0 62 2" xfId="3603"/>
    <cellStyle name="Comma0 63" xfId="3604"/>
    <cellStyle name="Comma0 63 2" xfId="3605"/>
    <cellStyle name="Comma0 64" xfId="3606"/>
    <cellStyle name="Comma0 64 2" xfId="3607"/>
    <cellStyle name="Comma0 65" xfId="3608"/>
    <cellStyle name="Comma0 65 2" xfId="3609"/>
    <cellStyle name="Comma0 66" xfId="3610"/>
    <cellStyle name="Comma0 66 2" xfId="3611"/>
    <cellStyle name="Comma0 67" xfId="3612"/>
    <cellStyle name="Comma0 67 2" xfId="3613"/>
    <cellStyle name="Comma0 68" xfId="3614"/>
    <cellStyle name="Comma0 68 2" xfId="3615"/>
    <cellStyle name="Comma0 69" xfId="3616"/>
    <cellStyle name="Comma0 69 2" xfId="3617"/>
    <cellStyle name="Comma0 7" xfId="3618"/>
    <cellStyle name="Comma0 7 2" xfId="3619"/>
    <cellStyle name="Comma0 7 2 2" xfId="3620"/>
    <cellStyle name="Comma0 7 3" xfId="3621"/>
    <cellStyle name="Comma0 70" xfId="3622"/>
    <cellStyle name="Comma0 70 2" xfId="3623"/>
    <cellStyle name="Comma0 71" xfId="3624"/>
    <cellStyle name="Comma0 71 2" xfId="3625"/>
    <cellStyle name="Comma0 72" xfId="3626"/>
    <cellStyle name="Comma0 72 2" xfId="3627"/>
    <cellStyle name="Comma0 73" xfId="3628"/>
    <cellStyle name="Comma0 73 2" xfId="3629"/>
    <cellStyle name="Comma0 74" xfId="3630"/>
    <cellStyle name="Comma0 74 2" xfId="3631"/>
    <cellStyle name="Comma0 75" xfId="3632"/>
    <cellStyle name="Comma0 75 2" xfId="3633"/>
    <cellStyle name="Comma0 76" xfId="3634"/>
    <cellStyle name="Comma0 76 2" xfId="3635"/>
    <cellStyle name="Comma0 77" xfId="3636"/>
    <cellStyle name="Comma0 77 2" xfId="3637"/>
    <cellStyle name="Comma0 78" xfId="3638"/>
    <cellStyle name="Comma0 78 2" xfId="3639"/>
    <cellStyle name="Comma0 79" xfId="3640"/>
    <cellStyle name="Comma0 79 2" xfId="3641"/>
    <cellStyle name="Comma0 8" xfId="3642"/>
    <cellStyle name="Comma0 8 2" xfId="3643"/>
    <cellStyle name="Comma0 8 2 2" xfId="3644"/>
    <cellStyle name="Comma0 8 3" xfId="3645"/>
    <cellStyle name="Comma0 80" xfId="3646"/>
    <cellStyle name="Comma0 80 2" xfId="3647"/>
    <cellStyle name="Comma0 81" xfId="3648"/>
    <cellStyle name="Comma0 81 2" xfId="3649"/>
    <cellStyle name="Comma0 82" xfId="3650"/>
    <cellStyle name="Comma0 82 2" xfId="3651"/>
    <cellStyle name="Comma0 83" xfId="3652"/>
    <cellStyle name="Comma0 83 2" xfId="3653"/>
    <cellStyle name="Comma0 84" xfId="3654"/>
    <cellStyle name="Comma0 84 2" xfId="3655"/>
    <cellStyle name="Comma0 85" xfId="3656"/>
    <cellStyle name="Comma0 85 2" xfId="3657"/>
    <cellStyle name="Comma0 86" xfId="3658"/>
    <cellStyle name="Comma0 86 2" xfId="3659"/>
    <cellStyle name="Comma0 87" xfId="3660"/>
    <cellStyle name="Comma0 87 2" xfId="3661"/>
    <cellStyle name="Comma0 88" xfId="3662"/>
    <cellStyle name="Comma0 88 2" xfId="3663"/>
    <cellStyle name="Comma0 89" xfId="3664"/>
    <cellStyle name="Comma0 89 2" xfId="3665"/>
    <cellStyle name="Comma0 9" xfId="3666"/>
    <cellStyle name="Comma0 9 2" xfId="3667"/>
    <cellStyle name="Comma0 9 2 2" xfId="3668"/>
    <cellStyle name="Comma0 9 3" xfId="3669"/>
    <cellStyle name="Comma0 90" xfId="3670"/>
    <cellStyle name="Comma0 90 2" xfId="3671"/>
    <cellStyle name="Comma0 91" xfId="3672"/>
    <cellStyle name="Comma0 91 2" xfId="3673"/>
    <cellStyle name="Comma0 92" xfId="3674"/>
    <cellStyle name="Comma0 92 2" xfId="3675"/>
    <cellStyle name="Comma0 93" xfId="3676"/>
    <cellStyle name="Comma0 93 2" xfId="3677"/>
    <cellStyle name="Comma0 94" xfId="3678"/>
    <cellStyle name="Comma0 94 2" xfId="3679"/>
    <cellStyle name="Comma0 95" xfId="3680"/>
    <cellStyle name="Comma0 95 2" xfId="3681"/>
    <cellStyle name="Comma0 96" xfId="3682"/>
    <cellStyle name="Comma0 96 2" xfId="3683"/>
    <cellStyle name="Comma0 97" xfId="3684"/>
    <cellStyle name="Comma0 97 2" xfId="3685"/>
    <cellStyle name="Comma0 98" xfId="3686"/>
    <cellStyle name="Comma0 98 2" xfId="3687"/>
    <cellStyle name="Comma0 99" xfId="3688"/>
    <cellStyle name="Comma0 99 2" xfId="3689"/>
    <cellStyle name="Comma0_08-1322-LCOE Navy Firescout UAE Support ROM SANITIZED Abbreviated (3)" xfId="3690"/>
    <cellStyle name="Comma1 - Style2" xfId="3691"/>
    <cellStyle name="Comma1 - Style2 2" xfId="3692"/>
    <cellStyle name="Comma1 - Style2 2 2" xfId="3693"/>
    <cellStyle name="Comma1 - Style2 2 3" xfId="3694"/>
    <cellStyle name="Comma1 - Style2 3" xfId="3695"/>
    <cellStyle name="Comma1 - Style2 4" xfId="3696"/>
    <cellStyle name="Curren - Style1" xfId="3697"/>
    <cellStyle name="Curren - Style1 2" xfId="3698"/>
    <cellStyle name="Curren - Style1 2 2" xfId="3699"/>
    <cellStyle name="Curren - Style1 2 3" xfId="3700"/>
    <cellStyle name="Curren - Style1 3" xfId="3701"/>
    <cellStyle name="Curren - Style1 4" xfId="3702"/>
    <cellStyle name="Curren - Style3" xfId="3703"/>
    <cellStyle name="Curren - Style3 2" xfId="3704"/>
    <cellStyle name="Curren - Style3 2 2" xfId="3705"/>
    <cellStyle name="Curren - Style3 2 3" xfId="3706"/>
    <cellStyle name="Curren - Style3 3" xfId="3707"/>
    <cellStyle name="Curren - Style3 4" xfId="3708"/>
    <cellStyle name="Curren - Style5" xfId="3709"/>
    <cellStyle name="Curren - Style5 2" xfId="3710"/>
    <cellStyle name="Curren - Style5 2 2" xfId="3711"/>
    <cellStyle name="Curren - Style5 2 3" xfId="3712"/>
    <cellStyle name="Curren - Style5 3" xfId="3713"/>
    <cellStyle name="Curren - Style5 4" xfId="3714"/>
    <cellStyle name="Currency" xfId="59027" builtinId="4"/>
    <cellStyle name="Currency [0] 2" xfId="3715"/>
    <cellStyle name="Currency [00]" xfId="3716"/>
    <cellStyle name="Currency [3]" xfId="3717"/>
    <cellStyle name="Currency 10" xfId="3718"/>
    <cellStyle name="Currency 10 10" xfId="3719"/>
    <cellStyle name="Currency 10 2" xfId="3720"/>
    <cellStyle name="Currency 10 2 2" xfId="3721"/>
    <cellStyle name="Currency 10 2 2 2" xfId="3722"/>
    <cellStyle name="Currency 10 2 2 2 2" xfId="3723"/>
    <cellStyle name="Currency 10 2 2 2 2 2" xfId="3724"/>
    <cellStyle name="Currency 10 2 2 2 3" xfId="3725"/>
    <cellStyle name="Currency 10 2 2 3" xfId="3726"/>
    <cellStyle name="Currency 10 2 2 3 2" xfId="3727"/>
    <cellStyle name="Currency 10 2 2 3 2 2" xfId="3728"/>
    <cellStyle name="Currency 10 2 2 3 3" xfId="3729"/>
    <cellStyle name="Currency 10 2 2 4" xfId="3730"/>
    <cellStyle name="Currency 10 2 2 4 2" xfId="3731"/>
    <cellStyle name="Currency 10 2 2 5" xfId="3732"/>
    <cellStyle name="Currency 10 2 2 6" xfId="3733"/>
    <cellStyle name="Currency 10 2 3" xfId="3734"/>
    <cellStyle name="Currency 10 2 3 2" xfId="3735"/>
    <cellStyle name="Currency 10 2 3 2 2" xfId="3736"/>
    <cellStyle name="Currency 10 2 3 3" xfId="3737"/>
    <cellStyle name="Currency 10 2 3 4" xfId="3738"/>
    <cellStyle name="Currency 10 2 4" xfId="3739"/>
    <cellStyle name="Currency 10 2 4 2" xfId="3740"/>
    <cellStyle name="Currency 10 2 4 2 2" xfId="3741"/>
    <cellStyle name="Currency 10 2 4 3" xfId="3742"/>
    <cellStyle name="Currency 10 2 5" xfId="3743"/>
    <cellStyle name="Currency 10 2 5 2" xfId="3744"/>
    <cellStyle name="Currency 10 2 6" xfId="3745"/>
    <cellStyle name="Currency 10 2 7" xfId="3746"/>
    <cellStyle name="Currency 10 3" xfId="3747"/>
    <cellStyle name="Currency 10 3 2" xfId="3748"/>
    <cellStyle name="Currency 10 3 2 2" xfId="3749"/>
    <cellStyle name="Currency 10 3 2 3" xfId="3750"/>
    <cellStyle name="Currency 10 3 3" xfId="3751"/>
    <cellStyle name="Currency 10 3 4" xfId="3752"/>
    <cellStyle name="Currency 10 4" xfId="3753"/>
    <cellStyle name="Currency 10 4 2" xfId="3754"/>
    <cellStyle name="Currency 10 4 2 2" xfId="3755"/>
    <cellStyle name="Currency 10 4 3" xfId="3756"/>
    <cellStyle name="Currency 10 4 4" xfId="3757"/>
    <cellStyle name="Currency 10 5" xfId="3758"/>
    <cellStyle name="Currency 10 5 2" xfId="3759"/>
    <cellStyle name="Currency 10 5 3" xfId="3760"/>
    <cellStyle name="Currency 10 6" xfId="3761"/>
    <cellStyle name="Currency 10 6 2" xfId="3762"/>
    <cellStyle name="Currency 10 7" xfId="3763"/>
    <cellStyle name="Currency 10 8" xfId="3764"/>
    <cellStyle name="Currency 10 8 2" xfId="3765"/>
    <cellStyle name="Currency 10 8 3" xfId="3766"/>
    <cellStyle name="Currency 10 9" xfId="3767"/>
    <cellStyle name="Currency 100" xfId="3768"/>
    <cellStyle name="Currency 108" xfId="3769"/>
    <cellStyle name="Currency 11" xfId="3770"/>
    <cellStyle name="Currency 11 10" xfId="3771"/>
    <cellStyle name="Currency 11 2" xfId="3772"/>
    <cellStyle name="Currency 11 2 2" xfId="3773"/>
    <cellStyle name="Currency 11 2 2 2" xfId="3774"/>
    <cellStyle name="Currency 11 2 2 2 2" xfId="3775"/>
    <cellStyle name="Currency 11 2 2 3" xfId="3776"/>
    <cellStyle name="Currency 11 2 2 4" xfId="3777"/>
    <cellStyle name="Currency 11 2 3" xfId="3778"/>
    <cellStyle name="Currency 11 2 3 2" xfId="3779"/>
    <cellStyle name="Currency 11 2 3 2 2" xfId="3780"/>
    <cellStyle name="Currency 11 2 3 3" xfId="3781"/>
    <cellStyle name="Currency 11 2 3 4" xfId="3782"/>
    <cellStyle name="Currency 11 2 4" xfId="3783"/>
    <cellStyle name="Currency 11 2 4 2" xfId="3784"/>
    <cellStyle name="Currency 11 2 5" xfId="3785"/>
    <cellStyle name="Currency 11 2 6" xfId="3786"/>
    <cellStyle name="Currency 11 3" xfId="3787"/>
    <cellStyle name="Currency 11 3 2" xfId="3788"/>
    <cellStyle name="Currency 11 3 2 2" xfId="3789"/>
    <cellStyle name="Currency 11 3 2 3" xfId="3790"/>
    <cellStyle name="Currency 11 3 3" xfId="3791"/>
    <cellStyle name="Currency 11 3 4" xfId="3792"/>
    <cellStyle name="Currency 11 4" xfId="3793"/>
    <cellStyle name="Currency 11 4 2" xfId="3794"/>
    <cellStyle name="Currency 11 4 2 2" xfId="3795"/>
    <cellStyle name="Currency 11 4 3" xfId="3796"/>
    <cellStyle name="Currency 11 4 4" xfId="3797"/>
    <cellStyle name="Currency 11 5" xfId="3798"/>
    <cellStyle name="Currency 11 5 2" xfId="3799"/>
    <cellStyle name="Currency 11 5 3" xfId="3800"/>
    <cellStyle name="Currency 11 6" xfId="3801"/>
    <cellStyle name="Currency 11 6 2" xfId="3802"/>
    <cellStyle name="Currency 11 7" xfId="3803"/>
    <cellStyle name="Currency 11 8" xfId="3804"/>
    <cellStyle name="Currency 11 8 2" xfId="3805"/>
    <cellStyle name="Currency 11 8 3" xfId="3806"/>
    <cellStyle name="Currency 11 9" xfId="3807"/>
    <cellStyle name="Currency 12" xfId="3808"/>
    <cellStyle name="Currency 12 10" xfId="3809"/>
    <cellStyle name="Currency 12 2" xfId="3810"/>
    <cellStyle name="Currency 12 2 2" xfId="3811"/>
    <cellStyle name="Currency 12 2 3" xfId="3812"/>
    <cellStyle name="Currency 12 2 4" xfId="3813"/>
    <cellStyle name="Currency 12 3" xfId="3814"/>
    <cellStyle name="Currency 12 3 2" xfId="3815"/>
    <cellStyle name="Currency 12 4" xfId="3816"/>
    <cellStyle name="Currency 12 5" xfId="3817"/>
    <cellStyle name="Currency 12 6" xfId="3818"/>
    <cellStyle name="Currency 12 7" xfId="3819"/>
    <cellStyle name="Currency 12 8" xfId="3820"/>
    <cellStyle name="Currency 12 8 2" xfId="3821"/>
    <cellStyle name="Currency 12 8 3" xfId="3822"/>
    <cellStyle name="Currency 12 9" xfId="3823"/>
    <cellStyle name="Currency 13" xfId="3824"/>
    <cellStyle name="Currency 13 2" xfId="3825"/>
    <cellStyle name="Currency 13 2 2" xfId="3826"/>
    <cellStyle name="Currency 13 2 3" xfId="3827"/>
    <cellStyle name="Currency 13 3" xfId="3828"/>
    <cellStyle name="Currency 13 3 2" xfId="3829"/>
    <cellStyle name="Currency 13 4" xfId="3830"/>
    <cellStyle name="Currency 13 5" xfId="3831"/>
    <cellStyle name="Currency 13 6" xfId="3832"/>
    <cellStyle name="Currency 13 7" xfId="3833"/>
    <cellStyle name="Currency 13 8" xfId="3834"/>
    <cellStyle name="Currency 13 8 2" xfId="3835"/>
    <cellStyle name="Currency 13 8 3" xfId="3836"/>
    <cellStyle name="Currency 13 9" xfId="3837"/>
    <cellStyle name="Currency 14" xfId="3838"/>
    <cellStyle name="Currency 14 10" xfId="3839"/>
    <cellStyle name="Currency 14 2" xfId="3840"/>
    <cellStyle name="Currency 14 2 2" xfId="3841"/>
    <cellStyle name="Currency 14 2 3" xfId="3842"/>
    <cellStyle name="Currency 14 3" xfId="3843"/>
    <cellStyle name="Currency 14 3 2" xfId="3844"/>
    <cellStyle name="Currency 14 4" xfId="3845"/>
    <cellStyle name="Currency 14 5" xfId="3846"/>
    <cellStyle name="Currency 14 6" xfId="3847"/>
    <cellStyle name="Currency 14 7" xfId="3848"/>
    <cellStyle name="Currency 14 8" xfId="3849"/>
    <cellStyle name="Currency 14 8 2" xfId="3850"/>
    <cellStyle name="Currency 14 8 3" xfId="3851"/>
    <cellStyle name="Currency 14 9" xfId="3852"/>
    <cellStyle name="Currency 15" xfId="3853"/>
    <cellStyle name="Currency 15 2" xfId="3854"/>
    <cellStyle name="Currency 15 2 2" xfId="3855"/>
    <cellStyle name="Currency 15 2 3" xfId="3856"/>
    <cellStyle name="Currency 15 3" xfId="3857"/>
    <cellStyle name="Currency 15 3 2" xfId="3858"/>
    <cellStyle name="Currency 15 4" xfId="3859"/>
    <cellStyle name="Currency 15 5" xfId="3860"/>
    <cellStyle name="Currency 15 6" xfId="3861"/>
    <cellStyle name="Currency 15 7" xfId="3862"/>
    <cellStyle name="Currency 15 8" xfId="3863"/>
    <cellStyle name="Currency 15 8 2" xfId="3864"/>
    <cellStyle name="Currency 15 8 3" xfId="3865"/>
    <cellStyle name="Currency 15 9" xfId="3866"/>
    <cellStyle name="Currency 16" xfId="3867"/>
    <cellStyle name="Currency 16 2" xfId="3868"/>
    <cellStyle name="Currency 17" xfId="3869"/>
    <cellStyle name="Currency 17 2" xfId="3870"/>
    <cellStyle name="Currency 18" xfId="3871"/>
    <cellStyle name="Currency 18 2" xfId="3872"/>
    <cellStyle name="Currency 19" xfId="3873"/>
    <cellStyle name="Currency 19 2" xfId="3874"/>
    <cellStyle name="Currency 2" xfId="3875"/>
    <cellStyle name="Currency 2 10" xfId="3876"/>
    <cellStyle name="Currency 2 10 2" xfId="3877"/>
    <cellStyle name="Currency 2 11" xfId="3878"/>
    <cellStyle name="Currency 2 11 2" xfId="3879"/>
    <cellStyle name="Currency 2 12" xfId="3880"/>
    <cellStyle name="Currency 2 12 2" xfId="3881"/>
    <cellStyle name="Currency 2 13" xfId="3882"/>
    <cellStyle name="Currency 2 13 2" xfId="3883"/>
    <cellStyle name="Currency 2 14" xfId="3884"/>
    <cellStyle name="Currency 2 14 2" xfId="3885"/>
    <cellStyle name="Currency 2 15" xfId="3886"/>
    <cellStyle name="Currency 2 15 2" xfId="3887"/>
    <cellStyle name="Currency 2 16" xfId="3888"/>
    <cellStyle name="Currency 2 16 2" xfId="3889"/>
    <cellStyle name="Currency 2 17" xfId="3890"/>
    <cellStyle name="Currency 2 17 2" xfId="3891"/>
    <cellStyle name="Currency 2 18" xfId="3892"/>
    <cellStyle name="Currency 2 19" xfId="3893"/>
    <cellStyle name="Currency 2 2" xfId="3894"/>
    <cellStyle name="Currency 2 2 2" xfId="3895"/>
    <cellStyle name="Currency 2 2 2 2" xfId="3896"/>
    <cellStyle name="Currency 2 2 3" xfId="3897"/>
    <cellStyle name="Currency 2 2 3 2" xfId="3898"/>
    <cellStyle name="Currency 2 2 3 3" xfId="3899"/>
    <cellStyle name="Currency 2 20" xfId="3900"/>
    <cellStyle name="Currency 2 3" xfId="3901"/>
    <cellStyle name="Currency 2 3 2" xfId="3902"/>
    <cellStyle name="Currency 2 3 2 2" xfId="3903"/>
    <cellStyle name="Currency 2 3 3" xfId="3904"/>
    <cellStyle name="Currency 2 4" xfId="3905"/>
    <cellStyle name="Currency 2 4 2" xfId="3906"/>
    <cellStyle name="Currency 2 5" xfId="3907"/>
    <cellStyle name="Currency 2 5 2" xfId="3908"/>
    <cellStyle name="Currency 2 6" xfId="3909"/>
    <cellStyle name="Currency 2 6 2" xfId="3910"/>
    <cellStyle name="Currency 2 7" xfId="3911"/>
    <cellStyle name="Currency 2 7 2" xfId="3912"/>
    <cellStyle name="Currency 2 8" xfId="3913"/>
    <cellStyle name="Currency 2 8 2" xfId="3914"/>
    <cellStyle name="Currency 2 9" xfId="3915"/>
    <cellStyle name="Currency 2 9 2" xfId="3916"/>
    <cellStyle name="Currency 20" xfId="3917"/>
    <cellStyle name="Currency 20 2" xfId="3918"/>
    <cellStyle name="Currency 20 3" xfId="3919"/>
    <cellStyle name="Currency 21" xfId="3920"/>
    <cellStyle name="Currency 21 2" xfId="3921"/>
    <cellStyle name="Currency 22" xfId="3922"/>
    <cellStyle name="Currency 22 2" xfId="3923"/>
    <cellStyle name="Currency 23" xfId="3924"/>
    <cellStyle name="Currency 23 2" xfId="3925"/>
    <cellStyle name="Currency 24" xfId="3926"/>
    <cellStyle name="Currency 25" xfId="3927"/>
    <cellStyle name="Currency 25 2" xfId="3928"/>
    <cellStyle name="Currency 25 2 2" xfId="3929"/>
    <cellStyle name="Currency 25 2 2 2" xfId="3930"/>
    <cellStyle name="Currency 25 2 3" xfId="3931"/>
    <cellStyle name="Currency 25 2 4" xfId="3932"/>
    <cellStyle name="Currency 25 3" xfId="3933"/>
    <cellStyle name="Currency 25 3 2" xfId="3934"/>
    <cellStyle name="Currency 25 3 2 2" xfId="3935"/>
    <cellStyle name="Currency 25 3 3" xfId="3936"/>
    <cellStyle name="Currency 25 3 4" xfId="3937"/>
    <cellStyle name="Currency 25 4" xfId="3938"/>
    <cellStyle name="Currency 25 4 2" xfId="3939"/>
    <cellStyle name="Currency 25 5" xfId="3940"/>
    <cellStyle name="Currency 25 6" xfId="3941"/>
    <cellStyle name="Currency 26" xfId="3942"/>
    <cellStyle name="Currency 26 2" xfId="3943"/>
    <cellStyle name="Currency 26 2 2" xfId="3944"/>
    <cellStyle name="Currency 26 2 2 2" xfId="3945"/>
    <cellStyle name="Currency 26 2 3" xfId="3946"/>
    <cellStyle name="Currency 26 2 4" xfId="3947"/>
    <cellStyle name="Currency 26 3" xfId="3948"/>
    <cellStyle name="Currency 26 3 2" xfId="3949"/>
    <cellStyle name="Currency 26 3 2 2" xfId="3950"/>
    <cellStyle name="Currency 26 3 3" xfId="3951"/>
    <cellStyle name="Currency 26 3 4" xfId="3952"/>
    <cellStyle name="Currency 26 4" xfId="3953"/>
    <cellStyle name="Currency 26 4 2" xfId="3954"/>
    <cellStyle name="Currency 26 5" xfId="3955"/>
    <cellStyle name="Currency 26 6" xfId="3956"/>
    <cellStyle name="Currency 27" xfId="3957"/>
    <cellStyle name="Currency 27 2" xfId="3958"/>
    <cellStyle name="Currency 27 2 2" xfId="3959"/>
    <cellStyle name="Currency 27 2 2 2" xfId="3960"/>
    <cellStyle name="Currency 27 2 3" xfId="3961"/>
    <cellStyle name="Currency 27 2 4" xfId="3962"/>
    <cellStyle name="Currency 27 3" xfId="3963"/>
    <cellStyle name="Currency 27 3 2" xfId="3964"/>
    <cellStyle name="Currency 27 3 2 2" xfId="3965"/>
    <cellStyle name="Currency 27 3 3" xfId="3966"/>
    <cellStyle name="Currency 27 3 4" xfId="3967"/>
    <cellStyle name="Currency 27 4" xfId="3968"/>
    <cellStyle name="Currency 27 4 2" xfId="3969"/>
    <cellStyle name="Currency 27 5" xfId="3970"/>
    <cellStyle name="Currency 27 6" xfId="3971"/>
    <cellStyle name="Currency 28" xfId="3972"/>
    <cellStyle name="Currency 29" xfId="3973"/>
    <cellStyle name="Currency 3" xfId="3974"/>
    <cellStyle name="Currency 3 2" xfId="3975"/>
    <cellStyle name="Currency 3 2 2" xfId="3976"/>
    <cellStyle name="Currency 3 2 3" xfId="3977"/>
    <cellStyle name="Currency 3 2 4" xfId="3978"/>
    <cellStyle name="Currency 3 2 5" xfId="3979"/>
    <cellStyle name="Currency 3 3" xfId="3980"/>
    <cellStyle name="Currency 3 3 2" xfId="3981"/>
    <cellStyle name="Currency 3 3 3" xfId="3982"/>
    <cellStyle name="Currency 3 4" xfId="3983"/>
    <cellStyle name="Currency 3 5" xfId="3984"/>
    <cellStyle name="Currency 3 6" xfId="3985"/>
    <cellStyle name="Currency 3 7" xfId="3986"/>
    <cellStyle name="Currency 3 8" xfId="3987"/>
    <cellStyle name="Currency 3 9" xfId="3988"/>
    <cellStyle name="Currency 30" xfId="3989"/>
    <cellStyle name="Currency 30 2" xfId="3990"/>
    <cellStyle name="Currency 30 2 2" xfId="3991"/>
    <cellStyle name="Currency 30 2 2 2" xfId="3992"/>
    <cellStyle name="Currency 30 2 2 2 2" xfId="3993"/>
    <cellStyle name="Currency 30 2 2 3" xfId="3994"/>
    <cellStyle name="Currency 30 2 2 4" xfId="3995"/>
    <cellStyle name="Currency 30 2 3" xfId="3996"/>
    <cellStyle name="Currency 30 2 3 2" xfId="3997"/>
    <cellStyle name="Currency 30 2 3 2 2" xfId="3998"/>
    <cellStyle name="Currency 30 2 3 3" xfId="3999"/>
    <cellStyle name="Currency 30 2 3 4" xfId="4000"/>
    <cellStyle name="Currency 30 2 4" xfId="4001"/>
    <cellStyle name="Currency 30 2 4 2" xfId="4002"/>
    <cellStyle name="Currency 30 2 5" xfId="4003"/>
    <cellStyle name="Currency 30 2 6" xfId="4004"/>
    <cellStyle name="Currency 30 3" xfId="4005"/>
    <cellStyle name="Currency 30 3 2" xfId="4006"/>
    <cellStyle name="Currency 30 3 2 2" xfId="4007"/>
    <cellStyle name="Currency 30 3 2 2 2" xfId="4008"/>
    <cellStyle name="Currency 30 3 2 2 2 2" xfId="4009"/>
    <cellStyle name="Currency 30 3 2 2 3" xfId="4010"/>
    <cellStyle name="Currency 30 3 2 2 4" xfId="4011"/>
    <cellStyle name="Currency 30 3 2 3" xfId="4012"/>
    <cellStyle name="Currency 30 3 2 3 2" xfId="4013"/>
    <cellStyle name="Currency 30 3 2 3 2 2" xfId="4014"/>
    <cellStyle name="Currency 30 3 2 3 3" xfId="4015"/>
    <cellStyle name="Currency 30 3 2 3 4" xfId="4016"/>
    <cellStyle name="Currency 30 3 2 4" xfId="4017"/>
    <cellStyle name="Currency 30 3 2 4 2" xfId="4018"/>
    <cellStyle name="Currency 30 3 2 5" xfId="4019"/>
    <cellStyle name="Currency 30 3 2 6" xfId="4020"/>
    <cellStyle name="Currency 30 3 3" xfId="4021"/>
    <cellStyle name="Currency 30 3 3 2" xfId="4022"/>
    <cellStyle name="Currency 30 3 3 2 2" xfId="4023"/>
    <cellStyle name="Currency 30 3 3 2 2 2" xfId="4024"/>
    <cellStyle name="Currency 30 3 3 2 3" xfId="4025"/>
    <cellStyle name="Currency 30 3 3 2 4" xfId="4026"/>
    <cellStyle name="Currency 30 3 3 3" xfId="4027"/>
    <cellStyle name="Currency 30 3 3 3 2" xfId="4028"/>
    <cellStyle name="Currency 30 3 3 3 2 2" xfId="4029"/>
    <cellStyle name="Currency 30 3 3 3 3" xfId="4030"/>
    <cellStyle name="Currency 30 3 3 3 4" xfId="4031"/>
    <cellStyle name="Currency 30 3 3 4" xfId="4032"/>
    <cellStyle name="Currency 30 3 3 4 2" xfId="4033"/>
    <cellStyle name="Currency 30 3 3 5" xfId="4034"/>
    <cellStyle name="Currency 30 3 3 6" xfId="4035"/>
    <cellStyle name="Currency 30 3 4" xfId="4036"/>
    <cellStyle name="Currency 30 3 4 2" xfId="4037"/>
    <cellStyle name="Currency 30 3 4 2 2" xfId="4038"/>
    <cellStyle name="Currency 30 3 4 3" xfId="4039"/>
    <cellStyle name="Currency 30 3 4 4" xfId="4040"/>
    <cellStyle name="Currency 30 3 5" xfId="4041"/>
    <cellStyle name="Currency 30 3 5 2" xfId="4042"/>
    <cellStyle name="Currency 30 3 5 2 2" xfId="4043"/>
    <cellStyle name="Currency 30 3 5 3" xfId="4044"/>
    <cellStyle name="Currency 30 3 5 4" xfId="4045"/>
    <cellStyle name="Currency 30 3 6" xfId="4046"/>
    <cellStyle name="Currency 30 3 6 2" xfId="4047"/>
    <cellStyle name="Currency 30 3 7" xfId="4048"/>
    <cellStyle name="Currency 30 3 8" xfId="4049"/>
    <cellStyle name="Currency 30 4" xfId="4050"/>
    <cellStyle name="Currency 30 4 2" xfId="4051"/>
    <cellStyle name="Currency 30 4 2 2" xfId="4052"/>
    <cellStyle name="Currency 30 4 3" xfId="4053"/>
    <cellStyle name="Currency 30 4 4" xfId="4054"/>
    <cellStyle name="Currency 30 5" xfId="4055"/>
    <cellStyle name="Currency 30 5 2" xfId="4056"/>
    <cellStyle name="Currency 30 5 2 2" xfId="4057"/>
    <cellStyle name="Currency 30 5 3" xfId="4058"/>
    <cellStyle name="Currency 30 5 4" xfId="4059"/>
    <cellStyle name="Currency 30 6" xfId="4060"/>
    <cellStyle name="Currency 30 6 2" xfId="4061"/>
    <cellStyle name="Currency 30 7" xfId="4062"/>
    <cellStyle name="Currency 30 8" xfId="4063"/>
    <cellStyle name="Currency 31" xfId="4064"/>
    <cellStyle name="Currency 31 2" xfId="4065"/>
    <cellStyle name="Currency 32" xfId="4066"/>
    <cellStyle name="Currency 33" xfId="4067"/>
    <cellStyle name="Currency 33 2" xfId="4068"/>
    <cellStyle name="Currency 34" xfId="4069"/>
    <cellStyle name="Currency 34 2" xfId="4070"/>
    <cellStyle name="Currency 34 2 2" xfId="4071"/>
    <cellStyle name="Currency 34 2 2 2" xfId="4072"/>
    <cellStyle name="Currency 34 2 2 2 2" xfId="4073"/>
    <cellStyle name="Currency 34 2 2 3" xfId="4074"/>
    <cellStyle name="Currency 34 2 2 4" xfId="4075"/>
    <cellStyle name="Currency 34 2 3" xfId="4076"/>
    <cellStyle name="Currency 34 2 3 2" xfId="4077"/>
    <cellStyle name="Currency 34 2 3 2 2" xfId="4078"/>
    <cellStyle name="Currency 34 2 3 3" xfId="4079"/>
    <cellStyle name="Currency 34 2 3 4" xfId="4080"/>
    <cellStyle name="Currency 34 2 4" xfId="4081"/>
    <cellStyle name="Currency 34 2 4 2" xfId="4082"/>
    <cellStyle name="Currency 34 2 5" xfId="4083"/>
    <cellStyle name="Currency 34 2 6" xfId="4084"/>
    <cellStyle name="Currency 34 3" xfId="4085"/>
    <cellStyle name="Currency 34 3 2" xfId="4086"/>
    <cellStyle name="Currency 34 3 2 2" xfId="4087"/>
    <cellStyle name="Currency 34 3 3" xfId="4088"/>
    <cellStyle name="Currency 34 3 4" xfId="4089"/>
    <cellStyle name="Currency 34 4" xfId="4090"/>
    <cellStyle name="Currency 34 4 2" xfId="4091"/>
    <cellStyle name="Currency 34 4 2 2" xfId="4092"/>
    <cellStyle name="Currency 34 4 3" xfId="4093"/>
    <cellStyle name="Currency 34 4 4" xfId="4094"/>
    <cellStyle name="Currency 34 5" xfId="4095"/>
    <cellStyle name="Currency 34 5 2" xfId="4096"/>
    <cellStyle name="Currency 34 6" xfId="4097"/>
    <cellStyle name="Currency 34 7" xfId="4098"/>
    <cellStyle name="Currency 35" xfId="4099"/>
    <cellStyle name="Currency 35 2" xfId="4100"/>
    <cellStyle name="Currency 35 2 2" xfId="4101"/>
    <cellStyle name="Currency 35 2 2 2" xfId="4102"/>
    <cellStyle name="Currency 35 2 3" xfId="4103"/>
    <cellStyle name="Currency 35 2 4" xfId="4104"/>
    <cellStyle name="Currency 35 3" xfId="4105"/>
    <cellStyle name="Currency 35 3 2" xfId="4106"/>
    <cellStyle name="Currency 35 3 2 2" xfId="4107"/>
    <cellStyle name="Currency 35 3 3" xfId="4108"/>
    <cellStyle name="Currency 35 3 4" xfId="4109"/>
    <cellStyle name="Currency 35 4" xfId="4110"/>
    <cellStyle name="Currency 35 4 2" xfId="4111"/>
    <cellStyle name="Currency 35 5" xfId="4112"/>
    <cellStyle name="Currency 35 6" xfId="4113"/>
    <cellStyle name="Currency 36" xfId="4114"/>
    <cellStyle name="Currency 37" xfId="4115"/>
    <cellStyle name="Currency 38" xfId="4116"/>
    <cellStyle name="Currency 39" xfId="4117"/>
    <cellStyle name="Currency 4" xfId="4118"/>
    <cellStyle name="Currency 4 10" xfId="4119"/>
    <cellStyle name="Currency 4 2" xfId="4120"/>
    <cellStyle name="Currency 4 2 2" xfId="4121"/>
    <cellStyle name="Currency 4 2 2 2" xfId="4122"/>
    <cellStyle name="Currency 4 2 3" xfId="4123"/>
    <cellStyle name="Currency 4 3" xfId="4124"/>
    <cellStyle name="Currency 4 3 2" xfId="4125"/>
    <cellStyle name="Currency 4 3 2 2" xfId="4126"/>
    <cellStyle name="Currency 4 3 2 2 2" xfId="4127"/>
    <cellStyle name="Currency 4 3 2 2 3" xfId="4128"/>
    <cellStyle name="Currency 4 3 2 3" xfId="4129"/>
    <cellStyle name="Currency 4 3 2 4" xfId="4130"/>
    <cellStyle name="Currency 4 3 3" xfId="4131"/>
    <cellStyle name="Currency 4 3 3 2" xfId="4132"/>
    <cellStyle name="Currency 4 3 3 2 2" xfId="4133"/>
    <cellStyle name="Currency 4 3 3 3" xfId="4134"/>
    <cellStyle name="Currency 4 3 4" xfId="4135"/>
    <cellStyle name="Currency 4 3 5" xfId="4136"/>
    <cellStyle name="Currency 4 3 6" xfId="4137"/>
    <cellStyle name="Currency 4 4" xfId="4138"/>
    <cellStyle name="Currency 4 5" xfId="4139"/>
    <cellStyle name="Currency 4 6" xfId="4140"/>
    <cellStyle name="Currency 4 7" xfId="4141"/>
    <cellStyle name="Currency 4 8" xfId="4142"/>
    <cellStyle name="Currency 4 8 2" xfId="4143"/>
    <cellStyle name="Currency 4 8 3" xfId="4144"/>
    <cellStyle name="Currency 4 9" xfId="4145"/>
    <cellStyle name="Currency 40" xfId="4146"/>
    <cellStyle name="Currency 41" xfId="4147"/>
    <cellStyle name="Currency 42" xfId="4148"/>
    <cellStyle name="Currency 42 2" xfId="4149"/>
    <cellStyle name="Currency 42 2 2" xfId="4150"/>
    <cellStyle name="Currency 42 3" xfId="4151"/>
    <cellStyle name="Currency 42 4" xfId="4152"/>
    <cellStyle name="Currency 42 5" xfId="4153"/>
    <cellStyle name="Currency 43" xfId="4154"/>
    <cellStyle name="Currency 43 2" xfId="4155"/>
    <cellStyle name="Currency 43 2 2" xfId="4156"/>
    <cellStyle name="Currency 43 2 3" xfId="4157"/>
    <cellStyle name="Currency 43 3" xfId="4158"/>
    <cellStyle name="Currency 43 4" xfId="4159"/>
    <cellStyle name="Currency 43 5" xfId="4160"/>
    <cellStyle name="Currency 44" xfId="4161"/>
    <cellStyle name="Currency 44 2" xfId="4162"/>
    <cellStyle name="Currency 45" xfId="4163"/>
    <cellStyle name="Currency 45 2" xfId="4164"/>
    <cellStyle name="Currency 46" xfId="4165"/>
    <cellStyle name="Currency 46 2" xfId="4166"/>
    <cellStyle name="Currency 46 3" xfId="4167"/>
    <cellStyle name="Currency 47" xfId="4168"/>
    <cellStyle name="Currency 48" xfId="4169"/>
    <cellStyle name="Currency 48 2" xfId="4170"/>
    <cellStyle name="Currency 48 3" xfId="4171"/>
    <cellStyle name="Currency 48 4" xfId="4172"/>
    <cellStyle name="Currency 49" xfId="4173"/>
    <cellStyle name="Currency 49 2" xfId="4174"/>
    <cellStyle name="Currency 49 3" xfId="4175"/>
    <cellStyle name="Currency 49 4" xfId="4176"/>
    <cellStyle name="Currency 5" xfId="4177"/>
    <cellStyle name="Currency 5 10" xfId="4178"/>
    <cellStyle name="Currency 5 2" xfId="4179"/>
    <cellStyle name="Currency 5 2 2" xfId="4180"/>
    <cellStyle name="Currency 5 2 3" xfId="4181"/>
    <cellStyle name="Currency 5 2 4" xfId="4182"/>
    <cellStyle name="Currency 5 3" xfId="4183"/>
    <cellStyle name="Currency 5 3 2" xfId="4184"/>
    <cellStyle name="Currency 5 3 2 2" xfId="4185"/>
    <cellStyle name="Currency 5 3 2 2 2" xfId="4186"/>
    <cellStyle name="Currency 5 3 2 3" xfId="4187"/>
    <cellStyle name="Currency 5 3 2 4" xfId="4188"/>
    <cellStyle name="Currency 5 3 3" xfId="4189"/>
    <cellStyle name="Currency 5 3 3 2" xfId="4190"/>
    <cellStyle name="Currency 5 3 3 2 2" xfId="4191"/>
    <cellStyle name="Currency 5 3 3 3" xfId="4192"/>
    <cellStyle name="Currency 5 3 3 4" xfId="4193"/>
    <cellStyle name="Currency 5 3 4" xfId="4194"/>
    <cellStyle name="Currency 5 3 4 2" xfId="4195"/>
    <cellStyle name="Currency 5 3 5" xfId="4196"/>
    <cellStyle name="Currency 5 3 6" xfId="4197"/>
    <cellStyle name="Currency 5 4" xfId="4198"/>
    <cellStyle name="Currency 5 4 2" xfId="4199"/>
    <cellStyle name="Currency 5 4 2 2" xfId="4200"/>
    <cellStyle name="Currency 5 4 3" xfId="4201"/>
    <cellStyle name="Currency 5 4 4" xfId="4202"/>
    <cellStyle name="Currency 5 5" xfId="4203"/>
    <cellStyle name="Currency 5 5 2" xfId="4204"/>
    <cellStyle name="Currency 5 5 2 2" xfId="4205"/>
    <cellStyle name="Currency 5 5 3" xfId="4206"/>
    <cellStyle name="Currency 5 5 4" xfId="4207"/>
    <cellStyle name="Currency 5 6" xfId="4208"/>
    <cellStyle name="Currency 5 6 2" xfId="4209"/>
    <cellStyle name="Currency 5 6 3" xfId="4210"/>
    <cellStyle name="Currency 5 7" xfId="4211"/>
    <cellStyle name="Currency 5 7 2" xfId="4212"/>
    <cellStyle name="Currency 5 8" xfId="4213"/>
    <cellStyle name="Currency 5 8 2" xfId="4214"/>
    <cellStyle name="Currency 5 8 3" xfId="4215"/>
    <cellStyle name="Currency 5 9" xfId="4216"/>
    <cellStyle name="Currency 50" xfId="4217"/>
    <cellStyle name="Currency 50 2" xfId="4218"/>
    <cellStyle name="Currency 50 3" xfId="4219"/>
    <cellStyle name="Currency 50 4" xfId="4220"/>
    <cellStyle name="Currency 51" xfId="4221"/>
    <cellStyle name="Currency 51 2" xfId="4222"/>
    <cellStyle name="Currency 51 3" xfId="4223"/>
    <cellStyle name="Currency 51 4" xfId="4224"/>
    <cellStyle name="Currency 52" xfId="4225"/>
    <cellStyle name="Currency 52 2" xfId="4226"/>
    <cellStyle name="Currency 52 3" xfId="4227"/>
    <cellStyle name="Currency 52 4" xfId="4228"/>
    <cellStyle name="Currency 53" xfId="4229"/>
    <cellStyle name="Currency 53 2" xfId="4230"/>
    <cellStyle name="Currency 53 3" xfId="4231"/>
    <cellStyle name="Currency 53 4" xfId="4232"/>
    <cellStyle name="Currency 54" xfId="4233"/>
    <cellStyle name="Currency 54 2" xfId="4234"/>
    <cellStyle name="Currency 54 3" xfId="4235"/>
    <cellStyle name="Currency 54 4" xfId="4236"/>
    <cellStyle name="Currency 55" xfId="4237"/>
    <cellStyle name="Currency 55 2" xfId="4238"/>
    <cellStyle name="Currency 55 3" xfId="4239"/>
    <cellStyle name="Currency 55 4" xfId="4240"/>
    <cellStyle name="Currency 56" xfId="4241"/>
    <cellStyle name="Currency 57" xfId="4242"/>
    <cellStyle name="Currency 57 2" xfId="4243"/>
    <cellStyle name="Currency 58" xfId="4244"/>
    <cellStyle name="Currency 59" xfId="4245"/>
    <cellStyle name="Currency 6" xfId="4246"/>
    <cellStyle name="Currency 6 10" xfId="4247"/>
    <cellStyle name="Currency 6 2" xfId="4248"/>
    <cellStyle name="Currency 6 2 2" xfId="4249"/>
    <cellStyle name="Currency 6 2 2 2" xfId="4250"/>
    <cellStyle name="Currency 6 2 2 2 2" xfId="4251"/>
    <cellStyle name="Currency 6 2 2 2 2 2" xfId="4252"/>
    <cellStyle name="Currency 6 2 2 2 2 2 2" xfId="4253"/>
    <cellStyle name="Currency 6 2 2 2 2 2 2 2" xfId="4254"/>
    <cellStyle name="Currency 6 2 2 2 2 2 2 2 2" xfId="4255"/>
    <cellStyle name="Currency 6 2 2 2 2 2 2 2 2 2" xfId="4256"/>
    <cellStyle name="Currency 6 2 2 2 2 2 2 2 2 2 2" xfId="4257"/>
    <cellStyle name="Currency 6 2 2 2 2 2 2 2 2 2 2 2" xfId="4258"/>
    <cellStyle name="Currency 6 2 2 2 2 2 2 2 2 2 3" xfId="4259"/>
    <cellStyle name="Currency 6 2 2 2 2 2 2 2 2 3" xfId="4260"/>
    <cellStyle name="Currency 6 2 2 2 2 2 2 2 2 3 2" xfId="4261"/>
    <cellStyle name="Currency 6 2 2 2 2 2 2 2 2 3 2 2" xfId="4262"/>
    <cellStyle name="Currency 6 2 2 2 2 2 2 2 2 3 3" xfId="4263"/>
    <cellStyle name="Currency 6 2 2 2 2 2 2 2 2 4" xfId="4264"/>
    <cellStyle name="Currency 6 2 2 2 2 2 2 2 2 4 2" xfId="4265"/>
    <cellStyle name="Currency 6 2 2 2 2 2 2 2 2 5" xfId="4266"/>
    <cellStyle name="Currency 6 2 2 2 2 2 2 2 3" xfId="4267"/>
    <cellStyle name="Currency 6 2 2 2 2 2 2 2 3 2" xfId="4268"/>
    <cellStyle name="Currency 6 2 2 2 2 2 2 2 3 2 2" xfId="4269"/>
    <cellStyle name="Currency 6 2 2 2 2 2 2 2 3 3" xfId="4270"/>
    <cellStyle name="Currency 6 2 2 2 2 2 2 2 4" xfId="4271"/>
    <cellStyle name="Currency 6 2 2 2 2 2 2 2 4 2" xfId="4272"/>
    <cellStyle name="Currency 6 2 2 2 2 2 2 2 4 2 2" xfId="4273"/>
    <cellStyle name="Currency 6 2 2 2 2 2 2 2 4 3" xfId="4274"/>
    <cellStyle name="Currency 6 2 2 2 2 2 2 2 5" xfId="4275"/>
    <cellStyle name="Currency 6 2 2 2 2 2 2 2 5 2" xfId="4276"/>
    <cellStyle name="Currency 6 2 2 2 2 2 2 2 6" xfId="4277"/>
    <cellStyle name="Currency 6 2 2 2 2 2 2 3" xfId="4278"/>
    <cellStyle name="Currency 6 2 2 2 2 2 2 3 2" xfId="4279"/>
    <cellStyle name="Currency 6 2 2 2 2 2 2 3 2 2" xfId="4280"/>
    <cellStyle name="Currency 6 2 2 2 2 2 2 3 3" xfId="4281"/>
    <cellStyle name="Currency 6 2 2 2 2 2 2 4" xfId="4282"/>
    <cellStyle name="Currency 6 2 2 2 2 2 2 4 2" xfId="4283"/>
    <cellStyle name="Currency 6 2 2 2 2 2 2 4 2 2" xfId="4284"/>
    <cellStyle name="Currency 6 2 2 2 2 2 2 4 3" xfId="4285"/>
    <cellStyle name="Currency 6 2 2 2 2 2 2 5" xfId="4286"/>
    <cellStyle name="Currency 6 2 2 2 2 2 2 5 2" xfId="4287"/>
    <cellStyle name="Currency 6 2 2 2 2 2 2 6" xfId="4288"/>
    <cellStyle name="Currency 6 2 2 2 2 2 3" xfId="4289"/>
    <cellStyle name="Currency 6 2 2 2 2 2 3 2" xfId="4290"/>
    <cellStyle name="Currency 6 2 2 2 2 2 3 2 2" xfId="4291"/>
    <cellStyle name="Currency 6 2 2 2 2 2 3 2 2 2" xfId="4292"/>
    <cellStyle name="Currency 6 2 2 2 2 2 3 2 2 2 2" xfId="4293"/>
    <cellStyle name="Currency 6 2 2 2 2 2 3 2 2 3" xfId="4294"/>
    <cellStyle name="Currency 6 2 2 2 2 2 3 2 3" xfId="4295"/>
    <cellStyle name="Currency 6 2 2 2 2 2 3 2 3 2" xfId="4296"/>
    <cellStyle name="Currency 6 2 2 2 2 2 3 2 3 2 2" xfId="4297"/>
    <cellStyle name="Currency 6 2 2 2 2 2 3 2 3 3" xfId="4298"/>
    <cellStyle name="Currency 6 2 2 2 2 2 3 2 4" xfId="4299"/>
    <cellStyle name="Currency 6 2 2 2 2 2 3 2 4 2" xfId="4300"/>
    <cellStyle name="Currency 6 2 2 2 2 2 3 2 5" xfId="4301"/>
    <cellStyle name="Currency 6 2 2 2 2 2 3 3" xfId="4302"/>
    <cellStyle name="Currency 6 2 2 2 2 2 3 3 2" xfId="4303"/>
    <cellStyle name="Currency 6 2 2 2 2 2 3 3 2 2" xfId="4304"/>
    <cellStyle name="Currency 6 2 2 2 2 2 3 3 3" xfId="4305"/>
    <cellStyle name="Currency 6 2 2 2 2 2 3 4" xfId="4306"/>
    <cellStyle name="Currency 6 2 2 2 2 2 3 4 2" xfId="4307"/>
    <cellStyle name="Currency 6 2 2 2 2 2 3 4 2 2" xfId="4308"/>
    <cellStyle name="Currency 6 2 2 2 2 2 3 4 3" xfId="4309"/>
    <cellStyle name="Currency 6 2 2 2 2 2 3 5" xfId="4310"/>
    <cellStyle name="Currency 6 2 2 2 2 2 3 5 2" xfId="4311"/>
    <cellStyle name="Currency 6 2 2 2 2 2 3 6" xfId="4312"/>
    <cellStyle name="Currency 6 2 2 2 2 2 4" xfId="4313"/>
    <cellStyle name="Currency 6 2 2 2 2 2 4 2" xfId="4314"/>
    <cellStyle name="Currency 6 2 2 2 2 2 4 2 2" xfId="4315"/>
    <cellStyle name="Currency 6 2 2 2 2 2 4 3" xfId="4316"/>
    <cellStyle name="Currency 6 2 2 2 2 2 5" xfId="4317"/>
    <cellStyle name="Currency 6 2 2 2 2 2 5 2" xfId="4318"/>
    <cellStyle name="Currency 6 2 2 2 2 2 5 2 2" xfId="4319"/>
    <cellStyle name="Currency 6 2 2 2 2 2 5 3" xfId="4320"/>
    <cellStyle name="Currency 6 2 2 2 2 2 6" xfId="4321"/>
    <cellStyle name="Currency 6 2 2 2 2 2 6 2" xfId="4322"/>
    <cellStyle name="Currency 6 2 2 2 2 2 7" xfId="4323"/>
    <cellStyle name="Currency 6 2 2 2 2 3" xfId="4324"/>
    <cellStyle name="Currency 6 2 2 2 2 3 2" xfId="4325"/>
    <cellStyle name="Currency 6 2 2 2 2 3 2 2" xfId="4326"/>
    <cellStyle name="Currency 6 2 2 2 2 3 3" xfId="4327"/>
    <cellStyle name="Currency 6 2 2 2 2 4" xfId="4328"/>
    <cellStyle name="Currency 6 2 2 2 2 4 2" xfId="4329"/>
    <cellStyle name="Currency 6 2 2 2 2 4 2 2" xfId="4330"/>
    <cellStyle name="Currency 6 2 2 2 2 4 3" xfId="4331"/>
    <cellStyle name="Currency 6 2 2 2 2 5" xfId="4332"/>
    <cellStyle name="Currency 6 2 2 2 2 5 2" xfId="4333"/>
    <cellStyle name="Currency 6 2 2 2 2 6" xfId="4334"/>
    <cellStyle name="Currency 6 2 2 2 3" xfId="4335"/>
    <cellStyle name="Currency 6 2 2 2 3 2" xfId="4336"/>
    <cellStyle name="Currency 6 2 2 2 3 2 2" xfId="4337"/>
    <cellStyle name="Currency 6 2 2 2 3 3" xfId="4338"/>
    <cellStyle name="Currency 6 2 2 2 4" xfId="4339"/>
    <cellStyle name="Currency 6 2 2 2 4 2" xfId="4340"/>
    <cellStyle name="Currency 6 2 2 2 4 2 2" xfId="4341"/>
    <cellStyle name="Currency 6 2 2 2 4 3" xfId="4342"/>
    <cellStyle name="Currency 6 2 2 2 5" xfId="4343"/>
    <cellStyle name="Currency 6 2 2 2 5 2" xfId="4344"/>
    <cellStyle name="Currency 6 2 2 2 6" xfId="4345"/>
    <cellStyle name="Currency 6 2 2 3" xfId="4346"/>
    <cellStyle name="Currency 6 2 2 3 2" xfId="4347"/>
    <cellStyle name="Currency 6 2 2 3 2 2" xfId="4348"/>
    <cellStyle name="Currency 6 2 2 3 3" xfId="4349"/>
    <cellStyle name="Currency 6 2 2 4" xfId="4350"/>
    <cellStyle name="Currency 6 2 2 4 2" xfId="4351"/>
    <cellStyle name="Currency 6 2 2 4 2 2" xfId="4352"/>
    <cellStyle name="Currency 6 2 2 4 3" xfId="4353"/>
    <cellStyle name="Currency 6 2 2 5" xfId="4354"/>
    <cellStyle name="Currency 6 2 2 5 2" xfId="4355"/>
    <cellStyle name="Currency 6 2 2 6" xfId="4356"/>
    <cellStyle name="Currency 6 2 2 7" xfId="4357"/>
    <cellStyle name="Currency 6 2 3" xfId="4358"/>
    <cellStyle name="Currency 6 2 3 2" xfId="4359"/>
    <cellStyle name="Currency 6 2 3 2 2" xfId="4360"/>
    <cellStyle name="Currency 6 2 3 3" xfId="4361"/>
    <cellStyle name="Currency 6 2 3 4" xfId="4362"/>
    <cellStyle name="Currency 6 2 4" xfId="4363"/>
    <cellStyle name="Currency 6 2 4 2" xfId="4364"/>
    <cellStyle name="Currency 6 2 4 2 2" xfId="4365"/>
    <cellStyle name="Currency 6 2 4 3" xfId="4366"/>
    <cellStyle name="Currency 6 2 5" xfId="4367"/>
    <cellStyle name="Currency 6 2 5 2" xfId="4368"/>
    <cellStyle name="Currency 6 2 6" xfId="4369"/>
    <cellStyle name="Currency 6 2 7" xfId="4370"/>
    <cellStyle name="Currency 6 3" xfId="4371"/>
    <cellStyle name="Currency 6 3 2" xfId="4372"/>
    <cellStyle name="Currency 6 3 2 2" xfId="4373"/>
    <cellStyle name="Currency 6 3 2 3" xfId="4374"/>
    <cellStyle name="Currency 6 3 3" xfId="4375"/>
    <cellStyle name="Currency 6 3 4" xfId="4376"/>
    <cellStyle name="Currency 6 4" xfId="4377"/>
    <cellStyle name="Currency 6 4 2" xfId="4378"/>
    <cellStyle name="Currency 6 4 2 2" xfId="4379"/>
    <cellStyle name="Currency 6 4 3" xfId="4380"/>
    <cellStyle name="Currency 6 4 4" xfId="4381"/>
    <cellStyle name="Currency 6 5" xfId="4382"/>
    <cellStyle name="Currency 6 5 2" xfId="4383"/>
    <cellStyle name="Currency 6 5 3" xfId="4384"/>
    <cellStyle name="Currency 6 6" xfId="4385"/>
    <cellStyle name="Currency 6 6 2" xfId="4386"/>
    <cellStyle name="Currency 6 7" xfId="4387"/>
    <cellStyle name="Currency 6 8" xfId="4388"/>
    <cellStyle name="Currency 6 8 2" xfId="4389"/>
    <cellStyle name="Currency 6 8 3" xfId="4390"/>
    <cellStyle name="Currency 6 9" xfId="4391"/>
    <cellStyle name="Currency 60" xfId="4392"/>
    <cellStyle name="Currency 61" xfId="4393"/>
    <cellStyle name="Currency 62" xfId="4394"/>
    <cellStyle name="Currency 63" xfId="4395"/>
    <cellStyle name="Currency 64" xfId="4396"/>
    <cellStyle name="Currency 65" xfId="4397"/>
    <cellStyle name="Currency 66" xfId="4398"/>
    <cellStyle name="Currency 67" xfId="4399"/>
    <cellStyle name="Currency 68" xfId="4400"/>
    <cellStyle name="Currency 69" xfId="4401"/>
    <cellStyle name="Currency 69 2" xfId="4402"/>
    <cellStyle name="Currency 69 3" xfId="4403"/>
    <cellStyle name="Currency 7" xfId="4404"/>
    <cellStyle name="Currency 7 10" xfId="4405"/>
    <cellStyle name="Currency 7 11" xfId="4406"/>
    <cellStyle name="Currency 7 2" xfId="4407"/>
    <cellStyle name="Currency 7 2 2" xfId="4408"/>
    <cellStyle name="Currency 7 2 2 2" xfId="4409"/>
    <cellStyle name="Currency 7 2 2 3" xfId="4410"/>
    <cellStyle name="Currency 7 2 3" xfId="4411"/>
    <cellStyle name="Currency 7 2 3 2" xfId="4412"/>
    <cellStyle name="Currency 7 2 4" xfId="4413"/>
    <cellStyle name="Currency 7 3" xfId="4414"/>
    <cellStyle name="Currency 7 3 2" xfId="4415"/>
    <cellStyle name="Currency 7 3 2 2" xfId="4416"/>
    <cellStyle name="Currency 7 3 2 3" xfId="4417"/>
    <cellStyle name="Currency 7 3 3" xfId="4418"/>
    <cellStyle name="Currency 7 3 4" xfId="4419"/>
    <cellStyle name="Currency 7 4" xfId="4420"/>
    <cellStyle name="Currency 7 4 2" xfId="4421"/>
    <cellStyle name="Currency 7 4 3" xfId="4422"/>
    <cellStyle name="Currency 7 5" xfId="4423"/>
    <cellStyle name="Currency 7 5 2" xfId="4424"/>
    <cellStyle name="Currency 7 6" xfId="4425"/>
    <cellStyle name="Currency 7 7" xfId="4426"/>
    <cellStyle name="Currency 7 8" xfId="4427"/>
    <cellStyle name="Currency 7 8 2" xfId="4428"/>
    <cellStyle name="Currency 7 8 3" xfId="4429"/>
    <cellStyle name="Currency 7 9" xfId="4430"/>
    <cellStyle name="Currency 70" xfId="4431"/>
    <cellStyle name="Currency 70 2" xfId="4432"/>
    <cellStyle name="Currency 70 3" xfId="4433"/>
    <cellStyle name="Currency 71" xfId="4434"/>
    <cellStyle name="Currency 72" xfId="4435"/>
    <cellStyle name="Currency 73" xfId="4436"/>
    <cellStyle name="Currency 74" xfId="4437"/>
    <cellStyle name="Currency 75" xfId="4438"/>
    <cellStyle name="Currency 76" xfId="4439"/>
    <cellStyle name="Currency 77" xfId="4440"/>
    <cellStyle name="Currency 78" xfId="4441"/>
    <cellStyle name="Currency 8" xfId="4442"/>
    <cellStyle name="Currency 8 10" xfId="4443"/>
    <cellStyle name="Currency 8 2" xfId="4444"/>
    <cellStyle name="Currency 8 2 2" xfId="4445"/>
    <cellStyle name="Currency 8 2 2 2" xfId="4446"/>
    <cellStyle name="Currency 8 2 2 2 2" xfId="4447"/>
    <cellStyle name="Currency 8 2 2 3" xfId="4448"/>
    <cellStyle name="Currency 8 2 2 4" xfId="4449"/>
    <cellStyle name="Currency 8 2 3" xfId="4450"/>
    <cellStyle name="Currency 8 2 3 2" xfId="4451"/>
    <cellStyle name="Currency 8 2 3 2 2" xfId="4452"/>
    <cellStyle name="Currency 8 2 3 3" xfId="4453"/>
    <cellStyle name="Currency 8 2 3 4" xfId="4454"/>
    <cellStyle name="Currency 8 2 4" xfId="4455"/>
    <cellStyle name="Currency 8 2 4 2" xfId="4456"/>
    <cellStyle name="Currency 8 2 5" xfId="4457"/>
    <cellStyle name="Currency 8 2 6" xfId="4458"/>
    <cellStyle name="Currency 8 3" xfId="4459"/>
    <cellStyle name="Currency 8 3 2" xfId="4460"/>
    <cellStyle name="Currency 8 3 2 2" xfId="4461"/>
    <cellStyle name="Currency 8 3 2 2 2" xfId="4462"/>
    <cellStyle name="Currency 8 3 2 3" xfId="4463"/>
    <cellStyle name="Currency 8 3 2 4" xfId="4464"/>
    <cellStyle name="Currency 8 3 3" xfId="4465"/>
    <cellStyle name="Currency 8 3 3 2" xfId="4466"/>
    <cellStyle name="Currency 8 3 3 2 2" xfId="4467"/>
    <cellStyle name="Currency 8 3 3 3" xfId="4468"/>
    <cellStyle name="Currency 8 3 4" xfId="4469"/>
    <cellStyle name="Currency 8 3 4 2" xfId="4470"/>
    <cellStyle name="Currency 8 3 5" xfId="4471"/>
    <cellStyle name="Currency 8 3 6" xfId="4472"/>
    <cellStyle name="Currency 8 4" xfId="4473"/>
    <cellStyle name="Currency 8 4 2" xfId="4474"/>
    <cellStyle name="Currency 8 4 2 2" xfId="4475"/>
    <cellStyle name="Currency 8 4 2 2 2" xfId="4476"/>
    <cellStyle name="Currency 8 4 2 3" xfId="4477"/>
    <cellStyle name="Currency 8 4 3" xfId="4478"/>
    <cellStyle name="Currency 8 4 3 2" xfId="4479"/>
    <cellStyle name="Currency 8 4 3 2 2" xfId="4480"/>
    <cellStyle name="Currency 8 4 3 3" xfId="4481"/>
    <cellStyle name="Currency 8 4 4" xfId="4482"/>
    <cellStyle name="Currency 8 4 4 2" xfId="4483"/>
    <cellStyle name="Currency 8 4 5" xfId="4484"/>
    <cellStyle name="Currency 8 4 6" xfId="4485"/>
    <cellStyle name="Currency 8 5" xfId="4486"/>
    <cellStyle name="Currency 8 5 2" xfId="4487"/>
    <cellStyle name="Currency 8 5 2 2" xfId="4488"/>
    <cellStyle name="Currency 8 5 2 2 2" xfId="4489"/>
    <cellStyle name="Currency 8 5 2 3" xfId="4490"/>
    <cellStyle name="Currency 8 5 3" xfId="4491"/>
    <cellStyle name="Currency 8 5 3 2" xfId="4492"/>
    <cellStyle name="Currency 8 5 3 2 2" xfId="4493"/>
    <cellStyle name="Currency 8 5 3 3" xfId="4494"/>
    <cellStyle name="Currency 8 5 4" xfId="4495"/>
    <cellStyle name="Currency 8 5 4 2" xfId="4496"/>
    <cellStyle name="Currency 8 5 5" xfId="4497"/>
    <cellStyle name="Currency 8 5 6" xfId="4498"/>
    <cellStyle name="Currency 8 6" xfId="4499"/>
    <cellStyle name="Currency 8 6 2" xfId="4500"/>
    <cellStyle name="Currency 8 6 2 2" xfId="4501"/>
    <cellStyle name="Currency 8 6 3" xfId="4502"/>
    <cellStyle name="Currency 8 6 4" xfId="4503"/>
    <cellStyle name="Currency 8 7" xfId="4504"/>
    <cellStyle name="Currency 8 7 2" xfId="4505"/>
    <cellStyle name="Currency 8 7 2 2" xfId="4506"/>
    <cellStyle name="Currency 8 7 3" xfId="4507"/>
    <cellStyle name="Currency 8 7 4" xfId="4508"/>
    <cellStyle name="Currency 8 8" xfId="4509"/>
    <cellStyle name="Currency 8 8 2" xfId="4510"/>
    <cellStyle name="Currency 8 8 2 2" xfId="4511"/>
    <cellStyle name="Currency 8 8 3" xfId="4512"/>
    <cellStyle name="Currency 8 8 4" xfId="4513"/>
    <cellStyle name="Currency 8 9" xfId="4514"/>
    <cellStyle name="Currency 8 9 2" xfId="4515"/>
    <cellStyle name="Currency 9" xfId="4516"/>
    <cellStyle name="Currency 9 10" xfId="4517"/>
    <cellStyle name="Currency 9 2" xfId="4518"/>
    <cellStyle name="Currency 9 2 2" xfId="4519"/>
    <cellStyle name="Currency 9 2 2 2" xfId="4520"/>
    <cellStyle name="Currency 9 2 2 3" xfId="4521"/>
    <cellStyle name="Currency 9 2 3" xfId="4522"/>
    <cellStyle name="Currency 9 2 3 2" xfId="4523"/>
    <cellStyle name="Currency 9 2 4" xfId="4524"/>
    <cellStyle name="Currency 9 3" xfId="4525"/>
    <cellStyle name="Currency 9 3 2" xfId="4526"/>
    <cellStyle name="Currency 9 3 2 2" xfId="4527"/>
    <cellStyle name="Currency 9 3 2 3" xfId="4528"/>
    <cellStyle name="Currency 9 3 3" xfId="4529"/>
    <cellStyle name="Currency 9 3 4" xfId="4530"/>
    <cellStyle name="Currency 9 4" xfId="4531"/>
    <cellStyle name="Currency 9 4 2" xfId="4532"/>
    <cellStyle name="Currency 9 4 3" xfId="4533"/>
    <cellStyle name="Currency 9 5" xfId="4534"/>
    <cellStyle name="Currency 9 5 2" xfId="4535"/>
    <cellStyle name="Currency 9 6" xfId="4536"/>
    <cellStyle name="Currency 9 7" xfId="4537"/>
    <cellStyle name="Currency 9 8" xfId="4538"/>
    <cellStyle name="Currency 9 8 2" xfId="4539"/>
    <cellStyle name="Currency 9 8 3" xfId="4540"/>
    <cellStyle name="Currency 9 9" xfId="4541"/>
    <cellStyle name="Currency0" xfId="4542"/>
    <cellStyle name="Currency0 2" xfId="4543"/>
    <cellStyle name="Currency0 2 2" xfId="4544"/>
    <cellStyle name="Currency0 2 2 2" xfId="4545"/>
    <cellStyle name="Currency0 2 3" xfId="4546"/>
    <cellStyle name="Currency0 3" xfId="4547"/>
    <cellStyle name="Currency0 3 2" xfId="4548"/>
    <cellStyle name="Currency0 4" xfId="4549"/>
    <cellStyle name="Currency0 4 2" xfId="4550"/>
    <cellStyle name="Currency0 4 2 2" xfId="4551"/>
    <cellStyle name="Currency0 4 3" xfId="4552"/>
    <cellStyle name="Currency0 5" xfId="4553"/>
    <cellStyle name="Date" xfId="4554"/>
    <cellStyle name="Date - Style3" xfId="4555"/>
    <cellStyle name="Date - Style3 2" xfId="4556"/>
    <cellStyle name="Date - Style3 2 2" xfId="4557"/>
    <cellStyle name="Date - Style3 2 3" xfId="4558"/>
    <cellStyle name="Date - Style3 3" xfId="4559"/>
    <cellStyle name="Date - Style3 4" xfId="4560"/>
    <cellStyle name="Date 10" xfId="4561"/>
    <cellStyle name="Date 10 2" xfId="4562"/>
    <cellStyle name="Date 10 2 2" xfId="4563"/>
    <cellStyle name="Date 10 2 2 2" xfId="4564"/>
    <cellStyle name="Date 10 2 2 3" xfId="4565"/>
    <cellStyle name="Date 10 2 3" xfId="4566"/>
    <cellStyle name="Date 10 2 3 2" xfId="4567"/>
    <cellStyle name="Date 10 2 3 3" xfId="4568"/>
    <cellStyle name="Date 10 2 4" xfId="4569"/>
    <cellStyle name="Date 10 2 5" xfId="4570"/>
    <cellStyle name="Date 10 3" xfId="4571"/>
    <cellStyle name="Date 10 3 2" xfId="4572"/>
    <cellStyle name="Date 10 3 3" xfId="4573"/>
    <cellStyle name="Date 10 4" xfId="4574"/>
    <cellStyle name="Date 10 4 2" xfId="4575"/>
    <cellStyle name="Date 10 4 3" xfId="4576"/>
    <cellStyle name="Date 10 5" xfId="4577"/>
    <cellStyle name="Date 10 6" xfId="4578"/>
    <cellStyle name="Date 100" xfId="4579"/>
    <cellStyle name="Date 100 2" xfId="4580"/>
    <cellStyle name="Date 100 2 2" xfId="4581"/>
    <cellStyle name="Date 100 2 3" xfId="4582"/>
    <cellStyle name="Date 100 3" xfId="4583"/>
    <cellStyle name="Date 100 3 2" xfId="4584"/>
    <cellStyle name="Date 100 3 3" xfId="4585"/>
    <cellStyle name="Date 100 4" xfId="4586"/>
    <cellStyle name="Date 100 5" xfId="4587"/>
    <cellStyle name="Date 101" xfId="4588"/>
    <cellStyle name="Date 101 2" xfId="4589"/>
    <cellStyle name="Date 101 2 2" xfId="4590"/>
    <cellStyle name="Date 101 2 3" xfId="4591"/>
    <cellStyle name="Date 101 3" xfId="4592"/>
    <cellStyle name="Date 101 3 2" xfId="4593"/>
    <cellStyle name="Date 101 3 3" xfId="4594"/>
    <cellStyle name="Date 101 4" xfId="4595"/>
    <cellStyle name="Date 101 5" xfId="4596"/>
    <cellStyle name="Date 102" xfId="4597"/>
    <cellStyle name="Date 102 2" xfId="4598"/>
    <cellStyle name="Date 102 2 2" xfId="4599"/>
    <cellStyle name="Date 102 2 3" xfId="4600"/>
    <cellStyle name="Date 102 3" xfId="4601"/>
    <cellStyle name="Date 102 3 2" xfId="4602"/>
    <cellStyle name="Date 102 3 3" xfId="4603"/>
    <cellStyle name="Date 102 4" xfId="4604"/>
    <cellStyle name="Date 102 5" xfId="4605"/>
    <cellStyle name="Date 103" xfId="4606"/>
    <cellStyle name="Date 103 2" xfId="4607"/>
    <cellStyle name="Date 103 2 2" xfId="4608"/>
    <cellStyle name="Date 103 2 3" xfId="4609"/>
    <cellStyle name="Date 103 3" xfId="4610"/>
    <cellStyle name="Date 103 3 2" xfId="4611"/>
    <cellStyle name="Date 103 3 3" xfId="4612"/>
    <cellStyle name="Date 103 4" xfId="4613"/>
    <cellStyle name="Date 103 5" xfId="4614"/>
    <cellStyle name="Date 104" xfId="4615"/>
    <cellStyle name="Date 104 2" xfId="4616"/>
    <cellStyle name="Date 104 2 2" xfId="4617"/>
    <cellStyle name="Date 104 2 3" xfId="4618"/>
    <cellStyle name="Date 104 3" xfId="4619"/>
    <cellStyle name="Date 104 3 2" xfId="4620"/>
    <cellStyle name="Date 104 3 3" xfId="4621"/>
    <cellStyle name="Date 104 4" xfId="4622"/>
    <cellStyle name="Date 104 5" xfId="4623"/>
    <cellStyle name="Date 105" xfId="4624"/>
    <cellStyle name="Date 105 2" xfId="4625"/>
    <cellStyle name="Date 105 2 2" xfId="4626"/>
    <cellStyle name="Date 105 2 3" xfId="4627"/>
    <cellStyle name="Date 105 3" xfId="4628"/>
    <cellStyle name="Date 105 3 2" xfId="4629"/>
    <cellStyle name="Date 105 3 3" xfId="4630"/>
    <cellStyle name="Date 105 4" xfId="4631"/>
    <cellStyle name="Date 105 5" xfId="4632"/>
    <cellStyle name="Date 106" xfId="4633"/>
    <cellStyle name="Date 106 2" xfId="4634"/>
    <cellStyle name="Date 106 2 2" xfId="4635"/>
    <cellStyle name="Date 106 2 3" xfId="4636"/>
    <cellStyle name="Date 106 3" xfId="4637"/>
    <cellStyle name="Date 106 3 2" xfId="4638"/>
    <cellStyle name="Date 106 3 3" xfId="4639"/>
    <cellStyle name="Date 106 4" xfId="4640"/>
    <cellStyle name="Date 106 5" xfId="4641"/>
    <cellStyle name="Date 107" xfId="4642"/>
    <cellStyle name="Date 107 2" xfId="4643"/>
    <cellStyle name="Date 107 2 2" xfId="4644"/>
    <cellStyle name="Date 107 2 3" xfId="4645"/>
    <cellStyle name="Date 107 3" xfId="4646"/>
    <cellStyle name="Date 107 3 2" xfId="4647"/>
    <cellStyle name="Date 107 3 3" xfId="4648"/>
    <cellStyle name="Date 107 4" xfId="4649"/>
    <cellStyle name="Date 107 5" xfId="4650"/>
    <cellStyle name="Date 108" xfId="4651"/>
    <cellStyle name="Date 108 2" xfId="4652"/>
    <cellStyle name="Date 108 2 2" xfId="4653"/>
    <cellStyle name="Date 108 2 3" xfId="4654"/>
    <cellStyle name="Date 108 3" xfId="4655"/>
    <cellStyle name="Date 108 3 2" xfId="4656"/>
    <cellStyle name="Date 108 3 3" xfId="4657"/>
    <cellStyle name="Date 108 4" xfId="4658"/>
    <cellStyle name="Date 108 5" xfId="4659"/>
    <cellStyle name="Date 109" xfId="4660"/>
    <cellStyle name="Date 109 2" xfId="4661"/>
    <cellStyle name="Date 109 2 2" xfId="4662"/>
    <cellStyle name="Date 109 2 3" xfId="4663"/>
    <cellStyle name="Date 109 3" xfId="4664"/>
    <cellStyle name="Date 109 3 2" xfId="4665"/>
    <cellStyle name="Date 109 3 3" xfId="4666"/>
    <cellStyle name="Date 109 4" xfId="4667"/>
    <cellStyle name="Date 109 5" xfId="4668"/>
    <cellStyle name="Date 11" xfId="4669"/>
    <cellStyle name="Date 11 2" xfId="4670"/>
    <cellStyle name="Date 11 2 2" xfId="4671"/>
    <cellStyle name="Date 11 2 2 2" xfId="4672"/>
    <cellStyle name="Date 11 2 2 3" xfId="4673"/>
    <cellStyle name="Date 11 2 3" xfId="4674"/>
    <cellStyle name="Date 11 2 3 2" xfId="4675"/>
    <cellStyle name="Date 11 2 3 3" xfId="4676"/>
    <cellStyle name="Date 11 2 4" xfId="4677"/>
    <cellStyle name="Date 11 2 5" xfId="4678"/>
    <cellStyle name="Date 11 3" xfId="4679"/>
    <cellStyle name="Date 11 3 2" xfId="4680"/>
    <cellStyle name="Date 11 3 3" xfId="4681"/>
    <cellStyle name="Date 11 4" xfId="4682"/>
    <cellStyle name="Date 11 4 2" xfId="4683"/>
    <cellStyle name="Date 11 4 3" xfId="4684"/>
    <cellStyle name="Date 11 5" xfId="4685"/>
    <cellStyle name="Date 11 6" xfId="4686"/>
    <cellStyle name="Date 110" xfId="4687"/>
    <cellStyle name="Date 110 2" xfId="4688"/>
    <cellStyle name="Date 110 2 2" xfId="4689"/>
    <cellStyle name="Date 110 2 3" xfId="4690"/>
    <cellStyle name="Date 110 3" xfId="4691"/>
    <cellStyle name="Date 110 3 2" xfId="4692"/>
    <cellStyle name="Date 110 3 3" xfId="4693"/>
    <cellStyle name="Date 110 4" xfId="4694"/>
    <cellStyle name="Date 110 5" xfId="4695"/>
    <cellStyle name="Date 111" xfId="4696"/>
    <cellStyle name="Date 111 2" xfId="4697"/>
    <cellStyle name="Date 111 2 2" xfId="4698"/>
    <cellStyle name="Date 111 2 3" xfId="4699"/>
    <cellStyle name="Date 111 3" xfId="4700"/>
    <cellStyle name="Date 111 3 2" xfId="4701"/>
    <cellStyle name="Date 111 3 3" xfId="4702"/>
    <cellStyle name="Date 111 4" xfId="4703"/>
    <cellStyle name="Date 111 5" xfId="4704"/>
    <cellStyle name="Date 112" xfId="4705"/>
    <cellStyle name="Date 112 2" xfId="4706"/>
    <cellStyle name="Date 112 2 2" xfId="4707"/>
    <cellStyle name="Date 112 2 3" xfId="4708"/>
    <cellStyle name="Date 112 3" xfId="4709"/>
    <cellStyle name="Date 112 3 2" xfId="4710"/>
    <cellStyle name="Date 112 3 3" xfId="4711"/>
    <cellStyle name="Date 112 4" xfId="4712"/>
    <cellStyle name="Date 112 5" xfId="4713"/>
    <cellStyle name="Date 113" xfId="4714"/>
    <cellStyle name="Date 113 2" xfId="4715"/>
    <cellStyle name="Date 113 2 2" xfId="4716"/>
    <cellStyle name="Date 113 2 3" xfId="4717"/>
    <cellStyle name="Date 113 3" xfId="4718"/>
    <cellStyle name="Date 113 3 2" xfId="4719"/>
    <cellStyle name="Date 113 3 3" xfId="4720"/>
    <cellStyle name="Date 113 4" xfId="4721"/>
    <cellStyle name="Date 113 5" xfId="4722"/>
    <cellStyle name="Date 114" xfId="4723"/>
    <cellStyle name="Date 114 2" xfId="4724"/>
    <cellStyle name="Date 114 2 2" xfId="4725"/>
    <cellStyle name="Date 114 2 3" xfId="4726"/>
    <cellStyle name="Date 114 3" xfId="4727"/>
    <cellStyle name="Date 114 3 2" xfId="4728"/>
    <cellStyle name="Date 114 3 3" xfId="4729"/>
    <cellStyle name="Date 114 4" xfId="4730"/>
    <cellStyle name="Date 114 5" xfId="4731"/>
    <cellStyle name="Date 115" xfId="4732"/>
    <cellStyle name="Date 115 2" xfId="4733"/>
    <cellStyle name="Date 115 2 2" xfId="4734"/>
    <cellStyle name="Date 115 2 3" xfId="4735"/>
    <cellStyle name="Date 115 3" xfId="4736"/>
    <cellStyle name="Date 115 3 2" xfId="4737"/>
    <cellStyle name="Date 115 3 3" xfId="4738"/>
    <cellStyle name="Date 115 4" xfId="4739"/>
    <cellStyle name="Date 115 5" xfId="4740"/>
    <cellStyle name="Date 116" xfId="4741"/>
    <cellStyle name="Date 116 2" xfId="4742"/>
    <cellStyle name="Date 116 2 2" xfId="4743"/>
    <cellStyle name="Date 116 2 3" xfId="4744"/>
    <cellStyle name="Date 116 3" xfId="4745"/>
    <cellStyle name="Date 116 3 2" xfId="4746"/>
    <cellStyle name="Date 116 3 3" xfId="4747"/>
    <cellStyle name="Date 116 4" xfId="4748"/>
    <cellStyle name="Date 116 5" xfId="4749"/>
    <cellStyle name="Date 117" xfId="4750"/>
    <cellStyle name="Date 117 2" xfId="4751"/>
    <cellStyle name="Date 117 2 2" xfId="4752"/>
    <cellStyle name="Date 117 2 3" xfId="4753"/>
    <cellStyle name="Date 117 3" xfId="4754"/>
    <cellStyle name="Date 117 3 2" xfId="4755"/>
    <cellStyle name="Date 117 3 3" xfId="4756"/>
    <cellStyle name="Date 117 4" xfId="4757"/>
    <cellStyle name="Date 117 5" xfId="4758"/>
    <cellStyle name="Date 118" xfId="4759"/>
    <cellStyle name="Date 118 2" xfId="4760"/>
    <cellStyle name="Date 118 2 2" xfId="4761"/>
    <cellStyle name="Date 118 2 3" xfId="4762"/>
    <cellStyle name="Date 118 3" xfId="4763"/>
    <cellStyle name="Date 118 3 2" xfId="4764"/>
    <cellStyle name="Date 118 3 3" xfId="4765"/>
    <cellStyle name="Date 118 4" xfId="4766"/>
    <cellStyle name="Date 118 5" xfId="4767"/>
    <cellStyle name="Date 119" xfId="4768"/>
    <cellStyle name="Date 119 2" xfId="4769"/>
    <cellStyle name="Date 119 2 2" xfId="4770"/>
    <cellStyle name="Date 119 2 3" xfId="4771"/>
    <cellStyle name="Date 119 3" xfId="4772"/>
    <cellStyle name="Date 119 3 2" xfId="4773"/>
    <cellStyle name="Date 119 3 3" xfId="4774"/>
    <cellStyle name="Date 119 4" xfId="4775"/>
    <cellStyle name="Date 119 5" xfId="4776"/>
    <cellStyle name="Date 12" xfId="4777"/>
    <cellStyle name="Date 12 2" xfId="4778"/>
    <cellStyle name="Date 12 2 2" xfId="4779"/>
    <cellStyle name="Date 12 2 2 2" xfId="4780"/>
    <cellStyle name="Date 12 2 2 3" xfId="4781"/>
    <cellStyle name="Date 12 2 3" xfId="4782"/>
    <cellStyle name="Date 12 2 3 2" xfId="4783"/>
    <cellStyle name="Date 12 2 3 3" xfId="4784"/>
    <cellStyle name="Date 12 2 4" xfId="4785"/>
    <cellStyle name="Date 12 2 5" xfId="4786"/>
    <cellStyle name="Date 12 3" xfId="4787"/>
    <cellStyle name="Date 12 3 2" xfId="4788"/>
    <cellStyle name="Date 12 3 3" xfId="4789"/>
    <cellStyle name="Date 12 4" xfId="4790"/>
    <cellStyle name="Date 12 4 2" xfId="4791"/>
    <cellStyle name="Date 12 4 3" xfId="4792"/>
    <cellStyle name="Date 12 5" xfId="4793"/>
    <cellStyle name="Date 12 6" xfId="4794"/>
    <cellStyle name="Date 120" xfId="4795"/>
    <cellStyle name="Date 120 2" xfId="4796"/>
    <cellStyle name="Date 120 2 2" xfId="4797"/>
    <cellStyle name="Date 120 2 3" xfId="4798"/>
    <cellStyle name="Date 120 3" xfId="4799"/>
    <cellStyle name="Date 120 3 2" xfId="4800"/>
    <cellStyle name="Date 120 3 3" xfId="4801"/>
    <cellStyle name="Date 120 4" xfId="4802"/>
    <cellStyle name="Date 120 5" xfId="4803"/>
    <cellStyle name="Date 121" xfId="4804"/>
    <cellStyle name="Date 121 2" xfId="4805"/>
    <cellStyle name="Date 121 2 2" xfId="4806"/>
    <cellStyle name="Date 121 2 2 2" xfId="4807"/>
    <cellStyle name="Date 121 2 2 3" xfId="4808"/>
    <cellStyle name="Date 121 2 3" xfId="4809"/>
    <cellStyle name="Date 121 2 3 2" xfId="4810"/>
    <cellStyle name="Date 121 2 3 3" xfId="4811"/>
    <cellStyle name="Date 121 2 4" xfId="4812"/>
    <cellStyle name="Date 121 2 5" xfId="4813"/>
    <cellStyle name="Date 121 3" xfId="4814"/>
    <cellStyle name="Date 121 3 2" xfId="4815"/>
    <cellStyle name="Date 121 3 3" xfId="4816"/>
    <cellStyle name="Date 121 4" xfId="4817"/>
    <cellStyle name="Date 121 4 2" xfId="4818"/>
    <cellStyle name="Date 121 4 3" xfId="4819"/>
    <cellStyle name="Date 121 5" xfId="4820"/>
    <cellStyle name="Date 121 6" xfId="4821"/>
    <cellStyle name="Date 122" xfId="4822"/>
    <cellStyle name="Date 122 2" xfId="4823"/>
    <cellStyle name="Date 122 2 2" xfId="4824"/>
    <cellStyle name="Date 122 2 2 2" xfId="4825"/>
    <cellStyle name="Date 122 2 2 3" xfId="4826"/>
    <cellStyle name="Date 122 2 3" xfId="4827"/>
    <cellStyle name="Date 122 2 3 2" xfId="4828"/>
    <cellStyle name="Date 122 2 3 3" xfId="4829"/>
    <cellStyle name="Date 122 2 4" xfId="4830"/>
    <cellStyle name="Date 122 2 5" xfId="4831"/>
    <cellStyle name="Date 122 3" xfId="4832"/>
    <cellStyle name="Date 122 3 2" xfId="4833"/>
    <cellStyle name="Date 122 3 3" xfId="4834"/>
    <cellStyle name="Date 122 4" xfId="4835"/>
    <cellStyle name="Date 122 4 2" xfId="4836"/>
    <cellStyle name="Date 122 4 3" xfId="4837"/>
    <cellStyle name="Date 122 5" xfId="4838"/>
    <cellStyle name="Date 122 6" xfId="4839"/>
    <cellStyle name="Date 123" xfId="4840"/>
    <cellStyle name="Date 123 2" xfId="4841"/>
    <cellStyle name="Date 123 2 2" xfId="4842"/>
    <cellStyle name="Date 123 2 2 2" xfId="4843"/>
    <cellStyle name="Date 123 2 2 3" xfId="4844"/>
    <cellStyle name="Date 123 2 3" xfId="4845"/>
    <cellStyle name="Date 123 2 3 2" xfId="4846"/>
    <cellStyle name="Date 123 2 3 3" xfId="4847"/>
    <cellStyle name="Date 123 2 4" xfId="4848"/>
    <cellStyle name="Date 123 2 5" xfId="4849"/>
    <cellStyle name="Date 123 3" xfId="4850"/>
    <cellStyle name="Date 123 3 2" xfId="4851"/>
    <cellStyle name="Date 123 3 3" xfId="4852"/>
    <cellStyle name="Date 123 4" xfId="4853"/>
    <cellStyle name="Date 123 4 2" xfId="4854"/>
    <cellStyle name="Date 123 4 3" xfId="4855"/>
    <cellStyle name="Date 123 5" xfId="4856"/>
    <cellStyle name="Date 123 6" xfId="4857"/>
    <cellStyle name="Date 124" xfId="4858"/>
    <cellStyle name="Date 124 2" xfId="4859"/>
    <cellStyle name="Date 124 2 2" xfId="4860"/>
    <cellStyle name="Date 124 2 2 2" xfId="4861"/>
    <cellStyle name="Date 124 2 2 3" xfId="4862"/>
    <cellStyle name="Date 124 2 3" xfId="4863"/>
    <cellStyle name="Date 124 2 3 2" xfId="4864"/>
    <cellStyle name="Date 124 2 3 3" xfId="4865"/>
    <cellStyle name="Date 124 2 4" xfId="4866"/>
    <cellStyle name="Date 124 2 5" xfId="4867"/>
    <cellStyle name="Date 124 3" xfId="4868"/>
    <cellStyle name="Date 124 3 2" xfId="4869"/>
    <cellStyle name="Date 124 3 3" xfId="4870"/>
    <cellStyle name="Date 124 4" xfId="4871"/>
    <cellStyle name="Date 124 4 2" xfId="4872"/>
    <cellStyle name="Date 124 4 3" xfId="4873"/>
    <cellStyle name="Date 124 5" xfId="4874"/>
    <cellStyle name="Date 124 6" xfId="4875"/>
    <cellStyle name="Date 125" xfId="4876"/>
    <cellStyle name="Date 125 2" xfId="4877"/>
    <cellStyle name="Date 125 2 2" xfId="4878"/>
    <cellStyle name="Date 125 2 2 2" xfId="4879"/>
    <cellStyle name="Date 125 2 2 3" xfId="4880"/>
    <cellStyle name="Date 125 2 3" xfId="4881"/>
    <cellStyle name="Date 125 2 3 2" xfId="4882"/>
    <cellStyle name="Date 125 2 3 3" xfId="4883"/>
    <cellStyle name="Date 125 2 4" xfId="4884"/>
    <cellStyle name="Date 125 2 5" xfId="4885"/>
    <cellStyle name="Date 125 3" xfId="4886"/>
    <cellStyle name="Date 125 3 2" xfId="4887"/>
    <cellStyle name="Date 125 3 3" xfId="4888"/>
    <cellStyle name="Date 125 4" xfId="4889"/>
    <cellStyle name="Date 125 4 2" xfId="4890"/>
    <cellStyle name="Date 125 4 3" xfId="4891"/>
    <cellStyle name="Date 125 5" xfId="4892"/>
    <cellStyle name="Date 125 6" xfId="4893"/>
    <cellStyle name="Date 126" xfId="4894"/>
    <cellStyle name="Date 126 2" xfId="4895"/>
    <cellStyle name="Date 126 2 2" xfId="4896"/>
    <cellStyle name="Date 126 2 2 2" xfId="4897"/>
    <cellStyle name="Date 126 2 2 3" xfId="4898"/>
    <cellStyle name="Date 126 2 3" xfId="4899"/>
    <cellStyle name="Date 126 2 3 2" xfId="4900"/>
    <cellStyle name="Date 126 2 3 3" xfId="4901"/>
    <cellStyle name="Date 126 2 4" xfId="4902"/>
    <cellStyle name="Date 126 2 5" xfId="4903"/>
    <cellStyle name="Date 126 3" xfId="4904"/>
    <cellStyle name="Date 126 3 2" xfId="4905"/>
    <cellStyle name="Date 126 3 3" xfId="4906"/>
    <cellStyle name="Date 126 4" xfId="4907"/>
    <cellStyle name="Date 126 4 2" xfId="4908"/>
    <cellStyle name="Date 126 4 3" xfId="4909"/>
    <cellStyle name="Date 126 5" xfId="4910"/>
    <cellStyle name="Date 126 6" xfId="4911"/>
    <cellStyle name="Date 127" xfId="4912"/>
    <cellStyle name="Date 127 2" xfId="4913"/>
    <cellStyle name="Date 127 2 2" xfId="4914"/>
    <cellStyle name="Date 127 2 2 2" xfId="4915"/>
    <cellStyle name="Date 127 2 2 3" xfId="4916"/>
    <cellStyle name="Date 127 2 3" xfId="4917"/>
    <cellStyle name="Date 127 2 3 2" xfId="4918"/>
    <cellStyle name="Date 127 2 3 3" xfId="4919"/>
    <cellStyle name="Date 127 2 4" xfId="4920"/>
    <cellStyle name="Date 127 2 5" xfId="4921"/>
    <cellStyle name="Date 127 3" xfId="4922"/>
    <cellStyle name="Date 127 3 2" xfId="4923"/>
    <cellStyle name="Date 127 3 3" xfId="4924"/>
    <cellStyle name="Date 127 4" xfId="4925"/>
    <cellStyle name="Date 127 4 2" xfId="4926"/>
    <cellStyle name="Date 127 4 3" xfId="4927"/>
    <cellStyle name="Date 127 5" xfId="4928"/>
    <cellStyle name="Date 127 6" xfId="4929"/>
    <cellStyle name="Date 128" xfId="4930"/>
    <cellStyle name="Date 128 2" xfId="4931"/>
    <cellStyle name="Date 128 2 2" xfId="4932"/>
    <cellStyle name="Date 128 2 2 2" xfId="4933"/>
    <cellStyle name="Date 128 2 2 3" xfId="4934"/>
    <cellStyle name="Date 128 2 3" xfId="4935"/>
    <cellStyle name="Date 128 2 3 2" xfId="4936"/>
    <cellStyle name="Date 128 2 3 3" xfId="4937"/>
    <cellStyle name="Date 128 2 4" xfId="4938"/>
    <cellStyle name="Date 128 2 5" xfId="4939"/>
    <cellStyle name="Date 128 3" xfId="4940"/>
    <cellStyle name="Date 128 3 2" xfId="4941"/>
    <cellStyle name="Date 128 3 3" xfId="4942"/>
    <cellStyle name="Date 128 4" xfId="4943"/>
    <cellStyle name="Date 128 4 2" xfId="4944"/>
    <cellStyle name="Date 128 4 3" xfId="4945"/>
    <cellStyle name="Date 128 5" xfId="4946"/>
    <cellStyle name="Date 128 6" xfId="4947"/>
    <cellStyle name="Date 129" xfId="4948"/>
    <cellStyle name="Date 129 2" xfId="4949"/>
    <cellStyle name="Date 129 2 2" xfId="4950"/>
    <cellStyle name="Date 129 2 2 2" xfId="4951"/>
    <cellStyle name="Date 129 2 2 3" xfId="4952"/>
    <cellStyle name="Date 129 2 3" xfId="4953"/>
    <cellStyle name="Date 129 2 3 2" xfId="4954"/>
    <cellStyle name="Date 129 2 3 3" xfId="4955"/>
    <cellStyle name="Date 129 2 4" xfId="4956"/>
    <cellStyle name="Date 129 2 5" xfId="4957"/>
    <cellStyle name="Date 129 3" xfId="4958"/>
    <cellStyle name="Date 129 3 2" xfId="4959"/>
    <cellStyle name="Date 129 3 3" xfId="4960"/>
    <cellStyle name="Date 129 4" xfId="4961"/>
    <cellStyle name="Date 129 4 2" xfId="4962"/>
    <cellStyle name="Date 129 4 3" xfId="4963"/>
    <cellStyle name="Date 129 5" xfId="4964"/>
    <cellStyle name="Date 129 6" xfId="4965"/>
    <cellStyle name="Date 13" xfId="4966"/>
    <cellStyle name="Date 13 2" xfId="4967"/>
    <cellStyle name="Date 13 2 2" xfId="4968"/>
    <cellStyle name="Date 13 2 2 2" xfId="4969"/>
    <cellStyle name="Date 13 2 2 3" xfId="4970"/>
    <cellStyle name="Date 13 2 3" xfId="4971"/>
    <cellStyle name="Date 13 2 3 2" xfId="4972"/>
    <cellStyle name="Date 13 2 3 3" xfId="4973"/>
    <cellStyle name="Date 13 2 4" xfId="4974"/>
    <cellStyle name="Date 13 2 5" xfId="4975"/>
    <cellStyle name="Date 13 3" xfId="4976"/>
    <cellStyle name="Date 13 3 2" xfId="4977"/>
    <cellStyle name="Date 13 3 3" xfId="4978"/>
    <cellStyle name="Date 13 4" xfId="4979"/>
    <cellStyle name="Date 13 4 2" xfId="4980"/>
    <cellStyle name="Date 13 4 3" xfId="4981"/>
    <cellStyle name="Date 13 5" xfId="4982"/>
    <cellStyle name="Date 13 6" xfId="4983"/>
    <cellStyle name="Date 130" xfId="4984"/>
    <cellStyle name="Date 130 2" xfId="4985"/>
    <cellStyle name="Date 130 2 2" xfId="4986"/>
    <cellStyle name="Date 130 2 2 2" xfId="4987"/>
    <cellStyle name="Date 130 2 2 3" xfId="4988"/>
    <cellStyle name="Date 130 2 3" xfId="4989"/>
    <cellStyle name="Date 130 2 3 2" xfId="4990"/>
    <cellStyle name="Date 130 2 3 3" xfId="4991"/>
    <cellStyle name="Date 130 2 4" xfId="4992"/>
    <cellStyle name="Date 130 2 5" xfId="4993"/>
    <cellStyle name="Date 130 3" xfId="4994"/>
    <cellStyle name="Date 130 3 2" xfId="4995"/>
    <cellStyle name="Date 130 3 3" xfId="4996"/>
    <cellStyle name="Date 130 4" xfId="4997"/>
    <cellStyle name="Date 130 4 2" xfId="4998"/>
    <cellStyle name="Date 130 4 3" xfId="4999"/>
    <cellStyle name="Date 130 5" xfId="5000"/>
    <cellStyle name="Date 130 6" xfId="5001"/>
    <cellStyle name="Date 131" xfId="5002"/>
    <cellStyle name="Date 131 2" xfId="5003"/>
    <cellStyle name="Date 131 2 2" xfId="5004"/>
    <cellStyle name="Date 131 2 2 2" xfId="5005"/>
    <cellStyle name="Date 131 2 2 3" xfId="5006"/>
    <cellStyle name="Date 131 2 3" xfId="5007"/>
    <cellStyle name="Date 131 2 3 2" xfId="5008"/>
    <cellStyle name="Date 131 2 3 3" xfId="5009"/>
    <cellStyle name="Date 131 2 4" xfId="5010"/>
    <cellStyle name="Date 131 2 5" xfId="5011"/>
    <cellStyle name="Date 131 3" xfId="5012"/>
    <cellStyle name="Date 131 3 2" xfId="5013"/>
    <cellStyle name="Date 131 3 3" xfId="5014"/>
    <cellStyle name="Date 131 4" xfId="5015"/>
    <cellStyle name="Date 131 4 2" xfId="5016"/>
    <cellStyle name="Date 131 4 3" xfId="5017"/>
    <cellStyle name="Date 131 5" xfId="5018"/>
    <cellStyle name="Date 131 6" xfId="5019"/>
    <cellStyle name="Date 132" xfId="5020"/>
    <cellStyle name="Date 132 2" xfId="5021"/>
    <cellStyle name="Date 132 2 2" xfId="5022"/>
    <cellStyle name="Date 132 2 2 2" xfId="5023"/>
    <cellStyle name="Date 132 2 2 3" xfId="5024"/>
    <cellStyle name="Date 132 2 3" xfId="5025"/>
    <cellStyle name="Date 132 2 3 2" xfId="5026"/>
    <cellStyle name="Date 132 2 3 3" xfId="5027"/>
    <cellStyle name="Date 132 2 4" xfId="5028"/>
    <cellStyle name="Date 132 2 5" xfId="5029"/>
    <cellStyle name="Date 132 3" xfId="5030"/>
    <cellStyle name="Date 132 3 2" xfId="5031"/>
    <cellStyle name="Date 132 3 3" xfId="5032"/>
    <cellStyle name="Date 132 4" xfId="5033"/>
    <cellStyle name="Date 132 4 2" xfId="5034"/>
    <cellStyle name="Date 132 4 3" xfId="5035"/>
    <cellStyle name="Date 132 5" xfId="5036"/>
    <cellStyle name="Date 132 6" xfId="5037"/>
    <cellStyle name="Date 133" xfId="5038"/>
    <cellStyle name="Date 133 2" xfId="5039"/>
    <cellStyle name="Date 133 2 2" xfId="5040"/>
    <cellStyle name="Date 133 2 2 2" xfId="5041"/>
    <cellStyle name="Date 133 2 2 3" xfId="5042"/>
    <cellStyle name="Date 133 2 3" xfId="5043"/>
    <cellStyle name="Date 133 2 3 2" xfId="5044"/>
    <cellStyle name="Date 133 2 3 3" xfId="5045"/>
    <cellStyle name="Date 133 2 4" xfId="5046"/>
    <cellStyle name="Date 133 2 5" xfId="5047"/>
    <cellStyle name="Date 133 3" xfId="5048"/>
    <cellStyle name="Date 133 3 2" xfId="5049"/>
    <cellStyle name="Date 133 3 3" xfId="5050"/>
    <cellStyle name="Date 133 4" xfId="5051"/>
    <cellStyle name="Date 133 4 2" xfId="5052"/>
    <cellStyle name="Date 133 4 3" xfId="5053"/>
    <cellStyle name="Date 133 5" xfId="5054"/>
    <cellStyle name="Date 133 6" xfId="5055"/>
    <cellStyle name="Date 134" xfId="5056"/>
    <cellStyle name="Date 134 2" xfId="5057"/>
    <cellStyle name="Date 134 2 2" xfId="5058"/>
    <cellStyle name="Date 134 2 2 2" xfId="5059"/>
    <cellStyle name="Date 134 2 2 3" xfId="5060"/>
    <cellStyle name="Date 134 2 3" xfId="5061"/>
    <cellStyle name="Date 134 2 3 2" xfId="5062"/>
    <cellStyle name="Date 134 2 3 3" xfId="5063"/>
    <cellStyle name="Date 134 2 4" xfId="5064"/>
    <cellStyle name="Date 134 2 5" xfId="5065"/>
    <cellStyle name="Date 134 3" xfId="5066"/>
    <cellStyle name="Date 134 3 2" xfId="5067"/>
    <cellStyle name="Date 134 3 3" xfId="5068"/>
    <cellStyle name="Date 134 4" xfId="5069"/>
    <cellStyle name="Date 134 4 2" xfId="5070"/>
    <cellStyle name="Date 134 4 3" xfId="5071"/>
    <cellStyle name="Date 134 5" xfId="5072"/>
    <cellStyle name="Date 134 6" xfId="5073"/>
    <cellStyle name="Date 135" xfId="5074"/>
    <cellStyle name="Date 135 2" xfId="5075"/>
    <cellStyle name="Date 135 2 2" xfId="5076"/>
    <cellStyle name="Date 135 2 2 2" xfId="5077"/>
    <cellStyle name="Date 135 2 2 3" xfId="5078"/>
    <cellStyle name="Date 135 2 3" xfId="5079"/>
    <cellStyle name="Date 135 2 3 2" xfId="5080"/>
    <cellStyle name="Date 135 2 3 3" xfId="5081"/>
    <cellStyle name="Date 135 2 4" xfId="5082"/>
    <cellStyle name="Date 135 2 5" xfId="5083"/>
    <cellStyle name="Date 135 3" xfId="5084"/>
    <cellStyle name="Date 135 3 2" xfId="5085"/>
    <cellStyle name="Date 135 3 3" xfId="5086"/>
    <cellStyle name="Date 135 4" xfId="5087"/>
    <cellStyle name="Date 135 4 2" xfId="5088"/>
    <cellStyle name="Date 135 4 3" xfId="5089"/>
    <cellStyle name="Date 135 5" xfId="5090"/>
    <cellStyle name="Date 135 6" xfId="5091"/>
    <cellStyle name="Date 136" xfId="5092"/>
    <cellStyle name="Date 136 2" xfId="5093"/>
    <cellStyle name="Date 136 2 2" xfId="5094"/>
    <cellStyle name="Date 136 2 2 2" xfId="5095"/>
    <cellStyle name="Date 136 2 2 3" xfId="5096"/>
    <cellStyle name="Date 136 2 3" xfId="5097"/>
    <cellStyle name="Date 136 2 3 2" xfId="5098"/>
    <cellStyle name="Date 136 2 3 3" xfId="5099"/>
    <cellStyle name="Date 136 2 4" xfId="5100"/>
    <cellStyle name="Date 136 2 5" xfId="5101"/>
    <cellStyle name="Date 136 3" xfId="5102"/>
    <cellStyle name="Date 136 3 2" xfId="5103"/>
    <cellStyle name="Date 136 3 3" xfId="5104"/>
    <cellStyle name="Date 136 4" xfId="5105"/>
    <cellStyle name="Date 136 4 2" xfId="5106"/>
    <cellStyle name="Date 136 4 3" xfId="5107"/>
    <cellStyle name="Date 136 5" xfId="5108"/>
    <cellStyle name="Date 136 6" xfId="5109"/>
    <cellStyle name="Date 137" xfId="5110"/>
    <cellStyle name="Date 137 2" xfId="5111"/>
    <cellStyle name="Date 137 2 2" xfId="5112"/>
    <cellStyle name="Date 137 2 2 2" xfId="5113"/>
    <cellStyle name="Date 137 2 2 3" xfId="5114"/>
    <cellStyle name="Date 137 2 3" xfId="5115"/>
    <cellStyle name="Date 137 2 3 2" xfId="5116"/>
    <cellStyle name="Date 137 2 3 3" xfId="5117"/>
    <cellStyle name="Date 137 2 4" xfId="5118"/>
    <cellStyle name="Date 137 2 5" xfId="5119"/>
    <cellStyle name="Date 137 3" xfId="5120"/>
    <cellStyle name="Date 137 3 2" xfId="5121"/>
    <cellStyle name="Date 137 3 3" xfId="5122"/>
    <cellStyle name="Date 137 4" xfId="5123"/>
    <cellStyle name="Date 137 4 2" xfId="5124"/>
    <cellStyle name="Date 137 4 3" xfId="5125"/>
    <cellStyle name="Date 137 5" xfId="5126"/>
    <cellStyle name="Date 137 6" xfId="5127"/>
    <cellStyle name="Date 138" xfId="5128"/>
    <cellStyle name="Date 138 2" xfId="5129"/>
    <cellStyle name="Date 138 2 2" xfId="5130"/>
    <cellStyle name="Date 138 2 2 2" xfId="5131"/>
    <cellStyle name="Date 138 2 2 3" xfId="5132"/>
    <cellStyle name="Date 138 2 3" xfId="5133"/>
    <cellStyle name="Date 138 2 3 2" xfId="5134"/>
    <cellStyle name="Date 138 2 3 3" xfId="5135"/>
    <cellStyle name="Date 138 2 4" xfId="5136"/>
    <cellStyle name="Date 138 2 5" xfId="5137"/>
    <cellStyle name="Date 138 3" xfId="5138"/>
    <cellStyle name="Date 138 3 2" xfId="5139"/>
    <cellStyle name="Date 138 3 3" xfId="5140"/>
    <cellStyle name="Date 138 4" xfId="5141"/>
    <cellStyle name="Date 138 4 2" xfId="5142"/>
    <cellStyle name="Date 138 4 3" xfId="5143"/>
    <cellStyle name="Date 138 5" xfId="5144"/>
    <cellStyle name="Date 138 6" xfId="5145"/>
    <cellStyle name="Date 139" xfId="5146"/>
    <cellStyle name="Date 139 2" xfId="5147"/>
    <cellStyle name="Date 139 2 2" xfId="5148"/>
    <cellStyle name="Date 139 2 2 2" xfId="5149"/>
    <cellStyle name="Date 139 2 2 3" xfId="5150"/>
    <cellStyle name="Date 139 2 3" xfId="5151"/>
    <cellStyle name="Date 139 2 3 2" xfId="5152"/>
    <cellStyle name="Date 139 2 3 3" xfId="5153"/>
    <cellStyle name="Date 139 2 4" xfId="5154"/>
    <cellStyle name="Date 139 2 5" xfId="5155"/>
    <cellStyle name="Date 139 3" xfId="5156"/>
    <cellStyle name="Date 139 3 2" xfId="5157"/>
    <cellStyle name="Date 139 3 3" xfId="5158"/>
    <cellStyle name="Date 139 4" xfId="5159"/>
    <cellStyle name="Date 139 4 2" xfId="5160"/>
    <cellStyle name="Date 139 4 3" xfId="5161"/>
    <cellStyle name="Date 139 5" xfId="5162"/>
    <cellStyle name="Date 139 6" xfId="5163"/>
    <cellStyle name="Date 14" xfId="5164"/>
    <cellStyle name="Date 14 2" xfId="5165"/>
    <cellStyle name="Date 14 2 2" xfId="5166"/>
    <cellStyle name="Date 14 2 2 2" xfId="5167"/>
    <cellStyle name="Date 14 2 2 3" xfId="5168"/>
    <cellStyle name="Date 14 2 3" xfId="5169"/>
    <cellStyle name="Date 14 2 3 2" xfId="5170"/>
    <cellStyle name="Date 14 2 3 3" xfId="5171"/>
    <cellStyle name="Date 14 2 4" xfId="5172"/>
    <cellStyle name="Date 14 2 5" xfId="5173"/>
    <cellStyle name="Date 14 3" xfId="5174"/>
    <cellStyle name="Date 14 3 2" xfId="5175"/>
    <cellStyle name="Date 14 3 3" xfId="5176"/>
    <cellStyle name="Date 14 4" xfId="5177"/>
    <cellStyle name="Date 14 4 2" xfId="5178"/>
    <cellStyle name="Date 14 4 3" xfId="5179"/>
    <cellStyle name="Date 14 5" xfId="5180"/>
    <cellStyle name="Date 14 6" xfId="5181"/>
    <cellStyle name="Date 140" xfId="5182"/>
    <cellStyle name="Date 140 2" xfId="5183"/>
    <cellStyle name="Date 140 2 2" xfId="5184"/>
    <cellStyle name="Date 140 2 2 2" xfId="5185"/>
    <cellStyle name="Date 140 2 2 3" xfId="5186"/>
    <cellStyle name="Date 140 2 3" xfId="5187"/>
    <cellStyle name="Date 140 2 3 2" xfId="5188"/>
    <cellStyle name="Date 140 2 3 3" xfId="5189"/>
    <cellStyle name="Date 140 2 4" xfId="5190"/>
    <cellStyle name="Date 140 2 5" xfId="5191"/>
    <cellStyle name="Date 140 3" xfId="5192"/>
    <cellStyle name="Date 140 3 2" xfId="5193"/>
    <cellStyle name="Date 140 3 3" xfId="5194"/>
    <cellStyle name="Date 140 4" xfId="5195"/>
    <cellStyle name="Date 140 4 2" xfId="5196"/>
    <cellStyle name="Date 140 4 3" xfId="5197"/>
    <cellStyle name="Date 140 5" xfId="5198"/>
    <cellStyle name="Date 140 6" xfId="5199"/>
    <cellStyle name="Date 141" xfId="5200"/>
    <cellStyle name="Date 141 2" xfId="5201"/>
    <cellStyle name="Date 141 2 2" xfId="5202"/>
    <cellStyle name="Date 141 2 2 2" xfId="5203"/>
    <cellStyle name="Date 141 2 2 3" xfId="5204"/>
    <cellStyle name="Date 141 2 3" xfId="5205"/>
    <cellStyle name="Date 141 2 3 2" xfId="5206"/>
    <cellStyle name="Date 141 2 3 3" xfId="5207"/>
    <cellStyle name="Date 141 2 4" xfId="5208"/>
    <cellStyle name="Date 141 2 5" xfId="5209"/>
    <cellStyle name="Date 141 3" xfId="5210"/>
    <cellStyle name="Date 141 3 2" xfId="5211"/>
    <cellStyle name="Date 141 3 3" xfId="5212"/>
    <cellStyle name="Date 141 4" xfId="5213"/>
    <cellStyle name="Date 141 4 2" xfId="5214"/>
    <cellStyle name="Date 141 4 3" xfId="5215"/>
    <cellStyle name="Date 141 5" xfId="5216"/>
    <cellStyle name="Date 141 6" xfId="5217"/>
    <cellStyle name="Date 142" xfId="5218"/>
    <cellStyle name="Date 142 2" xfId="5219"/>
    <cellStyle name="Date 142 2 2" xfId="5220"/>
    <cellStyle name="Date 142 2 2 2" xfId="5221"/>
    <cellStyle name="Date 142 2 2 3" xfId="5222"/>
    <cellStyle name="Date 142 2 3" xfId="5223"/>
    <cellStyle name="Date 142 2 3 2" xfId="5224"/>
    <cellStyle name="Date 142 2 3 3" xfId="5225"/>
    <cellStyle name="Date 142 2 4" xfId="5226"/>
    <cellStyle name="Date 142 2 5" xfId="5227"/>
    <cellStyle name="Date 142 3" xfId="5228"/>
    <cellStyle name="Date 142 3 2" xfId="5229"/>
    <cellStyle name="Date 142 3 3" xfId="5230"/>
    <cellStyle name="Date 142 4" xfId="5231"/>
    <cellStyle name="Date 142 4 2" xfId="5232"/>
    <cellStyle name="Date 142 4 3" xfId="5233"/>
    <cellStyle name="Date 142 5" xfId="5234"/>
    <cellStyle name="Date 142 6" xfId="5235"/>
    <cellStyle name="Date 143" xfId="5236"/>
    <cellStyle name="Date 143 2" xfId="5237"/>
    <cellStyle name="Date 143 2 2" xfId="5238"/>
    <cellStyle name="Date 143 2 2 2" xfId="5239"/>
    <cellStyle name="Date 143 2 2 3" xfId="5240"/>
    <cellStyle name="Date 143 2 3" xfId="5241"/>
    <cellStyle name="Date 143 2 3 2" xfId="5242"/>
    <cellStyle name="Date 143 2 3 3" xfId="5243"/>
    <cellStyle name="Date 143 2 4" xfId="5244"/>
    <cellStyle name="Date 143 2 5" xfId="5245"/>
    <cellStyle name="Date 143 3" xfId="5246"/>
    <cellStyle name="Date 143 3 2" xfId="5247"/>
    <cellStyle name="Date 143 3 3" xfId="5248"/>
    <cellStyle name="Date 143 4" xfId="5249"/>
    <cellStyle name="Date 143 4 2" xfId="5250"/>
    <cellStyle name="Date 143 4 3" xfId="5251"/>
    <cellStyle name="Date 143 5" xfId="5252"/>
    <cellStyle name="Date 143 6" xfId="5253"/>
    <cellStyle name="Date 144" xfId="5254"/>
    <cellStyle name="Date 144 2" xfId="5255"/>
    <cellStyle name="Date 144 2 2" xfId="5256"/>
    <cellStyle name="Date 144 2 2 2" xfId="5257"/>
    <cellStyle name="Date 144 2 2 3" xfId="5258"/>
    <cellStyle name="Date 144 2 3" xfId="5259"/>
    <cellStyle name="Date 144 2 3 2" xfId="5260"/>
    <cellStyle name="Date 144 2 3 3" xfId="5261"/>
    <cellStyle name="Date 144 2 4" xfId="5262"/>
    <cellStyle name="Date 144 2 5" xfId="5263"/>
    <cellStyle name="Date 144 3" xfId="5264"/>
    <cellStyle name="Date 144 3 2" xfId="5265"/>
    <cellStyle name="Date 144 3 3" xfId="5266"/>
    <cellStyle name="Date 144 4" xfId="5267"/>
    <cellStyle name="Date 144 4 2" xfId="5268"/>
    <cellStyle name="Date 144 4 3" xfId="5269"/>
    <cellStyle name="Date 144 5" xfId="5270"/>
    <cellStyle name="Date 144 6" xfId="5271"/>
    <cellStyle name="Date 145" xfId="5272"/>
    <cellStyle name="Date 145 2" xfId="5273"/>
    <cellStyle name="Date 145 2 2" xfId="5274"/>
    <cellStyle name="Date 145 2 2 2" xfId="5275"/>
    <cellStyle name="Date 145 2 2 3" xfId="5276"/>
    <cellStyle name="Date 145 2 3" xfId="5277"/>
    <cellStyle name="Date 145 2 3 2" xfId="5278"/>
    <cellStyle name="Date 145 2 3 3" xfId="5279"/>
    <cellStyle name="Date 145 2 4" xfId="5280"/>
    <cellStyle name="Date 145 2 5" xfId="5281"/>
    <cellStyle name="Date 145 3" xfId="5282"/>
    <cellStyle name="Date 145 3 2" xfId="5283"/>
    <cellStyle name="Date 145 3 3" xfId="5284"/>
    <cellStyle name="Date 145 4" xfId="5285"/>
    <cellStyle name="Date 145 4 2" xfId="5286"/>
    <cellStyle name="Date 145 4 3" xfId="5287"/>
    <cellStyle name="Date 145 5" xfId="5288"/>
    <cellStyle name="Date 145 6" xfId="5289"/>
    <cellStyle name="Date 146" xfId="5290"/>
    <cellStyle name="Date 146 2" xfId="5291"/>
    <cellStyle name="Date 146 2 2" xfId="5292"/>
    <cellStyle name="Date 146 2 2 2" xfId="5293"/>
    <cellStyle name="Date 146 2 2 3" xfId="5294"/>
    <cellStyle name="Date 146 2 3" xfId="5295"/>
    <cellStyle name="Date 146 2 3 2" xfId="5296"/>
    <cellStyle name="Date 146 2 3 3" xfId="5297"/>
    <cellStyle name="Date 146 2 4" xfId="5298"/>
    <cellStyle name="Date 146 2 5" xfId="5299"/>
    <cellStyle name="Date 146 3" xfId="5300"/>
    <cellStyle name="Date 146 3 2" xfId="5301"/>
    <cellStyle name="Date 146 3 3" xfId="5302"/>
    <cellStyle name="Date 146 4" xfId="5303"/>
    <cellStyle name="Date 146 4 2" xfId="5304"/>
    <cellStyle name="Date 146 4 3" xfId="5305"/>
    <cellStyle name="Date 146 5" xfId="5306"/>
    <cellStyle name="Date 146 6" xfId="5307"/>
    <cellStyle name="Date 147" xfId="5308"/>
    <cellStyle name="Date 147 2" xfId="5309"/>
    <cellStyle name="Date 147 2 2" xfId="5310"/>
    <cellStyle name="Date 147 2 2 2" xfId="5311"/>
    <cellStyle name="Date 147 2 2 3" xfId="5312"/>
    <cellStyle name="Date 147 2 3" xfId="5313"/>
    <cellStyle name="Date 147 2 3 2" xfId="5314"/>
    <cellStyle name="Date 147 2 3 3" xfId="5315"/>
    <cellStyle name="Date 147 2 4" xfId="5316"/>
    <cellStyle name="Date 147 2 5" xfId="5317"/>
    <cellStyle name="Date 147 3" xfId="5318"/>
    <cellStyle name="Date 147 3 2" xfId="5319"/>
    <cellStyle name="Date 147 3 3" xfId="5320"/>
    <cellStyle name="Date 147 4" xfId="5321"/>
    <cellStyle name="Date 147 4 2" xfId="5322"/>
    <cellStyle name="Date 147 4 3" xfId="5323"/>
    <cellStyle name="Date 147 5" xfId="5324"/>
    <cellStyle name="Date 147 6" xfId="5325"/>
    <cellStyle name="Date 148" xfId="5326"/>
    <cellStyle name="Date 148 2" xfId="5327"/>
    <cellStyle name="Date 148 2 2" xfId="5328"/>
    <cellStyle name="Date 148 2 2 2" xfId="5329"/>
    <cellStyle name="Date 148 2 2 3" xfId="5330"/>
    <cellStyle name="Date 148 2 3" xfId="5331"/>
    <cellStyle name="Date 148 2 3 2" xfId="5332"/>
    <cellStyle name="Date 148 2 3 3" xfId="5333"/>
    <cellStyle name="Date 148 2 4" xfId="5334"/>
    <cellStyle name="Date 148 2 5" xfId="5335"/>
    <cellStyle name="Date 148 3" xfId="5336"/>
    <cellStyle name="Date 148 3 2" xfId="5337"/>
    <cellStyle name="Date 148 3 3" xfId="5338"/>
    <cellStyle name="Date 148 4" xfId="5339"/>
    <cellStyle name="Date 148 4 2" xfId="5340"/>
    <cellStyle name="Date 148 4 3" xfId="5341"/>
    <cellStyle name="Date 148 5" xfId="5342"/>
    <cellStyle name="Date 148 6" xfId="5343"/>
    <cellStyle name="Date 149" xfId="5344"/>
    <cellStyle name="Date 149 2" xfId="5345"/>
    <cellStyle name="Date 149 2 2" xfId="5346"/>
    <cellStyle name="Date 149 2 2 2" xfId="5347"/>
    <cellStyle name="Date 149 2 2 3" xfId="5348"/>
    <cellStyle name="Date 149 2 3" xfId="5349"/>
    <cellStyle name="Date 149 2 3 2" xfId="5350"/>
    <cellStyle name="Date 149 2 3 3" xfId="5351"/>
    <cellStyle name="Date 149 2 4" xfId="5352"/>
    <cellStyle name="Date 149 2 5" xfId="5353"/>
    <cellStyle name="Date 149 3" xfId="5354"/>
    <cellStyle name="Date 149 3 2" xfId="5355"/>
    <cellStyle name="Date 149 3 3" xfId="5356"/>
    <cellStyle name="Date 149 4" xfId="5357"/>
    <cellStyle name="Date 149 4 2" xfId="5358"/>
    <cellStyle name="Date 149 4 3" xfId="5359"/>
    <cellStyle name="Date 149 5" xfId="5360"/>
    <cellStyle name="Date 149 6" xfId="5361"/>
    <cellStyle name="Date 15" xfId="5362"/>
    <cellStyle name="Date 15 2" xfId="5363"/>
    <cellStyle name="Date 15 2 2" xfId="5364"/>
    <cellStyle name="Date 15 2 3" xfId="5365"/>
    <cellStyle name="Date 15 3" xfId="5366"/>
    <cellStyle name="Date 15 3 2" xfId="5367"/>
    <cellStyle name="Date 15 3 3" xfId="5368"/>
    <cellStyle name="Date 15 4" xfId="5369"/>
    <cellStyle name="Date 15 5" xfId="5370"/>
    <cellStyle name="Date 150" xfId="5371"/>
    <cellStyle name="Date 150 2" xfId="5372"/>
    <cellStyle name="Date 150 2 2" xfId="5373"/>
    <cellStyle name="Date 150 2 2 2" xfId="5374"/>
    <cellStyle name="Date 150 2 2 3" xfId="5375"/>
    <cellStyle name="Date 150 2 3" xfId="5376"/>
    <cellStyle name="Date 150 2 3 2" xfId="5377"/>
    <cellStyle name="Date 150 2 3 3" xfId="5378"/>
    <cellStyle name="Date 150 2 4" xfId="5379"/>
    <cellStyle name="Date 150 2 5" xfId="5380"/>
    <cellStyle name="Date 150 3" xfId="5381"/>
    <cellStyle name="Date 150 3 2" xfId="5382"/>
    <cellStyle name="Date 150 3 3" xfId="5383"/>
    <cellStyle name="Date 150 4" xfId="5384"/>
    <cellStyle name="Date 150 4 2" xfId="5385"/>
    <cellStyle name="Date 150 4 3" xfId="5386"/>
    <cellStyle name="Date 150 5" xfId="5387"/>
    <cellStyle name="Date 150 6" xfId="5388"/>
    <cellStyle name="Date 151" xfId="5389"/>
    <cellStyle name="Date 151 2" xfId="5390"/>
    <cellStyle name="Date 151 2 2" xfId="5391"/>
    <cellStyle name="Date 151 2 2 2" xfId="5392"/>
    <cellStyle name="Date 151 2 2 3" xfId="5393"/>
    <cellStyle name="Date 151 2 3" xfId="5394"/>
    <cellStyle name="Date 151 2 3 2" xfId="5395"/>
    <cellStyle name="Date 151 2 3 3" xfId="5396"/>
    <cellStyle name="Date 151 2 4" xfId="5397"/>
    <cellStyle name="Date 151 2 5" xfId="5398"/>
    <cellStyle name="Date 151 3" xfId="5399"/>
    <cellStyle name="Date 151 3 2" xfId="5400"/>
    <cellStyle name="Date 151 3 3" xfId="5401"/>
    <cellStyle name="Date 151 4" xfId="5402"/>
    <cellStyle name="Date 151 4 2" xfId="5403"/>
    <cellStyle name="Date 151 4 3" xfId="5404"/>
    <cellStyle name="Date 151 5" xfId="5405"/>
    <cellStyle name="Date 151 6" xfId="5406"/>
    <cellStyle name="Date 152" xfId="5407"/>
    <cellStyle name="Date 152 2" xfId="5408"/>
    <cellStyle name="Date 152 2 2" xfId="5409"/>
    <cellStyle name="Date 152 2 2 2" xfId="5410"/>
    <cellStyle name="Date 152 2 2 3" xfId="5411"/>
    <cellStyle name="Date 152 2 3" xfId="5412"/>
    <cellStyle name="Date 152 2 3 2" xfId="5413"/>
    <cellStyle name="Date 152 2 3 3" xfId="5414"/>
    <cellStyle name="Date 152 2 4" xfId="5415"/>
    <cellStyle name="Date 152 2 5" xfId="5416"/>
    <cellStyle name="Date 152 3" xfId="5417"/>
    <cellStyle name="Date 152 3 2" xfId="5418"/>
    <cellStyle name="Date 152 3 3" xfId="5419"/>
    <cellStyle name="Date 152 4" xfId="5420"/>
    <cellStyle name="Date 152 4 2" xfId="5421"/>
    <cellStyle name="Date 152 4 3" xfId="5422"/>
    <cellStyle name="Date 152 5" xfId="5423"/>
    <cellStyle name="Date 152 6" xfId="5424"/>
    <cellStyle name="Date 153" xfId="5425"/>
    <cellStyle name="Date 153 2" xfId="5426"/>
    <cellStyle name="Date 153 2 2" xfId="5427"/>
    <cellStyle name="Date 153 2 2 2" xfId="5428"/>
    <cellStyle name="Date 153 2 2 3" xfId="5429"/>
    <cellStyle name="Date 153 2 3" xfId="5430"/>
    <cellStyle name="Date 153 2 3 2" xfId="5431"/>
    <cellStyle name="Date 153 2 3 3" xfId="5432"/>
    <cellStyle name="Date 153 2 4" xfId="5433"/>
    <cellStyle name="Date 153 2 5" xfId="5434"/>
    <cellStyle name="Date 153 3" xfId="5435"/>
    <cellStyle name="Date 153 3 2" xfId="5436"/>
    <cellStyle name="Date 153 3 3" xfId="5437"/>
    <cellStyle name="Date 153 4" xfId="5438"/>
    <cellStyle name="Date 153 4 2" xfId="5439"/>
    <cellStyle name="Date 153 4 3" xfId="5440"/>
    <cellStyle name="Date 153 5" xfId="5441"/>
    <cellStyle name="Date 153 6" xfId="5442"/>
    <cellStyle name="Date 154" xfId="5443"/>
    <cellStyle name="Date 154 2" xfId="5444"/>
    <cellStyle name="Date 154 2 2" xfId="5445"/>
    <cellStyle name="Date 154 2 2 2" xfId="5446"/>
    <cellStyle name="Date 154 2 2 3" xfId="5447"/>
    <cellStyle name="Date 154 2 3" xfId="5448"/>
    <cellStyle name="Date 154 2 3 2" xfId="5449"/>
    <cellStyle name="Date 154 2 3 3" xfId="5450"/>
    <cellStyle name="Date 154 2 4" xfId="5451"/>
    <cellStyle name="Date 154 2 5" xfId="5452"/>
    <cellStyle name="Date 154 3" xfId="5453"/>
    <cellStyle name="Date 154 3 2" xfId="5454"/>
    <cellStyle name="Date 154 3 3" xfId="5455"/>
    <cellStyle name="Date 154 4" xfId="5456"/>
    <cellStyle name="Date 154 4 2" xfId="5457"/>
    <cellStyle name="Date 154 4 3" xfId="5458"/>
    <cellStyle name="Date 154 5" xfId="5459"/>
    <cellStyle name="Date 154 6" xfId="5460"/>
    <cellStyle name="Date 155" xfId="5461"/>
    <cellStyle name="Date 155 2" xfId="5462"/>
    <cellStyle name="Date 155 2 2" xfId="5463"/>
    <cellStyle name="Date 155 2 2 2" xfId="5464"/>
    <cellStyle name="Date 155 2 2 3" xfId="5465"/>
    <cellStyle name="Date 155 2 3" xfId="5466"/>
    <cellStyle name="Date 155 2 3 2" xfId="5467"/>
    <cellStyle name="Date 155 2 3 3" xfId="5468"/>
    <cellStyle name="Date 155 2 4" xfId="5469"/>
    <cellStyle name="Date 155 2 5" xfId="5470"/>
    <cellStyle name="Date 155 3" xfId="5471"/>
    <cellStyle name="Date 155 3 2" xfId="5472"/>
    <cellStyle name="Date 155 3 3" xfId="5473"/>
    <cellStyle name="Date 155 4" xfId="5474"/>
    <cellStyle name="Date 155 4 2" xfId="5475"/>
    <cellStyle name="Date 155 4 3" xfId="5476"/>
    <cellStyle name="Date 155 5" xfId="5477"/>
    <cellStyle name="Date 155 6" xfId="5478"/>
    <cellStyle name="Date 156" xfId="5479"/>
    <cellStyle name="Date 156 2" xfId="5480"/>
    <cellStyle name="Date 156 2 2" xfId="5481"/>
    <cellStyle name="Date 156 2 3" xfId="5482"/>
    <cellStyle name="Date 156 3" xfId="5483"/>
    <cellStyle name="Date 156 3 2" xfId="5484"/>
    <cellStyle name="Date 156 3 3" xfId="5485"/>
    <cellStyle name="Date 156 4" xfId="5486"/>
    <cellStyle name="Date 156 5" xfId="5487"/>
    <cellStyle name="Date 157" xfId="5488"/>
    <cellStyle name="Date 157 2" xfId="5489"/>
    <cellStyle name="Date 157 2 2" xfId="5490"/>
    <cellStyle name="Date 157 2 3" xfId="5491"/>
    <cellStyle name="Date 157 3" xfId="5492"/>
    <cellStyle name="Date 157 3 2" xfId="5493"/>
    <cellStyle name="Date 157 3 3" xfId="5494"/>
    <cellStyle name="Date 157 4" xfId="5495"/>
    <cellStyle name="Date 157 5" xfId="5496"/>
    <cellStyle name="Date 158" xfId="5497"/>
    <cellStyle name="Date 158 2" xfId="5498"/>
    <cellStyle name="Date 158 2 2" xfId="5499"/>
    <cellStyle name="Date 158 2 3" xfId="5500"/>
    <cellStyle name="Date 158 3" xfId="5501"/>
    <cellStyle name="Date 158 3 2" xfId="5502"/>
    <cellStyle name="Date 158 3 3" xfId="5503"/>
    <cellStyle name="Date 158 4" xfId="5504"/>
    <cellStyle name="Date 158 5" xfId="5505"/>
    <cellStyle name="Date 159" xfId="5506"/>
    <cellStyle name="Date 159 2" xfId="5507"/>
    <cellStyle name="Date 159 2 2" xfId="5508"/>
    <cellStyle name="Date 159 2 3" xfId="5509"/>
    <cellStyle name="Date 159 3" xfId="5510"/>
    <cellStyle name="Date 159 3 2" xfId="5511"/>
    <cellStyle name="Date 159 3 3" xfId="5512"/>
    <cellStyle name="Date 159 4" xfId="5513"/>
    <cellStyle name="Date 159 5" xfId="5514"/>
    <cellStyle name="Date 16" xfId="5515"/>
    <cellStyle name="Date 16 2" xfId="5516"/>
    <cellStyle name="Date 16 2 2" xfId="5517"/>
    <cellStyle name="Date 16 2 3" xfId="5518"/>
    <cellStyle name="Date 16 3" xfId="5519"/>
    <cellStyle name="Date 16 3 2" xfId="5520"/>
    <cellStyle name="Date 16 3 3" xfId="5521"/>
    <cellStyle name="Date 16 4" xfId="5522"/>
    <cellStyle name="Date 16 5" xfId="5523"/>
    <cellStyle name="Date 160" xfId="5524"/>
    <cellStyle name="Date 160 2" xfId="5525"/>
    <cellStyle name="Date 160 2 2" xfId="5526"/>
    <cellStyle name="Date 160 2 3" xfId="5527"/>
    <cellStyle name="Date 160 3" xfId="5528"/>
    <cellStyle name="Date 160 3 2" xfId="5529"/>
    <cellStyle name="Date 160 3 3" xfId="5530"/>
    <cellStyle name="Date 160 4" xfId="5531"/>
    <cellStyle name="Date 160 5" xfId="5532"/>
    <cellStyle name="Date 161" xfId="5533"/>
    <cellStyle name="Date 161 2" xfId="5534"/>
    <cellStyle name="Date 161 2 2" xfId="5535"/>
    <cellStyle name="Date 161 2 3" xfId="5536"/>
    <cellStyle name="Date 161 3" xfId="5537"/>
    <cellStyle name="Date 161 3 2" xfId="5538"/>
    <cellStyle name="Date 161 3 3" xfId="5539"/>
    <cellStyle name="Date 161 4" xfId="5540"/>
    <cellStyle name="Date 161 5" xfId="5541"/>
    <cellStyle name="Date 162" xfId="5542"/>
    <cellStyle name="Date 162 2" xfId="5543"/>
    <cellStyle name="Date 162 2 2" xfId="5544"/>
    <cellStyle name="Date 162 2 3" xfId="5545"/>
    <cellStyle name="Date 162 3" xfId="5546"/>
    <cellStyle name="Date 162 3 2" xfId="5547"/>
    <cellStyle name="Date 162 3 3" xfId="5548"/>
    <cellStyle name="Date 162 4" xfId="5549"/>
    <cellStyle name="Date 162 5" xfId="5550"/>
    <cellStyle name="Date 163" xfId="5551"/>
    <cellStyle name="Date 163 2" xfId="5552"/>
    <cellStyle name="Date 163 2 2" xfId="5553"/>
    <cellStyle name="Date 163 2 3" xfId="5554"/>
    <cellStyle name="Date 163 3" xfId="5555"/>
    <cellStyle name="Date 163 3 2" xfId="5556"/>
    <cellStyle name="Date 163 3 3" xfId="5557"/>
    <cellStyle name="Date 163 4" xfId="5558"/>
    <cellStyle name="Date 163 5" xfId="5559"/>
    <cellStyle name="Date 164" xfId="5560"/>
    <cellStyle name="Date 164 2" xfId="5561"/>
    <cellStyle name="Date 164 2 2" xfId="5562"/>
    <cellStyle name="Date 164 2 3" xfId="5563"/>
    <cellStyle name="Date 164 3" xfId="5564"/>
    <cellStyle name="Date 164 3 2" xfId="5565"/>
    <cellStyle name="Date 164 3 3" xfId="5566"/>
    <cellStyle name="Date 164 4" xfId="5567"/>
    <cellStyle name="Date 164 5" xfId="5568"/>
    <cellStyle name="Date 165" xfId="5569"/>
    <cellStyle name="Date 165 2" xfId="5570"/>
    <cellStyle name="Date 165 2 2" xfId="5571"/>
    <cellStyle name="Date 165 2 3" xfId="5572"/>
    <cellStyle name="Date 165 3" xfId="5573"/>
    <cellStyle name="Date 165 3 2" xfId="5574"/>
    <cellStyle name="Date 165 3 3" xfId="5575"/>
    <cellStyle name="Date 165 4" xfId="5576"/>
    <cellStyle name="Date 165 5" xfId="5577"/>
    <cellStyle name="Date 166" xfId="5578"/>
    <cellStyle name="Date 166 2" xfId="5579"/>
    <cellStyle name="Date 166 2 2" xfId="5580"/>
    <cellStyle name="Date 166 2 3" xfId="5581"/>
    <cellStyle name="Date 166 3" xfId="5582"/>
    <cellStyle name="Date 166 3 2" xfId="5583"/>
    <cellStyle name="Date 166 3 3" xfId="5584"/>
    <cellStyle name="Date 166 4" xfId="5585"/>
    <cellStyle name="Date 166 5" xfId="5586"/>
    <cellStyle name="Date 167" xfId="5587"/>
    <cellStyle name="Date 167 2" xfId="5588"/>
    <cellStyle name="Date 167 2 2" xfId="5589"/>
    <cellStyle name="Date 167 2 3" xfId="5590"/>
    <cellStyle name="Date 167 3" xfId="5591"/>
    <cellStyle name="Date 167 3 2" xfId="5592"/>
    <cellStyle name="Date 167 3 3" xfId="5593"/>
    <cellStyle name="Date 167 4" xfId="5594"/>
    <cellStyle name="Date 167 5" xfId="5595"/>
    <cellStyle name="Date 168" xfId="5596"/>
    <cellStyle name="Date 168 2" xfId="5597"/>
    <cellStyle name="Date 168 2 2" xfId="5598"/>
    <cellStyle name="Date 168 2 3" xfId="5599"/>
    <cellStyle name="Date 168 3" xfId="5600"/>
    <cellStyle name="Date 168 3 2" xfId="5601"/>
    <cellStyle name="Date 168 3 3" xfId="5602"/>
    <cellStyle name="Date 168 4" xfId="5603"/>
    <cellStyle name="Date 168 5" xfId="5604"/>
    <cellStyle name="Date 169" xfId="5605"/>
    <cellStyle name="Date 169 2" xfId="5606"/>
    <cellStyle name="Date 169 2 2" xfId="5607"/>
    <cellStyle name="Date 169 2 3" xfId="5608"/>
    <cellStyle name="Date 169 3" xfId="5609"/>
    <cellStyle name="Date 169 3 2" xfId="5610"/>
    <cellStyle name="Date 169 3 3" xfId="5611"/>
    <cellStyle name="Date 169 4" xfId="5612"/>
    <cellStyle name="Date 169 5" xfId="5613"/>
    <cellStyle name="Date 17" xfId="5614"/>
    <cellStyle name="Date 17 2" xfId="5615"/>
    <cellStyle name="Date 17 2 2" xfId="5616"/>
    <cellStyle name="Date 17 2 3" xfId="5617"/>
    <cellStyle name="Date 17 3" xfId="5618"/>
    <cellStyle name="Date 17 3 2" xfId="5619"/>
    <cellStyle name="Date 17 3 3" xfId="5620"/>
    <cellStyle name="Date 17 4" xfId="5621"/>
    <cellStyle name="Date 17 5" xfId="5622"/>
    <cellStyle name="Date 170" xfId="5623"/>
    <cellStyle name="Date 170 2" xfId="5624"/>
    <cellStyle name="Date 170 2 2" xfId="5625"/>
    <cellStyle name="Date 170 2 3" xfId="5626"/>
    <cellStyle name="Date 170 3" xfId="5627"/>
    <cellStyle name="Date 170 3 2" xfId="5628"/>
    <cellStyle name="Date 170 3 3" xfId="5629"/>
    <cellStyle name="Date 170 4" xfId="5630"/>
    <cellStyle name="Date 170 5" xfId="5631"/>
    <cellStyle name="Date 171" xfId="5632"/>
    <cellStyle name="Date 171 2" xfId="5633"/>
    <cellStyle name="Date 171 2 2" xfId="5634"/>
    <cellStyle name="Date 171 2 3" xfId="5635"/>
    <cellStyle name="Date 171 3" xfId="5636"/>
    <cellStyle name="Date 171 3 2" xfId="5637"/>
    <cellStyle name="Date 171 3 3" xfId="5638"/>
    <cellStyle name="Date 171 4" xfId="5639"/>
    <cellStyle name="Date 171 5" xfId="5640"/>
    <cellStyle name="Date 172" xfId="5641"/>
    <cellStyle name="Date 172 2" xfId="5642"/>
    <cellStyle name="Date 172 2 2" xfId="5643"/>
    <cellStyle name="Date 172 2 3" xfId="5644"/>
    <cellStyle name="Date 172 3" xfId="5645"/>
    <cellStyle name="Date 172 3 2" xfId="5646"/>
    <cellStyle name="Date 172 3 3" xfId="5647"/>
    <cellStyle name="Date 172 4" xfId="5648"/>
    <cellStyle name="Date 172 5" xfId="5649"/>
    <cellStyle name="Date 173" xfId="5650"/>
    <cellStyle name="Date 173 2" xfId="5651"/>
    <cellStyle name="Date 173 2 2" xfId="5652"/>
    <cellStyle name="Date 173 2 3" xfId="5653"/>
    <cellStyle name="Date 173 3" xfId="5654"/>
    <cellStyle name="Date 173 3 2" xfId="5655"/>
    <cellStyle name="Date 173 3 3" xfId="5656"/>
    <cellStyle name="Date 173 4" xfId="5657"/>
    <cellStyle name="Date 173 5" xfId="5658"/>
    <cellStyle name="Date 174" xfId="5659"/>
    <cellStyle name="Date 174 2" xfId="5660"/>
    <cellStyle name="Date 174 2 2" xfId="5661"/>
    <cellStyle name="Date 174 2 3" xfId="5662"/>
    <cellStyle name="Date 174 3" xfId="5663"/>
    <cellStyle name="Date 174 3 2" xfId="5664"/>
    <cellStyle name="Date 174 3 3" xfId="5665"/>
    <cellStyle name="Date 174 4" xfId="5666"/>
    <cellStyle name="Date 174 5" xfId="5667"/>
    <cellStyle name="Date 175" xfId="5668"/>
    <cellStyle name="Date 175 2" xfId="5669"/>
    <cellStyle name="Date 175 2 2" xfId="5670"/>
    <cellStyle name="Date 175 2 3" xfId="5671"/>
    <cellStyle name="Date 175 3" xfId="5672"/>
    <cellStyle name="Date 175 3 2" xfId="5673"/>
    <cellStyle name="Date 175 3 3" xfId="5674"/>
    <cellStyle name="Date 175 4" xfId="5675"/>
    <cellStyle name="Date 175 5" xfId="5676"/>
    <cellStyle name="Date 176" xfId="5677"/>
    <cellStyle name="Date 176 2" xfId="5678"/>
    <cellStyle name="Date 176 2 2" xfId="5679"/>
    <cellStyle name="Date 176 2 3" xfId="5680"/>
    <cellStyle name="Date 176 3" xfId="5681"/>
    <cellStyle name="Date 176 3 2" xfId="5682"/>
    <cellStyle name="Date 176 3 3" xfId="5683"/>
    <cellStyle name="Date 176 4" xfId="5684"/>
    <cellStyle name="Date 176 5" xfId="5685"/>
    <cellStyle name="Date 177" xfId="5686"/>
    <cellStyle name="Date 177 2" xfId="5687"/>
    <cellStyle name="Date 177 2 2" xfId="5688"/>
    <cellStyle name="Date 177 2 3" xfId="5689"/>
    <cellStyle name="Date 177 3" xfId="5690"/>
    <cellStyle name="Date 177 3 2" xfId="5691"/>
    <cellStyle name="Date 177 3 3" xfId="5692"/>
    <cellStyle name="Date 177 4" xfId="5693"/>
    <cellStyle name="Date 177 5" xfId="5694"/>
    <cellStyle name="Date 178" xfId="5695"/>
    <cellStyle name="Date 178 2" xfId="5696"/>
    <cellStyle name="Date 178 2 2" xfId="5697"/>
    <cellStyle name="Date 178 2 3" xfId="5698"/>
    <cellStyle name="Date 178 3" xfId="5699"/>
    <cellStyle name="Date 178 3 2" xfId="5700"/>
    <cellStyle name="Date 178 3 3" xfId="5701"/>
    <cellStyle name="Date 178 4" xfId="5702"/>
    <cellStyle name="Date 178 5" xfId="5703"/>
    <cellStyle name="Date 179" xfId="5704"/>
    <cellStyle name="Date 179 2" xfId="5705"/>
    <cellStyle name="Date 179 2 2" xfId="5706"/>
    <cellStyle name="Date 179 2 3" xfId="5707"/>
    <cellStyle name="Date 179 3" xfId="5708"/>
    <cellStyle name="Date 179 3 2" xfId="5709"/>
    <cellStyle name="Date 179 3 3" xfId="5710"/>
    <cellStyle name="Date 179 4" xfId="5711"/>
    <cellStyle name="Date 179 5" xfId="5712"/>
    <cellStyle name="Date 18" xfId="5713"/>
    <cellStyle name="Date 18 2" xfId="5714"/>
    <cellStyle name="Date 18 2 2" xfId="5715"/>
    <cellStyle name="Date 18 2 3" xfId="5716"/>
    <cellStyle name="Date 18 3" xfId="5717"/>
    <cellStyle name="Date 18 3 2" xfId="5718"/>
    <cellStyle name="Date 18 3 3" xfId="5719"/>
    <cellStyle name="Date 18 4" xfId="5720"/>
    <cellStyle name="Date 18 5" xfId="5721"/>
    <cellStyle name="Date 180" xfId="5722"/>
    <cellStyle name="Date 180 2" xfId="5723"/>
    <cellStyle name="Date 180 2 2" xfId="5724"/>
    <cellStyle name="Date 180 2 3" xfId="5725"/>
    <cellStyle name="Date 180 3" xfId="5726"/>
    <cellStyle name="Date 180 3 2" xfId="5727"/>
    <cellStyle name="Date 180 3 3" xfId="5728"/>
    <cellStyle name="Date 180 4" xfId="5729"/>
    <cellStyle name="Date 180 5" xfId="5730"/>
    <cellStyle name="Date 181" xfId="5731"/>
    <cellStyle name="Date 181 2" xfId="5732"/>
    <cellStyle name="Date 181 2 2" xfId="5733"/>
    <cellStyle name="Date 181 2 3" xfId="5734"/>
    <cellStyle name="Date 181 3" xfId="5735"/>
    <cellStyle name="Date 181 3 2" xfId="5736"/>
    <cellStyle name="Date 181 3 3" xfId="5737"/>
    <cellStyle name="Date 181 4" xfId="5738"/>
    <cellStyle name="Date 181 5" xfId="5739"/>
    <cellStyle name="Date 182" xfId="5740"/>
    <cellStyle name="Date 182 2" xfId="5741"/>
    <cellStyle name="Date 182 2 2" xfId="5742"/>
    <cellStyle name="Date 182 2 3" xfId="5743"/>
    <cellStyle name="Date 182 3" xfId="5744"/>
    <cellStyle name="Date 182 3 2" xfId="5745"/>
    <cellStyle name="Date 182 3 3" xfId="5746"/>
    <cellStyle name="Date 182 4" xfId="5747"/>
    <cellStyle name="Date 182 5" xfId="5748"/>
    <cellStyle name="Date 183" xfId="5749"/>
    <cellStyle name="Date 183 2" xfId="5750"/>
    <cellStyle name="Date 183 2 2" xfId="5751"/>
    <cellStyle name="Date 183 2 3" xfId="5752"/>
    <cellStyle name="Date 183 3" xfId="5753"/>
    <cellStyle name="Date 183 3 2" xfId="5754"/>
    <cellStyle name="Date 183 3 3" xfId="5755"/>
    <cellStyle name="Date 183 4" xfId="5756"/>
    <cellStyle name="Date 183 5" xfId="5757"/>
    <cellStyle name="Date 184" xfId="5758"/>
    <cellStyle name="Date 184 2" xfId="5759"/>
    <cellStyle name="Date 184 2 2" xfId="5760"/>
    <cellStyle name="Date 184 2 3" xfId="5761"/>
    <cellStyle name="Date 184 3" xfId="5762"/>
    <cellStyle name="Date 184 3 2" xfId="5763"/>
    <cellStyle name="Date 184 3 3" xfId="5764"/>
    <cellStyle name="Date 184 4" xfId="5765"/>
    <cellStyle name="Date 184 5" xfId="5766"/>
    <cellStyle name="Date 185" xfId="5767"/>
    <cellStyle name="Date 185 2" xfId="5768"/>
    <cellStyle name="Date 185 2 2" xfId="5769"/>
    <cellStyle name="Date 185 2 3" xfId="5770"/>
    <cellStyle name="Date 185 3" xfId="5771"/>
    <cellStyle name="Date 185 3 2" xfId="5772"/>
    <cellStyle name="Date 185 3 3" xfId="5773"/>
    <cellStyle name="Date 185 4" xfId="5774"/>
    <cellStyle name="Date 185 5" xfId="5775"/>
    <cellStyle name="Date 186" xfId="5776"/>
    <cellStyle name="Date 186 2" xfId="5777"/>
    <cellStyle name="Date 186 2 2" xfId="5778"/>
    <cellStyle name="Date 186 2 3" xfId="5779"/>
    <cellStyle name="Date 186 3" xfId="5780"/>
    <cellStyle name="Date 186 3 2" xfId="5781"/>
    <cellStyle name="Date 186 3 3" xfId="5782"/>
    <cellStyle name="Date 186 4" xfId="5783"/>
    <cellStyle name="Date 186 5" xfId="5784"/>
    <cellStyle name="Date 187" xfId="5785"/>
    <cellStyle name="Date 187 2" xfId="5786"/>
    <cellStyle name="Date 187 2 2" xfId="5787"/>
    <cellStyle name="Date 187 2 3" xfId="5788"/>
    <cellStyle name="Date 187 3" xfId="5789"/>
    <cellStyle name="Date 187 3 2" xfId="5790"/>
    <cellStyle name="Date 187 3 3" xfId="5791"/>
    <cellStyle name="Date 187 4" xfId="5792"/>
    <cellStyle name="Date 187 5" xfId="5793"/>
    <cellStyle name="Date 188" xfId="5794"/>
    <cellStyle name="Date 188 2" xfId="5795"/>
    <cellStyle name="Date 188 2 2" xfId="5796"/>
    <cellStyle name="Date 188 2 3" xfId="5797"/>
    <cellStyle name="Date 188 3" xfId="5798"/>
    <cellStyle name="Date 188 3 2" xfId="5799"/>
    <cellStyle name="Date 188 3 3" xfId="5800"/>
    <cellStyle name="Date 188 4" xfId="5801"/>
    <cellStyle name="Date 188 5" xfId="5802"/>
    <cellStyle name="Date 189" xfId="5803"/>
    <cellStyle name="Date 189 2" xfId="5804"/>
    <cellStyle name="Date 189 3" xfId="5805"/>
    <cellStyle name="Date 19" xfId="5806"/>
    <cellStyle name="Date 19 2" xfId="5807"/>
    <cellStyle name="Date 19 2 2" xfId="5808"/>
    <cellStyle name="Date 19 2 3" xfId="5809"/>
    <cellStyle name="Date 19 3" xfId="5810"/>
    <cellStyle name="Date 19 3 2" xfId="5811"/>
    <cellStyle name="Date 19 3 3" xfId="5812"/>
    <cellStyle name="Date 19 4" xfId="5813"/>
    <cellStyle name="Date 19 5" xfId="5814"/>
    <cellStyle name="Date 190" xfId="5815"/>
    <cellStyle name="Date 190 2" xfId="5816"/>
    <cellStyle name="Date 190 3" xfId="5817"/>
    <cellStyle name="Date 191" xfId="5818"/>
    <cellStyle name="Date 191 2" xfId="5819"/>
    <cellStyle name="Date 191 3" xfId="5820"/>
    <cellStyle name="Date 192" xfId="5821"/>
    <cellStyle name="Date 192 2" xfId="5822"/>
    <cellStyle name="Date 192 3" xfId="5823"/>
    <cellStyle name="Date 193" xfId="5824"/>
    <cellStyle name="Date 193 2" xfId="5825"/>
    <cellStyle name="Date 193 3" xfId="5826"/>
    <cellStyle name="Date 194" xfId="5827"/>
    <cellStyle name="Date 194 2" xfId="5828"/>
    <cellStyle name="Date 194 3" xfId="5829"/>
    <cellStyle name="Date 195" xfId="5830"/>
    <cellStyle name="Date 195 2" xfId="5831"/>
    <cellStyle name="Date 195 3" xfId="5832"/>
    <cellStyle name="Date 196" xfId="5833"/>
    <cellStyle name="Date 196 2" xfId="5834"/>
    <cellStyle name="Date 196 3" xfId="5835"/>
    <cellStyle name="Date 197" xfId="5836"/>
    <cellStyle name="Date 197 2" xfId="5837"/>
    <cellStyle name="Date 197 3" xfId="5838"/>
    <cellStyle name="Date 198" xfId="5839"/>
    <cellStyle name="Date 198 2" xfId="5840"/>
    <cellStyle name="Date 198 3" xfId="5841"/>
    <cellStyle name="Date 199" xfId="5842"/>
    <cellStyle name="Date 199 2" xfId="5843"/>
    <cellStyle name="Date 199 3" xfId="5844"/>
    <cellStyle name="Date 2" xfId="5845"/>
    <cellStyle name="Date 2 2" xfId="5846"/>
    <cellStyle name="Date 2 2 2" xfId="5847"/>
    <cellStyle name="Date 2 2 2 2" xfId="5848"/>
    <cellStyle name="Date 2 2 2 3" xfId="5849"/>
    <cellStyle name="Date 2 2 3" xfId="5850"/>
    <cellStyle name="Date 2 2 3 2" xfId="5851"/>
    <cellStyle name="Date 2 2 3 3" xfId="5852"/>
    <cellStyle name="Date 2 2 4" xfId="5853"/>
    <cellStyle name="Date 2 2 5" xfId="5854"/>
    <cellStyle name="Date 2 3" xfId="5855"/>
    <cellStyle name="Date 2 3 2" xfId="5856"/>
    <cellStyle name="Date 2 3 3" xfId="5857"/>
    <cellStyle name="Date 2 4" xfId="5858"/>
    <cellStyle name="Date 2 4 2" xfId="5859"/>
    <cellStyle name="Date 2 4 3" xfId="5860"/>
    <cellStyle name="Date 2 5" xfId="5861"/>
    <cellStyle name="Date 2 6" xfId="5862"/>
    <cellStyle name="Date 20" xfId="5863"/>
    <cellStyle name="Date 20 2" xfId="5864"/>
    <cellStyle name="Date 20 2 2" xfId="5865"/>
    <cellStyle name="Date 20 2 3" xfId="5866"/>
    <cellStyle name="Date 20 3" xfId="5867"/>
    <cellStyle name="Date 20 3 2" xfId="5868"/>
    <cellStyle name="Date 20 3 3" xfId="5869"/>
    <cellStyle name="Date 20 4" xfId="5870"/>
    <cellStyle name="Date 20 5" xfId="5871"/>
    <cellStyle name="Date 200" xfId="5872"/>
    <cellStyle name="Date 200 2" xfId="5873"/>
    <cellStyle name="Date 200 3" xfId="5874"/>
    <cellStyle name="Date 201" xfId="5875"/>
    <cellStyle name="Date 201 2" xfId="5876"/>
    <cellStyle name="Date 201 3" xfId="5877"/>
    <cellStyle name="Date 202" xfId="5878"/>
    <cellStyle name="Date 202 2" xfId="5879"/>
    <cellStyle name="Date 202 3" xfId="5880"/>
    <cellStyle name="Date 203" xfId="5881"/>
    <cellStyle name="Date 203 2" xfId="5882"/>
    <cellStyle name="Date 203 3" xfId="5883"/>
    <cellStyle name="Date 204" xfId="5884"/>
    <cellStyle name="Date 204 2" xfId="5885"/>
    <cellStyle name="Date 204 3" xfId="5886"/>
    <cellStyle name="Date 205" xfId="5887"/>
    <cellStyle name="Date 205 2" xfId="5888"/>
    <cellStyle name="Date 205 3" xfId="5889"/>
    <cellStyle name="Date 206" xfId="5890"/>
    <cellStyle name="Date 206 2" xfId="5891"/>
    <cellStyle name="Date 206 3" xfId="5892"/>
    <cellStyle name="Date 207" xfId="5893"/>
    <cellStyle name="Date 207 2" xfId="5894"/>
    <cellStyle name="Date 207 3" xfId="5895"/>
    <cellStyle name="Date 208" xfId="5896"/>
    <cellStyle name="Date 208 2" xfId="5897"/>
    <cellStyle name="Date 208 3" xfId="5898"/>
    <cellStyle name="Date 209" xfId="5899"/>
    <cellStyle name="Date 209 2" xfId="5900"/>
    <cellStyle name="Date 209 3" xfId="5901"/>
    <cellStyle name="Date 21" xfId="5902"/>
    <cellStyle name="Date 21 2" xfId="5903"/>
    <cellStyle name="Date 21 2 2" xfId="5904"/>
    <cellStyle name="Date 21 2 3" xfId="5905"/>
    <cellStyle name="Date 21 3" xfId="5906"/>
    <cellStyle name="Date 21 3 2" xfId="5907"/>
    <cellStyle name="Date 21 3 3" xfId="5908"/>
    <cellStyle name="Date 21 4" xfId="5909"/>
    <cellStyle name="Date 21 5" xfId="5910"/>
    <cellStyle name="Date 210" xfId="5911"/>
    <cellStyle name="Date 210 2" xfId="5912"/>
    <cellStyle name="Date 210 3" xfId="5913"/>
    <cellStyle name="Date 211" xfId="5914"/>
    <cellStyle name="Date 211 2" xfId="5915"/>
    <cellStyle name="Date 211 3" xfId="5916"/>
    <cellStyle name="Date 212" xfId="5917"/>
    <cellStyle name="Date 213" xfId="5918"/>
    <cellStyle name="Date 214" xfId="5919"/>
    <cellStyle name="Date 215" xfId="5920"/>
    <cellStyle name="Date 216" xfId="5921"/>
    <cellStyle name="Date 22" xfId="5922"/>
    <cellStyle name="Date 22 2" xfId="5923"/>
    <cellStyle name="Date 22 2 2" xfId="5924"/>
    <cellStyle name="Date 22 2 3" xfId="5925"/>
    <cellStyle name="Date 22 3" xfId="5926"/>
    <cellStyle name="Date 22 3 2" xfId="5927"/>
    <cellStyle name="Date 22 3 3" xfId="5928"/>
    <cellStyle name="Date 22 4" xfId="5929"/>
    <cellStyle name="Date 22 5" xfId="5930"/>
    <cellStyle name="Date 23" xfId="5931"/>
    <cellStyle name="Date 23 2" xfId="5932"/>
    <cellStyle name="Date 23 2 2" xfId="5933"/>
    <cellStyle name="Date 23 2 3" xfId="5934"/>
    <cellStyle name="Date 23 3" xfId="5935"/>
    <cellStyle name="Date 23 3 2" xfId="5936"/>
    <cellStyle name="Date 23 3 3" xfId="5937"/>
    <cellStyle name="Date 23 4" xfId="5938"/>
    <cellStyle name="Date 23 5" xfId="5939"/>
    <cellStyle name="Date 24" xfId="5940"/>
    <cellStyle name="Date 24 2" xfId="5941"/>
    <cellStyle name="Date 24 2 2" xfId="5942"/>
    <cellStyle name="Date 24 2 3" xfId="5943"/>
    <cellStyle name="Date 24 3" xfId="5944"/>
    <cellStyle name="Date 24 3 2" xfId="5945"/>
    <cellStyle name="Date 24 3 3" xfId="5946"/>
    <cellStyle name="Date 24 4" xfId="5947"/>
    <cellStyle name="Date 24 5" xfId="5948"/>
    <cellStyle name="Date 25" xfId="5949"/>
    <cellStyle name="Date 25 2" xfId="5950"/>
    <cellStyle name="Date 25 2 2" xfId="5951"/>
    <cellStyle name="Date 25 2 3" xfId="5952"/>
    <cellStyle name="Date 25 3" xfId="5953"/>
    <cellStyle name="Date 25 3 2" xfId="5954"/>
    <cellStyle name="Date 25 3 3" xfId="5955"/>
    <cellStyle name="Date 25 4" xfId="5956"/>
    <cellStyle name="Date 25 5" xfId="5957"/>
    <cellStyle name="Date 26" xfId="5958"/>
    <cellStyle name="Date 26 2" xfId="5959"/>
    <cellStyle name="Date 26 2 2" xfId="5960"/>
    <cellStyle name="Date 26 2 3" xfId="5961"/>
    <cellStyle name="Date 26 3" xfId="5962"/>
    <cellStyle name="Date 26 3 2" xfId="5963"/>
    <cellStyle name="Date 26 3 3" xfId="5964"/>
    <cellStyle name="Date 26 4" xfId="5965"/>
    <cellStyle name="Date 26 5" xfId="5966"/>
    <cellStyle name="Date 27" xfId="5967"/>
    <cellStyle name="Date 27 2" xfId="5968"/>
    <cellStyle name="Date 27 2 2" xfId="5969"/>
    <cellStyle name="Date 27 2 3" xfId="5970"/>
    <cellStyle name="Date 27 3" xfId="5971"/>
    <cellStyle name="Date 27 3 2" xfId="5972"/>
    <cellStyle name="Date 27 3 3" xfId="5973"/>
    <cellStyle name="Date 27 4" xfId="5974"/>
    <cellStyle name="Date 27 5" xfId="5975"/>
    <cellStyle name="Date 28" xfId="5976"/>
    <cellStyle name="Date 28 2" xfId="5977"/>
    <cellStyle name="Date 28 2 2" xfId="5978"/>
    <cellStyle name="Date 28 2 3" xfId="5979"/>
    <cellStyle name="Date 28 3" xfId="5980"/>
    <cellStyle name="Date 28 3 2" xfId="5981"/>
    <cellStyle name="Date 28 3 3" xfId="5982"/>
    <cellStyle name="Date 28 4" xfId="5983"/>
    <cellStyle name="Date 28 5" xfId="5984"/>
    <cellStyle name="Date 29" xfId="5985"/>
    <cellStyle name="Date 29 2" xfId="5986"/>
    <cellStyle name="Date 29 2 2" xfId="5987"/>
    <cellStyle name="Date 29 2 3" xfId="5988"/>
    <cellStyle name="Date 29 3" xfId="5989"/>
    <cellStyle name="Date 29 3 2" xfId="5990"/>
    <cellStyle name="Date 29 3 3" xfId="5991"/>
    <cellStyle name="Date 29 4" xfId="5992"/>
    <cellStyle name="Date 29 5" xfId="5993"/>
    <cellStyle name="Date 3" xfId="5994"/>
    <cellStyle name="Date 3 2" xfId="5995"/>
    <cellStyle name="Date 3 2 2" xfId="5996"/>
    <cellStyle name="Date 3 2 3" xfId="5997"/>
    <cellStyle name="Date 3 3" xfId="5998"/>
    <cellStyle name="Date 3 3 2" xfId="5999"/>
    <cellStyle name="Date 3 3 3" xfId="6000"/>
    <cellStyle name="Date 3 4" xfId="6001"/>
    <cellStyle name="Date 3 5" xfId="6002"/>
    <cellStyle name="Date 30" xfId="6003"/>
    <cellStyle name="Date 30 2" xfId="6004"/>
    <cellStyle name="Date 30 2 2" xfId="6005"/>
    <cellStyle name="Date 30 2 3" xfId="6006"/>
    <cellStyle name="Date 30 3" xfId="6007"/>
    <cellStyle name="Date 30 3 2" xfId="6008"/>
    <cellStyle name="Date 30 3 3" xfId="6009"/>
    <cellStyle name="Date 30 4" xfId="6010"/>
    <cellStyle name="Date 30 5" xfId="6011"/>
    <cellStyle name="Date 31" xfId="6012"/>
    <cellStyle name="Date 31 2" xfId="6013"/>
    <cellStyle name="Date 31 2 2" xfId="6014"/>
    <cellStyle name="Date 31 2 3" xfId="6015"/>
    <cellStyle name="Date 31 3" xfId="6016"/>
    <cellStyle name="Date 31 3 2" xfId="6017"/>
    <cellStyle name="Date 31 3 3" xfId="6018"/>
    <cellStyle name="Date 31 4" xfId="6019"/>
    <cellStyle name="Date 31 5" xfId="6020"/>
    <cellStyle name="Date 32" xfId="6021"/>
    <cellStyle name="Date 32 2" xfId="6022"/>
    <cellStyle name="Date 32 2 2" xfId="6023"/>
    <cellStyle name="Date 32 2 3" xfId="6024"/>
    <cellStyle name="Date 32 3" xfId="6025"/>
    <cellStyle name="Date 32 3 2" xfId="6026"/>
    <cellStyle name="Date 32 3 3" xfId="6027"/>
    <cellStyle name="Date 32 4" xfId="6028"/>
    <cellStyle name="Date 32 5" xfId="6029"/>
    <cellStyle name="Date 33" xfId="6030"/>
    <cellStyle name="Date 33 2" xfId="6031"/>
    <cellStyle name="Date 33 2 2" xfId="6032"/>
    <cellStyle name="Date 33 2 3" xfId="6033"/>
    <cellStyle name="Date 33 3" xfId="6034"/>
    <cellStyle name="Date 33 3 2" xfId="6035"/>
    <cellStyle name="Date 33 3 3" xfId="6036"/>
    <cellStyle name="Date 33 4" xfId="6037"/>
    <cellStyle name="Date 33 5" xfId="6038"/>
    <cellStyle name="Date 34" xfId="6039"/>
    <cellStyle name="Date 34 2" xfId="6040"/>
    <cellStyle name="Date 34 2 2" xfId="6041"/>
    <cellStyle name="Date 34 2 3" xfId="6042"/>
    <cellStyle name="Date 34 3" xfId="6043"/>
    <cellStyle name="Date 34 3 2" xfId="6044"/>
    <cellStyle name="Date 34 3 3" xfId="6045"/>
    <cellStyle name="Date 34 4" xfId="6046"/>
    <cellStyle name="Date 34 5" xfId="6047"/>
    <cellStyle name="Date 35" xfId="6048"/>
    <cellStyle name="Date 35 2" xfId="6049"/>
    <cellStyle name="Date 35 2 2" xfId="6050"/>
    <cellStyle name="Date 35 2 3" xfId="6051"/>
    <cellStyle name="Date 35 3" xfId="6052"/>
    <cellStyle name="Date 35 3 2" xfId="6053"/>
    <cellStyle name="Date 35 3 3" xfId="6054"/>
    <cellStyle name="Date 35 4" xfId="6055"/>
    <cellStyle name="Date 35 5" xfId="6056"/>
    <cellStyle name="Date 36" xfId="6057"/>
    <cellStyle name="Date 36 2" xfId="6058"/>
    <cellStyle name="Date 36 2 2" xfId="6059"/>
    <cellStyle name="Date 36 2 3" xfId="6060"/>
    <cellStyle name="Date 36 3" xfId="6061"/>
    <cellStyle name="Date 36 3 2" xfId="6062"/>
    <cellStyle name="Date 36 3 3" xfId="6063"/>
    <cellStyle name="Date 36 4" xfId="6064"/>
    <cellStyle name="Date 36 5" xfId="6065"/>
    <cellStyle name="Date 37" xfId="6066"/>
    <cellStyle name="Date 37 2" xfId="6067"/>
    <cellStyle name="Date 37 2 2" xfId="6068"/>
    <cellStyle name="Date 37 2 3" xfId="6069"/>
    <cellStyle name="Date 37 3" xfId="6070"/>
    <cellStyle name="Date 37 3 2" xfId="6071"/>
    <cellStyle name="Date 37 3 3" xfId="6072"/>
    <cellStyle name="Date 37 4" xfId="6073"/>
    <cellStyle name="Date 37 5" xfId="6074"/>
    <cellStyle name="Date 38" xfId="6075"/>
    <cellStyle name="Date 38 2" xfId="6076"/>
    <cellStyle name="Date 38 2 2" xfId="6077"/>
    <cellStyle name="Date 38 2 3" xfId="6078"/>
    <cellStyle name="Date 38 3" xfId="6079"/>
    <cellStyle name="Date 38 3 2" xfId="6080"/>
    <cellStyle name="Date 38 3 3" xfId="6081"/>
    <cellStyle name="Date 38 4" xfId="6082"/>
    <cellStyle name="Date 38 5" xfId="6083"/>
    <cellStyle name="Date 39" xfId="6084"/>
    <cellStyle name="Date 39 2" xfId="6085"/>
    <cellStyle name="Date 39 2 2" xfId="6086"/>
    <cellStyle name="Date 39 2 3" xfId="6087"/>
    <cellStyle name="Date 39 3" xfId="6088"/>
    <cellStyle name="Date 39 3 2" xfId="6089"/>
    <cellStyle name="Date 39 3 3" xfId="6090"/>
    <cellStyle name="Date 39 4" xfId="6091"/>
    <cellStyle name="Date 39 5" xfId="6092"/>
    <cellStyle name="Date 4" xfId="6093"/>
    <cellStyle name="Date 4 2" xfId="6094"/>
    <cellStyle name="Date 4 2 2" xfId="6095"/>
    <cellStyle name="Date 4 2 2 2" xfId="6096"/>
    <cellStyle name="Date 4 2 2 3" xfId="6097"/>
    <cellStyle name="Date 4 2 3" xfId="6098"/>
    <cellStyle name="Date 4 2 3 2" xfId="6099"/>
    <cellStyle name="Date 4 2 3 3" xfId="6100"/>
    <cellStyle name="Date 4 2 4" xfId="6101"/>
    <cellStyle name="Date 4 2 5" xfId="6102"/>
    <cellStyle name="Date 4 3" xfId="6103"/>
    <cellStyle name="Date 4 3 2" xfId="6104"/>
    <cellStyle name="Date 4 3 3" xfId="6105"/>
    <cellStyle name="Date 4 4" xfId="6106"/>
    <cellStyle name="Date 4 4 2" xfId="6107"/>
    <cellStyle name="Date 4 4 3" xfId="6108"/>
    <cellStyle name="Date 4 5" xfId="6109"/>
    <cellStyle name="Date 4 6" xfId="6110"/>
    <cellStyle name="Date 40" xfId="6111"/>
    <cellStyle name="Date 40 2" xfId="6112"/>
    <cellStyle name="Date 40 2 2" xfId="6113"/>
    <cellStyle name="Date 40 2 3" xfId="6114"/>
    <cellStyle name="Date 40 3" xfId="6115"/>
    <cellStyle name="Date 40 3 2" xfId="6116"/>
    <cellStyle name="Date 40 3 3" xfId="6117"/>
    <cellStyle name="Date 40 4" xfId="6118"/>
    <cellStyle name="Date 40 5" xfId="6119"/>
    <cellStyle name="Date 41" xfId="6120"/>
    <cellStyle name="Date 41 2" xfId="6121"/>
    <cellStyle name="Date 41 2 2" xfId="6122"/>
    <cellStyle name="Date 41 2 3" xfId="6123"/>
    <cellStyle name="Date 41 3" xfId="6124"/>
    <cellStyle name="Date 41 3 2" xfId="6125"/>
    <cellStyle name="Date 41 3 3" xfId="6126"/>
    <cellStyle name="Date 41 4" xfId="6127"/>
    <cellStyle name="Date 41 5" xfId="6128"/>
    <cellStyle name="Date 42" xfId="6129"/>
    <cellStyle name="Date 42 2" xfId="6130"/>
    <cellStyle name="Date 42 2 2" xfId="6131"/>
    <cellStyle name="Date 42 2 3" xfId="6132"/>
    <cellStyle name="Date 42 3" xfId="6133"/>
    <cellStyle name="Date 42 3 2" xfId="6134"/>
    <cellStyle name="Date 42 3 3" xfId="6135"/>
    <cellStyle name="Date 42 4" xfId="6136"/>
    <cellStyle name="Date 42 5" xfId="6137"/>
    <cellStyle name="Date 43" xfId="6138"/>
    <cellStyle name="Date 43 2" xfId="6139"/>
    <cellStyle name="Date 43 2 2" xfId="6140"/>
    <cellStyle name="Date 43 2 3" xfId="6141"/>
    <cellStyle name="Date 43 3" xfId="6142"/>
    <cellStyle name="Date 43 3 2" xfId="6143"/>
    <cellStyle name="Date 43 3 3" xfId="6144"/>
    <cellStyle name="Date 43 4" xfId="6145"/>
    <cellStyle name="Date 43 5" xfId="6146"/>
    <cellStyle name="Date 44" xfId="6147"/>
    <cellStyle name="Date 44 2" xfId="6148"/>
    <cellStyle name="Date 44 2 2" xfId="6149"/>
    <cellStyle name="Date 44 2 3" xfId="6150"/>
    <cellStyle name="Date 44 3" xfId="6151"/>
    <cellStyle name="Date 44 3 2" xfId="6152"/>
    <cellStyle name="Date 44 3 3" xfId="6153"/>
    <cellStyle name="Date 44 4" xfId="6154"/>
    <cellStyle name="Date 44 5" xfId="6155"/>
    <cellStyle name="Date 45" xfId="6156"/>
    <cellStyle name="Date 45 2" xfId="6157"/>
    <cellStyle name="Date 45 2 2" xfId="6158"/>
    <cellStyle name="Date 45 2 3" xfId="6159"/>
    <cellStyle name="Date 45 3" xfId="6160"/>
    <cellStyle name="Date 45 3 2" xfId="6161"/>
    <cellStyle name="Date 45 3 3" xfId="6162"/>
    <cellStyle name="Date 45 4" xfId="6163"/>
    <cellStyle name="Date 45 5" xfId="6164"/>
    <cellStyle name="Date 46" xfId="6165"/>
    <cellStyle name="Date 46 2" xfId="6166"/>
    <cellStyle name="Date 46 2 2" xfId="6167"/>
    <cellStyle name="Date 46 2 3" xfId="6168"/>
    <cellStyle name="Date 46 3" xfId="6169"/>
    <cellStyle name="Date 46 3 2" xfId="6170"/>
    <cellStyle name="Date 46 3 3" xfId="6171"/>
    <cellStyle name="Date 46 4" xfId="6172"/>
    <cellStyle name="Date 46 5" xfId="6173"/>
    <cellStyle name="Date 47" xfId="6174"/>
    <cellStyle name="Date 47 2" xfId="6175"/>
    <cellStyle name="Date 47 2 2" xfId="6176"/>
    <cellStyle name="Date 47 2 3" xfId="6177"/>
    <cellStyle name="Date 47 3" xfId="6178"/>
    <cellStyle name="Date 47 3 2" xfId="6179"/>
    <cellStyle name="Date 47 3 3" xfId="6180"/>
    <cellStyle name="Date 47 4" xfId="6181"/>
    <cellStyle name="Date 47 5" xfId="6182"/>
    <cellStyle name="Date 48" xfId="6183"/>
    <cellStyle name="Date 48 2" xfId="6184"/>
    <cellStyle name="Date 48 2 2" xfId="6185"/>
    <cellStyle name="Date 48 2 3" xfId="6186"/>
    <cellStyle name="Date 48 3" xfId="6187"/>
    <cellStyle name="Date 48 3 2" xfId="6188"/>
    <cellStyle name="Date 48 3 3" xfId="6189"/>
    <cellStyle name="Date 48 4" xfId="6190"/>
    <cellStyle name="Date 48 5" xfId="6191"/>
    <cellStyle name="Date 49" xfId="6192"/>
    <cellStyle name="Date 49 2" xfId="6193"/>
    <cellStyle name="Date 49 2 2" xfId="6194"/>
    <cellStyle name="Date 49 2 3" xfId="6195"/>
    <cellStyle name="Date 49 3" xfId="6196"/>
    <cellStyle name="Date 49 3 2" xfId="6197"/>
    <cellStyle name="Date 49 3 3" xfId="6198"/>
    <cellStyle name="Date 49 4" xfId="6199"/>
    <cellStyle name="Date 49 5" xfId="6200"/>
    <cellStyle name="Date 5" xfId="6201"/>
    <cellStyle name="Date 5 2" xfId="6202"/>
    <cellStyle name="Date 5 2 2" xfId="6203"/>
    <cellStyle name="Date 5 2 2 2" xfId="6204"/>
    <cellStyle name="Date 5 2 2 3" xfId="6205"/>
    <cellStyle name="Date 5 2 3" xfId="6206"/>
    <cellStyle name="Date 5 2 3 2" xfId="6207"/>
    <cellStyle name="Date 5 2 3 3" xfId="6208"/>
    <cellStyle name="Date 5 2 4" xfId="6209"/>
    <cellStyle name="Date 5 2 5" xfId="6210"/>
    <cellStyle name="Date 5 3" xfId="6211"/>
    <cellStyle name="Date 5 3 2" xfId="6212"/>
    <cellStyle name="Date 5 3 3" xfId="6213"/>
    <cellStyle name="Date 5 4" xfId="6214"/>
    <cellStyle name="Date 5 4 2" xfId="6215"/>
    <cellStyle name="Date 5 4 3" xfId="6216"/>
    <cellStyle name="Date 5 5" xfId="6217"/>
    <cellStyle name="Date 5 6" xfId="6218"/>
    <cellStyle name="Date 50" xfId="6219"/>
    <cellStyle name="Date 50 2" xfId="6220"/>
    <cellStyle name="Date 50 2 2" xfId="6221"/>
    <cellStyle name="Date 50 2 3" xfId="6222"/>
    <cellStyle name="Date 50 3" xfId="6223"/>
    <cellStyle name="Date 50 3 2" xfId="6224"/>
    <cellStyle name="Date 50 3 3" xfId="6225"/>
    <cellStyle name="Date 50 4" xfId="6226"/>
    <cellStyle name="Date 50 5" xfId="6227"/>
    <cellStyle name="Date 51" xfId="6228"/>
    <cellStyle name="Date 51 2" xfId="6229"/>
    <cellStyle name="Date 51 2 2" xfId="6230"/>
    <cellStyle name="Date 51 2 3" xfId="6231"/>
    <cellStyle name="Date 51 3" xfId="6232"/>
    <cellStyle name="Date 51 3 2" xfId="6233"/>
    <cellStyle name="Date 51 3 3" xfId="6234"/>
    <cellStyle name="Date 51 4" xfId="6235"/>
    <cellStyle name="Date 51 5" xfId="6236"/>
    <cellStyle name="Date 52" xfId="6237"/>
    <cellStyle name="Date 52 2" xfId="6238"/>
    <cellStyle name="Date 52 2 2" xfId="6239"/>
    <cellStyle name="Date 52 2 3" xfId="6240"/>
    <cellStyle name="Date 52 3" xfId="6241"/>
    <cellStyle name="Date 52 3 2" xfId="6242"/>
    <cellStyle name="Date 52 3 3" xfId="6243"/>
    <cellStyle name="Date 52 4" xfId="6244"/>
    <cellStyle name="Date 52 5" xfId="6245"/>
    <cellStyle name="Date 53" xfId="6246"/>
    <cellStyle name="Date 53 2" xfId="6247"/>
    <cellStyle name="Date 53 2 2" xfId="6248"/>
    <cellStyle name="Date 53 2 3" xfId="6249"/>
    <cellStyle name="Date 53 3" xfId="6250"/>
    <cellStyle name="Date 53 3 2" xfId="6251"/>
    <cellStyle name="Date 53 3 3" xfId="6252"/>
    <cellStyle name="Date 53 4" xfId="6253"/>
    <cellStyle name="Date 53 5" xfId="6254"/>
    <cellStyle name="Date 54" xfId="6255"/>
    <cellStyle name="Date 54 2" xfId="6256"/>
    <cellStyle name="Date 54 2 2" xfId="6257"/>
    <cellStyle name="Date 54 2 3" xfId="6258"/>
    <cellStyle name="Date 54 3" xfId="6259"/>
    <cellStyle name="Date 54 3 2" xfId="6260"/>
    <cellStyle name="Date 54 3 3" xfId="6261"/>
    <cellStyle name="Date 54 4" xfId="6262"/>
    <cellStyle name="Date 54 5" xfId="6263"/>
    <cellStyle name="Date 55" xfId="6264"/>
    <cellStyle name="Date 55 2" xfId="6265"/>
    <cellStyle name="Date 55 2 2" xfId="6266"/>
    <cellStyle name="Date 55 2 3" xfId="6267"/>
    <cellStyle name="Date 55 3" xfId="6268"/>
    <cellStyle name="Date 55 3 2" xfId="6269"/>
    <cellStyle name="Date 55 3 3" xfId="6270"/>
    <cellStyle name="Date 55 4" xfId="6271"/>
    <cellStyle name="Date 55 5" xfId="6272"/>
    <cellStyle name="Date 56" xfId="6273"/>
    <cellStyle name="Date 56 2" xfId="6274"/>
    <cellStyle name="Date 56 2 2" xfId="6275"/>
    <cellStyle name="Date 56 2 3" xfId="6276"/>
    <cellStyle name="Date 56 3" xfId="6277"/>
    <cellStyle name="Date 56 3 2" xfId="6278"/>
    <cellStyle name="Date 56 3 3" xfId="6279"/>
    <cellStyle name="Date 56 4" xfId="6280"/>
    <cellStyle name="Date 56 5" xfId="6281"/>
    <cellStyle name="Date 57" xfId="6282"/>
    <cellStyle name="Date 57 2" xfId="6283"/>
    <cellStyle name="Date 57 2 2" xfId="6284"/>
    <cellStyle name="Date 57 2 3" xfId="6285"/>
    <cellStyle name="Date 57 3" xfId="6286"/>
    <cellStyle name="Date 57 3 2" xfId="6287"/>
    <cellStyle name="Date 57 3 3" xfId="6288"/>
    <cellStyle name="Date 57 4" xfId="6289"/>
    <cellStyle name="Date 57 5" xfId="6290"/>
    <cellStyle name="Date 58" xfId="6291"/>
    <cellStyle name="Date 58 2" xfId="6292"/>
    <cellStyle name="Date 58 2 2" xfId="6293"/>
    <cellStyle name="Date 58 2 3" xfId="6294"/>
    <cellStyle name="Date 58 3" xfId="6295"/>
    <cellStyle name="Date 58 3 2" xfId="6296"/>
    <cellStyle name="Date 58 3 3" xfId="6297"/>
    <cellStyle name="Date 58 4" xfId="6298"/>
    <cellStyle name="Date 58 5" xfId="6299"/>
    <cellStyle name="Date 59" xfId="6300"/>
    <cellStyle name="Date 59 2" xfId="6301"/>
    <cellStyle name="Date 59 2 2" xfId="6302"/>
    <cellStyle name="Date 59 2 3" xfId="6303"/>
    <cellStyle name="Date 59 3" xfId="6304"/>
    <cellStyle name="Date 59 3 2" xfId="6305"/>
    <cellStyle name="Date 59 3 3" xfId="6306"/>
    <cellStyle name="Date 59 4" xfId="6307"/>
    <cellStyle name="Date 59 5" xfId="6308"/>
    <cellStyle name="Date 6" xfId="6309"/>
    <cellStyle name="Date 6 2" xfId="6310"/>
    <cellStyle name="Date 6 2 2" xfId="6311"/>
    <cellStyle name="Date 6 2 2 2" xfId="6312"/>
    <cellStyle name="Date 6 2 2 3" xfId="6313"/>
    <cellStyle name="Date 6 2 3" xfId="6314"/>
    <cellStyle name="Date 6 2 3 2" xfId="6315"/>
    <cellStyle name="Date 6 2 3 3" xfId="6316"/>
    <cellStyle name="Date 6 2 4" xfId="6317"/>
    <cellStyle name="Date 6 2 5" xfId="6318"/>
    <cellStyle name="Date 6 3" xfId="6319"/>
    <cellStyle name="Date 6 3 2" xfId="6320"/>
    <cellStyle name="Date 6 3 3" xfId="6321"/>
    <cellStyle name="Date 6 4" xfId="6322"/>
    <cellStyle name="Date 6 4 2" xfId="6323"/>
    <cellStyle name="Date 6 4 3" xfId="6324"/>
    <cellStyle name="Date 6 5" xfId="6325"/>
    <cellStyle name="Date 6 6" xfId="6326"/>
    <cellStyle name="Date 60" xfId="6327"/>
    <cellStyle name="Date 60 2" xfId="6328"/>
    <cellStyle name="Date 60 2 2" xfId="6329"/>
    <cellStyle name="Date 60 2 3" xfId="6330"/>
    <cellStyle name="Date 60 3" xfId="6331"/>
    <cellStyle name="Date 60 3 2" xfId="6332"/>
    <cellStyle name="Date 60 3 3" xfId="6333"/>
    <cellStyle name="Date 60 4" xfId="6334"/>
    <cellStyle name="Date 60 5" xfId="6335"/>
    <cellStyle name="Date 61" xfId="6336"/>
    <cellStyle name="Date 61 2" xfId="6337"/>
    <cellStyle name="Date 61 2 2" xfId="6338"/>
    <cellStyle name="Date 61 2 3" xfId="6339"/>
    <cellStyle name="Date 61 3" xfId="6340"/>
    <cellStyle name="Date 61 3 2" xfId="6341"/>
    <cellStyle name="Date 61 3 3" xfId="6342"/>
    <cellStyle name="Date 61 4" xfId="6343"/>
    <cellStyle name="Date 61 5" xfId="6344"/>
    <cellStyle name="Date 62" xfId="6345"/>
    <cellStyle name="Date 62 2" xfId="6346"/>
    <cellStyle name="Date 62 2 2" xfId="6347"/>
    <cellStyle name="Date 62 2 3" xfId="6348"/>
    <cellStyle name="Date 62 3" xfId="6349"/>
    <cellStyle name="Date 62 3 2" xfId="6350"/>
    <cellStyle name="Date 62 3 3" xfId="6351"/>
    <cellStyle name="Date 62 4" xfId="6352"/>
    <cellStyle name="Date 62 5" xfId="6353"/>
    <cellStyle name="Date 63" xfId="6354"/>
    <cellStyle name="Date 63 2" xfId="6355"/>
    <cellStyle name="Date 63 2 2" xfId="6356"/>
    <cellStyle name="Date 63 2 3" xfId="6357"/>
    <cellStyle name="Date 63 3" xfId="6358"/>
    <cellStyle name="Date 63 3 2" xfId="6359"/>
    <cellStyle name="Date 63 3 3" xfId="6360"/>
    <cellStyle name="Date 63 4" xfId="6361"/>
    <cellStyle name="Date 63 5" xfId="6362"/>
    <cellStyle name="Date 64" xfId="6363"/>
    <cellStyle name="Date 64 2" xfId="6364"/>
    <cellStyle name="Date 64 2 2" xfId="6365"/>
    <cellStyle name="Date 64 2 3" xfId="6366"/>
    <cellStyle name="Date 64 3" xfId="6367"/>
    <cellStyle name="Date 64 3 2" xfId="6368"/>
    <cellStyle name="Date 64 3 3" xfId="6369"/>
    <cellStyle name="Date 64 4" xfId="6370"/>
    <cellStyle name="Date 64 5" xfId="6371"/>
    <cellStyle name="Date 65" xfId="6372"/>
    <cellStyle name="Date 65 2" xfId="6373"/>
    <cellStyle name="Date 65 2 2" xfId="6374"/>
    <cellStyle name="Date 65 2 3" xfId="6375"/>
    <cellStyle name="Date 65 3" xfId="6376"/>
    <cellStyle name="Date 65 3 2" xfId="6377"/>
    <cellStyle name="Date 65 3 3" xfId="6378"/>
    <cellStyle name="Date 65 4" xfId="6379"/>
    <cellStyle name="Date 65 5" xfId="6380"/>
    <cellStyle name="Date 66" xfId="6381"/>
    <cellStyle name="Date 66 2" xfId="6382"/>
    <cellStyle name="Date 66 2 2" xfId="6383"/>
    <cellStyle name="Date 66 2 3" xfId="6384"/>
    <cellStyle name="Date 66 3" xfId="6385"/>
    <cellStyle name="Date 66 3 2" xfId="6386"/>
    <cellStyle name="Date 66 3 3" xfId="6387"/>
    <cellStyle name="Date 66 4" xfId="6388"/>
    <cellStyle name="Date 66 5" xfId="6389"/>
    <cellStyle name="Date 67" xfId="6390"/>
    <cellStyle name="Date 67 2" xfId="6391"/>
    <cellStyle name="Date 67 2 2" xfId="6392"/>
    <cellStyle name="Date 67 2 3" xfId="6393"/>
    <cellStyle name="Date 67 3" xfId="6394"/>
    <cellStyle name="Date 67 3 2" xfId="6395"/>
    <cellStyle name="Date 67 3 3" xfId="6396"/>
    <cellStyle name="Date 67 4" xfId="6397"/>
    <cellStyle name="Date 67 5" xfId="6398"/>
    <cellStyle name="Date 68" xfId="6399"/>
    <cellStyle name="Date 68 2" xfId="6400"/>
    <cellStyle name="Date 68 2 2" xfId="6401"/>
    <cellStyle name="Date 68 2 3" xfId="6402"/>
    <cellStyle name="Date 68 3" xfId="6403"/>
    <cellStyle name="Date 68 3 2" xfId="6404"/>
    <cellStyle name="Date 68 3 3" xfId="6405"/>
    <cellStyle name="Date 68 4" xfId="6406"/>
    <cellStyle name="Date 68 5" xfId="6407"/>
    <cellStyle name="Date 69" xfId="6408"/>
    <cellStyle name="Date 69 2" xfId="6409"/>
    <cellStyle name="Date 69 2 2" xfId="6410"/>
    <cellStyle name="Date 69 2 3" xfId="6411"/>
    <cellStyle name="Date 69 3" xfId="6412"/>
    <cellStyle name="Date 69 3 2" xfId="6413"/>
    <cellStyle name="Date 69 3 3" xfId="6414"/>
    <cellStyle name="Date 69 4" xfId="6415"/>
    <cellStyle name="Date 69 5" xfId="6416"/>
    <cellStyle name="Date 7" xfId="6417"/>
    <cellStyle name="Date 7 2" xfId="6418"/>
    <cellStyle name="Date 7 2 2" xfId="6419"/>
    <cellStyle name="Date 7 2 2 2" xfId="6420"/>
    <cellStyle name="Date 7 2 2 3" xfId="6421"/>
    <cellStyle name="Date 7 2 3" xfId="6422"/>
    <cellStyle name="Date 7 2 3 2" xfId="6423"/>
    <cellStyle name="Date 7 2 3 3" xfId="6424"/>
    <cellStyle name="Date 7 2 4" xfId="6425"/>
    <cellStyle name="Date 7 2 5" xfId="6426"/>
    <cellStyle name="Date 7 3" xfId="6427"/>
    <cellStyle name="Date 7 3 2" xfId="6428"/>
    <cellStyle name="Date 7 3 3" xfId="6429"/>
    <cellStyle name="Date 7 4" xfId="6430"/>
    <cellStyle name="Date 7 4 2" xfId="6431"/>
    <cellStyle name="Date 7 4 3" xfId="6432"/>
    <cellStyle name="Date 7 5" xfId="6433"/>
    <cellStyle name="Date 7 6" xfId="6434"/>
    <cellStyle name="Date 70" xfId="6435"/>
    <cellStyle name="Date 70 2" xfId="6436"/>
    <cellStyle name="Date 70 2 2" xfId="6437"/>
    <cellStyle name="Date 70 2 3" xfId="6438"/>
    <cellStyle name="Date 70 3" xfId="6439"/>
    <cellStyle name="Date 70 3 2" xfId="6440"/>
    <cellStyle name="Date 70 3 3" xfId="6441"/>
    <cellStyle name="Date 70 4" xfId="6442"/>
    <cellStyle name="Date 70 5" xfId="6443"/>
    <cellStyle name="Date 71" xfId="6444"/>
    <cellStyle name="Date 71 2" xfId="6445"/>
    <cellStyle name="Date 71 2 2" xfId="6446"/>
    <cellStyle name="Date 71 2 3" xfId="6447"/>
    <cellStyle name="Date 71 3" xfId="6448"/>
    <cellStyle name="Date 71 3 2" xfId="6449"/>
    <cellStyle name="Date 71 3 3" xfId="6450"/>
    <cellStyle name="Date 71 4" xfId="6451"/>
    <cellStyle name="Date 71 5" xfId="6452"/>
    <cellStyle name="Date 72" xfId="6453"/>
    <cellStyle name="Date 72 2" xfId="6454"/>
    <cellStyle name="Date 72 2 2" xfId="6455"/>
    <cellStyle name="Date 72 2 3" xfId="6456"/>
    <cellStyle name="Date 72 3" xfId="6457"/>
    <cellStyle name="Date 72 3 2" xfId="6458"/>
    <cellStyle name="Date 72 3 3" xfId="6459"/>
    <cellStyle name="Date 72 4" xfId="6460"/>
    <cellStyle name="Date 72 5" xfId="6461"/>
    <cellStyle name="Date 73" xfId="6462"/>
    <cellStyle name="Date 73 2" xfId="6463"/>
    <cellStyle name="Date 73 2 2" xfId="6464"/>
    <cellStyle name="Date 73 2 3" xfId="6465"/>
    <cellStyle name="Date 73 3" xfId="6466"/>
    <cellStyle name="Date 73 3 2" xfId="6467"/>
    <cellStyle name="Date 73 3 3" xfId="6468"/>
    <cellStyle name="Date 73 4" xfId="6469"/>
    <cellStyle name="Date 73 5" xfId="6470"/>
    <cellStyle name="Date 74" xfId="6471"/>
    <cellStyle name="Date 74 2" xfId="6472"/>
    <cellStyle name="Date 74 2 2" xfId="6473"/>
    <cellStyle name="Date 74 2 3" xfId="6474"/>
    <cellStyle name="Date 74 3" xfId="6475"/>
    <cellStyle name="Date 74 3 2" xfId="6476"/>
    <cellStyle name="Date 74 3 3" xfId="6477"/>
    <cellStyle name="Date 74 4" xfId="6478"/>
    <cellStyle name="Date 74 5" xfId="6479"/>
    <cellStyle name="Date 75" xfId="6480"/>
    <cellStyle name="Date 75 2" xfId="6481"/>
    <cellStyle name="Date 75 2 2" xfId="6482"/>
    <cellStyle name="Date 75 2 3" xfId="6483"/>
    <cellStyle name="Date 75 3" xfId="6484"/>
    <cellStyle name="Date 75 3 2" xfId="6485"/>
    <cellStyle name="Date 75 3 3" xfId="6486"/>
    <cellStyle name="Date 75 4" xfId="6487"/>
    <cellStyle name="Date 75 5" xfId="6488"/>
    <cellStyle name="Date 76" xfId="6489"/>
    <cellStyle name="Date 76 2" xfId="6490"/>
    <cellStyle name="Date 76 2 2" xfId="6491"/>
    <cellStyle name="Date 76 2 3" xfId="6492"/>
    <cellStyle name="Date 76 3" xfId="6493"/>
    <cellStyle name="Date 76 3 2" xfId="6494"/>
    <cellStyle name="Date 76 3 3" xfId="6495"/>
    <cellStyle name="Date 76 4" xfId="6496"/>
    <cellStyle name="Date 76 5" xfId="6497"/>
    <cellStyle name="Date 77" xfId="6498"/>
    <cellStyle name="Date 77 2" xfId="6499"/>
    <cellStyle name="Date 77 2 2" xfId="6500"/>
    <cellStyle name="Date 77 2 3" xfId="6501"/>
    <cellStyle name="Date 77 3" xfId="6502"/>
    <cellStyle name="Date 77 3 2" xfId="6503"/>
    <cellStyle name="Date 77 3 3" xfId="6504"/>
    <cellStyle name="Date 77 4" xfId="6505"/>
    <cellStyle name="Date 77 5" xfId="6506"/>
    <cellStyle name="Date 78" xfId="6507"/>
    <cellStyle name="Date 78 2" xfId="6508"/>
    <cellStyle name="Date 78 2 2" xfId="6509"/>
    <cellStyle name="Date 78 2 3" xfId="6510"/>
    <cellStyle name="Date 78 3" xfId="6511"/>
    <cellStyle name="Date 78 3 2" xfId="6512"/>
    <cellStyle name="Date 78 3 3" xfId="6513"/>
    <cellStyle name="Date 78 4" xfId="6514"/>
    <cellStyle name="Date 78 5" xfId="6515"/>
    <cellStyle name="Date 79" xfId="6516"/>
    <cellStyle name="Date 79 2" xfId="6517"/>
    <cellStyle name="Date 79 2 2" xfId="6518"/>
    <cellStyle name="Date 79 2 3" xfId="6519"/>
    <cellStyle name="Date 79 3" xfId="6520"/>
    <cellStyle name="Date 79 3 2" xfId="6521"/>
    <cellStyle name="Date 79 3 3" xfId="6522"/>
    <cellStyle name="Date 79 4" xfId="6523"/>
    <cellStyle name="Date 79 5" xfId="6524"/>
    <cellStyle name="Date 8" xfId="6525"/>
    <cellStyle name="Date 8 2" xfId="6526"/>
    <cellStyle name="Date 8 2 2" xfId="6527"/>
    <cellStyle name="Date 8 2 2 2" xfId="6528"/>
    <cellStyle name="Date 8 2 2 3" xfId="6529"/>
    <cellStyle name="Date 8 2 3" xfId="6530"/>
    <cellStyle name="Date 8 2 3 2" xfId="6531"/>
    <cellStyle name="Date 8 2 3 3" xfId="6532"/>
    <cellStyle name="Date 8 2 4" xfId="6533"/>
    <cellStyle name="Date 8 2 5" xfId="6534"/>
    <cellStyle name="Date 8 3" xfId="6535"/>
    <cellStyle name="Date 8 3 2" xfId="6536"/>
    <cellStyle name="Date 8 3 3" xfId="6537"/>
    <cellStyle name="Date 8 4" xfId="6538"/>
    <cellStyle name="Date 8 4 2" xfId="6539"/>
    <cellStyle name="Date 8 4 3" xfId="6540"/>
    <cellStyle name="Date 8 5" xfId="6541"/>
    <cellStyle name="Date 8 6" xfId="6542"/>
    <cellStyle name="Date 80" xfId="6543"/>
    <cellStyle name="Date 80 2" xfId="6544"/>
    <cellStyle name="Date 80 2 2" xfId="6545"/>
    <cellStyle name="Date 80 2 3" xfId="6546"/>
    <cellStyle name="Date 80 3" xfId="6547"/>
    <cellStyle name="Date 80 3 2" xfId="6548"/>
    <cellStyle name="Date 80 3 3" xfId="6549"/>
    <cellStyle name="Date 80 4" xfId="6550"/>
    <cellStyle name="Date 80 5" xfId="6551"/>
    <cellStyle name="Date 81" xfId="6552"/>
    <cellStyle name="Date 81 2" xfId="6553"/>
    <cellStyle name="Date 81 2 2" xfId="6554"/>
    <cellStyle name="Date 81 2 3" xfId="6555"/>
    <cellStyle name="Date 81 3" xfId="6556"/>
    <cellStyle name="Date 81 3 2" xfId="6557"/>
    <cellStyle name="Date 81 3 3" xfId="6558"/>
    <cellStyle name="Date 81 4" xfId="6559"/>
    <cellStyle name="Date 81 5" xfId="6560"/>
    <cellStyle name="Date 82" xfId="6561"/>
    <cellStyle name="Date 82 2" xfId="6562"/>
    <cellStyle name="Date 82 2 2" xfId="6563"/>
    <cellStyle name="Date 82 2 3" xfId="6564"/>
    <cellStyle name="Date 82 3" xfId="6565"/>
    <cellStyle name="Date 82 3 2" xfId="6566"/>
    <cellStyle name="Date 82 3 3" xfId="6567"/>
    <cellStyle name="Date 82 4" xfId="6568"/>
    <cellStyle name="Date 82 5" xfId="6569"/>
    <cellStyle name="Date 83" xfId="6570"/>
    <cellStyle name="Date 83 2" xfId="6571"/>
    <cellStyle name="Date 83 2 2" xfId="6572"/>
    <cellStyle name="Date 83 2 3" xfId="6573"/>
    <cellStyle name="Date 83 3" xfId="6574"/>
    <cellStyle name="Date 83 3 2" xfId="6575"/>
    <cellStyle name="Date 83 3 3" xfId="6576"/>
    <cellStyle name="Date 83 4" xfId="6577"/>
    <cellStyle name="Date 83 5" xfId="6578"/>
    <cellStyle name="Date 84" xfId="6579"/>
    <cellStyle name="Date 84 2" xfId="6580"/>
    <cellStyle name="Date 84 2 2" xfId="6581"/>
    <cellStyle name="Date 84 2 3" xfId="6582"/>
    <cellStyle name="Date 84 3" xfId="6583"/>
    <cellStyle name="Date 84 3 2" xfId="6584"/>
    <cellStyle name="Date 84 3 3" xfId="6585"/>
    <cellStyle name="Date 84 4" xfId="6586"/>
    <cellStyle name="Date 84 5" xfId="6587"/>
    <cellStyle name="Date 85" xfId="6588"/>
    <cellStyle name="Date 85 2" xfId="6589"/>
    <cellStyle name="Date 85 2 2" xfId="6590"/>
    <cellStyle name="Date 85 2 3" xfId="6591"/>
    <cellStyle name="Date 85 3" xfId="6592"/>
    <cellStyle name="Date 85 3 2" xfId="6593"/>
    <cellStyle name="Date 85 3 3" xfId="6594"/>
    <cellStyle name="Date 85 4" xfId="6595"/>
    <cellStyle name="Date 85 5" xfId="6596"/>
    <cellStyle name="Date 86" xfId="6597"/>
    <cellStyle name="Date 86 2" xfId="6598"/>
    <cellStyle name="Date 86 2 2" xfId="6599"/>
    <cellStyle name="Date 86 2 3" xfId="6600"/>
    <cellStyle name="Date 86 3" xfId="6601"/>
    <cellStyle name="Date 86 3 2" xfId="6602"/>
    <cellStyle name="Date 86 3 3" xfId="6603"/>
    <cellStyle name="Date 86 4" xfId="6604"/>
    <cellStyle name="Date 86 5" xfId="6605"/>
    <cellStyle name="Date 87" xfId="6606"/>
    <cellStyle name="Date 87 2" xfId="6607"/>
    <cellStyle name="Date 87 2 2" xfId="6608"/>
    <cellStyle name="Date 87 2 3" xfId="6609"/>
    <cellStyle name="Date 87 3" xfId="6610"/>
    <cellStyle name="Date 87 3 2" xfId="6611"/>
    <cellStyle name="Date 87 3 3" xfId="6612"/>
    <cellStyle name="Date 87 4" xfId="6613"/>
    <cellStyle name="Date 87 5" xfId="6614"/>
    <cellStyle name="Date 88" xfId="6615"/>
    <cellStyle name="Date 88 2" xfId="6616"/>
    <cellStyle name="Date 88 2 2" xfId="6617"/>
    <cellStyle name="Date 88 2 3" xfId="6618"/>
    <cellStyle name="Date 88 3" xfId="6619"/>
    <cellStyle name="Date 88 3 2" xfId="6620"/>
    <cellStyle name="Date 88 3 3" xfId="6621"/>
    <cellStyle name="Date 88 4" xfId="6622"/>
    <cellStyle name="Date 88 5" xfId="6623"/>
    <cellStyle name="Date 89" xfId="6624"/>
    <cellStyle name="Date 89 2" xfId="6625"/>
    <cellStyle name="Date 89 2 2" xfId="6626"/>
    <cellStyle name="Date 89 2 3" xfId="6627"/>
    <cellStyle name="Date 89 3" xfId="6628"/>
    <cellStyle name="Date 89 3 2" xfId="6629"/>
    <cellStyle name="Date 89 3 3" xfId="6630"/>
    <cellStyle name="Date 89 4" xfId="6631"/>
    <cellStyle name="Date 89 5" xfId="6632"/>
    <cellStyle name="Date 9" xfId="6633"/>
    <cellStyle name="Date 9 2" xfId="6634"/>
    <cellStyle name="Date 9 2 2" xfId="6635"/>
    <cellStyle name="Date 9 2 2 2" xfId="6636"/>
    <cellStyle name="Date 9 2 2 3" xfId="6637"/>
    <cellStyle name="Date 9 2 3" xfId="6638"/>
    <cellStyle name="Date 9 2 3 2" xfId="6639"/>
    <cellStyle name="Date 9 2 3 3" xfId="6640"/>
    <cellStyle name="Date 9 2 4" xfId="6641"/>
    <cellStyle name="Date 9 2 5" xfId="6642"/>
    <cellStyle name="Date 9 3" xfId="6643"/>
    <cellStyle name="Date 9 3 2" xfId="6644"/>
    <cellStyle name="Date 9 3 3" xfId="6645"/>
    <cellStyle name="Date 9 4" xfId="6646"/>
    <cellStyle name="Date 9 4 2" xfId="6647"/>
    <cellStyle name="Date 9 4 3" xfId="6648"/>
    <cellStyle name="Date 9 5" xfId="6649"/>
    <cellStyle name="Date 9 6" xfId="6650"/>
    <cellStyle name="Date 90" xfId="6651"/>
    <cellStyle name="Date 90 2" xfId="6652"/>
    <cellStyle name="Date 90 2 2" xfId="6653"/>
    <cellStyle name="Date 90 2 3" xfId="6654"/>
    <cellStyle name="Date 90 3" xfId="6655"/>
    <cellStyle name="Date 90 3 2" xfId="6656"/>
    <cellStyle name="Date 90 3 3" xfId="6657"/>
    <cellStyle name="Date 90 4" xfId="6658"/>
    <cellStyle name="Date 90 5" xfId="6659"/>
    <cellStyle name="Date 91" xfId="6660"/>
    <cellStyle name="Date 91 2" xfId="6661"/>
    <cellStyle name="Date 91 2 2" xfId="6662"/>
    <cellStyle name="Date 91 2 3" xfId="6663"/>
    <cellStyle name="Date 91 3" xfId="6664"/>
    <cellStyle name="Date 91 3 2" xfId="6665"/>
    <cellStyle name="Date 91 3 3" xfId="6666"/>
    <cellStyle name="Date 91 4" xfId="6667"/>
    <cellStyle name="Date 91 5" xfId="6668"/>
    <cellStyle name="Date 92" xfId="6669"/>
    <cellStyle name="Date 92 2" xfId="6670"/>
    <cellStyle name="Date 92 2 2" xfId="6671"/>
    <cellStyle name="Date 92 2 3" xfId="6672"/>
    <cellStyle name="Date 92 3" xfId="6673"/>
    <cellStyle name="Date 92 3 2" xfId="6674"/>
    <cellStyle name="Date 92 3 3" xfId="6675"/>
    <cellStyle name="Date 92 4" xfId="6676"/>
    <cellStyle name="Date 92 5" xfId="6677"/>
    <cellStyle name="Date 93" xfId="6678"/>
    <cellStyle name="Date 93 2" xfId="6679"/>
    <cellStyle name="Date 93 2 2" xfId="6680"/>
    <cellStyle name="Date 93 2 3" xfId="6681"/>
    <cellStyle name="Date 93 3" xfId="6682"/>
    <cellStyle name="Date 93 3 2" xfId="6683"/>
    <cellStyle name="Date 93 3 3" xfId="6684"/>
    <cellStyle name="Date 93 4" xfId="6685"/>
    <cellStyle name="Date 93 5" xfId="6686"/>
    <cellStyle name="Date 94" xfId="6687"/>
    <cellStyle name="Date 94 2" xfId="6688"/>
    <cellStyle name="Date 94 2 2" xfId="6689"/>
    <cellStyle name="Date 94 2 3" xfId="6690"/>
    <cellStyle name="Date 94 3" xfId="6691"/>
    <cellStyle name="Date 94 3 2" xfId="6692"/>
    <cellStyle name="Date 94 3 3" xfId="6693"/>
    <cellStyle name="Date 94 4" xfId="6694"/>
    <cellStyle name="Date 94 5" xfId="6695"/>
    <cellStyle name="Date 95" xfId="6696"/>
    <cellStyle name="Date 95 2" xfId="6697"/>
    <cellStyle name="Date 95 2 2" xfId="6698"/>
    <cellStyle name="Date 95 2 3" xfId="6699"/>
    <cellStyle name="Date 95 3" xfId="6700"/>
    <cellStyle name="Date 95 3 2" xfId="6701"/>
    <cellStyle name="Date 95 3 3" xfId="6702"/>
    <cellStyle name="Date 95 4" xfId="6703"/>
    <cellStyle name="Date 95 5" xfId="6704"/>
    <cellStyle name="Date 96" xfId="6705"/>
    <cellStyle name="Date 96 2" xfId="6706"/>
    <cellStyle name="Date 96 2 2" xfId="6707"/>
    <cellStyle name="Date 96 2 3" xfId="6708"/>
    <cellStyle name="Date 96 3" xfId="6709"/>
    <cellStyle name="Date 96 3 2" xfId="6710"/>
    <cellStyle name="Date 96 3 3" xfId="6711"/>
    <cellStyle name="Date 96 4" xfId="6712"/>
    <cellStyle name="Date 96 5" xfId="6713"/>
    <cellStyle name="Date 97" xfId="6714"/>
    <cellStyle name="Date 97 2" xfId="6715"/>
    <cellStyle name="Date 97 2 2" xfId="6716"/>
    <cellStyle name="Date 97 2 3" xfId="6717"/>
    <cellStyle name="Date 97 3" xfId="6718"/>
    <cellStyle name="Date 97 3 2" xfId="6719"/>
    <cellStyle name="Date 97 3 3" xfId="6720"/>
    <cellStyle name="Date 97 4" xfId="6721"/>
    <cellStyle name="Date 97 5" xfId="6722"/>
    <cellStyle name="Date 98" xfId="6723"/>
    <cellStyle name="Date 98 2" xfId="6724"/>
    <cellStyle name="Date 98 2 2" xfId="6725"/>
    <cellStyle name="Date 98 2 3" xfId="6726"/>
    <cellStyle name="Date 98 3" xfId="6727"/>
    <cellStyle name="Date 98 3 2" xfId="6728"/>
    <cellStyle name="Date 98 3 3" xfId="6729"/>
    <cellStyle name="Date 98 4" xfId="6730"/>
    <cellStyle name="Date 98 5" xfId="6731"/>
    <cellStyle name="Date 99" xfId="6732"/>
    <cellStyle name="Date 99 2" xfId="6733"/>
    <cellStyle name="Date 99 2 2" xfId="6734"/>
    <cellStyle name="Date 99 2 3" xfId="6735"/>
    <cellStyle name="Date 99 3" xfId="6736"/>
    <cellStyle name="Date 99 3 2" xfId="6737"/>
    <cellStyle name="Date 99 3 3" xfId="6738"/>
    <cellStyle name="Date 99 4" xfId="6739"/>
    <cellStyle name="Date 99 5" xfId="6740"/>
    <cellStyle name="Date Short" xfId="6741"/>
    <cellStyle name="Date_08-1322-LCOE Navy Firescout UAE Support ROM SANITIZED Abbreviated (3)" xfId="6742"/>
    <cellStyle name="Decimal (0)" xfId="6743"/>
    <cellStyle name="DELTA" xfId="6744"/>
    <cellStyle name="Emphasis 1" xfId="6745"/>
    <cellStyle name="Emphasis 2" xfId="6746"/>
    <cellStyle name="Emphasis 3" xfId="6747"/>
    <cellStyle name="Enter Currency (0)" xfId="6748"/>
    <cellStyle name="Enter Currency (2)" xfId="6749"/>
    <cellStyle name="Enter Units (0)" xfId="6750"/>
    <cellStyle name="Enter Units (1)" xfId="6751"/>
    <cellStyle name="Enter Units (2)" xfId="6752"/>
    <cellStyle name="Euro" xfId="6753"/>
    <cellStyle name="Euro 2" xfId="6754"/>
    <cellStyle name="Euro 3" xfId="6755"/>
    <cellStyle name="Explanatory Text 2" xfId="6756"/>
    <cellStyle name="Explanatory Text 2 2" xfId="6757"/>
    <cellStyle name="Explanatory Text 2 2 2" xfId="6758"/>
    <cellStyle name="Explanatory Text 2 2 3" xfId="6759"/>
    <cellStyle name="Explanatory Text 2 3" xfId="6760"/>
    <cellStyle name="Explanatory Text 2 4" xfId="6761"/>
    <cellStyle name="Explanatory Text 3" xfId="6762"/>
    <cellStyle name="Explanatory Text 3 2" xfId="6763"/>
    <cellStyle name="Explanatory Text 3 3" xfId="6764"/>
    <cellStyle name="Explanatory Text 4" xfId="6765"/>
    <cellStyle name="Explanatory Text 4 2" xfId="6766"/>
    <cellStyle name="Explanatory Text 5" xfId="6767"/>
    <cellStyle name="Explanatory Text 6" xfId="6768"/>
    <cellStyle name="Explanatory Text 6 2" xfId="6769"/>
    <cellStyle name="Explanatory Text 7" xfId="6770"/>
    <cellStyle name="Explanatory Text 8" xfId="6771"/>
    <cellStyle name="Explanatory Text 9" xfId="6772"/>
    <cellStyle name="First - Style1" xfId="6773"/>
    <cellStyle name="First - Style1 2" xfId="6774"/>
    <cellStyle name="First - Style1 2 2" xfId="6775"/>
    <cellStyle name="First - Style1 2 3" xfId="6776"/>
    <cellStyle name="First - Style1 3" xfId="6777"/>
    <cellStyle name="First Titles" xfId="6778"/>
    <cellStyle name="Fixed" xfId="6779"/>
    <cellStyle name="Fixed 2" xfId="6780"/>
    <cellStyle name="Fixed 2 2" xfId="6781"/>
    <cellStyle name="Fixed 2 2 2" xfId="6782"/>
    <cellStyle name="Fixed 2 3" xfId="6783"/>
    <cellStyle name="Fixed 3" xfId="6784"/>
    <cellStyle name="Fixed 3 2" xfId="6785"/>
    <cellStyle name="Fixed 4" xfId="6786"/>
    <cellStyle name="Fixed 4 2" xfId="6787"/>
    <cellStyle name="Fixed 4 2 2" xfId="6788"/>
    <cellStyle name="Fixed 4 3" xfId="6789"/>
    <cellStyle name="Fixed 5" xfId="6790"/>
    <cellStyle name="Fixed4 - Style4" xfId="6791"/>
    <cellStyle name="Fixed4 - Style4 2" xfId="6792"/>
    <cellStyle name="Fixed4 - Style4 2 2" xfId="6793"/>
    <cellStyle name="Fixed4 - Style4 2 3" xfId="6794"/>
    <cellStyle name="Fixed4 - Style4 3" xfId="6795"/>
    <cellStyle name="Fixed4 - Style4 4" xfId="6796"/>
    <cellStyle name="format" xfId="6797"/>
    <cellStyle name="format 2" xfId="6798"/>
    <cellStyle name="format 2 2" xfId="6799"/>
    <cellStyle name="format 2 3" xfId="6800"/>
    <cellStyle name="format 3" xfId="6801"/>
    <cellStyle name="Geneva 9" xfId="6802"/>
    <cellStyle name="Geneva 9 2" xfId="6803"/>
    <cellStyle name="Geneva 9, Bold" xfId="6804"/>
    <cellStyle name="Geneva 9, Bold 2" xfId="6805"/>
    <cellStyle name="Good 10" xfId="6806"/>
    <cellStyle name="Good 11" xfId="6807"/>
    <cellStyle name="Good 12" xfId="6808"/>
    <cellStyle name="Good 2" xfId="6809"/>
    <cellStyle name="Good 2 2" xfId="6810"/>
    <cellStyle name="Good 2 2 2" xfId="6811"/>
    <cellStyle name="Good 2 2 3" xfId="6812"/>
    <cellStyle name="Good 2 3" xfId="6813"/>
    <cellStyle name="Good 2 3 2" xfId="6814"/>
    <cellStyle name="Good 2 4" xfId="6815"/>
    <cellStyle name="Good 2 4 2" xfId="6816"/>
    <cellStyle name="Good 2 4 3" xfId="6817"/>
    <cellStyle name="Good 3" xfId="6818"/>
    <cellStyle name="Good 3 2" xfId="6819"/>
    <cellStyle name="Good 3 3" xfId="6820"/>
    <cellStyle name="Good 4" xfId="6821"/>
    <cellStyle name="Good 4 2" xfId="6822"/>
    <cellStyle name="Good 5" xfId="6823"/>
    <cellStyle name="Good 6" xfId="6824"/>
    <cellStyle name="Good 6 2" xfId="6825"/>
    <cellStyle name="Good 7" xfId="6826"/>
    <cellStyle name="Good 8" xfId="6827"/>
    <cellStyle name="Good 9" xfId="6828"/>
    <cellStyle name="Header" xfId="6829"/>
    <cellStyle name="Header1" xfId="6830"/>
    <cellStyle name="Header1 2" xfId="6831"/>
    <cellStyle name="Header1 2 2" xfId="6832"/>
    <cellStyle name="Header1 3" xfId="6833"/>
    <cellStyle name="Header1 3 2" xfId="6834"/>
    <cellStyle name="Header1 4" xfId="6835"/>
    <cellStyle name="Header2" xfId="6836"/>
    <cellStyle name="Header2 2" xfId="6837"/>
    <cellStyle name="Header2 2 2" xfId="6838"/>
    <cellStyle name="Header2 3" xfId="6839"/>
    <cellStyle name="Header2 3 2" xfId="6840"/>
    <cellStyle name="Header2 4" xfId="6841"/>
    <cellStyle name="Heading 1 10" xfId="6842"/>
    <cellStyle name="Heading 1 2" xfId="6843"/>
    <cellStyle name="Heading 1 2 10" xfId="6844"/>
    <cellStyle name="Heading 1 2 10 10" xfId="6845"/>
    <cellStyle name="Heading 1 2 10 10 2" xfId="6846"/>
    <cellStyle name="Heading 1 2 10 10 2 2" xfId="6847"/>
    <cellStyle name="Heading 1 2 10 10 3" xfId="6848"/>
    <cellStyle name="Heading 1 2 10 11" xfId="6849"/>
    <cellStyle name="Heading 1 2 10 11 2" xfId="6850"/>
    <cellStyle name="Heading 1 2 10 11 2 2" xfId="6851"/>
    <cellStyle name="Heading 1 2 10 11 3" xfId="6852"/>
    <cellStyle name="Heading 1 2 10 12" xfId="6853"/>
    <cellStyle name="Heading 1 2 10 12 2" xfId="6854"/>
    <cellStyle name="Heading 1 2 10 12 2 2" xfId="6855"/>
    <cellStyle name="Heading 1 2 10 12 3" xfId="6856"/>
    <cellStyle name="Heading 1 2 10 13" xfId="6857"/>
    <cellStyle name="Heading 1 2 10 13 2" xfId="6858"/>
    <cellStyle name="Heading 1 2 10 13 2 2" xfId="6859"/>
    <cellStyle name="Heading 1 2 10 13 3" xfId="6860"/>
    <cellStyle name="Heading 1 2 10 14" xfId="6861"/>
    <cellStyle name="Heading 1 2 10 14 2" xfId="6862"/>
    <cellStyle name="Heading 1 2 10 14 2 2" xfId="6863"/>
    <cellStyle name="Heading 1 2 10 14 3" xfId="6864"/>
    <cellStyle name="Heading 1 2 10 15" xfId="6865"/>
    <cellStyle name="Heading 1 2 10 15 2" xfId="6866"/>
    <cellStyle name="Heading 1 2 10 15 2 2" xfId="6867"/>
    <cellStyle name="Heading 1 2 10 15 3" xfId="6868"/>
    <cellStyle name="Heading 1 2 10 16" xfId="6869"/>
    <cellStyle name="Heading 1 2 10 16 2" xfId="6870"/>
    <cellStyle name="Heading 1 2 10 16 2 2" xfId="6871"/>
    <cellStyle name="Heading 1 2 10 16 3" xfId="6872"/>
    <cellStyle name="Heading 1 2 10 17" xfId="6873"/>
    <cellStyle name="Heading 1 2 10 17 2" xfId="6874"/>
    <cellStyle name="Heading 1 2 10 17 2 2" xfId="6875"/>
    <cellStyle name="Heading 1 2 10 17 3" xfId="6876"/>
    <cellStyle name="Heading 1 2 10 18" xfId="6877"/>
    <cellStyle name="Heading 1 2 10 18 2" xfId="6878"/>
    <cellStyle name="Heading 1 2 10 18 2 2" xfId="6879"/>
    <cellStyle name="Heading 1 2 10 18 3" xfId="6880"/>
    <cellStyle name="Heading 1 2 10 19" xfId="6881"/>
    <cellStyle name="Heading 1 2 10 19 2" xfId="6882"/>
    <cellStyle name="Heading 1 2 10 19 2 2" xfId="6883"/>
    <cellStyle name="Heading 1 2 10 19 3" xfId="6884"/>
    <cellStyle name="Heading 1 2 10 2" xfId="6885"/>
    <cellStyle name="Heading 1 2 10 2 10" xfId="6886"/>
    <cellStyle name="Heading 1 2 10 2 10 2" xfId="6887"/>
    <cellStyle name="Heading 1 2 10 2 10 2 2" xfId="6888"/>
    <cellStyle name="Heading 1 2 10 2 10 3" xfId="6889"/>
    <cellStyle name="Heading 1 2 10 2 11" xfId="6890"/>
    <cellStyle name="Heading 1 2 10 2 11 2" xfId="6891"/>
    <cellStyle name="Heading 1 2 10 2 11 2 2" xfId="6892"/>
    <cellStyle name="Heading 1 2 10 2 11 3" xfId="6893"/>
    <cellStyle name="Heading 1 2 10 2 12" xfId="6894"/>
    <cellStyle name="Heading 1 2 10 2 12 2" xfId="6895"/>
    <cellStyle name="Heading 1 2 10 2 12 2 2" xfId="6896"/>
    <cellStyle name="Heading 1 2 10 2 12 3" xfId="6897"/>
    <cellStyle name="Heading 1 2 10 2 13" xfId="6898"/>
    <cellStyle name="Heading 1 2 10 2 13 2" xfId="6899"/>
    <cellStyle name="Heading 1 2 10 2 13 2 2" xfId="6900"/>
    <cellStyle name="Heading 1 2 10 2 13 3" xfId="6901"/>
    <cellStyle name="Heading 1 2 10 2 14" xfId="6902"/>
    <cellStyle name="Heading 1 2 10 2 14 2" xfId="6903"/>
    <cellStyle name="Heading 1 2 10 2 14 2 2" xfId="6904"/>
    <cellStyle name="Heading 1 2 10 2 14 3" xfId="6905"/>
    <cellStyle name="Heading 1 2 10 2 15" xfId="6906"/>
    <cellStyle name="Heading 1 2 10 2 15 2" xfId="6907"/>
    <cellStyle name="Heading 1 2 10 2 15 2 2" xfId="6908"/>
    <cellStyle name="Heading 1 2 10 2 15 3" xfId="6909"/>
    <cellStyle name="Heading 1 2 10 2 16" xfId="6910"/>
    <cellStyle name="Heading 1 2 10 2 16 2" xfId="6911"/>
    <cellStyle name="Heading 1 2 10 2 16 2 2" xfId="6912"/>
    <cellStyle name="Heading 1 2 10 2 16 3" xfId="6913"/>
    <cellStyle name="Heading 1 2 10 2 17" xfId="6914"/>
    <cellStyle name="Heading 1 2 10 2 17 2" xfId="6915"/>
    <cellStyle name="Heading 1 2 10 2 17 2 2" xfId="6916"/>
    <cellStyle name="Heading 1 2 10 2 17 3" xfId="6917"/>
    <cellStyle name="Heading 1 2 10 2 18" xfId="6918"/>
    <cellStyle name="Heading 1 2 10 2 18 2" xfId="6919"/>
    <cellStyle name="Heading 1 2 10 2 18 2 2" xfId="6920"/>
    <cellStyle name="Heading 1 2 10 2 18 3" xfId="6921"/>
    <cellStyle name="Heading 1 2 10 2 19" xfId="6922"/>
    <cellStyle name="Heading 1 2 10 2 19 2" xfId="6923"/>
    <cellStyle name="Heading 1 2 10 2 2" xfId="6924"/>
    <cellStyle name="Heading 1 2 10 2 2 2" xfId="6925"/>
    <cellStyle name="Heading 1 2 10 2 2 2 2" xfId="6926"/>
    <cellStyle name="Heading 1 2 10 2 2 2 2 2" xfId="6927"/>
    <cellStyle name="Heading 1 2 10 2 2 2 3" xfId="6928"/>
    <cellStyle name="Heading 1 2 10 2 2 3" xfId="6929"/>
    <cellStyle name="Heading 1 2 10 2 2 3 2" xfId="6930"/>
    <cellStyle name="Heading 1 2 10 2 2 3 2 2" xfId="6931"/>
    <cellStyle name="Heading 1 2 10 2 2 3 3" xfId="6932"/>
    <cellStyle name="Heading 1 2 10 2 2 4" xfId="6933"/>
    <cellStyle name="Heading 1 2 10 2 2 4 2" xfId="6934"/>
    <cellStyle name="Heading 1 2 10 2 2 4 2 2" xfId="6935"/>
    <cellStyle name="Heading 1 2 10 2 2 4 3" xfId="6936"/>
    <cellStyle name="Heading 1 2 10 2 2 5" xfId="6937"/>
    <cellStyle name="Heading 1 2 10 2 2 5 2" xfId="6938"/>
    <cellStyle name="Heading 1 2 10 2 2 5 2 2" xfId="6939"/>
    <cellStyle name="Heading 1 2 10 2 2 5 3" xfId="6940"/>
    <cellStyle name="Heading 1 2 10 2 2 6" xfId="6941"/>
    <cellStyle name="Heading 1 2 10 2 2 6 2" xfId="6942"/>
    <cellStyle name="Heading 1 2 10 2 2 6 2 2" xfId="6943"/>
    <cellStyle name="Heading 1 2 10 2 2 6 3" xfId="6944"/>
    <cellStyle name="Heading 1 2 10 2 2 7" xfId="6945"/>
    <cellStyle name="Heading 1 2 10 2 2 7 2" xfId="6946"/>
    <cellStyle name="Heading 1 2 10 2 2 7 2 2" xfId="6947"/>
    <cellStyle name="Heading 1 2 10 2 2 7 3" xfId="6948"/>
    <cellStyle name="Heading 1 2 10 2 2 8" xfId="6949"/>
    <cellStyle name="Heading 1 2 10 2 2 8 2" xfId="6950"/>
    <cellStyle name="Heading 1 2 10 2 2 9" xfId="6951"/>
    <cellStyle name="Heading 1 2 10 2 20" xfId="6952"/>
    <cellStyle name="Heading 1 2 10 2 20 2" xfId="6953"/>
    <cellStyle name="Heading 1 2 10 2 21" xfId="6954"/>
    <cellStyle name="Heading 1 2 10 2 21 2" xfId="6955"/>
    <cellStyle name="Heading 1 2 10 2 22" xfId="6956"/>
    <cellStyle name="Heading 1 2 10 2 3" xfId="6957"/>
    <cellStyle name="Heading 1 2 10 2 3 2" xfId="6958"/>
    <cellStyle name="Heading 1 2 10 2 3 2 2" xfId="6959"/>
    <cellStyle name="Heading 1 2 10 2 3 2 2 2" xfId="6960"/>
    <cellStyle name="Heading 1 2 10 2 3 2 3" xfId="6961"/>
    <cellStyle name="Heading 1 2 10 2 3 3" xfId="6962"/>
    <cellStyle name="Heading 1 2 10 2 3 3 2" xfId="6963"/>
    <cellStyle name="Heading 1 2 10 2 3 3 2 2" xfId="6964"/>
    <cellStyle name="Heading 1 2 10 2 3 3 3" xfId="6965"/>
    <cellStyle name="Heading 1 2 10 2 3 4" xfId="6966"/>
    <cellStyle name="Heading 1 2 10 2 3 4 2" xfId="6967"/>
    <cellStyle name="Heading 1 2 10 2 3 4 2 2" xfId="6968"/>
    <cellStyle name="Heading 1 2 10 2 3 4 3" xfId="6969"/>
    <cellStyle name="Heading 1 2 10 2 3 5" xfId="6970"/>
    <cellStyle name="Heading 1 2 10 2 3 5 2" xfId="6971"/>
    <cellStyle name="Heading 1 2 10 2 3 5 2 2" xfId="6972"/>
    <cellStyle name="Heading 1 2 10 2 3 5 3" xfId="6973"/>
    <cellStyle name="Heading 1 2 10 2 3 6" xfId="6974"/>
    <cellStyle name="Heading 1 2 10 2 3 6 2" xfId="6975"/>
    <cellStyle name="Heading 1 2 10 2 3 6 2 2" xfId="6976"/>
    <cellStyle name="Heading 1 2 10 2 3 6 3" xfId="6977"/>
    <cellStyle name="Heading 1 2 10 2 3 7" xfId="6978"/>
    <cellStyle name="Heading 1 2 10 2 3 7 2" xfId="6979"/>
    <cellStyle name="Heading 1 2 10 2 3 7 2 2" xfId="6980"/>
    <cellStyle name="Heading 1 2 10 2 3 7 3" xfId="6981"/>
    <cellStyle name="Heading 1 2 10 2 3 8" xfId="6982"/>
    <cellStyle name="Heading 1 2 10 2 3 8 2" xfId="6983"/>
    <cellStyle name="Heading 1 2 10 2 3 9" xfId="6984"/>
    <cellStyle name="Heading 1 2 10 2 4" xfId="6985"/>
    <cellStyle name="Heading 1 2 10 2 4 2" xfId="6986"/>
    <cellStyle name="Heading 1 2 10 2 4 2 2" xfId="6987"/>
    <cellStyle name="Heading 1 2 10 2 4 2 2 2" xfId="6988"/>
    <cellStyle name="Heading 1 2 10 2 4 2 3" xfId="6989"/>
    <cellStyle name="Heading 1 2 10 2 4 3" xfId="6990"/>
    <cellStyle name="Heading 1 2 10 2 4 3 2" xfId="6991"/>
    <cellStyle name="Heading 1 2 10 2 4 3 2 2" xfId="6992"/>
    <cellStyle name="Heading 1 2 10 2 4 3 3" xfId="6993"/>
    <cellStyle name="Heading 1 2 10 2 4 4" xfId="6994"/>
    <cellStyle name="Heading 1 2 10 2 4 4 2" xfId="6995"/>
    <cellStyle name="Heading 1 2 10 2 4 4 2 2" xfId="6996"/>
    <cellStyle name="Heading 1 2 10 2 4 4 3" xfId="6997"/>
    <cellStyle name="Heading 1 2 10 2 4 5" xfId="6998"/>
    <cellStyle name="Heading 1 2 10 2 4 5 2" xfId="6999"/>
    <cellStyle name="Heading 1 2 10 2 4 5 2 2" xfId="7000"/>
    <cellStyle name="Heading 1 2 10 2 4 5 3" xfId="7001"/>
    <cellStyle name="Heading 1 2 10 2 4 6" xfId="7002"/>
    <cellStyle name="Heading 1 2 10 2 4 6 2" xfId="7003"/>
    <cellStyle name="Heading 1 2 10 2 4 6 2 2" xfId="7004"/>
    <cellStyle name="Heading 1 2 10 2 4 6 3" xfId="7005"/>
    <cellStyle name="Heading 1 2 10 2 4 7" xfId="7006"/>
    <cellStyle name="Heading 1 2 10 2 4 7 2" xfId="7007"/>
    <cellStyle name="Heading 1 2 10 2 4 7 2 2" xfId="7008"/>
    <cellStyle name="Heading 1 2 10 2 4 7 3" xfId="7009"/>
    <cellStyle name="Heading 1 2 10 2 4 8" xfId="7010"/>
    <cellStyle name="Heading 1 2 10 2 4 8 2" xfId="7011"/>
    <cellStyle name="Heading 1 2 10 2 4 9" xfId="7012"/>
    <cellStyle name="Heading 1 2 10 2 5" xfId="7013"/>
    <cellStyle name="Heading 1 2 10 2 5 2" xfId="7014"/>
    <cellStyle name="Heading 1 2 10 2 5 2 2" xfId="7015"/>
    <cellStyle name="Heading 1 2 10 2 5 2 2 2" xfId="7016"/>
    <cellStyle name="Heading 1 2 10 2 5 2 3" xfId="7017"/>
    <cellStyle name="Heading 1 2 10 2 5 3" xfId="7018"/>
    <cellStyle name="Heading 1 2 10 2 5 3 2" xfId="7019"/>
    <cellStyle name="Heading 1 2 10 2 5 3 2 2" xfId="7020"/>
    <cellStyle name="Heading 1 2 10 2 5 3 3" xfId="7021"/>
    <cellStyle name="Heading 1 2 10 2 5 4" xfId="7022"/>
    <cellStyle name="Heading 1 2 10 2 5 4 2" xfId="7023"/>
    <cellStyle name="Heading 1 2 10 2 5 4 2 2" xfId="7024"/>
    <cellStyle name="Heading 1 2 10 2 5 4 3" xfId="7025"/>
    <cellStyle name="Heading 1 2 10 2 5 5" xfId="7026"/>
    <cellStyle name="Heading 1 2 10 2 5 5 2" xfId="7027"/>
    <cellStyle name="Heading 1 2 10 2 5 5 2 2" xfId="7028"/>
    <cellStyle name="Heading 1 2 10 2 5 5 3" xfId="7029"/>
    <cellStyle name="Heading 1 2 10 2 5 6" xfId="7030"/>
    <cellStyle name="Heading 1 2 10 2 5 6 2" xfId="7031"/>
    <cellStyle name="Heading 1 2 10 2 5 6 2 2" xfId="7032"/>
    <cellStyle name="Heading 1 2 10 2 5 6 3" xfId="7033"/>
    <cellStyle name="Heading 1 2 10 2 5 7" xfId="7034"/>
    <cellStyle name="Heading 1 2 10 2 5 7 2" xfId="7035"/>
    <cellStyle name="Heading 1 2 10 2 5 7 2 2" xfId="7036"/>
    <cellStyle name="Heading 1 2 10 2 5 7 3" xfId="7037"/>
    <cellStyle name="Heading 1 2 10 2 5 8" xfId="7038"/>
    <cellStyle name="Heading 1 2 10 2 5 8 2" xfId="7039"/>
    <cellStyle name="Heading 1 2 10 2 5 9" xfId="7040"/>
    <cellStyle name="Heading 1 2 10 2 6" xfId="7041"/>
    <cellStyle name="Heading 1 2 10 2 6 2" xfId="7042"/>
    <cellStyle name="Heading 1 2 10 2 6 2 2" xfId="7043"/>
    <cellStyle name="Heading 1 2 10 2 6 2 2 2" xfId="7044"/>
    <cellStyle name="Heading 1 2 10 2 6 2 3" xfId="7045"/>
    <cellStyle name="Heading 1 2 10 2 6 3" xfId="7046"/>
    <cellStyle name="Heading 1 2 10 2 6 3 2" xfId="7047"/>
    <cellStyle name="Heading 1 2 10 2 6 3 2 2" xfId="7048"/>
    <cellStyle name="Heading 1 2 10 2 6 3 3" xfId="7049"/>
    <cellStyle name="Heading 1 2 10 2 6 4" xfId="7050"/>
    <cellStyle name="Heading 1 2 10 2 6 4 2" xfId="7051"/>
    <cellStyle name="Heading 1 2 10 2 6 4 2 2" xfId="7052"/>
    <cellStyle name="Heading 1 2 10 2 6 4 3" xfId="7053"/>
    <cellStyle name="Heading 1 2 10 2 6 5" xfId="7054"/>
    <cellStyle name="Heading 1 2 10 2 6 5 2" xfId="7055"/>
    <cellStyle name="Heading 1 2 10 2 6 5 2 2" xfId="7056"/>
    <cellStyle name="Heading 1 2 10 2 6 5 3" xfId="7057"/>
    <cellStyle name="Heading 1 2 10 2 6 6" xfId="7058"/>
    <cellStyle name="Heading 1 2 10 2 6 6 2" xfId="7059"/>
    <cellStyle name="Heading 1 2 10 2 6 6 2 2" xfId="7060"/>
    <cellStyle name="Heading 1 2 10 2 6 6 3" xfId="7061"/>
    <cellStyle name="Heading 1 2 10 2 6 7" xfId="7062"/>
    <cellStyle name="Heading 1 2 10 2 6 7 2" xfId="7063"/>
    <cellStyle name="Heading 1 2 10 2 6 7 2 2" xfId="7064"/>
    <cellStyle name="Heading 1 2 10 2 6 7 3" xfId="7065"/>
    <cellStyle name="Heading 1 2 10 2 6 8" xfId="7066"/>
    <cellStyle name="Heading 1 2 10 2 6 8 2" xfId="7067"/>
    <cellStyle name="Heading 1 2 10 2 6 9" xfId="7068"/>
    <cellStyle name="Heading 1 2 10 2 7" xfId="7069"/>
    <cellStyle name="Heading 1 2 10 2 7 2" xfId="7070"/>
    <cellStyle name="Heading 1 2 10 2 7 2 2" xfId="7071"/>
    <cellStyle name="Heading 1 2 10 2 7 2 2 2" xfId="7072"/>
    <cellStyle name="Heading 1 2 10 2 7 2 3" xfId="7073"/>
    <cellStyle name="Heading 1 2 10 2 7 3" xfId="7074"/>
    <cellStyle name="Heading 1 2 10 2 7 3 2" xfId="7075"/>
    <cellStyle name="Heading 1 2 10 2 7 3 2 2" xfId="7076"/>
    <cellStyle name="Heading 1 2 10 2 7 3 3" xfId="7077"/>
    <cellStyle name="Heading 1 2 10 2 7 4" xfId="7078"/>
    <cellStyle name="Heading 1 2 10 2 7 4 2" xfId="7079"/>
    <cellStyle name="Heading 1 2 10 2 7 4 2 2" xfId="7080"/>
    <cellStyle name="Heading 1 2 10 2 7 4 3" xfId="7081"/>
    <cellStyle name="Heading 1 2 10 2 7 5" xfId="7082"/>
    <cellStyle name="Heading 1 2 10 2 7 5 2" xfId="7083"/>
    <cellStyle name="Heading 1 2 10 2 7 5 2 2" xfId="7084"/>
    <cellStyle name="Heading 1 2 10 2 7 5 3" xfId="7085"/>
    <cellStyle name="Heading 1 2 10 2 7 6" xfId="7086"/>
    <cellStyle name="Heading 1 2 10 2 7 6 2" xfId="7087"/>
    <cellStyle name="Heading 1 2 10 2 7 6 2 2" xfId="7088"/>
    <cellStyle name="Heading 1 2 10 2 7 6 3" xfId="7089"/>
    <cellStyle name="Heading 1 2 10 2 7 7" xfId="7090"/>
    <cellStyle name="Heading 1 2 10 2 7 7 2" xfId="7091"/>
    <cellStyle name="Heading 1 2 10 2 7 7 2 2" xfId="7092"/>
    <cellStyle name="Heading 1 2 10 2 7 7 3" xfId="7093"/>
    <cellStyle name="Heading 1 2 10 2 7 8" xfId="7094"/>
    <cellStyle name="Heading 1 2 10 2 7 8 2" xfId="7095"/>
    <cellStyle name="Heading 1 2 10 2 7 9" xfId="7096"/>
    <cellStyle name="Heading 1 2 10 2 8" xfId="7097"/>
    <cellStyle name="Heading 1 2 10 2 8 2" xfId="7098"/>
    <cellStyle name="Heading 1 2 10 2 8 2 2" xfId="7099"/>
    <cellStyle name="Heading 1 2 10 2 8 2 2 2" xfId="7100"/>
    <cellStyle name="Heading 1 2 10 2 8 2 3" xfId="7101"/>
    <cellStyle name="Heading 1 2 10 2 8 3" xfId="7102"/>
    <cellStyle name="Heading 1 2 10 2 8 3 2" xfId="7103"/>
    <cellStyle name="Heading 1 2 10 2 8 3 2 2" xfId="7104"/>
    <cellStyle name="Heading 1 2 10 2 8 3 3" xfId="7105"/>
    <cellStyle name="Heading 1 2 10 2 8 4" xfId="7106"/>
    <cellStyle name="Heading 1 2 10 2 8 4 2" xfId="7107"/>
    <cellStyle name="Heading 1 2 10 2 8 4 2 2" xfId="7108"/>
    <cellStyle name="Heading 1 2 10 2 8 4 3" xfId="7109"/>
    <cellStyle name="Heading 1 2 10 2 8 5" xfId="7110"/>
    <cellStyle name="Heading 1 2 10 2 8 5 2" xfId="7111"/>
    <cellStyle name="Heading 1 2 10 2 8 5 2 2" xfId="7112"/>
    <cellStyle name="Heading 1 2 10 2 8 5 3" xfId="7113"/>
    <cellStyle name="Heading 1 2 10 2 8 6" xfId="7114"/>
    <cellStyle name="Heading 1 2 10 2 8 6 2" xfId="7115"/>
    <cellStyle name="Heading 1 2 10 2 8 6 2 2" xfId="7116"/>
    <cellStyle name="Heading 1 2 10 2 8 6 3" xfId="7117"/>
    <cellStyle name="Heading 1 2 10 2 8 7" xfId="7118"/>
    <cellStyle name="Heading 1 2 10 2 8 7 2" xfId="7119"/>
    <cellStyle name="Heading 1 2 10 2 8 7 2 2" xfId="7120"/>
    <cellStyle name="Heading 1 2 10 2 8 7 3" xfId="7121"/>
    <cellStyle name="Heading 1 2 10 2 8 8" xfId="7122"/>
    <cellStyle name="Heading 1 2 10 2 8 8 2" xfId="7123"/>
    <cellStyle name="Heading 1 2 10 2 8 9" xfId="7124"/>
    <cellStyle name="Heading 1 2 10 2 9" xfId="7125"/>
    <cellStyle name="Heading 1 2 10 2 9 2" xfId="7126"/>
    <cellStyle name="Heading 1 2 10 2 9 2 2" xfId="7127"/>
    <cellStyle name="Heading 1 2 10 2 9 3" xfId="7128"/>
    <cellStyle name="Heading 1 2 10 20" xfId="7129"/>
    <cellStyle name="Heading 1 2 10 20 2" xfId="7130"/>
    <cellStyle name="Heading 1 2 10 21" xfId="7131"/>
    <cellStyle name="Heading 1 2 10 21 2" xfId="7132"/>
    <cellStyle name="Heading 1 2 10 22" xfId="7133"/>
    <cellStyle name="Heading 1 2 10 22 2" xfId="7134"/>
    <cellStyle name="Heading 1 2 10 23" xfId="7135"/>
    <cellStyle name="Heading 1 2 10 3" xfId="7136"/>
    <cellStyle name="Heading 1 2 10 3 2" xfId="7137"/>
    <cellStyle name="Heading 1 2 10 3 2 2" xfId="7138"/>
    <cellStyle name="Heading 1 2 10 3 2 2 2" xfId="7139"/>
    <cellStyle name="Heading 1 2 10 3 2 3" xfId="7140"/>
    <cellStyle name="Heading 1 2 10 3 3" xfId="7141"/>
    <cellStyle name="Heading 1 2 10 3 3 2" xfId="7142"/>
    <cellStyle name="Heading 1 2 10 3 3 2 2" xfId="7143"/>
    <cellStyle name="Heading 1 2 10 3 3 3" xfId="7144"/>
    <cellStyle name="Heading 1 2 10 3 4" xfId="7145"/>
    <cellStyle name="Heading 1 2 10 3 4 2" xfId="7146"/>
    <cellStyle name="Heading 1 2 10 3 4 2 2" xfId="7147"/>
    <cellStyle name="Heading 1 2 10 3 4 3" xfId="7148"/>
    <cellStyle name="Heading 1 2 10 3 5" xfId="7149"/>
    <cellStyle name="Heading 1 2 10 3 5 2" xfId="7150"/>
    <cellStyle name="Heading 1 2 10 3 5 2 2" xfId="7151"/>
    <cellStyle name="Heading 1 2 10 3 5 3" xfId="7152"/>
    <cellStyle name="Heading 1 2 10 3 6" xfId="7153"/>
    <cellStyle name="Heading 1 2 10 3 6 2" xfId="7154"/>
    <cellStyle name="Heading 1 2 10 3 6 2 2" xfId="7155"/>
    <cellStyle name="Heading 1 2 10 3 6 3" xfId="7156"/>
    <cellStyle name="Heading 1 2 10 3 7" xfId="7157"/>
    <cellStyle name="Heading 1 2 10 3 7 2" xfId="7158"/>
    <cellStyle name="Heading 1 2 10 3 7 2 2" xfId="7159"/>
    <cellStyle name="Heading 1 2 10 3 7 3" xfId="7160"/>
    <cellStyle name="Heading 1 2 10 3 8" xfId="7161"/>
    <cellStyle name="Heading 1 2 10 3 8 2" xfId="7162"/>
    <cellStyle name="Heading 1 2 10 3 9" xfId="7163"/>
    <cellStyle name="Heading 1 2 10 4" xfId="7164"/>
    <cellStyle name="Heading 1 2 10 4 2" xfId="7165"/>
    <cellStyle name="Heading 1 2 10 4 2 2" xfId="7166"/>
    <cellStyle name="Heading 1 2 10 4 2 2 2" xfId="7167"/>
    <cellStyle name="Heading 1 2 10 4 2 3" xfId="7168"/>
    <cellStyle name="Heading 1 2 10 4 3" xfId="7169"/>
    <cellStyle name="Heading 1 2 10 4 3 2" xfId="7170"/>
    <cellStyle name="Heading 1 2 10 4 3 2 2" xfId="7171"/>
    <cellStyle name="Heading 1 2 10 4 3 3" xfId="7172"/>
    <cellStyle name="Heading 1 2 10 4 4" xfId="7173"/>
    <cellStyle name="Heading 1 2 10 4 4 2" xfId="7174"/>
    <cellStyle name="Heading 1 2 10 4 4 2 2" xfId="7175"/>
    <cellStyle name="Heading 1 2 10 4 4 3" xfId="7176"/>
    <cellStyle name="Heading 1 2 10 4 5" xfId="7177"/>
    <cellStyle name="Heading 1 2 10 4 5 2" xfId="7178"/>
    <cellStyle name="Heading 1 2 10 4 5 2 2" xfId="7179"/>
    <cellStyle name="Heading 1 2 10 4 5 3" xfId="7180"/>
    <cellStyle name="Heading 1 2 10 4 6" xfId="7181"/>
    <cellStyle name="Heading 1 2 10 4 6 2" xfId="7182"/>
    <cellStyle name="Heading 1 2 10 4 6 2 2" xfId="7183"/>
    <cellStyle name="Heading 1 2 10 4 6 3" xfId="7184"/>
    <cellStyle name="Heading 1 2 10 4 7" xfId="7185"/>
    <cellStyle name="Heading 1 2 10 4 7 2" xfId="7186"/>
    <cellStyle name="Heading 1 2 10 4 7 2 2" xfId="7187"/>
    <cellStyle name="Heading 1 2 10 4 7 3" xfId="7188"/>
    <cellStyle name="Heading 1 2 10 4 8" xfId="7189"/>
    <cellStyle name="Heading 1 2 10 4 8 2" xfId="7190"/>
    <cellStyle name="Heading 1 2 10 4 9" xfId="7191"/>
    <cellStyle name="Heading 1 2 10 5" xfId="7192"/>
    <cellStyle name="Heading 1 2 10 5 2" xfId="7193"/>
    <cellStyle name="Heading 1 2 10 5 2 2" xfId="7194"/>
    <cellStyle name="Heading 1 2 10 5 2 2 2" xfId="7195"/>
    <cellStyle name="Heading 1 2 10 5 2 3" xfId="7196"/>
    <cellStyle name="Heading 1 2 10 5 3" xfId="7197"/>
    <cellStyle name="Heading 1 2 10 5 3 2" xfId="7198"/>
    <cellStyle name="Heading 1 2 10 5 3 2 2" xfId="7199"/>
    <cellStyle name="Heading 1 2 10 5 3 3" xfId="7200"/>
    <cellStyle name="Heading 1 2 10 5 4" xfId="7201"/>
    <cellStyle name="Heading 1 2 10 5 4 2" xfId="7202"/>
    <cellStyle name="Heading 1 2 10 5 4 2 2" xfId="7203"/>
    <cellStyle name="Heading 1 2 10 5 4 3" xfId="7204"/>
    <cellStyle name="Heading 1 2 10 5 5" xfId="7205"/>
    <cellStyle name="Heading 1 2 10 5 5 2" xfId="7206"/>
    <cellStyle name="Heading 1 2 10 5 5 2 2" xfId="7207"/>
    <cellStyle name="Heading 1 2 10 5 5 3" xfId="7208"/>
    <cellStyle name="Heading 1 2 10 5 6" xfId="7209"/>
    <cellStyle name="Heading 1 2 10 5 6 2" xfId="7210"/>
    <cellStyle name="Heading 1 2 10 5 6 2 2" xfId="7211"/>
    <cellStyle name="Heading 1 2 10 5 6 3" xfId="7212"/>
    <cellStyle name="Heading 1 2 10 5 7" xfId="7213"/>
    <cellStyle name="Heading 1 2 10 5 7 2" xfId="7214"/>
    <cellStyle name="Heading 1 2 10 5 7 2 2" xfId="7215"/>
    <cellStyle name="Heading 1 2 10 5 7 3" xfId="7216"/>
    <cellStyle name="Heading 1 2 10 5 8" xfId="7217"/>
    <cellStyle name="Heading 1 2 10 5 8 2" xfId="7218"/>
    <cellStyle name="Heading 1 2 10 5 9" xfId="7219"/>
    <cellStyle name="Heading 1 2 10 6" xfId="7220"/>
    <cellStyle name="Heading 1 2 10 6 2" xfId="7221"/>
    <cellStyle name="Heading 1 2 10 6 2 2" xfId="7222"/>
    <cellStyle name="Heading 1 2 10 6 2 2 2" xfId="7223"/>
    <cellStyle name="Heading 1 2 10 6 2 3" xfId="7224"/>
    <cellStyle name="Heading 1 2 10 6 3" xfId="7225"/>
    <cellStyle name="Heading 1 2 10 6 3 2" xfId="7226"/>
    <cellStyle name="Heading 1 2 10 6 3 2 2" xfId="7227"/>
    <cellStyle name="Heading 1 2 10 6 3 3" xfId="7228"/>
    <cellStyle name="Heading 1 2 10 6 4" xfId="7229"/>
    <cellStyle name="Heading 1 2 10 6 4 2" xfId="7230"/>
    <cellStyle name="Heading 1 2 10 6 4 2 2" xfId="7231"/>
    <cellStyle name="Heading 1 2 10 6 4 3" xfId="7232"/>
    <cellStyle name="Heading 1 2 10 6 5" xfId="7233"/>
    <cellStyle name="Heading 1 2 10 6 5 2" xfId="7234"/>
    <cellStyle name="Heading 1 2 10 6 5 2 2" xfId="7235"/>
    <cellStyle name="Heading 1 2 10 6 5 3" xfId="7236"/>
    <cellStyle name="Heading 1 2 10 6 6" xfId="7237"/>
    <cellStyle name="Heading 1 2 10 6 6 2" xfId="7238"/>
    <cellStyle name="Heading 1 2 10 6 6 2 2" xfId="7239"/>
    <cellStyle name="Heading 1 2 10 6 6 3" xfId="7240"/>
    <cellStyle name="Heading 1 2 10 6 7" xfId="7241"/>
    <cellStyle name="Heading 1 2 10 6 7 2" xfId="7242"/>
    <cellStyle name="Heading 1 2 10 6 7 2 2" xfId="7243"/>
    <cellStyle name="Heading 1 2 10 6 7 3" xfId="7244"/>
    <cellStyle name="Heading 1 2 10 6 8" xfId="7245"/>
    <cellStyle name="Heading 1 2 10 6 8 2" xfId="7246"/>
    <cellStyle name="Heading 1 2 10 6 9" xfId="7247"/>
    <cellStyle name="Heading 1 2 10 7" xfId="7248"/>
    <cellStyle name="Heading 1 2 10 7 2" xfId="7249"/>
    <cellStyle name="Heading 1 2 10 7 2 2" xfId="7250"/>
    <cellStyle name="Heading 1 2 10 7 2 2 2" xfId="7251"/>
    <cellStyle name="Heading 1 2 10 7 2 3" xfId="7252"/>
    <cellStyle name="Heading 1 2 10 7 3" xfId="7253"/>
    <cellStyle name="Heading 1 2 10 7 3 2" xfId="7254"/>
    <cellStyle name="Heading 1 2 10 7 3 2 2" xfId="7255"/>
    <cellStyle name="Heading 1 2 10 7 3 3" xfId="7256"/>
    <cellStyle name="Heading 1 2 10 7 4" xfId="7257"/>
    <cellStyle name="Heading 1 2 10 7 4 2" xfId="7258"/>
    <cellStyle name="Heading 1 2 10 7 4 2 2" xfId="7259"/>
    <cellStyle name="Heading 1 2 10 7 4 3" xfId="7260"/>
    <cellStyle name="Heading 1 2 10 7 5" xfId="7261"/>
    <cellStyle name="Heading 1 2 10 7 5 2" xfId="7262"/>
    <cellStyle name="Heading 1 2 10 7 5 2 2" xfId="7263"/>
    <cellStyle name="Heading 1 2 10 7 5 3" xfId="7264"/>
    <cellStyle name="Heading 1 2 10 7 6" xfId="7265"/>
    <cellStyle name="Heading 1 2 10 7 6 2" xfId="7266"/>
    <cellStyle name="Heading 1 2 10 7 6 2 2" xfId="7267"/>
    <cellStyle name="Heading 1 2 10 7 6 3" xfId="7268"/>
    <cellStyle name="Heading 1 2 10 7 7" xfId="7269"/>
    <cellStyle name="Heading 1 2 10 7 7 2" xfId="7270"/>
    <cellStyle name="Heading 1 2 10 7 7 2 2" xfId="7271"/>
    <cellStyle name="Heading 1 2 10 7 7 3" xfId="7272"/>
    <cellStyle name="Heading 1 2 10 7 8" xfId="7273"/>
    <cellStyle name="Heading 1 2 10 7 8 2" xfId="7274"/>
    <cellStyle name="Heading 1 2 10 7 9" xfId="7275"/>
    <cellStyle name="Heading 1 2 10 8" xfId="7276"/>
    <cellStyle name="Heading 1 2 10 8 2" xfId="7277"/>
    <cellStyle name="Heading 1 2 10 8 2 2" xfId="7278"/>
    <cellStyle name="Heading 1 2 10 8 2 2 2" xfId="7279"/>
    <cellStyle name="Heading 1 2 10 8 2 3" xfId="7280"/>
    <cellStyle name="Heading 1 2 10 8 3" xfId="7281"/>
    <cellStyle name="Heading 1 2 10 8 3 2" xfId="7282"/>
    <cellStyle name="Heading 1 2 10 8 3 2 2" xfId="7283"/>
    <cellStyle name="Heading 1 2 10 8 3 3" xfId="7284"/>
    <cellStyle name="Heading 1 2 10 8 4" xfId="7285"/>
    <cellStyle name="Heading 1 2 10 8 4 2" xfId="7286"/>
    <cellStyle name="Heading 1 2 10 8 4 2 2" xfId="7287"/>
    <cellStyle name="Heading 1 2 10 8 4 3" xfId="7288"/>
    <cellStyle name="Heading 1 2 10 8 5" xfId="7289"/>
    <cellStyle name="Heading 1 2 10 8 5 2" xfId="7290"/>
    <cellStyle name="Heading 1 2 10 8 5 2 2" xfId="7291"/>
    <cellStyle name="Heading 1 2 10 8 5 3" xfId="7292"/>
    <cellStyle name="Heading 1 2 10 8 6" xfId="7293"/>
    <cellStyle name="Heading 1 2 10 8 6 2" xfId="7294"/>
    <cellStyle name="Heading 1 2 10 8 6 2 2" xfId="7295"/>
    <cellStyle name="Heading 1 2 10 8 6 3" xfId="7296"/>
    <cellStyle name="Heading 1 2 10 8 7" xfId="7297"/>
    <cellStyle name="Heading 1 2 10 8 7 2" xfId="7298"/>
    <cellStyle name="Heading 1 2 10 8 7 2 2" xfId="7299"/>
    <cellStyle name="Heading 1 2 10 8 7 3" xfId="7300"/>
    <cellStyle name="Heading 1 2 10 8 8" xfId="7301"/>
    <cellStyle name="Heading 1 2 10 8 8 2" xfId="7302"/>
    <cellStyle name="Heading 1 2 10 8 9" xfId="7303"/>
    <cellStyle name="Heading 1 2 10 9" xfId="7304"/>
    <cellStyle name="Heading 1 2 10 9 2" xfId="7305"/>
    <cellStyle name="Heading 1 2 10 9 2 2" xfId="7306"/>
    <cellStyle name="Heading 1 2 10 9 2 2 2" xfId="7307"/>
    <cellStyle name="Heading 1 2 10 9 2 3" xfId="7308"/>
    <cellStyle name="Heading 1 2 10 9 3" xfId="7309"/>
    <cellStyle name="Heading 1 2 10 9 3 2" xfId="7310"/>
    <cellStyle name="Heading 1 2 10 9 3 2 2" xfId="7311"/>
    <cellStyle name="Heading 1 2 10 9 3 3" xfId="7312"/>
    <cellStyle name="Heading 1 2 10 9 4" xfId="7313"/>
    <cellStyle name="Heading 1 2 10 9 4 2" xfId="7314"/>
    <cellStyle name="Heading 1 2 10 9 4 2 2" xfId="7315"/>
    <cellStyle name="Heading 1 2 10 9 4 3" xfId="7316"/>
    <cellStyle name="Heading 1 2 10 9 5" xfId="7317"/>
    <cellStyle name="Heading 1 2 10 9 5 2" xfId="7318"/>
    <cellStyle name="Heading 1 2 10 9 5 2 2" xfId="7319"/>
    <cellStyle name="Heading 1 2 10 9 5 3" xfId="7320"/>
    <cellStyle name="Heading 1 2 10 9 6" xfId="7321"/>
    <cellStyle name="Heading 1 2 10 9 6 2" xfId="7322"/>
    <cellStyle name="Heading 1 2 10 9 6 2 2" xfId="7323"/>
    <cellStyle name="Heading 1 2 10 9 6 3" xfId="7324"/>
    <cellStyle name="Heading 1 2 10 9 7" xfId="7325"/>
    <cellStyle name="Heading 1 2 10 9 7 2" xfId="7326"/>
    <cellStyle name="Heading 1 2 10 9 7 2 2" xfId="7327"/>
    <cellStyle name="Heading 1 2 10 9 7 3" xfId="7328"/>
    <cellStyle name="Heading 1 2 10 9 8" xfId="7329"/>
    <cellStyle name="Heading 1 2 10 9 8 2" xfId="7330"/>
    <cellStyle name="Heading 1 2 10 9 9" xfId="7331"/>
    <cellStyle name="Heading 1 2 11" xfId="7332"/>
    <cellStyle name="Heading 1 2 11 2" xfId="7333"/>
    <cellStyle name="Heading 1 2 11 2 2" xfId="7334"/>
    <cellStyle name="Heading 1 2 11 3" xfId="7335"/>
    <cellStyle name="Heading 1 2 11 3 2" xfId="7336"/>
    <cellStyle name="Heading 1 2 11 4" xfId="7337"/>
    <cellStyle name="Heading 1 2 12" xfId="7338"/>
    <cellStyle name="Heading 1 2 12 2" xfId="7339"/>
    <cellStyle name="Heading 1 2 2" xfId="7340"/>
    <cellStyle name="Heading 1 2 2 10" xfId="7341"/>
    <cellStyle name="Heading 1 2 2 10 2" xfId="7342"/>
    <cellStyle name="Heading 1 2 2 10 2 2" xfId="7343"/>
    <cellStyle name="Heading 1 2 2 10 3" xfId="7344"/>
    <cellStyle name="Heading 1 2 2 10 3 2" xfId="7345"/>
    <cellStyle name="Heading 1 2 2 10 4" xfId="7346"/>
    <cellStyle name="Heading 1 2 2 11" xfId="7347"/>
    <cellStyle name="Heading 1 2 2 11 2" xfId="7348"/>
    <cellStyle name="Heading 1 2 2 11 2 2" xfId="7349"/>
    <cellStyle name="Heading 1 2 2 11 3" xfId="7350"/>
    <cellStyle name="Heading 1 2 2 12" xfId="7351"/>
    <cellStyle name="Heading 1 2 2 12 2" xfId="7352"/>
    <cellStyle name="Heading 1 2 2 2" xfId="7353"/>
    <cellStyle name="Heading 1 2 2 2 10" xfId="7354"/>
    <cellStyle name="Heading 1 2 2 2 10 2" xfId="7355"/>
    <cellStyle name="Heading 1 2 2 2 10 2 2" xfId="7356"/>
    <cellStyle name="Heading 1 2 2 2 10 3" xfId="7357"/>
    <cellStyle name="Heading 1 2 2 2 10 3 2" xfId="7358"/>
    <cellStyle name="Heading 1 2 2 2 10 4" xfId="7359"/>
    <cellStyle name="Heading 1 2 2 2 11" xfId="7360"/>
    <cellStyle name="Heading 1 2 2 2 11 2" xfId="7361"/>
    <cellStyle name="Heading 1 2 2 2 11 2 2" xfId="7362"/>
    <cellStyle name="Heading 1 2 2 2 11 3" xfId="7363"/>
    <cellStyle name="Heading 1 2 2 2 11 3 2" xfId="7364"/>
    <cellStyle name="Heading 1 2 2 2 11 4" xfId="7365"/>
    <cellStyle name="Heading 1 2 2 2 12" xfId="7366"/>
    <cellStyle name="Heading 1 2 2 2 12 2" xfId="7367"/>
    <cellStyle name="Heading 1 2 2 2 12 2 2" xfId="7368"/>
    <cellStyle name="Heading 1 2 2 2 12 3" xfId="7369"/>
    <cellStyle name="Heading 1 2 2 2 12 3 2" xfId="7370"/>
    <cellStyle name="Heading 1 2 2 2 12 4" xfId="7371"/>
    <cellStyle name="Heading 1 2 2 2 13" xfId="7372"/>
    <cellStyle name="Heading 1 2 2 2 13 2" xfId="7373"/>
    <cellStyle name="Heading 1 2 2 2 13 2 2" xfId="7374"/>
    <cellStyle name="Heading 1 2 2 2 13 3" xfId="7375"/>
    <cellStyle name="Heading 1 2 2 2 13 3 2" xfId="7376"/>
    <cellStyle name="Heading 1 2 2 2 13 4" xfId="7377"/>
    <cellStyle name="Heading 1 2 2 2 14" xfId="7378"/>
    <cellStyle name="Heading 1 2 2 2 14 2" xfId="7379"/>
    <cellStyle name="Heading 1 2 2 2 14 2 2" xfId="7380"/>
    <cellStyle name="Heading 1 2 2 2 14 3" xfId="7381"/>
    <cellStyle name="Heading 1 2 2 2 14 3 2" xfId="7382"/>
    <cellStyle name="Heading 1 2 2 2 14 4" xfId="7383"/>
    <cellStyle name="Heading 1 2 2 2 15" xfId="7384"/>
    <cellStyle name="Heading 1 2 2 2 15 2" xfId="7385"/>
    <cellStyle name="Heading 1 2 2 2 15 2 2" xfId="7386"/>
    <cellStyle name="Heading 1 2 2 2 15 3" xfId="7387"/>
    <cellStyle name="Heading 1 2 2 2 15 3 2" xfId="7388"/>
    <cellStyle name="Heading 1 2 2 2 15 4" xfId="7389"/>
    <cellStyle name="Heading 1 2 2 2 16" xfId="7390"/>
    <cellStyle name="Heading 1 2 2 2 16 2" xfId="7391"/>
    <cellStyle name="Heading 1 2 2 2 16 2 2" xfId="7392"/>
    <cellStyle name="Heading 1 2 2 2 16 3" xfId="7393"/>
    <cellStyle name="Heading 1 2 2 2 16 3 2" xfId="7394"/>
    <cellStyle name="Heading 1 2 2 2 16 4" xfId="7395"/>
    <cellStyle name="Heading 1 2 2 2 17" xfId="7396"/>
    <cellStyle name="Heading 1 2 2 2 17 2" xfId="7397"/>
    <cellStyle name="Heading 1 2 2 2 17 2 2" xfId="7398"/>
    <cellStyle name="Heading 1 2 2 2 17 3" xfId="7399"/>
    <cellStyle name="Heading 1 2 2 2 17 3 2" xfId="7400"/>
    <cellStyle name="Heading 1 2 2 2 17 4" xfId="7401"/>
    <cellStyle name="Heading 1 2 2 2 18" xfId="7402"/>
    <cellStyle name="Heading 1 2 2 2 18 2" xfId="7403"/>
    <cellStyle name="Heading 1 2 2 2 18 2 2" xfId="7404"/>
    <cellStyle name="Heading 1 2 2 2 18 3" xfId="7405"/>
    <cellStyle name="Heading 1 2 2 2 18 3 2" xfId="7406"/>
    <cellStyle name="Heading 1 2 2 2 18 4" xfId="7407"/>
    <cellStyle name="Heading 1 2 2 2 19" xfId="7408"/>
    <cellStyle name="Heading 1 2 2 2 19 2" xfId="7409"/>
    <cellStyle name="Heading 1 2 2 2 2" xfId="7410"/>
    <cellStyle name="Heading 1 2 2 2 2 2" xfId="7411"/>
    <cellStyle name="Heading 1 2 2 2 2 2 10" xfId="7412"/>
    <cellStyle name="Heading 1 2 2 2 2 2 10 2" xfId="7413"/>
    <cellStyle name="Heading 1 2 2 2 2 2 10 2 2" xfId="7414"/>
    <cellStyle name="Heading 1 2 2 2 2 2 10 3" xfId="7415"/>
    <cellStyle name="Heading 1 2 2 2 2 2 11" xfId="7416"/>
    <cellStyle name="Heading 1 2 2 2 2 2 11 2" xfId="7417"/>
    <cellStyle name="Heading 1 2 2 2 2 2 11 2 2" xfId="7418"/>
    <cellStyle name="Heading 1 2 2 2 2 2 11 3" xfId="7419"/>
    <cellStyle name="Heading 1 2 2 2 2 2 12" xfId="7420"/>
    <cellStyle name="Heading 1 2 2 2 2 2 12 2" xfId="7421"/>
    <cellStyle name="Heading 1 2 2 2 2 2 12 2 2" xfId="7422"/>
    <cellStyle name="Heading 1 2 2 2 2 2 12 3" xfId="7423"/>
    <cellStyle name="Heading 1 2 2 2 2 2 13" xfId="7424"/>
    <cellStyle name="Heading 1 2 2 2 2 2 13 2" xfId="7425"/>
    <cellStyle name="Heading 1 2 2 2 2 2 13 2 2" xfId="7426"/>
    <cellStyle name="Heading 1 2 2 2 2 2 13 3" xfId="7427"/>
    <cellStyle name="Heading 1 2 2 2 2 2 14" xfId="7428"/>
    <cellStyle name="Heading 1 2 2 2 2 2 14 2" xfId="7429"/>
    <cellStyle name="Heading 1 2 2 2 2 2 14 2 2" xfId="7430"/>
    <cellStyle name="Heading 1 2 2 2 2 2 14 3" xfId="7431"/>
    <cellStyle name="Heading 1 2 2 2 2 2 15" xfId="7432"/>
    <cellStyle name="Heading 1 2 2 2 2 2 15 2" xfId="7433"/>
    <cellStyle name="Heading 1 2 2 2 2 2 15 2 2" xfId="7434"/>
    <cellStyle name="Heading 1 2 2 2 2 2 15 3" xfId="7435"/>
    <cellStyle name="Heading 1 2 2 2 2 2 16" xfId="7436"/>
    <cellStyle name="Heading 1 2 2 2 2 2 16 2" xfId="7437"/>
    <cellStyle name="Heading 1 2 2 2 2 2 16 2 2" xfId="7438"/>
    <cellStyle name="Heading 1 2 2 2 2 2 16 3" xfId="7439"/>
    <cellStyle name="Heading 1 2 2 2 2 2 17" xfId="7440"/>
    <cellStyle name="Heading 1 2 2 2 2 2 17 2" xfId="7441"/>
    <cellStyle name="Heading 1 2 2 2 2 2 17 2 2" xfId="7442"/>
    <cellStyle name="Heading 1 2 2 2 2 2 17 3" xfId="7443"/>
    <cellStyle name="Heading 1 2 2 2 2 2 18" xfId="7444"/>
    <cellStyle name="Heading 1 2 2 2 2 2 18 2" xfId="7445"/>
    <cellStyle name="Heading 1 2 2 2 2 2 18 2 2" xfId="7446"/>
    <cellStyle name="Heading 1 2 2 2 2 2 18 3" xfId="7447"/>
    <cellStyle name="Heading 1 2 2 2 2 2 19" xfId="7448"/>
    <cellStyle name="Heading 1 2 2 2 2 2 19 2" xfId="7449"/>
    <cellStyle name="Heading 1 2 2 2 2 2 19 2 2" xfId="7450"/>
    <cellStyle name="Heading 1 2 2 2 2 2 19 3" xfId="7451"/>
    <cellStyle name="Heading 1 2 2 2 2 2 2" xfId="7452"/>
    <cellStyle name="Heading 1 2 2 2 2 2 2 10" xfId="7453"/>
    <cellStyle name="Heading 1 2 2 2 2 2 2 10 2" xfId="7454"/>
    <cellStyle name="Heading 1 2 2 2 2 2 2 10 2 2" xfId="7455"/>
    <cellStyle name="Heading 1 2 2 2 2 2 2 10 3" xfId="7456"/>
    <cellStyle name="Heading 1 2 2 2 2 2 2 11" xfId="7457"/>
    <cellStyle name="Heading 1 2 2 2 2 2 2 11 2" xfId="7458"/>
    <cellStyle name="Heading 1 2 2 2 2 2 2 11 2 2" xfId="7459"/>
    <cellStyle name="Heading 1 2 2 2 2 2 2 11 3" xfId="7460"/>
    <cellStyle name="Heading 1 2 2 2 2 2 2 12" xfId="7461"/>
    <cellStyle name="Heading 1 2 2 2 2 2 2 12 2" xfId="7462"/>
    <cellStyle name="Heading 1 2 2 2 2 2 2 12 2 2" xfId="7463"/>
    <cellStyle name="Heading 1 2 2 2 2 2 2 12 3" xfId="7464"/>
    <cellStyle name="Heading 1 2 2 2 2 2 2 13" xfId="7465"/>
    <cellStyle name="Heading 1 2 2 2 2 2 2 13 2" xfId="7466"/>
    <cellStyle name="Heading 1 2 2 2 2 2 2 13 2 2" xfId="7467"/>
    <cellStyle name="Heading 1 2 2 2 2 2 2 13 3" xfId="7468"/>
    <cellStyle name="Heading 1 2 2 2 2 2 2 14" xfId="7469"/>
    <cellStyle name="Heading 1 2 2 2 2 2 2 14 2" xfId="7470"/>
    <cellStyle name="Heading 1 2 2 2 2 2 2 14 2 2" xfId="7471"/>
    <cellStyle name="Heading 1 2 2 2 2 2 2 14 3" xfId="7472"/>
    <cellStyle name="Heading 1 2 2 2 2 2 2 15" xfId="7473"/>
    <cellStyle name="Heading 1 2 2 2 2 2 2 15 2" xfId="7474"/>
    <cellStyle name="Heading 1 2 2 2 2 2 2 15 2 2" xfId="7475"/>
    <cellStyle name="Heading 1 2 2 2 2 2 2 15 3" xfId="7476"/>
    <cellStyle name="Heading 1 2 2 2 2 2 2 16" xfId="7477"/>
    <cellStyle name="Heading 1 2 2 2 2 2 2 16 2" xfId="7478"/>
    <cellStyle name="Heading 1 2 2 2 2 2 2 16 2 2" xfId="7479"/>
    <cellStyle name="Heading 1 2 2 2 2 2 2 16 3" xfId="7480"/>
    <cellStyle name="Heading 1 2 2 2 2 2 2 17" xfId="7481"/>
    <cellStyle name="Heading 1 2 2 2 2 2 2 17 2" xfId="7482"/>
    <cellStyle name="Heading 1 2 2 2 2 2 2 17 2 2" xfId="7483"/>
    <cellStyle name="Heading 1 2 2 2 2 2 2 17 3" xfId="7484"/>
    <cellStyle name="Heading 1 2 2 2 2 2 2 18" xfId="7485"/>
    <cellStyle name="Heading 1 2 2 2 2 2 2 18 2" xfId="7486"/>
    <cellStyle name="Heading 1 2 2 2 2 2 2 18 2 2" xfId="7487"/>
    <cellStyle name="Heading 1 2 2 2 2 2 2 18 3" xfId="7488"/>
    <cellStyle name="Heading 1 2 2 2 2 2 2 19" xfId="7489"/>
    <cellStyle name="Heading 1 2 2 2 2 2 2 19 2" xfId="7490"/>
    <cellStyle name="Heading 1 2 2 2 2 2 2 2" xfId="7491"/>
    <cellStyle name="Heading 1 2 2 2 2 2 2 2 2" xfId="7492"/>
    <cellStyle name="Heading 1 2 2 2 2 2 2 2 2 2" xfId="7493"/>
    <cellStyle name="Heading 1 2 2 2 2 2 2 2 2 2 2" xfId="7494"/>
    <cellStyle name="Heading 1 2 2 2 2 2 2 2 2 3" xfId="7495"/>
    <cellStyle name="Heading 1 2 2 2 2 2 2 2 3" xfId="7496"/>
    <cellStyle name="Heading 1 2 2 2 2 2 2 2 3 2" xfId="7497"/>
    <cellStyle name="Heading 1 2 2 2 2 2 2 2 3 2 2" xfId="7498"/>
    <cellStyle name="Heading 1 2 2 2 2 2 2 2 3 3" xfId="7499"/>
    <cellStyle name="Heading 1 2 2 2 2 2 2 2 4" xfId="7500"/>
    <cellStyle name="Heading 1 2 2 2 2 2 2 2 4 2" xfId="7501"/>
    <cellStyle name="Heading 1 2 2 2 2 2 2 2 4 2 2" xfId="7502"/>
    <cellStyle name="Heading 1 2 2 2 2 2 2 2 4 3" xfId="7503"/>
    <cellStyle name="Heading 1 2 2 2 2 2 2 2 5" xfId="7504"/>
    <cellStyle name="Heading 1 2 2 2 2 2 2 2 5 2" xfId="7505"/>
    <cellStyle name="Heading 1 2 2 2 2 2 2 2 5 2 2" xfId="7506"/>
    <cellStyle name="Heading 1 2 2 2 2 2 2 2 5 3" xfId="7507"/>
    <cellStyle name="Heading 1 2 2 2 2 2 2 2 6" xfId="7508"/>
    <cellStyle name="Heading 1 2 2 2 2 2 2 2 6 2" xfId="7509"/>
    <cellStyle name="Heading 1 2 2 2 2 2 2 2 6 2 2" xfId="7510"/>
    <cellStyle name="Heading 1 2 2 2 2 2 2 2 6 3" xfId="7511"/>
    <cellStyle name="Heading 1 2 2 2 2 2 2 2 7" xfId="7512"/>
    <cellStyle name="Heading 1 2 2 2 2 2 2 2 7 2" xfId="7513"/>
    <cellStyle name="Heading 1 2 2 2 2 2 2 2 7 2 2" xfId="7514"/>
    <cellStyle name="Heading 1 2 2 2 2 2 2 2 7 3" xfId="7515"/>
    <cellStyle name="Heading 1 2 2 2 2 2 2 2 8" xfId="7516"/>
    <cellStyle name="Heading 1 2 2 2 2 2 2 2 8 2" xfId="7517"/>
    <cellStyle name="Heading 1 2 2 2 2 2 2 2 9" xfId="7518"/>
    <cellStyle name="Heading 1 2 2 2 2 2 2 20" xfId="7519"/>
    <cellStyle name="Heading 1 2 2 2 2 2 2 20 2" xfId="7520"/>
    <cellStyle name="Heading 1 2 2 2 2 2 2 21" xfId="7521"/>
    <cellStyle name="Heading 1 2 2 2 2 2 2 21 2" xfId="7522"/>
    <cellStyle name="Heading 1 2 2 2 2 2 2 22" xfId="7523"/>
    <cellStyle name="Heading 1 2 2 2 2 2 2 3" xfId="7524"/>
    <cellStyle name="Heading 1 2 2 2 2 2 2 3 2" xfId="7525"/>
    <cellStyle name="Heading 1 2 2 2 2 2 2 3 2 2" xfId="7526"/>
    <cellStyle name="Heading 1 2 2 2 2 2 2 3 2 2 2" xfId="7527"/>
    <cellStyle name="Heading 1 2 2 2 2 2 2 3 2 3" xfId="7528"/>
    <cellStyle name="Heading 1 2 2 2 2 2 2 3 3" xfId="7529"/>
    <cellStyle name="Heading 1 2 2 2 2 2 2 3 3 2" xfId="7530"/>
    <cellStyle name="Heading 1 2 2 2 2 2 2 3 3 2 2" xfId="7531"/>
    <cellStyle name="Heading 1 2 2 2 2 2 2 3 3 3" xfId="7532"/>
    <cellStyle name="Heading 1 2 2 2 2 2 2 3 4" xfId="7533"/>
    <cellStyle name="Heading 1 2 2 2 2 2 2 3 4 2" xfId="7534"/>
    <cellStyle name="Heading 1 2 2 2 2 2 2 3 4 2 2" xfId="7535"/>
    <cellStyle name="Heading 1 2 2 2 2 2 2 3 4 3" xfId="7536"/>
    <cellStyle name="Heading 1 2 2 2 2 2 2 3 5" xfId="7537"/>
    <cellStyle name="Heading 1 2 2 2 2 2 2 3 5 2" xfId="7538"/>
    <cellStyle name="Heading 1 2 2 2 2 2 2 3 5 2 2" xfId="7539"/>
    <cellStyle name="Heading 1 2 2 2 2 2 2 3 5 3" xfId="7540"/>
    <cellStyle name="Heading 1 2 2 2 2 2 2 3 6" xfId="7541"/>
    <cellStyle name="Heading 1 2 2 2 2 2 2 3 6 2" xfId="7542"/>
    <cellStyle name="Heading 1 2 2 2 2 2 2 3 6 2 2" xfId="7543"/>
    <cellStyle name="Heading 1 2 2 2 2 2 2 3 6 3" xfId="7544"/>
    <cellStyle name="Heading 1 2 2 2 2 2 2 3 7" xfId="7545"/>
    <cellStyle name="Heading 1 2 2 2 2 2 2 3 7 2" xfId="7546"/>
    <cellStyle name="Heading 1 2 2 2 2 2 2 3 7 2 2" xfId="7547"/>
    <cellStyle name="Heading 1 2 2 2 2 2 2 3 7 3" xfId="7548"/>
    <cellStyle name="Heading 1 2 2 2 2 2 2 3 8" xfId="7549"/>
    <cellStyle name="Heading 1 2 2 2 2 2 2 3 8 2" xfId="7550"/>
    <cellStyle name="Heading 1 2 2 2 2 2 2 3 9" xfId="7551"/>
    <cellStyle name="Heading 1 2 2 2 2 2 2 4" xfId="7552"/>
    <cellStyle name="Heading 1 2 2 2 2 2 2 4 2" xfId="7553"/>
    <cellStyle name="Heading 1 2 2 2 2 2 2 4 2 2" xfId="7554"/>
    <cellStyle name="Heading 1 2 2 2 2 2 2 4 2 2 2" xfId="7555"/>
    <cellStyle name="Heading 1 2 2 2 2 2 2 4 2 3" xfId="7556"/>
    <cellStyle name="Heading 1 2 2 2 2 2 2 4 3" xfId="7557"/>
    <cellStyle name="Heading 1 2 2 2 2 2 2 4 3 2" xfId="7558"/>
    <cellStyle name="Heading 1 2 2 2 2 2 2 4 3 2 2" xfId="7559"/>
    <cellStyle name="Heading 1 2 2 2 2 2 2 4 3 3" xfId="7560"/>
    <cellStyle name="Heading 1 2 2 2 2 2 2 4 4" xfId="7561"/>
    <cellStyle name="Heading 1 2 2 2 2 2 2 4 4 2" xfId="7562"/>
    <cellStyle name="Heading 1 2 2 2 2 2 2 4 4 2 2" xfId="7563"/>
    <cellStyle name="Heading 1 2 2 2 2 2 2 4 4 3" xfId="7564"/>
    <cellStyle name="Heading 1 2 2 2 2 2 2 4 5" xfId="7565"/>
    <cellStyle name="Heading 1 2 2 2 2 2 2 4 5 2" xfId="7566"/>
    <cellStyle name="Heading 1 2 2 2 2 2 2 4 5 2 2" xfId="7567"/>
    <cellStyle name="Heading 1 2 2 2 2 2 2 4 5 3" xfId="7568"/>
    <cellStyle name="Heading 1 2 2 2 2 2 2 4 6" xfId="7569"/>
    <cellStyle name="Heading 1 2 2 2 2 2 2 4 6 2" xfId="7570"/>
    <cellStyle name="Heading 1 2 2 2 2 2 2 4 6 2 2" xfId="7571"/>
    <cellStyle name="Heading 1 2 2 2 2 2 2 4 6 3" xfId="7572"/>
    <cellStyle name="Heading 1 2 2 2 2 2 2 4 7" xfId="7573"/>
    <cellStyle name="Heading 1 2 2 2 2 2 2 4 7 2" xfId="7574"/>
    <cellStyle name="Heading 1 2 2 2 2 2 2 4 7 2 2" xfId="7575"/>
    <cellStyle name="Heading 1 2 2 2 2 2 2 4 7 3" xfId="7576"/>
    <cellStyle name="Heading 1 2 2 2 2 2 2 4 8" xfId="7577"/>
    <cellStyle name="Heading 1 2 2 2 2 2 2 4 8 2" xfId="7578"/>
    <cellStyle name="Heading 1 2 2 2 2 2 2 4 9" xfId="7579"/>
    <cellStyle name="Heading 1 2 2 2 2 2 2 5" xfId="7580"/>
    <cellStyle name="Heading 1 2 2 2 2 2 2 5 2" xfId="7581"/>
    <cellStyle name="Heading 1 2 2 2 2 2 2 5 2 2" xfId="7582"/>
    <cellStyle name="Heading 1 2 2 2 2 2 2 5 2 2 2" xfId="7583"/>
    <cellStyle name="Heading 1 2 2 2 2 2 2 5 2 3" xfId="7584"/>
    <cellStyle name="Heading 1 2 2 2 2 2 2 5 3" xfId="7585"/>
    <cellStyle name="Heading 1 2 2 2 2 2 2 5 3 2" xfId="7586"/>
    <cellStyle name="Heading 1 2 2 2 2 2 2 5 3 2 2" xfId="7587"/>
    <cellStyle name="Heading 1 2 2 2 2 2 2 5 3 3" xfId="7588"/>
    <cellStyle name="Heading 1 2 2 2 2 2 2 5 4" xfId="7589"/>
    <cellStyle name="Heading 1 2 2 2 2 2 2 5 4 2" xfId="7590"/>
    <cellStyle name="Heading 1 2 2 2 2 2 2 5 4 2 2" xfId="7591"/>
    <cellStyle name="Heading 1 2 2 2 2 2 2 5 4 3" xfId="7592"/>
    <cellStyle name="Heading 1 2 2 2 2 2 2 5 5" xfId="7593"/>
    <cellStyle name="Heading 1 2 2 2 2 2 2 5 5 2" xfId="7594"/>
    <cellStyle name="Heading 1 2 2 2 2 2 2 5 5 2 2" xfId="7595"/>
    <cellStyle name="Heading 1 2 2 2 2 2 2 5 5 3" xfId="7596"/>
    <cellStyle name="Heading 1 2 2 2 2 2 2 5 6" xfId="7597"/>
    <cellStyle name="Heading 1 2 2 2 2 2 2 5 6 2" xfId="7598"/>
    <cellStyle name="Heading 1 2 2 2 2 2 2 5 6 2 2" xfId="7599"/>
    <cellStyle name="Heading 1 2 2 2 2 2 2 5 6 3" xfId="7600"/>
    <cellStyle name="Heading 1 2 2 2 2 2 2 5 7" xfId="7601"/>
    <cellStyle name="Heading 1 2 2 2 2 2 2 5 7 2" xfId="7602"/>
    <cellStyle name="Heading 1 2 2 2 2 2 2 5 7 2 2" xfId="7603"/>
    <cellStyle name="Heading 1 2 2 2 2 2 2 5 7 3" xfId="7604"/>
    <cellStyle name="Heading 1 2 2 2 2 2 2 5 8" xfId="7605"/>
    <cellStyle name="Heading 1 2 2 2 2 2 2 5 8 2" xfId="7606"/>
    <cellStyle name="Heading 1 2 2 2 2 2 2 5 9" xfId="7607"/>
    <cellStyle name="Heading 1 2 2 2 2 2 2 6" xfId="7608"/>
    <cellStyle name="Heading 1 2 2 2 2 2 2 6 2" xfId="7609"/>
    <cellStyle name="Heading 1 2 2 2 2 2 2 6 2 2" xfId="7610"/>
    <cellStyle name="Heading 1 2 2 2 2 2 2 6 2 2 2" xfId="7611"/>
    <cellStyle name="Heading 1 2 2 2 2 2 2 6 2 3" xfId="7612"/>
    <cellStyle name="Heading 1 2 2 2 2 2 2 6 3" xfId="7613"/>
    <cellStyle name="Heading 1 2 2 2 2 2 2 6 3 2" xfId="7614"/>
    <cellStyle name="Heading 1 2 2 2 2 2 2 6 3 2 2" xfId="7615"/>
    <cellStyle name="Heading 1 2 2 2 2 2 2 6 3 3" xfId="7616"/>
    <cellStyle name="Heading 1 2 2 2 2 2 2 6 4" xfId="7617"/>
    <cellStyle name="Heading 1 2 2 2 2 2 2 6 4 2" xfId="7618"/>
    <cellStyle name="Heading 1 2 2 2 2 2 2 6 4 2 2" xfId="7619"/>
    <cellStyle name="Heading 1 2 2 2 2 2 2 6 4 3" xfId="7620"/>
    <cellStyle name="Heading 1 2 2 2 2 2 2 6 5" xfId="7621"/>
    <cellStyle name="Heading 1 2 2 2 2 2 2 6 5 2" xfId="7622"/>
    <cellStyle name="Heading 1 2 2 2 2 2 2 6 5 2 2" xfId="7623"/>
    <cellStyle name="Heading 1 2 2 2 2 2 2 6 5 3" xfId="7624"/>
    <cellStyle name="Heading 1 2 2 2 2 2 2 6 6" xfId="7625"/>
    <cellStyle name="Heading 1 2 2 2 2 2 2 6 6 2" xfId="7626"/>
    <cellStyle name="Heading 1 2 2 2 2 2 2 6 6 2 2" xfId="7627"/>
    <cellStyle name="Heading 1 2 2 2 2 2 2 6 6 3" xfId="7628"/>
    <cellStyle name="Heading 1 2 2 2 2 2 2 6 7" xfId="7629"/>
    <cellStyle name="Heading 1 2 2 2 2 2 2 6 7 2" xfId="7630"/>
    <cellStyle name="Heading 1 2 2 2 2 2 2 6 7 2 2" xfId="7631"/>
    <cellStyle name="Heading 1 2 2 2 2 2 2 6 7 3" xfId="7632"/>
    <cellStyle name="Heading 1 2 2 2 2 2 2 6 8" xfId="7633"/>
    <cellStyle name="Heading 1 2 2 2 2 2 2 6 8 2" xfId="7634"/>
    <cellStyle name="Heading 1 2 2 2 2 2 2 6 9" xfId="7635"/>
    <cellStyle name="Heading 1 2 2 2 2 2 2 7" xfId="7636"/>
    <cellStyle name="Heading 1 2 2 2 2 2 2 7 2" xfId="7637"/>
    <cellStyle name="Heading 1 2 2 2 2 2 2 7 2 2" xfId="7638"/>
    <cellStyle name="Heading 1 2 2 2 2 2 2 7 2 2 2" xfId="7639"/>
    <cellStyle name="Heading 1 2 2 2 2 2 2 7 2 3" xfId="7640"/>
    <cellStyle name="Heading 1 2 2 2 2 2 2 7 3" xfId="7641"/>
    <cellStyle name="Heading 1 2 2 2 2 2 2 7 3 2" xfId="7642"/>
    <cellStyle name="Heading 1 2 2 2 2 2 2 7 3 2 2" xfId="7643"/>
    <cellStyle name="Heading 1 2 2 2 2 2 2 7 3 3" xfId="7644"/>
    <cellStyle name="Heading 1 2 2 2 2 2 2 7 4" xfId="7645"/>
    <cellStyle name="Heading 1 2 2 2 2 2 2 7 4 2" xfId="7646"/>
    <cellStyle name="Heading 1 2 2 2 2 2 2 7 4 2 2" xfId="7647"/>
    <cellStyle name="Heading 1 2 2 2 2 2 2 7 4 3" xfId="7648"/>
    <cellStyle name="Heading 1 2 2 2 2 2 2 7 5" xfId="7649"/>
    <cellStyle name="Heading 1 2 2 2 2 2 2 7 5 2" xfId="7650"/>
    <cellStyle name="Heading 1 2 2 2 2 2 2 7 5 2 2" xfId="7651"/>
    <cellStyle name="Heading 1 2 2 2 2 2 2 7 5 3" xfId="7652"/>
    <cellStyle name="Heading 1 2 2 2 2 2 2 7 6" xfId="7653"/>
    <cellStyle name="Heading 1 2 2 2 2 2 2 7 6 2" xfId="7654"/>
    <cellStyle name="Heading 1 2 2 2 2 2 2 7 6 2 2" xfId="7655"/>
    <cellStyle name="Heading 1 2 2 2 2 2 2 7 6 3" xfId="7656"/>
    <cellStyle name="Heading 1 2 2 2 2 2 2 7 7" xfId="7657"/>
    <cellStyle name="Heading 1 2 2 2 2 2 2 7 7 2" xfId="7658"/>
    <cellStyle name="Heading 1 2 2 2 2 2 2 7 7 2 2" xfId="7659"/>
    <cellStyle name="Heading 1 2 2 2 2 2 2 7 7 3" xfId="7660"/>
    <cellStyle name="Heading 1 2 2 2 2 2 2 7 8" xfId="7661"/>
    <cellStyle name="Heading 1 2 2 2 2 2 2 7 8 2" xfId="7662"/>
    <cellStyle name="Heading 1 2 2 2 2 2 2 7 9" xfId="7663"/>
    <cellStyle name="Heading 1 2 2 2 2 2 2 8" xfId="7664"/>
    <cellStyle name="Heading 1 2 2 2 2 2 2 8 2" xfId="7665"/>
    <cellStyle name="Heading 1 2 2 2 2 2 2 8 2 2" xfId="7666"/>
    <cellStyle name="Heading 1 2 2 2 2 2 2 8 2 2 2" xfId="7667"/>
    <cellStyle name="Heading 1 2 2 2 2 2 2 8 2 3" xfId="7668"/>
    <cellStyle name="Heading 1 2 2 2 2 2 2 8 3" xfId="7669"/>
    <cellStyle name="Heading 1 2 2 2 2 2 2 8 3 2" xfId="7670"/>
    <cellStyle name="Heading 1 2 2 2 2 2 2 8 3 2 2" xfId="7671"/>
    <cellStyle name="Heading 1 2 2 2 2 2 2 8 3 3" xfId="7672"/>
    <cellStyle name="Heading 1 2 2 2 2 2 2 8 4" xfId="7673"/>
    <cellStyle name="Heading 1 2 2 2 2 2 2 8 4 2" xfId="7674"/>
    <cellStyle name="Heading 1 2 2 2 2 2 2 8 4 2 2" xfId="7675"/>
    <cellStyle name="Heading 1 2 2 2 2 2 2 8 4 3" xfId="7676"/>
    <cellStyle name="Heading 1 2 2 2 2 2 2 8 5" xfId="7677"/>
    <cellStyle name="Heading 1 2 2 2 2 2 2 8 5 2" xfId="7678"/>
    <cellStyle name="Heading 1 2 2 2 2 2 2 8 5 2 2" xfId="7679"/>
    <cellStyle name="Heading 1 2 2 2 2 2 2 8 5 3" xfId="7680"/>
    <cellStyle name="Heading 1 2 2 2 2 2 2 8 6" xfId="7681"/>
    <cellStyle name="Heading 1 2 2 2 2 2 2 8 6 2" xfId="7682"/>
    <cellStyle name="Heading 1 2 2 2 2 2 2 8 6 2 2" xfId="7683"/>
    <cellStyle name="Heading 1 2 2 2 2 2 2 8 6 3" xfId="7684"/>
    <cellStyle name="Heading 1 2 2 2 2 2 2 8 7" xfId="7685"/>
    <cellStyle name="Heading 1 2 2 2 2 2 2 8 7 2" xfId="7686"/>
    <cellStyle name="Heading 1 2 2 2 2 2 2 8 7 2 2" xfId="7687"/>
    <cellStyle name="Heading 1 2 2 2 2 2 2 8 7 3" xfId="7688"/>
    <cellStyle name="Heading 1 2 2 2 2 2 2 8 8" xfId="7689"/>
    <cellStyle name="Heading 1 2 2 2 2 2 2 8 8 2" xfId="7690"/>
    <cellStyle name="Heading 1 2 2 2 2 2 2 8 9" xfId="7691"/>
    <cellStyle name="Heading 1 2 2 2 2 2 2 9" xfId="7692"/>
    <cellStyle name="Heading 1 2 2 2 2 2 2 9 2" xfId="7693"/>
    <cellStyle name="Heading 1 2 2 2 2 2 2 9 2 2" xfId="7694"/>
    <cellStyle name="Heading 1 2 2 2 2 2 2 9 3" xfId="7695"/>
    <cellStyle name="Heading 1 2 2 2 2 2 20" xfId="7696"/>
    <cellStyle name="Heading 1 2 2 2 2 2 20 2" xfId="7697"/>
    <cellStyle name="Heading 1 2 2 2 2 2 21" xfId="7698"/>
    <cellStyle name="Heading 1 2 2 2 2 2 21 2" xfId="7699"/>
    <cellStyle name="Heading 1 2 2 2 2 2 22" xfId="7700"/>
    <cellStyle name="Heading 1 2 2 2 2 2 22 2" xfId="7701"/>
    <cellStyle name="Heading 1 2 2 2 2 2 23" xfId="7702"/>
    <cellStyle name="Heading 1 2 2 2 2 2 3" xfId="7703"/>
    <cellStyle name="Heading 1 2 2 2 2 2 3 2" xfId="7704"/>
    <cellStyle name="Heading 1 2 2 2 2 2 3 2 2" xfId="7705"/>
    <cellStyle name="Heading 1 2 2 2 2 2 3 2 2 2" xfId="7706"/>
    <cellStyle name="Heading 1 2 2 2 2 2 3 2 3" xfId="7707"/>
    <cellStyle name="Heading 1 2 2 2 2 2 3 3" xfId="7708"/>
    <cellStyle name="Heading 1 2 2 2 2 2 3 3 2" xfId="7709"/>
    <cellStyle name="Heading 1 2 2 2 2 2 3 3 2 2" xfId="7710"/>
    <cellStyle name="Heading 1 2 2 2 2 2 3 3 3" xfId="7711"/>
    <cellStyle name="Heading 1 2 2 2 2 2 3 4" xfId="7712"/>
    <cellStyle name="Heading 1 2 2 2 2 2 3 4 2" xfId="7713"/>
    <cellStyle name="Heading 1 2 2 2 2 2 3 4 2 2" xfId="7714"/>
    <cellStyle name="Heading 1 2 2 2 2 2 3 4 3" xfId="7715"/>
    <cellStyle name="Heading 1 2 2 2 2 2 3 5" xfId="7716"/>
    <cellStyle name="Heading 1 2 2 2 2 2 3 5 2" xfId="7717"/>
    <cellStyle name="Heading 1 2 2 2 2 2 3 5 2 2" xfId="7718"/>
    <cellStyle name="Heading 1 2 2 2 2 2 3 5 3" xfId="7719"/>
    <cellStyle name="Heading 1 2 2 2 2 2 3 6" xfId="7720"/>
    <cellStyle name="Heading 1 2 2 2 2 2 3 6 2" xfId="7721"/>
    <cellStyle name="Heading 1 2 2 2 2 2 3 6 2 2" xfId="7722"/>
    <cellStyle name="Heading 1 2 2 2 2 2 3 6 3" xfId="7723"/>
    <cellStyle name="Heading 1 2 2 2 2 2 3 7" xfId="7724"/>
    <cellStyle name="Heading 1 2 2 2 2 2 3 7 2" xfId="7725"/>
    <cellStyle name="Heading 1 2 2 2 2 2 3 7 2 2" xfId="7726"/>
    <cellStyle name="Heading 1 2 2 2 2 2 3 7 3" xfId="7727"/>
    <cellStyle name="Heading 1 2 2 2 2 2 3 8" xfId="7728"/>
    <cellStyle name="Heading 1 2 2 2 2 2 3 8 2" xfId="7729"/>
    <cellStyle name="Heading 1 2 2 2 2 2 3 9" xfId="7730"/>
    <cellStyle name="Heading 1 2 2 2 2 2 4" xfId="7731"/>
    <cellStyle name="Heading 1 2 2 2 2 2 4 2" xfId="7732"/>
    <cellStyle name="Heading 1 2 2 2 2 2 4 2 2" xfId="7733"/>
    <cellStyle name="Heading 1 2 2 2 2 2 4 2 2 2" xfId="7734"/>
    <cellStyle name="Heading 1 2 2 2 2 2 4 2 3" xfId="7735"/>
    <cellStyle name="Heading 1 2 2 2 2 2 4 3" xfId="7736"/>
    <cellStyle name="Heading 1 2 2 2 2 2 4 3 2" xfId="7737"/>
    <cellStyle name="Heading 1 2 2 2 2 2 4 3 2 2" xfId="7738"/>
    <cellStyle name="Heading 1 2 2 2 2 2 4 3 3" xfId="7739"/>
    <cellStyle name="Heading 1 2 2 2 2 2 4 4" xfId="7740"/>
    <cellStyle name="Heading 1 2 2 2 2 2 4 4 2" xfId="7741"/>
    <cellStyle name="Heading 1 2 2 2 2 2 4 4 2 2" xfId="7742"/>
    <cellStyle name="Heading 1 2 2 2 2 2 4 4 3" xfId="7743"/>
    <cellStyle name="Heading 1 2 2 2 2 2 4 5" xfId="7744"/>
    <cellStyle name="Heading 1 2 2 2 2 2 4 5 2" xfId="7745"/>
    <cellStyle name="Heading 1 2 2 2 2 2 4 5 2 2" xfId="7746"/>
    <cellStyle name="Heading 1 2 2 2 2 2 4 5 3" xfId="7747"/>
    <cellStyle name="Heading 1 2 2 2 2 2 4 6" xfId="7748"/>
    <cellStyle name="Heading 1 2 2 2 2 2 4 6 2" xfId="7749"/>
    <cellStyle name="Heading 1 2 2 2 2 2 4 6 2 2" xfId="7750"/>
    <cellStyle name="Heading 1 2 2 2 2 2 4 6 3" xfId="7751"/>
    <cellStyle name="Heading 1 2 2 2 2 2 4 7" xfId="7752"/>
    <cellStyle name="Heading 1 2 2 2 2 2 4 7 2" xfId="7753"/>
    <cellStyle name="Heading 1 2 2 2 2 2 4 7 2 2" xfId="7754"/>
    <cellStyle name="Heading 1 2 2 2 2 2 4 7 3" xfId="7755"/>
    <cellStyle name="Heading 1 2 2 2 2 2 4 8" xfId="7756"/>
    <cellStyle name="Heading 1 2 2 2 2 2 4 8 2" xfId="7757"/>
    <cellStyle name="Heading 1 2 2 2 2 2 4 9" xfId="7758"/>
    <cellStyle name="Heading 1 2 2 2 2 2 5" xfId="7759"/>
    <cellStyle name="Heading 1 2 2 2 2 2 5 2" xfId="7760"/>
    <cellStyle name="Heading 1 2 2 2 2 2 5 2 2" xfId="7761"/>
    <cellStyle name="Heading 1 2 2 2 2 2 5 2 2 2" xfId="7762"/>
    <cellStyle name="Heading 1 2 2 2 2 2 5 2 3" xfId="7763"/>
    <cellStyle name="Heading 1 2 2 2 2 2 5 3" xfId="7764"/>
    <cellStyle name="Heading 1 2 2 2 2 2 5 3 2" xfId="7765"/>
    <cellStyle name="Heading 1 2 2 2 2 2 5 3 2 2" xfId="7766"/>
    <cellStyle name="Heading 1 2 2 2 2 2 5 3 3" xfId="7767"/>
    <cellStyle name="Heading 1 2 2 2 2 2 5 4" xfId="7768"/>
    <cellStyle name="Heading 1 2 2 2 2 2 5 4 2" xfId="7769"/>
    <cellStyle name="Heading 1 2 2 2 2 2 5 4 2 2" xfId="7770"/>
    <cellStyle name="Heading 1 2 2 2 2 2 5 4 3" xfId="7771"/>
    <cellStyle name="Heading 1 2 2 2 2 2 5 5" xfId="7772"/>
    <cellStyle name="Heading 1 2 2 2 2 2 5 5 2" xfId="7773"/>
    <cellStyle name="Heading 1 2 2 2 2 2 5 5 2 2" xfId="7774"/>
    <cellStyle name="Heading 1 2 2 2 2 2 5 5 3" xfId="7775"/>
    <cellStyle name="Heading 1 2 2 2 2 2 5 6" xfId="7776"/>
    <cellStyle name="Heading 1 2 2 2 2 2 5 6 2" xfId="7777"/>
    <cellStyle name="Heading 1 2 2 2 2 2 5 6 2 2" xfId="7778"/>
    <cellStyle name="Heading 1 2 2 2 2 2 5 6 3" xfId="7779"/>
    <cellStyle name="Heading 1 2 2 2 2 2 5 7" xfId="7780"/>
    <cellStyle name="Heading 1 2 2 2 2 2 5 7 2" xfId="7781"/>
    <cellStyle name="Heading 1 2 2 2 2 2 5 7 2 2" xfId="7782"/>
    <cellStyle name="Heading 1 2 2 2 2 2 5 7 3" xfId="7783"/>
    <cellStyle name="Heading 1 2 2 2 2 2 5 8" xfId="7784"/>
    <cellStyle name="Heading 1 2 2 2 2 2 5 8 2" xfId="7785"/>
    <cellStyle name="Heading 1 2 2 2 2 2 5 9" xfId="7786"/>
    <cellStyle name="Heading 1 2 2 2 2 2 6" xfId="7787"/>
    <cellStyle name="Heading 1 2 2 2 2 2 6 2" xfId="7788"/>
    <cellStyle name="Heading 1 2 2 2 2 2 6 2 2" xfId="7789"/>
    <cellStyle name="Heading 1 2 2 2 2 2 6 2 2 2" xfId="7790"/>
    <cellStyle name="Heading 1 2 2 2 2 2 6 2 3" xfId="7791"/>
    <cellStyle name="Heading 1 2 2 2 2 2 6 3" xfId="7792"/>
    <cellStyle name="Heading 1 2 2 2 2 2 6 3 2" xfId="7793"/>
    <cellStyle name="Heading 1 2 2 2 2 2 6 3 2 2" xfId="7794"/>
    <cellStyle name="Heading 1 2 2 2 2 2 6 3 3" xfId="7795"/>
    <cellStyle name="Heading 1 2 2 2 2 2 6 4" xfId="7796"/>
    <cellStyle name="Heading 1 2 2 2 2 2 6 4 2" xfId="7797"/>
    <cellStyle name="Heading 1 2 2 2 2 2 6 4 2 2" xfId="7798"/>
    <cellStyle name="Heading 1 2 2 2 2 2 6 4 3" xfId="7799"/>
    <cellStyle name="Heading 1 2 2 2 2 2 6 5" xfId="7800"/>
    <cellStyle name="Heading 1 2 2 2 2 2 6 5 2" xfId="7801"/>
    <cellStyle name="Heading 1 2 2 2 2 2 6 5 2 2" xfId="7802"/>
    <cellStyle name="Heading 1 2 2 2 2 2 6 5 3" xfId="7803"/>
    <cellStyle name="Heading 1 2 2 2 2 2 6 6" xfId="7804"/>
    <cellStyle name="Heading 1 2 2 2 2 2 6 6 2" xfId="7805"/>
    <cellStyle name="Heading 1 2 2 2 2 2 6 6 2 2" xfId="7806"/>
    <cellStyle name="Heading 1 2 2 2 2 2 6 6 3" xfId="7807"/>
    <cellStyle name="Heading 1 2 2 2 2 2 6 7" xfId="7808"/>
    <cellStyle name="Heading 1 2 2 2 2 2 6 7 2" xfId="7809"/>
    <cellStyle name="Heading 1 2 2 2 2 2 6 7 2 2" xfId="7810"/>
    <cellStyle name="Heading 1 2 2 2 2 2 6 7 3" xfId="7811"/>
    <cellStyle name="Heading 1 2 2 2 2 2 6 8" xfId="7812"/>
    <cellStyle name="Heading 1 2 2 2 2 2 6 8 2" xfId="7813"/>
    <cellStyle name="Heading 1 2 2 2 2 2 6 9" xfId="7814"/>
    <cellStyle name="Heading 1 2 2 2 2 2 7" xfId="7815"/>
    <cellStyle name="Heading 1 2 2 2 2 2 7 2" xfId="7816"/>
    <cellStyle name="Heading 1 2 2 2 2 2 7 2 2" xfId="7817"/>
    <cellStyle name="Heading 1 2 2 2 2 2 7 2 2 2" xfId="7818"/>
    <cellStyle name="Heading 1 2 2 2 2 2 7 2 3" xfId="7819"/>
    <cellStyle name="Heading 1 2 2 2 2 2 7 3" xfId="7820"/>
    <cellStyle name="Heading 1 2 2 2 2 2 7 3 2" xfId="7821"/>
    <cellStyle name="Heading 1 2 2 2 2 2 7 3 2 2" xfId="7822"/>
    <cellStyle name="Heading 1 2 2 2 2 2 7 3 3" xfId="7823"/>
    <cellStyle name="Heading 1 2 2 2 2 2 7 4" xfId="7824"/>
    <cellStyle name="Heading 1 2 2 2 2 2 7 4 2" xfId="7825"/>
    <cellStyle name="Heading 1 2 2 2 2 2 7 4 2 2" xfId="7826"/>
    <cellStyle name="Heading 1 2 2 2 2 2 7 4 3" xfId="7827"/>
    <cellStyle name="Heading 1 2 2 2 2 2 7 5" xfId="7828"/>
    <cellStyle name="Heading 1 2 2 2 2 2 7 5 2" xfId="7829"/>
    <cellStyle name="Heading 1 2 2 2 2 2 7 5 2 2" xfId="7830"/>
    <cellStyle name="Heading 1 2 2 2 2 2 7 5 3" xfId="7831"/>
    <cellStyle name="Heading 1 2 2 2 2 2 7 6" xfId="7832"/>
    <cellStyle name="Heading 1 2 2 2 2 2 7 6 2" xfId="7833"/>
    <cellStyle name="Heading 1 2 2 2 2 2 7 6 2 2" xfId="7834"/>
    <cellStyle name="Heading 1 2 2 2 2 2 7 6 3" xfId="7835"/>
    <cellStyle name="Heading 1 2 2 2 2 2 7 7" xfId="7836"/>
    <cellStyle name="Heading 1 2 2 2 2 2 7 7 2" xfId="7837"/>
    <cellStyle name="Heading 1 2 2 2 2 2 7 7 2 2" xfId="7838"/>
    <cellStyle name="Heading 1 2 2 2 2 2 7 7 3" xfId="7839"/>
    <cellStyle name="Heading 1 2 2 2 2 2 7 8" xfId="7840"/>
    <cellStyle name="Heading 1 2 2 2 2 2 7 8 2" xfId="7841"/>
    <cellStyle name="Heading 1 2 2 2 2 2 7 9" xfId="7842"/>
    <cellStyle name="Heading 1 2 2 2 2 2 8" xfId="7843"/>
    <cellStyle name="Heading 1 2 2 2 2 2 8 2" xfId="7844"/>
    <cellStyle name="Heading 1 2 2 2 2 2 8 2 2" xfId="7845"/>
    <cellStyle name="Heading 1 2 2 2 2 2 8 2 2 2" xfId="7846"/>
    <cellStyle name="Heading 1 2 2 2 2 2 8 2 3" xfId="7847"/>
    <cellStyle name="Heading 1 2 2 2 2 2 8 3" xfId="7848"/>
    <cellStyle name="Heading 1 2 2 2 2 2 8 3 2" xfId="7849"/>
    <cellStyle name="Heading 1 2 2 2 2 2 8 3 2 2" xfId="7850"/>
    <cellStyle name="Heading 1 2 2 2 2 2 8 3 3" xfId="7851"/>
    <cellStyle name="Heading 1 2 2 2 2 2 8 4" xfId="7852"/>
    <cellStyle name="Heading 1 2 2 2 2 2 8 4 2" xfId="7853"/>
    <cellStyle name="Heading 1 2 2 2 2 2 8 4 2 2" xfId="7854"/>
    <cellStyle name="Heading 1 2 2 2 2 2 8 4 3" xfId="7855"/>
    <cellStyle name="Heading 1 2 2 2 2 2 8 5" xfId="7856"/>
    <cellStyle name="Heading 1 2 2 2 2 2 8 5 2" xfId="7857"/>
    <cellStyle name="Heading 1 2 2 2 2 2 8 5 2 2" xfId="7858"/>
    <cellStyle name="Heading 1 2 2 2 2 2 8 5 3" xfId="7859"/>
    <cellStyle name="Heading 1 2 2 2 2 2 8 6" xfId="7860"/>
    <cellStyle name="Heading 1 2 2 2 2 2 8 6 2" xfId="7861"/>
    <cellStyle name="Heading 1 2 2 2 2 2 8 6 2 2" xfId="7862"/>
    <cellStyle name="Heading 1 2 2 2 2 2 8 6 3" xfId="7863"/>
    <cellStyle name="Heading 1 2 2 2 2 2 8 7" xfId="7864"/>
    <cellStyle name="Heading 1 2 2 2 2 2 8 7 2" xfId="7865"/>
    <cellStyle name="Heading 1 2 2 2 2 2 8 7 2 2" xfId="7866"/>
    <cellStyle name="Heading 1 2 2 2 2 2 8 7 3" xfId="7867"/>
    <cellStyle name="Heading 1 2 2 2 2 2 8 8" xfId="7868"/>
    <cellStyle name="Heading 1 2 2 2 2 2 8 8 2" xfId="7869"/>
    <cellStyle name="Heading 1 2 2 2 2 2 8 9" xfId="7870"/>
    <cellStyle name="Heading 1 2 2 2 2 2 9" xfId="7871"/>
    <cellStyle name="Heading 1 2 2 2 2 2 9 2" xfId="7872"/>
    <cellStyle name="Heading 1 2 2 2 2 2 9 2 2" xfId="7873"/>
    <cellStyle name="Heading 1 2 2 2 2 2 9 2 2 2" xfId="7874"/>
    <cellStyle name="Heading 1 2 2 2 2 2 9 2 3" xfId="7875"/>
    <cellStyle name="Heading 1 2 2 2 2 2 9 3" xfId="7876"/>
    <cellStyle name="Heading 1 2 2 2 2 2 9 3 2" xfId="7877"/>
    <cellStyle name="Heading 1 2 2 2 2 2 9 3 2 2" xfId="7878"/>
    <cellStyle name="Heading 1 2 2 2 2 2 9 3 3" xfId="7879"/>
    <cellStyle name="Heading 1 2 2 2 2 2 9 4" xfId="7880"/>
    <cellStyle name="Heading 1 2 2 2 2 2 9 4 2" xfId="7881"/>
    <cellStyle name="Heading 1 2 2 2 2 2 9 4 2 2" xfId="7882"/>
    <cellStyle name="Heading 1 2 2 2 2 2 9 4 3" xfId="7883"/>
    <cellStyle name="Heading 1 2 2 2 2 2 9 5" xfId="7884"/>
    <cellStyle name="Heading 1 2 2 2 2 2 9 5 2" xfId="7885"/>
    <cellStyle name="Heading 1 2 2 2 2 2 9 5 2 2" xfId="7886"/>
    <cellStyle name="Heading 1 2 2 2 2 2 9 5 3" xfId="7887"/>
    <cellStyle name="Heading 1 2 2 2 2 2 9 6" xfId="7888"/>
    <cellStyle name="Heading 1 2 2 2 2 2 9 6 2" xfId="7889"/>
    <cellStyle name="Heading 1 2 2 2 2 2 9 6 2 2" xfId="7890"/>
    <cellStyle name="Heading 1 2 2 2 2 2 9 6 3" xfId="7891"/>
    <cellStyle name="Heading 1 2 2 2 2 2 9 7" xfId="7892"/>
    <cellStyle name="Heading 1 2 2 2 2 2 9 7 2" xfId="7893"/>
    <cellStyle name="Heading 1 2 2 2 2 2 9 7 2 2" xfId="7894"/>
    <cellStyle name="Heading 1 2 2 2 2 2 9 7 3" xfId="7895"/>
    <cellStyle name="Heading 1 2 2 2 2 2 9 8" xfId="7896"/>
    <cellStyle name="Heading 1 2 2 2 2 2 9 8 2" xfId="7897"/>
    <cellStyle name="Heading 1 2 2 2 2 2 9 9" xfId="7898"/>
    <cellStyle name="Heading 1 2 2 2 2 3" xfId="7899"/>
    <cellStyle name="Heading 1 2 2 2 2 3 10" xfId="7900"/>
    <cellStyle name="Heading 1 2 2 2 2 3 10 2" xfId="7901"/>
    <cellStyle name="Heading 1 2 2 2 2 3 10 2 2" xfId="7902"/>
    <cellStyle name="Heading 1 2 2 2 2 3 10 3" xfId="7903"/>
    <cellStyle name="Heading 1 2 2 2 2 3 11" xfId="7904"/>
    <cellStyle name="Heading 1 2 2 2 2 3 11 2" xfId="7905"/>
    <cellStyle name="Heading 1 2 2 2 2 3 11 2 2" xfId="7906"/>
    <cellStyle name="Heading 1 2 2 2 2 3 11 3" xfId="7907"/>
    <cellStyle name="Heading 1 2 2 2 2 3 12" xfId="7908"/>
    <cellStyle name="Heading 1 2 2 2 2 3 12 2" xfId="7909"/>
    <cellStyle name="Heading 1 2 2 2 2 3 12 2 2" xfId="7910"/>
    <cellStyle name="Heading 1 2 2 2 2 3 12 3" xfId="7911"/>
    <cellStyle name="Heading 1 2 2 2 2 3 13" xfId="7912"/>
    <cellStyle name="Heading 1 2 2 2 2 3 13 2" xfId="7913"/>
    <cellStyle name="Heading 1 2 2 2 2 3 13 2 2" xfId="7914"/>
    <cellStyle name="Heading 1 2 2 2 2 3 13 3" xfId="7915"/>
    <cellStyle name="Heading 1 2 2 2 2 3 14" xfId="7916"/>
    <cellStyle name="Heading 1 2 2 2 2 3 14 2" xfId="7917"/>
    <cellStyle name="Heading 1 2 2 2 2 3 14 2 2" xfId="7918"/>
    <cellStyle name="Heading 1 2 2 2 2 3 14 3" xfId="7919"/>
    <cellStyle name="Heading 1 2 2 2 2 3 15" xfId="7920"/>
    <cellStyle name="Heading 1 2 2 2 2 3 15 2" xfId="7921"/>
    <cellStyle name="Heading 1 2 2 2 2 3 15 2 2" xfId="7922"/>
    <cellStyle name="Heading 1 2 2 2 2 3 15 3" xfId="7923"/>
    <cellStyle name="Heading 1 2 2 2 2 3 16" xfId="7924"/>
    <cellStyle name="Heading 1 2 2 2 2 3 16 2" xfId="7925"/>
    <cellStyle name="Heading 1 2 2 2 2 3 16 2 2" xfId="7926"/>
    <cellStyle name="Heading 1 2 2 2 2 3 16 3" xfId="7927"/>
    <cellStyle name="Heading 1 2 2 2 2 3 17" xfId="7928"/>
    <cellStyle name="Heading 1 2 2 2 2 3 17 2" xfId="7929"/>
    <cellStyle name="Heading 1 2 2 2 2 3 17 2 2" xfId="7930"/>
    <cellStyle name="Heading 1 2 2 2 2 3 17 3" xfId="7931"/>
    <cellStyle name="Heading 1 2 2 2 2 3 18" xfId="7932"/>
    <cellStyle name="Heading 1 2 2 2 2 3 18 2" xfId="7933"/>
    <cellStyle name="Heading 1 2 2 2 2 3 18 2 2" xfId="7934"/>
    <cellStyle name="Heading 1 2 2 2 2 3 18 3" xfId="7935"/>
    <cellStyle name="Heading 1 2 2 2 2 3 19" xfId="7936"/>
    <cellStyle name="Heading 1 2 2 2 2 3 19 2" xfId="7937"/>
    <cellStyle name="Heading 1 2 2 2 2 3 2" xfId="7938"/>
    <cellStyle name="Heading 1 2 2 2 2 3 2 2" xfId="7939"/>
    <cellStyle name="Heading 1 2 2 2 2 3 2 2 2" xfId="7940"/>
    <cellStyle name="Heading 1 2 2 2 2 3 2 2 2 2" xfId="7941"/>
    <cellStyle name="Heading 1 2 2 2 2 3 2 2 3" xfId="7942"/>
    <cellStyle name="Heading 1 2 2 2 2 3 2 3" xfId="7943"/>
    <cellStyle name="Heading 1 2 2 2 2 3 2 3 2" xfId="7944"/>
    <cellStyle name="Heading 1 2 2 2 2 3 2 3 2 2" xfId="7945"/>
    <cellStyle name="Heading 1 2 2 2 2 3 2 3 3" xfId="7946"/>
    <cellStyle name="Heading 1 2 2 2 2 3 2 4" xfId="7947"/>
    <cellStyle name="Heading 1 2 2 2 2 3 2 4 2" xfId="7948"/>
    <cellStyle name="Heading 1 2 2 2 2 3 2 4 2 2" xfId="7949"/>
    <cellStyle name="Heading 1 2 2 2 2 3 2 4 3" xfId="7950"/>
    <cellStyle name="Heading 1 2 2 2 2 3 2 5" xfId="7951"/>
    <cellStyle name="Heading 1 2 2 2 2 3 2 5 2" xfId="7952"/>
    <cellStyle name="Heading 1 2 2 2 2 3 2 5 2 2" xfId="7953"/>
    <cellStyle name="Heading 1 2 2 2 2 3 2 5 3" xfId="7954"/>
    <cellStyle name="Heading 1 2 2 2 2 3 2 6" xfId="7955"/>
    <cellStyle name="Heading 1 2 2 2 2 3 2 6 2" xfId="7956"/>
    <cellStyle name="Heading 1 2 2 2 2 3 2 6 2 2" xfId="7957"/>
    <cellStyle name="Heading 1 2 2 2 2 3 2 6 3" xfId="7958"/>
    <cellStyle name="Heading 1 2 2 2 2 3 2 7" xfId="7959"/>
    <cellStyle name="Heading 1 2 2 2 2 3 2 7 2" xfId="7960"/>
    <cellStyle name="Heading 1 2 2 2 2 3 2 7 2 2" xfId="7961"/>
    <cellStyle name="Heading 1 2 2 2 2 3 2 7 3" xfId="7962"/>
    <cellStyle name="Heading 1 2 2 2 2 3 2 8" xfId="7963"/>
    <cellStyle name="Heading 1 2 2 2 2 3 2 8 2" xfId="7964"/>
    <cellStyle name="Heading 1 2 2 2 2 3 2 9" xfId="7965"/>
    <cellStyle name="Heading 1 2 2 2 2 3 20" xfId="7966"/>
    <cellStyle name="Heading 1 2 2 2 2 3 20 2" xfId="7967"/>
    <cellStyle name="Heading 1 2 2 2 2 3 21" xfId="7968"/>
    <cellStyle name="Heading 1 2 2 2 2 3 21 2" xfId="7969"/>
    <cellStyle name="Heading 1 2 2 2 2 3 22" xfId="7970"/>
    <cellStyle name="Heading 1 2 2 2 2 3 3" xfId="7971"/>
    <cellStyle name="Heading 1 2 2 2 2 3 3 2" xfId="7972"/>
    <cellStyle name="Heading 1 2 2 2 2 3 3 2 2" xfId="7973"/>
    <cellStyle name="Heading 1 2 2 2 2 3 3 2 2 2" xfId="7974"/>
    <cellStyle name="Heading 1 2 2 2 2 3 3 2 3" xfId="7975"/>
    <cellStyle name="Heading 1 2 2 2 2 3 3 3" xfId="7976"/>
    <cellStyle name="Heading 1 2 2 2 2 3 3 3 2" xfId="7977"/>
    <cellStyle name="Heading 1 2 2 2 2 3 3 3 2 2" xfId="7978"/>
    <cellStyle name="Heading 1 2 2 2 2 3 3 3 3" xfId="7979"/>
    <cellStyle name="Heading 1 2 2 2 2 3 3 4" xfId="7980"/>
    <cellStyle name="Heading 1 2 2 2 2 3 3 4 2" xfId="7981"/>
    <cellStyle name="Heading 1 2 2 2 2 3 3 4 2 2" xfId="7982"/>
    <cellStyle name="Heading 1 2 2 2 2 3 3 4 3" xfId="7983"/>
    <cellStyle name="Heading 1 2 2 2 2 3 3 5" xfId="7984"/>
    <cellStyle name="Heading 1 2 2 2 2 3 3 5 2" xfId="7985"/>
    <cellStyle name="Heading 1 2 2 2 2 3 3 5 2 2" xfId="7986"/>
    <cellStyle name="Heading 1 2 2 2 2 3 3 5 3" xfId="7987"/>
    <cellStyle name="Heading 1 2 2 2 2 3 3 6" xfId="7988"/>
    <cellStyle name="Heading 1 2 2 2 2 3 3 6 2" xfId="7989"/>
    <cellStyle name="Heading 1 2 2 2 2 3 3 6 2 2" xfId="7990"/>
    <cellStyle name="Heading 1 2 2 2 2 3 3 6 3" xfId="7991"/>
    <cellStyle name="Heading 1 2 2 2 2 3 3 7" xfId="7992"/>
    <cellStyle name="Heading 1 2 2 2 2 3 3 7 2" xfId="7993"/>
    <cellStyle name="Heading 1 2 2 2 2 3 3 7 2 2" xfId="7994"/>
    <cellStyle name="Heading 1 2 2 2 2 3 3 7 3" xfId="7995"/>
    <cellStyle name="Heading 1 2 2 2 2 3 3 8" xfId="7996"/>
    <cellStyle name="Heading 1 2 2 2 2 3 3 8 2" xfId="7997"/>
    <cellStyle name="Heading 1 2 2 2 2 3 3 9" xfId="7998"/>
    <cellStyle name="Heading 1 2 2 2 2 3 4" xfId="7999"/>
    <cellStyle name="Heading 1 2 2 2 2 3 4 2" xfId="8000"/>
    <cellStyle name="Heading 1 2 2 2 2 3 4 2 2" xfId="8001"/>
    <cellStyle name="Heading 1 2 2 2 2 3 4 2 2 2" xfId="8002"/>
    <cellStyle name="Heading 1 2 2 2 2 3 4 2 3" xfId="8003"/>
    <cellStyle name="Heading 1 2 2 2 2 3 4 3" xfId="8004"/>
    <cellStyle name="Heading 1 2 2 2 2 3 4 3 2" xfId="8005"/>
    <cellStyle name="Heading 1 2 2 2 2 3 4 3 2 2" xfId="8006"/>
    <cellStyle name="Heading 1 2 2 2 2 3 4 3 3" xfId="8007"/>
    <cellStyle name="Heading 1 2 2 2 2 3 4 4" xfId="8008"/>
    <cellStyle name="Heading 1 2 2 2 2 3 4 4 2" xfId="8009"/>
    <cellStyle name="Heading 1 2 2 2 2 3 4 4 2 2" xfId="8010"/>
    <cellStyle name="Heading 1 2 2 2 2 3 4 4 3" xfId="8011"/>
    <cellStyle name="Heading 1 2 2 2 2 3 4 5" xfId="8012"/>
    <cellStyle name="Heading 1 2 2 2 2 3 4 5 2" xfId="8013"/>
    <cellStyle name="Heading 1 2 2 2 2 3 4 5 2 2" xfId="8014"/>
    <cellStyle name="Heading 1 2 2 2 2 3 4 5 3" xfId="8015"/>
    <cellStyle name="Heading 1 2 2 2 2 3 4 6" xfId="8016"/>
    <cellStyle name="Heading 1 2 2 2 2 3 4 6 2" xfId="8017"/>
    <cellStyle name="Heading 1 2 2 2 2 3 4 6 2 2" xfId="8018"/>
    <cellStyle name="Heading 1 2 2 2 2 3 4 6 3" xfId="8019"/>
    <cellStyle name="Heading 1 2 2 2 2 3 4 7" xfId="8020"/>
    <cellStyle name="Heading 1 2 2 2 2 3 4 7 2" xfId="8021"/>
    <cellStyle name="Heading 1 2 2 2 2 3 4 7 2 2" xfId="8022"/>
    <cellStyle name="Heading 1 2 2 2 2 3 4 7 3" xfId="8023"/>
    <cellStyle name="Heading 1 2 2 2 2 3 4 8" xfId="8024"/>
    <cellStyle name="Heading 1 2 2 2 2 3 4 8 2" xfId="8025"/>
    <cellStyle name="Heading 1 2 2 2 2 3 4 9" xfId="8026"/>
    <cellStyle name="Heading 1 2 2 2 2 3 5" xfId="8027"/>
    <cellStyle name="Heading 1 2 2 2 2 3 5 2" xfId="8028"/>
    <cellStyle name="Heading 1 2 2 2 2 3 5 2 2" xfId="8029"/>
    <cellStyle name="Heading 1 2 2 2 2 3 5 2 2 2" xfId="8030"/>
    <cellStyle name="Heading 1 2 2 2 2 3 5 2 3" xfId="8031"/>
    <cellStyle name="Heading 1 2 2 2 2 3 5 3" xfId="8032"/>
    <cellStyle name="Heading 1 2 2 2 2 3 5 3 2" xfId="8033"/>
    <cellStyle name="Heading 1 2 2 2 2 3 5 3 2 2" xfId="8034"/>
    <cellStyle name="Heading 1 2 2 2 2 3 5 3 3" xfId="8035"/>
    <cellStyle name="Heading 1 2 2 2 2 3 5 4" xfId="8036"/>
    <cellStyle name="Heading 1 2 2 2 2 3 5 4 2" xfId="8037"/>
    <cellStyle name="Heading 1 2 2 2 2 3 5 4 2 2" xfId="8038"/>
    <cellStyle name="Heading 1 2 2 2 2 3 5 4 3" xfId="8039"/>
    <cellStyle name="Heading 1 2 2 2 2 3 5 5" xfId="8040"/>
    <cellStyle name="Heading 1 2 2 2 2 3 5 5 2" xfId="8041"/>
    <cellStyle name="Heading 1 2 2 2 2 3 5 5 2 2" xfId="8042"/>
    <cellStyle name="Heading 1 2 2 2 2 3 5 5 3" xfId="8043"/>
    <cellStyle name="Heading 1 2 2 2 2 3 5 6" xfId="8044"/>
    <cellStyle name="Heading 1 2 2 2 2 3 5 6 2" xfId="8045"/>
    <cellStyle name="Heading 1 2 2 2 2 3 5 6 2 2" xfId="8046"/>
    <cellStyle name="Heading 1 2 2 2 2 3 5 6 3" xfId="8047"/>
    <cellStyle name="Heading 1 2 2 2 2 3 5 7" xfId="8048"/>
    <cellStyle name="Heading 1 2 2 2 2 3 5 7 2" xfId="8049"/>
    <cellStyle name="Heading 1 2 2 2 2 3 5 7 2 2" xfId="8050"/>
    <cellStyle name="Heading 1 2 2 2 2 3 5 7 3" xfId="8051"/>
    <cellStyle name="Heading 1 2 2 2 2 3 5 8" xfId="8052"/>
    <cellStyle name="Heading 1 2 2 2 2 3 5 8 2" xfId="8053"/>
    <cellStyle name="Heading 1 2 2 2 2 3 5 9" xfId="8054"/>
    <cellStyle name="Heading 1 2 2 2 2 3 6" xfId="8055"/>
    <cellStyle name="Heading 1 2 2 2 2 3 6 2" xfId="8056"/>
    <cellStyle name="Heading 1 2 2 2 2 3 6 2 2" xfId="8057"/>
    <cellStyle name="Heading 1 2 2 2 2 3 6 2 2 2" xfId="8058"/>
    <cellStyle name="Heading 1 2 2 2 2 3 6 2 3" xfId="8059"/>
    <cellStyle name="Heading 1 2 2 2 2 3 6 3" xfId="8060"/>
    <cellStyle name="Heading 1 2 2 2 2 3 6 3 2" xfId="8061"/>
    <cellStyle name="Heading 1 2 2 2 2 3 6 3 2 2" xfId="8062"/>
    <cellStyle name="Heading 1 2 2 2 2 3 6 3 3" xfId="8063"/>
    <cellStyle name="Heading 1 2 2 2 2 3 6 4" xfId="8064"/>
    <cellStyle name="Heading 1 2 2 2 2 3 6 4 2" xfId="8065"/>
    <cellStyle name="Heading 1 2 2 2 2 3 6 4 2 2" xfId="8066"/>
    <cellStyle name="Heading 1 2 2 2 2 3 6 4 3" xfId="8067"/>
    <cellStyle name="Heading 1 2 2 2 2 3 6 5" xfId="8068"/>
    <cellStyle name="Heading 1 2 2 2 2 3 6 5 2" xfId="8069"/>
    <cellStyle name="Heading 1 2 2 2 2 3 6 5 2 2" xfId="8070"/>
    <cellStyle name="Heading 1 2 2 2 2 3 6 5 3" xfId="8071"/>
    <cellStyle name="Heading 1 2 2 2 2 3 6 6" xfId="8072"/>
    <cellStyle name="Heading 1 2 2 2 2 3 6 6 2" xfId="8073"/>
    <cellStyle name="Heading 1 2 2 2 2 3 6 6 2 2" xfId="8074"/>
    <cellStyle name="Heading 1 2 2 2 2 3 6 6 3" xfId="8075"/>
    <cellStyle name="Heading 1 2 2 2 2 3 6 7" xfId="8076"/>
    <cellStyle name="Heading 1 2 2 2 2 3 6 7 2" xfId="8077"/>
    <cellStyle name="Heading 1 2 2 2 2 3 6 7 2 2" xfId="8078"/>
    <cellStyle name="Heading 1 2 2 2 2 3 6 7 3" xfId="8079"/>
    <cellStyle name="Heading 1 2 2 2 2 3 6 8" xfId="8080"/>
    <cellStyle name="Heading 1 2 2 2 2 3 6 8 2" xfId="8081"/>
    <cellStyle name="Heading 1 2 2 2 2 3 6 9" xfId="8082"/>
    <cellStyle name="Heading 1 2 2 2 2 3 7" xfId="8083"/>
    <cellStyle name="Heading 1 2 2 2 2 3 7 2" xfId="8084"/>
    <cellStyle name="Heading 1 2 2 2 2 3 7 2 2" xfId="8085"/>
    <cellStyle name="Heading 1 2 2 2 2 3 7 2 2 2" xfId="8086"/>
    <cellStyle name="Heading 1 2 2 2 2 3 7 2 3" xfId="8087"/>
    <cellStyle name="Heading 1 2 2 2 2 3 7 3" xfId="8088"/>
    <cellStyle name="Heading 1 2 2 2 2 3 7 3 2" xfId="8089"/>
    <cellStyle name="Heading 1 2 2 2 2 3 7 3 2 2" xfId="8090"/>
    <cellStyle name="Heading 1 2 2 2 2 3 7 3 3" xfId="8091"/>
    <cellStyle name="Heading 1 2 2 2 2 3 7 4" xfId="8092"/>
    <cellStyle name="Heading 1 2 2 2 2 3 7 4 2" xfId="8093"/>
    <cellStyle name="Heading 1 2 2 2 2 3 7 4 2 2" xfId="8094"/>
    <cellStyle name="Heading 1 2 2 2 2 3 7 4 3" xfId="8095"/>
    <cellStyle name="Heading 1 2 2 2 2 3 7 5" xfId="8096"/>
    <cellStyle name="Heading 1 2 2 2 2 3 7 5 2" xfId="8097"/>
    <cellStyle name="Heading 1 2 2 2 2 3 7 5 2 2" xfId="8098"/>
    <cellStyle name="Heading 1 2 2 2 2 3 7 5 3" xfId="8099"/>
    <cellStyle name="Heading 1 2 2 2 2 3 7 6" xfId="8100"/>
    <cellStyle name="Heading 1 2 2 2 2 3 7 6 2" xfId="8101"/>
    <cellStyle name="Heading 1 2 2 2 2 3 7 6 2 2" xfId="8102"/>
    <cellStyle name="Heading 1 2 2 2 2 3 7 6 3" xfId="8103"/>
    <cellStyle name="Heading 1 2 2 2 2 3 7 7" xfId="8104"/>
    <cellStyle name="Heading 1 2 2 2 2 3 7 7 2" xfId="8105"/>
    <cellStyle name="Heading 1 2 2 2 2 3 7 7 2 2" xfId="8106"/>
    <cellStyle name="Heading 1 2 2 2 2 3 7 7 3" xfId="8107"/>
    <cellStyle name="Heading 1 2 2 2 2 3 7 8" xfId="8108"/>
    <cellStyle name="Heading 1 2 2 2 2 3 7 8 2" xfId="8109"/>
    <cellStyle name="Heading 1 2 2 2 2 3 7 9" xfId="8110"/>
    <cellStyle name="Heading 1 2 2 2 2 3 8" xfId="8111"/>
    <cellStyle name="Heading 1 2 2 2 2 3 8 2" xfId="8112"/>
    <cellStyle name="Heading 1 2 2 2 2 3 8 2 2" xfId="8113"/>
    <cellStyle name="Heading 1 2 2 2 2 3 8 2 2 2" xfId="8114"/>
    <cellStyle name="Heading 1 2 2 2 2 3 8 2 3" xfId="8115"/>
    <cellStyle name="Heading 1 2 2 2 2 3 8 3" xfId="8116"/>
    <cellStyle name="Heading 1 2 2 2 2 3 8 3 2" xfId="8117"/>
    <cellStyle name="Heading 1 2 2 2 2 3 8 3 2 2" xfId="8118"/>
    <cellStyle name="Heading 1 2 2 2 2 3 8 3 3" xfId="8119"/>
    <cellStyle name="Heading 1 2 2 2 2 3 8 4" xfId="8120"/>
    <cellStyle name="Heading 1 2 2 2 2 3 8 4 2" xfId="8121"/>
    <cellStyle name="Heading 1 2 2 2 2 3 8 4 2 2" xfId="8122"/>
    <cellStyle name="Heading 1 2 2 2 2 3 8 4 3" xfId="8123"/>
    <cellStyle name="Heading 1 2 2 2 2 3 8 5" xfId="8124"/>
    <cellStyle name="Heading 1 2 2 2 2 3 8 5 2" xfId="8125"/>
    <cellStyle name="Heading 1 2 2 2 2 3 8 5 2 2" xfId="8126"/>
    <cellStyle name="Heading 1 2 2 2 2 3 8 5 3" xfId="8127"/>
    <cellStyle name="Heading 1 2 2 2 2 3 8 6" xfId="8128"/>
    <cellStyle name="Heading 1 2 2 2 2 3 8 6 2" xfId="8129"/>
    <cellStyle name="Heading 1 2 2 2 2 3 8 6 2 2" xfId="8130"/>
    <cellStyle name="Heading 1 2 2 2 2 3 8 6 3" xfId="8131"/>
    <cellStyle name="Heading 1 2 2 2 2 3 8 7" xfId="8132"/>
    <cellStyle name="Heading 1 2 2 2 2 3 8 7 2" xfId="8133"/>
    <cellStyle name="Heading 1 2 2 2 2 3 8 7 2 2" xfId="8134"/>
    <cellStyle name="Heading 1 2 2 2 2 3 8 7 3" xfId="8135"/>
    <cellStyle name="Heading 1 2 2 2 2 3 8 8" xfId="8136"/>
    <cellStyle name="Heading 1 2 2 2 2 3 8 8 2" xfId="8137"/>
    <cellStyle name="Heading 1 2 2 2 2 3 8 9" xfId="8138"/>
    <cellStyle name="Heading 1 2 2 2 2 3 9" xfId="8139"/>
    <cellStyle name="Heading 1 2 2 2 2 3 9 2" xfId="8140"/>
    <cellStyle name="Heading 1 2 2 2 2 3 9 2 2" xfId="8141"/>
    <cellStyle name="Heading 1 2 2 2 2 3 9 3" xfId="8142"/>
    <cellStyle name="Heading 1 2 2 2 2 4" xfId="8143"/>
    <cellStyle name="Heading 1 2 2 2 2 4 2" xfId="8144"/>
    <cellStyle name="Heading 1 2 2 2 2 4 2 2" xfId="8145"/>
    <cellStyle name="Heading 1 2 2 2 2 4 3" xfId="8146"/>
    <cellStyle name="Heading 1 2 2 2 2 5" xfId="8147"/>
    <cellStyle name="Heading 1 2 2 2 2 5 2" xfId="8148"/>
    <cellStyle name="Heading 1 2 2 2 2 6" xfId="8149"/>
    <cellStyle name="Heading 1 2 2 2 20" xfId="8150"/>
    <cellStyle name="Heading 1 2 2 2 3" xfId="8151"/>
    <cellStyle name="Heading 1 2 2 2 3 2" xfId="8152"/>
    <cellStyle name="Heading 1 2 2 2 3 2 10" xfId="8153"/>
    <cellStyle name="Heading 1 2 2 2 3 2 10 2" xfId="8154"/>
    <cellStyle name="Heading 1 2 2 2 3 2 10 2 2" xfId="8155"/>
    <cellStyle name="Heading 1 2 2 2 3 2 10 3" xfId="8156"/>
    <cellStyle name="Heading 1 2 2 2 3 2 11" xfId="8157"/>
    <cellStyle name="Heading 1 2 2 2 3 2 11 2" xfId="8158"/>
    <cellStyle name="Heading 1 2 2 2 3 2 11 2 2" xfId="8159"/>
    <cellStyle name="Heading 1 2 2 2 3 2 11 3" xfId="8160"/>
    <cellStyle name="Heading 1 2 2 2 3 2 12" xfId="8161"/>
    <cellStyle name="Heading 1 2 2 2 3 2 12 2" xfId="8162"/>
    <cellStyle name="Heading 1 2 2 2 3 2 12 2 2" xfId="8163"/>
    <cellStyle name="Heading 1 2 2 2 3 2 12 3" xfId="8164"/>
    <cellStyle name="Heading 1 2 2 2 3 2 13" xfId="8165"/>
    <cellStyle name="Heading 1 2 2 2 3 2 13 2" xfId="8166"/>
    <cellStyle name="Heading 1 2 2 2 3 2 13 2 2" xfId="8167"/>
    <cellStyle name="Heading 1 2 2 2 3 2 13 3" xfId="8168"/>
    <cellStyle name="Heading 1 2 2 2 3 2 14" xfId="8169"/>
    <cellStyle name="Heading 1 2 2 2 3 2 14 2" xfId="8170"/>
    <cellStyle name="Heading 1 2 2 2 3 2 14 2 2" xfId="8171"/>
    <cellStyle name="Heading 1 2 2 2 3 2 14 3" xfId="8172"/>
    <cellStyle name="Heading 1 2 2 2 3 2 15" xfId="8173"/>
    <cellStyle name="Heading 1 2 2 2 3 2 15 2" xfId="8174"/>
    <cellStyle name="Heading 1 2 2 2 3 2 15 2 2" xfId="8175"/>
    <cellStyle name="Heading 1 2 2 2 3 2 15 3" xfId="8176"/>
    <cellStyle name="Heading 1 2 2 2 3 2 16" xfId="8177"/>
    <cellStyle name="Heading 1 2 2 2 3 2 16 2" xfId="8178"/>
    <cellStyle name="Heading 1 2 2 2 3 2 16 2 2" xfId="8179"/>
    <cellStyle name="Heading 1 2 2 2 3 2 16 3" xfId="8180"/>
    <cellStyle name="Heading 1 2 2 2 3 2 17" xfId="8181"/>
    <cellStyle name="Heading 1 2 2 2 3 2 17 2" xfId="8182"/>
    <cellStyle name="Heading 1 2 2 2 3 2 17 2 2" xfId="8183"/>
    <cellStyle name="Heading 1 2 2 2 3 2 17 3" xfId="8184"/>
    <cellStyle name="Heading 1 2 2 2 3 2 18" xfId="8185"/>
    <cellStyle name="Heading 1 2 2 2 3 2 18 2" xfId="8186"/>
    <cellStyle name="Heading 1 2 2 2 3 2 18 2 2" xfId="8187"/>
    <cellStyle name="Heading 1 2 2 2 3 2 18 3" xfId="8188"/>
    <cellStyle name="Heading 1 2 2 2 3 2 19" xfId="8189"/>
    <cellStyle name="Heading 1 2 2 2 3 2 19 2" xfId="8190"/>
    <cellStyle name="Heading 1 2 2 2 3 2 19 2 2" xfId="8191"/>
    <cellStyle name="Heading 1 2 2 2 3 2 19 3" xfId="8192"/>
    <cellStyle name="Heading 1 2 2 2 3 2 2" xfId="8193"/>
    <cellStyle name="Heading 1 2 2 2 3 2 2 10" xfId="8194"/>
    <cellStyle name="Heading 1 2 2 2 3 2 2 10 2" xfId="8195"/>
    <cellStyle name="Heading 1 2 2 2 3 2 2 10 2 2" xfId="8196"/>
    <cellStyle name="Heading 1 2 2 2 3 2 2 10 3" xfId="8197"/>
    <cellStyle name="Heading 1 2 2 2 3 2 2 11" xfId="8198"/>
    <cellStyle name="Heading 1 2 2 2 3 2 2 11 2" xfId="8199"/>
    <cellStyle name="Heading 1 2 2 2 3 2 2 11 2 2" xfId="8200"/>
    <cellStyle name="Heading 1 2 2 2 3 2 2 11 3" xfId="8201"/>
    <cellStyle name="Heading 1 2 2 2 3 2 2 12" xfId="8202"/>
    <cellStyle name="Heading 1 2 2 2 3 2 2 12 2" xfId="8203"/>
    <cellStyle name="Heading 1 2 2 2 3 2 2 12 2 2" xfId="8204"/>
    <cellStyle name="Heading 1 2 2 2 3 2 2 12 3" xfId="8205"/>
    <cellStyle name="Heading 1 2 2 2 3 2 2 13" xfId="8206"/>
    <cellStyle name="Heading 1 2 2 2 3 2 2 13 2" xfId="8207"/>
    <cellStyle name="Heading 1 2 2 2 3 2 2 13 2 2" xfId="8208"/>
    <cellStyle name="Heading 1 2 2 2 3 2 2 13 3" xfId="8209"/>
    <cellStyle name="Heading 1 2 2 2 3 2 2 14" xfId="8210"/>
    <cellStyle name="Heading 1 2 2 2 3 2 2 14 2" xfId="8211"/>
    <cellStyle name="Heading 1 2 2 2 3 2 2 14 2 2" xfId="8212"/>
    <cellStyle name="Heading 1 2 2 2 3 2 2 14 3" xfId="8213"/>
    <cellStyle name="Heading 1 2 2 2 3 2 2 15" xfId="8214"/>
    <cellStyle name="Heading 1 2 2 2 3 2 2 15 2" xfId="8215"/>
    <cellStyle name="Heading 1 2 2 2 3 2 2 15 2 2" xfId="8216"/>
    <cellStyle name="Heading 1 2 2 2 3 2 2 15 3" xfId="8217"/>
    <cellStyle name="Heading 1 2 2 2 3 2 2 16" xfId="8218"/>
    <cellStyle name="Heading 1 2 2 2 3 2 2 16 2" xfId="8219"/>
    <cellStyle name="Heading 1 2 2 2 3 2 2 16 2 2" xfId="8220"/>
    <cellStyle name="Heading 1 2 2 2 3 2 2 16 3" xfId="8221"/>
    <cellStyle name="Heading 1 2 2 2 3 2 2 17" xfId="8222"/>
    <cellStyle name="Heading 1 2 2 2 3 2 2 17 2" xfId="8223"/>
    <cellStyle name="Heading 1 2 2 2 3 2 2 17 2 2" xfId="8224"/>
    <cellStyle name="Heading 1 2 2 2 3 2 2 17 3" xfId="8225"/>
    <cellStyle name="Heading 1 2 2 2 3 2 2 18" xfId="8226"/>
    <cellStyle name="Heading 1 2 2 2 3 2 2 18 2" xfId="8227"/>
    <cellStyle name="Heading 1 2 2 2 3 2 2 18 2 2" xfId="8228"/>
    <cellStyle name="Heading 1 2 2 2 3 2 2 18 3" xfId="8229"/>
    <cellStyle name="Heading 1 2 2 2 3 2 2 19" xfId="8230"/>
    <cellStyle name="Heading 1 2 2 2 3 2 2 19 2" xfId="8231"/>
    <cellStyle name="Heading 1 2 2 2 3 2 2 2" xfId="8232"/>
    <cellStyle name="Heading 1 2 2 2 3 2 2 2 2" xfId="8233"/>
    <cellStyle name="Heading 1 2 2 2 3 2 2 2 2 2" xfId="8234"/>
    <cellStyle name="Heading 1 2 2 2 3 2 2 2 2 2 2" xfId="8235"/>
    <cellStyle name="Heading 1 2 2 2 3 2 2 2 2 3" xfId="8236"/>
    <cellStyle name="Heading 1 2 2 2 3 2 2 2 3" xfId="8237"/>
    <cellStyle name="Heading 1 2 2 2 3 2 2 2 3 2" xfId="8238"/>
    <cellStyle name="Heading 1 2 2 2 3 2 2 2 3 2 2" xfId="8239"/>
    <cellStyle name="Heading 1 2 2 2 3 2 2 2 3 3" xfId="8240"/>
    <cellStyle name="Heading 1 2 2 2 3 2 2 2 4" xfId="8241"/>
    <cellStyle name="Heading 1 2 2 2 3 2 2 2 4 2" xfId="8242"/>
    <cellStyle name="Heading 1 2 2 2 3 2 2 2 4 2 2" xfId="8243"/>
    <cellStyle name="Heading 1 2 2 2 3 2 2 2 4 3" xfId="8244"/>
    <cellStyle name="Heading 1 2 2 2 3 2 2 2 5" xfId="8245"/>
    <cellStyle name="Heading 1 2 2 2 3 2 2 2 5 2" xfId="8246"/>
    <cellStyle name="Heading 1 2 2 2 3 2 2 2 5 2 2" xfId="8247"/>
    <cellStyle name="Heading 1 2 2 2 3 2 2 2 5 3" xfId="8248"/>
    <cellStyle name="Heading 1 2 2 2 3 2 2 2 6" xfId="8249"/>
    <cellStyle name="Heading 1 2 2 2 3 2 2 2 6 2" xfId="8250"/>
    <cellStyle name="Heading 1 2 2 2 3 2 2 2 6 2 2" xfId="8251"/>
    <cellStyle name="Heading 1 2 2 2 3 2 2 2 6 3" xfId="8252"/>
    <cellStyle name="Heading 1 2 2 2 3 2 2 2 7" xfId="8253"/>
    <cellStyle name="Heading 1 2 2 2 3 2 2 2 7 2" xfId="8254"/>
    <cellStyle name="Heading 1 2 2 2 3 2 2 2 7 2 2" xfId="8255"/>
    <cellStyle name="Heading 1 2 2 2 3 2 2 2 7 3" xfId="8256"/>
    <cellStyle name="Heading 1 2 2 2 3 2 2 2 8" xfId="8257"/>
    <cellStyle name="Heading 1 2 2 2 3 2 2 2 8 2" xfId="8258"/>
    <cellStyle name="Heading 1 2 2 2 3 2 2 2 9" xfId="8259"/>
    <cellStyle name="Heading 1 2 2 2 3 2 2 20" xfId="8260"/>
    <cellStyle name="Heading 1 2 2 2 3 2 2 20 2" xfId="8261"/>
    <cellStyle name="Heading 1 2 2 2 3 2 2 21" xfId="8262"/>
    <cellStyle name="Heading 1 2 2 2 3 2 2 21 2" xfId="8263"/>
    <cellStyle name="Heading 1 2 2 2 3 2 2 22" xfId="8264"/>
    <cellStyle name="Heading 1 2 2 2 3 2 2 3" xfId="8265"/>
    <cellStyle name="Heading 1 2 2 2 3 2 2 3 2" xfId="8266"/>
    <cellStyle name="Heading 1 2 2 2 3 2 2 3 2 2" xfId="8267"/>
    <cellStyle name="Heading 1 2 2 2 3 2 2 3 2 2 2" xfId="8268"/>
    <cellStyle name="Heading 1 2 2 2 3 2 2 3 2 3" xfId="8269"/>
    <cellStyle name="Heading 1 2 2 2 3 2 2 3 3" xfId="8270"/>
    <cellStyle name="Heading 1 2 2 2 3 2 2 3 3 2" xfId="8271"/>
    <cellStyle name="Heading 1 2 2 2 3 2 2 3 3 2 2" xfId="8272"/>
    <cellStyle name="Heading 1 2 2 2 3 2 2 3 3 3" xfId="8273"/>
    <cellStyle name="Heading 1 2 2 2 3 2 2 3 4" xfId="8274"/>
    <cellStyle name="Heading 1 2 2 2 3 2 2 3 4 2" xfId="8275"/>
    <cellStyle name="Heading 1 2 2 2 3 2 2 3 4 2 2" xfId="8276"/>
    <cellStyle name="Heading 1 2 2 2 3 2 2 3 4 3" xfId="8277"/>
    <cellStyle name="Heading 1 2 2 2 3 2 2 3 5" xfId="8278"/>
    <cellStyle name="Heading 1 2 2 2 3 2 2 3 5 2" xfId="8279"/>
    <cellStyle name="Heading 1 2 2 2 3 2 2 3 5 2 2" xfId="8280"/>
    <cellStyle name="Heading 1 2 2 2 3 2 2 3 5 3" xfId="8281"/>
    <cellStyle name="Heading 1 2 2 2 3 2 2 3 6" xfId="8282"/>
    <cellStyle name="Heading 1 2 2 2 3 2 2 3 6 2" xfId="8283"/>
    <cellStyle name="Heading 1 2 2 2 3 2 2 3 6 2 2" xfId="8284"/>
    <cellStyle name="Heading 1 2 2 2 3 2 2 3 6 3" xfId="8285"/>
    <cellStyle name="Heading 1 2 2 2 3 2 2 3 7" xfId="8286"/>
    <cellStyle name="Heading 1 2 2 2 3 2 2 3 7 2" xfId="8287"/>
    <cellStyle name="Heading 1 2 2 2 3 2 2 3 7 2 2" xfId="8288"/>
    <cellStyle name="Heading 1 2 2 2 3 2 2 3 7 3" xfId="8289"/>
    <cellStyle name="Heading 1 2 2 2 3 2 2 3 8" xfId="8290"/>
    <cellStyle name="Heading 1 2 2 2 3 2 2 3 8 2" xfId="8291"/>
    <cellStyle name="Heading 1 2 2 2 3 2 2 3 9" xfId="8292"/>
    <cellStyle name="Heading 1 2 2 2 3 2 2 4" xfId="8293"/>
    <cellStyle name="Heading 1 2 2 2 3 2 2 4 2" xfId="8294"/>
    <cellStyle name="Heading 1 2 2 2 3 2 2 4 2 2" xfId="8295"/>
    <cellStyle name="Heading 1 2 2 2 3 2 2 4 2 2 2" xfId="8296"/>
    <cellStyle name="Heading 1 2 2 2 3 2 2 4 2 3" xfId="8297"/>
    <cellStyle name="Heading 1 2 2 2 3 2 2 4 3" xfId="8298"/>
    <cellStyle name="Heading 1 2 2 2 3 2 2 4 3 2" xfId="8299"/>
    <cellStyle name="Heading 1 2 2 2 3 2 2 4 3 2 2" xfId="8300"/>
    <cellStyle name="Heading 1 2 2 2 3 2 2 4 3 3" xfId="8301"/>
    <cellStyle name="Heading 1 2 2 2 3 2 2 4 4" xfId="8302"/>
    <cellStyle name="Heading 1 2 2 2 3 2 2 4 4 2" xfId="8303"/>
    <cellStyle name="Heading 1 2 2 2 3 2 2 4 4 2 2" xfId="8304"/>
    <cellStyle name="Heading 1 2 2 2 3 2 2 4 4 3" xfId="8305"/>
    <cellStyle name="Heading 1 2 2 2 3 2 2 4 5" xfId="8306"/>
    <cellStyle name="Heading 1 2 2 2 3 2 2 4 5 2" xfId="8307"/>
    <cellStyle name="Heading 1 2 2 2 3 2 2 4 5 2 2" xfId="8308"/>
    <cellStyle name="Heading 1 2 2 2 3 2 2 4 5 3" xfId="8309"/>
    <cellStyle name="Heading 1 2 2 2 3 2 2 4 6" xfId="8310"/>
    <cellStyle name="Heading 1 2 2 2 3 2 2 4 6 2" xfId="8311"/>
    <cellStyle name="Heading 1 2 2 2 3 2 2 4 6 2 2" xfId="8312"/>
    <cellStyle name="Heading 1 2 2 2 3 2 2 4 6 3" xfId="8313"/>
    <cellStyle name="Heading 1 2 2 2 3 2 2 4 7" xfId="8314"/>
    <cellStyle name="Heading 1 2 2 2 3 2 2 4 7 2" xfId="8315"/>
    <cellStyle name="Heading 1 2 2 2 3 2 2 4 7 2 2" xfId="8316"/>
    <cellStyle name="Heading 1 2 2 2 3 2 2 4 7 3" xfId="8317"/>
    <cellStyle name="Heading 1 2 2 2 3 2 2 4 8" xfId="8318"/>
    <cellStyle name="Heading 1 2 2 2 3 2 2 4 8 2" xfId="8319"/>
    <cellStyle name="Heading 1 2 2 2 3 2 2 4 9" xfId="8320"/>
    <cellStyle name="Heading 1 2 2 2 3 2 2 5" xfId="8321"/>
    <cellStyle name="Heading 1 2 2 2 3 2 2 5 2" xfId="8322"/>
    <cellStyle name="Heading 1 2 2 2 3 2 2 5 2 2" xfId="8323"/>
    <cellStyle name="Heading 1 2 2 2 3 2 2 5 2 2 2" xfId="8324"/>
    <cellStyle name="Heading 1 2 2 2 3 2 2 5 2 3" xfId="8325"/>
    <cellStyle name="Heading 1 2 2 2 3 2 2 5 3" xfId="8326"/>
    <cellStyle name="Heading 1 2 2 2 3 2 2 5 3 2" xfId="8327"/>
    <cellStyle name="Heading 1 2 2 2 3 2 2 5 3 2 2" xfId="8328"/>
    <cellStyle name="Heading 1 2 2 2 3 2 2 5 3 3" xfId="8329"/>
    <cellStyle name="Heading 1 2 2 2 3 2 2 5 4" xfId="8330"/>
    <cellStyle name="Heading 1 2 2 2 3 2 2 5 4 2" xfId="8331"/>
    <cellStyle name="Heading 1 2 2 2 3 2 2 5 4 2 2" xfId="8332"/>
    <cellStyle name="Heading 1 2 2 2 3 2 2 5 4 3" xfId="8333"/>
    <cellStyle name="Heading 1 2 2 2 3 2 2 5 5" xfId="8334"/>
    <cellStyle name="Heading 1 2 2 2 3 2 2 5 5 2" xfId="8335"/>
    <cellStyle name="Heading 1 2 2 2 3 2 2 5 5 2 2" xfId="8336"/>
    <cellStyle name="Heading 1 2 2 2 3 2 2 5 5 3" xfId="8337"/>
    <cellStyle name="Heading 1 2 2 2 3 2 2 5 6" xfId="8338"/>
    <cellStyle name="Heading 1 2 2 2 3 2 2 5 6 2" xfId="8339"/>
    <cellStyle name="Heading 1 2 2 2 3 2 2 5 6 2 2" xfId="8340"/>
    <cellStyle name="Heading 1 2 2 2 3 2 2 5 6 3" xfId="8341"/>
    <cellStyle name="Heading 1 2 2 2 3 2 2 5 7" xfId="8342"/>
    <cellStyle name="Heading 1 2 2 2 3 2 2 5 7 2" xfId="8343"/>
    <cellStyle name="Heading 1 2 2 2 3 2 2 5 7 2 2" xfId="8344"/>
    <cellStyle name="Heading 1 2 2 2 3 2 2 5 7 3" xfId="8345"/>
    <cellStyle name="Heading 1 2 2 2 3 2 2 5 8" xfId="8346"/>
    <cellStyle name="Heading 1 2 2 2 3 2 2 5 8 2" xfId="8347"/>
    <cellStyle name="Heading 1 2 2 2 3 2 2 5 9" xfId="8348"/>
    <cellStyle name="Heading 1 2 2 2 3 2 2 6" xfId="8349"/>
    <cellStyle name="Heading 1 2 2 2 3 2 2 6 2" xfId="8350"/>
    <cellStyle name="Heading 1 2 2 2 3 2 2 6 2 2" xfId="8351"/>
    <cellStyle name="Heading 1 2 2 2 3 2 2 6 2 2 2" xfId="8352"/>
    <cellStyle name="Heading 1 2 2 2 3 2 2 6 2 3" xfId="8353"/>
    <cellStyle name="Heading 1 2 2 2 3 2 2 6 3" xfId="8354"/>
    <cellStyle name="Heading 1 2 2 2 3 2 2 6 3 2" xfId="8355"/>
    <cellStyle name="Heading 1 2 2 2 3 2 2 6 3 2 2" xfId="8356"/>
    <cellStyle name="Heading 1 2 2 2 3 2 2 6 3 3" xfId="8357"/>
    <cellStyle name="Heading 1 2 2 2 3 2 2 6 4" xfId="8358"/>
    <cellStyle name="Heading 1 2 2 2 3 2 2 6 4 2" xfId="8359"/>
    <cellStyle name="Heading 1 2 2 2 3 2 2 6 4 2 2" xfId="8360"/>
    <cellStyle name="Heading 1 2 2 2 3 2 2 6 4 3" xfId="8361"/>
    <cellStyle name="Heading 1 2 2 2 3 2 2 6 5" xfId="8362"/>
    <cellStyle name="Heading 1 2 2 2 3 2 2 6 5 2" xfId="8363"/>
    <cellStyle name="Heading 1 2 2 2 3 2 2 6 5 2 2" xfId="8364"/>
    <cellStyle name="Heading 1 2 2 2 3 2 2 6 5 3" xfId="8365"/>
    <cellStyle name="Heading 1 2 2 2 3 2 2 6 6" xfId="8366"/>
    <cellStyle name="Heading 1 2 2 2 3 2 2 6 6 2" xfId="8367"/>
    <cellStyle name="Heading 1 2 2 2 3 2 2 6 6 2 2" xfId="8368"/>
    <cellStyle name="Heading 1 2 2 2 3 2 2 6 6 3" xfId="8369"/>
    <cellStyle name="Heading 1 2 2 2 3 2 2 6 7" xfId="8370"/>
    <cellStyle name="Heading 1 2 2 2 3 2 2 6 7 2" xfId="8371"/>
    <cellStyle name="Heading 1 2 2 2 3 2 2 6 7 2 2" xfId="8372"/>
    <cellStyle name="Heading 1 2 2 2 3 2 2 6 7 3" xfId="8373"/>
    <cellStyle name="Heading 1 2 2 2 3 2 2 6 8" xfId="8374"/>
    <cellStyle name="Heading 1 2 2 2 3 2 2 6 8 2" xfId="8375"/>
    <cellStyle name="Heading 1 2 2 2 3 2 2 6 9" xfId="8376"/>
    <cellStyle name="Heading 1 2 2 2 3 2 2 7" xfId="8377"/>
    <cellStyle name="Heading 1 2 2 2 3 2 2 7 2" xfId="8378"/>
    <cellStyle name="Heading 1 2 2 2 3 2 2 7 2 2" xfId="8379"/>
    <cellStyle name="Heading 1 2 2 2 3 2 2 7 2 2 2" xfId="8380"/>
    <cellStyle name="Heading 1 2 2 2 3 2 2 7 2 3" xfId="8381"/>
    <cellStyle name="Heading 1 2 2 2 3 2 2 7 3" xfId="8382"/>
    <cellStyle name="Heading 1 2 2 2 3 2 2 7 3 2" xfId="8383"/>
    <cellStyle name="Heading 1 2 2 2 3 2 2 7 3 2 2" xfId="8384"/>
    <cellStyle name="Heading 1 2 2 2 3 2 2 7 3 3" xfId="8385"/>
    <cellStyle name="Heading 1 2 2 2 3 2 2 7 4" xfId="8386"/>
    <cellStyle name="Heading 1 2 2 2 3 2 2 7 4 2" xfId="8387"/>
    <cellStyle name="Heading 1 2 2 2 3 2 2 7 4 2 2" xfId="8388"/>
    <cellStyle name="Heading 1 2 2 2 3 2 2 7 4 3" xfId="8389"/>
    <cellStyle name="Heading 1 2 2 2 3 2 2 7 5" xfId="8390"/>
    <cellStyle name="Heading 1 2 2 2 3 2 2 7 5 2" xfId="8391"/>
    <cellStyle name="Heading 1 2 2 2 3 2 2 7 5 2 2" xfId="8392"/>
    <cellStyle name="Heading 1 2 2 2 3 2 2 7 5 3" xfId="8393"/>
    <cellStyle name="Heading 1 2 2 2 3 2 2 7 6" xfId="8394"/>
    <cellStyle name="Heading 1 2 2 2 3 2 2 7 6 2" xfId="8395"/>
    <cellStyle name="Heading 1 2 2 2 3 2 2 7 6 2 2" xfId="8396"/>
    <cellStyle name="Heading 1 2 2 2 3 2 2 7 6 3" xfId="8397"/>
    <cellStyle name="Heading 1 2 2 2 3 2 2 7 7" xfId="8398"/>
    <cellStyle name="Heading 1 2 2 2 3 2 2 7 7 2" xfId="8399"/>
    <cellStyle name="Heading 1 2 2 2 3 2 2 7 7 2 2" xfId="8400"/>
    <cellStyle name="Heading 1 2 2 2 3 2 2 7 7 3" xfId="8401"/>
    <cellStyle name="Heading 1 2 2 2 3 2 2 7 8" xfId="8402"/>
    <cellStyle name="Heading 1 2 2 2 3 2 2 7 8 2" xfId="8403"/>
    <cellStyle name="Heading 1 2 2 2 3 2 2 7 9" xfId="8404"/>
    <cellStyle name="Heading 1 2 2 2 3 2 2 8" xfId="8405"/>
    <cellStyle name="Heading 1 2 2 2 3 2 2 8 2" xfId="8406"/>
    <cellStyle name="Heading 1 2 2 2 3 2 2 8 2 2" xfId="8407"/>
    <cellStyle name="Heading 1 2 2 2 3 2 2 8 2 2 2" xfId="8408"/>
    <cellStyle name="Heading 1 2 2 2 3 2 2 8 2 3" xfId="8409"/>
    <cellStyle name="Heading 1 2 2 2 3 2 2 8 3" xfId="8410"/>
    <cellStyle name="Heading 1 2 2 2 3 2 2 8 3 2" xfId="8411"/>
    <cellStyle name="Heading 1 2 2 2 3 2 2 8 3 2 2" xfId="8412"/>
    <cellStyle name="Heading 1 2 2 2 3 2 2 8 3 3" xfId="8413"/>
    <cellStyle name="Heading 1 2 2 2 3 2 2 8 4" xfId="8414"/>
    <cellStyle name="Heading 1 2 2 2 3 2 2 8 4 2" xfId="8415"/>
    <cellStyle name="Heading 1 2 2 2 3 2 2 8 4 2 2" xfId="8416"/>
    <cellStyle name="Heading 1 2 2 2 3 2 2 8 4 3" xfId="8417"/>
    <cellStyle name="Heading 1 2 2 2 3 2 2 8 5" xfId="8418"/>
    <cellStyle name="Heading 1 2 2 2 3 2 2 8 5 2" xfId="8419"/>
    <cellStyle name="Heading 1 2 2 2 3 2 2 8 5 2 2" xfId="8420"/>
    <cellStyle name="Heading 1 2 2 2 3 2 2 8 5 3" xfId="8421"/>
    <cellStyle name="Heading 1 2 2 2 3 2 2 8 6" xfId="8422"/>
    <cellStyle name="Heading 1 2 2 2 3 2 2 8 6 2" xfId="8423"/>
    <cellStyle name="Heading 1 2 2 2 3 2 2 8 6 2 2" xfId="8424"/>
    <cellStyle name="Heading 1 2 2 2 3 2 2 8 6 3" xfId="8425"/>
    <cellStyle name="Heading 1 2 2 2 3 2 2 8 7" xfId="8426"/>
    <cellStyle name="Heading 1 2 2 2 3 2 2 8 7 2" xfId="8427"/>
    <cellStyle name="Heading 1 2 2 2 3 2 2 8 7 2 2" xfId="8428"/>
    <cellStyle name="Heading 1 2 2 2 3 2 2 8 7 3" xfId="8429"/>
    <cellStyle name="Heading 1 2 2 2 3 2 2 8 8" xfId="8430"/>
    <cellStyle name="Heading 1 2 2 2 3 2 2 8 8 2" xfId="8431"/>
    <cellStyle name="Heading 1 2 2 2 3 2 2 8 9" xfId="8432"/>
    <cellStyle name="Heading 1 2 2 2 3 2 2 9" xfId="8433"/>
    <cellStyle name="Heading 1 2 2 2 3 2 2 9 2" xfId="8434"/>
    <cellStyle name="Heading 1 2 2 2 3 2 2 9 2 2" xfId="8435"/>
    <cellStyle name="Heading 1 2 2 2 3 2 2 9 3" xfId="8436"/>
    <cellStyle name="Heading 1 2 2 2 3 2 20" xfId="8437"/>
    <cellStyle name="Heading 1 2 2 2 3 2 20 2" xfId="8438"/>
    <cellStyle name="Heading 1 2 2 2 3 2 21" xfId="8439"/>
    <cellStyle name="Heading 1 2 2 2 3 2 21 2" xfId="8440"/>
    <cellStyle name="Heading 1 2 2 2 3 2 22" xfId="8441"/>
    <cellStyle name="Heading 1 2 2 2 3 2 22 2" xfId="8442"/>
    <cellStyle name="Heading 1 2 2 2 3 2 23" xfId="8443"/>
    <cellStyle name="Heading 1 2 2 2 3 2 3" xfId="8444"/>
    <cellStyle name="Heading 1 2 2 2 3 2 3 2" xfId="8445"/>
    <cellStyle name="Heading 1 2 2 2 3 2 3 2 2" xfId="8446"/>
    <cellStyle name="Heading 1 2 2 2 3 2 3 2 2 2" xfId="8447"/>
    <cellStyle name="Heading 1 2 2 2 3 2 3 2 3" xfId="8448"/>
    <cellStyle name="Heading 1 2 2 2 3 2 3 3" xfId="8449"/>
    <cellStyle name="Heading 1 2 2 2 3 2 3 3 2" xfId="8450"/>
    <cellStyle name="Heading 1 2 2 2 3 2 3 3 2 2" xfId="8451"/>
    <cellStyle name="Heading 1 2 2 2 3 2 3 3 3" xfId="8452"/>
    <cellStyle name="Heading 1 2 2 2 3 2 3 4" xfId="8453"/>
    <cellStyle name="Heading 1 2 2 2 3 2 3 4 2" xfId="8454"/>
    <cellStyle name="Heading 1 2 2 2 3 2 3 4 2 2" xfId="8455"/>
    <cellStyle name="Heading 1 2 2 2 3 2 3 4 3" xfId="8456"/>
    <cellStyle name="Heading 1 2 2 2 3 2 3 5" xfId="8457"/>
    <cellStyle name="Heading 1 2 2 2 3 2 3 5 2" xfId="8458"/>
    <cellStyle name="Heading 1 2 2 2 3 2 3 5 2 2" xfId="8459"/>
    <cellStyle name="Heading 1 2 2 2 3 2 3 5 3" xfId="8460"/>
    <cellStyle name="Heading 1 2 2 2 3 2 3 6" xfId="8461"/>
    <cellStyle name="Heading 1 2 2 2 3 2 3 6 2" xfId="8462"/>
    <cellStyle name="Heading 1 2 2 2 3 2 3 6 2 2" xfId="8463"/>
    <cellStyle name="Heading 1 2 2 2 3 2 3 6 3" xfId="8464"/>
    <cellStyle name="Heading 1 2 2 2 3 2 3 7" xfId="8465"/>
    <cellStyle name="Heading 1 2 2 2 3 2 3 7 2" xfId="8466"/>
    <cellStyle name="Heading 1 2 2 2 3 2 3 7 2 2" xfId="8467"/>
    <cellStyle name="Heading 1 2 2 2 3 2 3 7 3" xfId="8468"/>
    <cellStyle name="Heading 1 2 2 2 3 2 3 8" xfId="8469"/>
    <cellStyle name="Heading 1 2 2 2 3 2 3 8 2" xfId="8470"/>
    <cellStyle name="Heading 1 2 2 2 3 2 3 9" xfId="8471"/>
    <cellStyle name="Heading 1 2 2 2 3 2 4" xfId="8472"/>
    <cellStyle name="Heading 1 2 2 2 3 2 4 2" xfId="8473"/>
    <cellStyle name="Heading 1 2 2 2 3 2 4 2 2" xfId="8474"/>
    <cellStyle name="Heading 1 2 2 2 3 2 4 2 2 2" xfId="8475"/>
    <cellStyle name="Heading 1 2 2 2 3 2 4 2 3" xfId="8476"/>
    <cellStyle name="Heading 1 2 2 2 3 2 4 3" xfId="8477"/>
    <cellStyle name="Heading 1 2 2 2 3 2 4 3 2" xfId="8478"/>
    <cellStyle name="Heading 1 2 2 2 3 2 4 3 2 2" xfId="8479"/>
    <cellStyle name="Heading 1 2 2 2 3 2 4 3 3" xfId="8480"/>
    <cellStyle name="Heading 1 2 2 2 3 2 4 4" xfId="8481"/>
    <cellStyle name="Heading 1 2 2 2 3 2 4 4 2" xfId="8482"/>
    <cellStyle name="Heading 1 2 2 2 3 2 4 4 2 2" xfId="8483"/>
    <cellStyle name="Heading 1 2 2 2 3 2 4 4 3" xfId="8484"/>
    <cellStyle name="Heading 1 2 2 2 3 2 4 5" xfId="8485"/>
    <cellStyle name="Heading 1 2 2 2 3 2 4 5 2" xfId="8486"/>
    <cellStyle name="Heading 1 2 2 2 3 2 4 5 2 2" xfId="8487"/>
    <cellStyle name="Heading 1 2 2 2 3 2 4 5 3" xfId="8488"/>
    <cellStyle name="Heading 1 2 2 2 3 2 4 6" xfId="8489"/>
    <cellStyle name="Heading 1 2 2 2 3 2 4 6 2" xfId="8490"/>
    <cellStyle name="Heading 1 2 2 2 3 2 4 6 2 2" xfId="8491"/>
    <cellStyle name="Heading 1 2 2 2 3 2 4 6 3" xfId="8492"/>
    <cellStyle name="Heading 1 2 2 2 3 2 4 7" xfId="8493"/>
    <cellStyle name="Heading 1 2 2 2 3 2 4 7 2" xfId="8494"/>
    <cellStyle name="Heading 1 2 2 2 3 2 4 7 2 2" xfId="8495"/>
    <cellStyle name="Heading 1 2 2 2 3 2 4 7 3" xfId="8496"/>
    <cellStyle name="Heading 1 2 2 2 3 2 4 8" xfId="8497"/>
    <cellStyle name="Heading 1 2 2 2 3 2 4 8 2" xfId="8498"/>
    <cellStyle name="Heading 1 2 2 2 3 2 4 9" xfId="8499"/>
    <cellStyle name="Heading 1 2 2 2 3 2 5" xfId="8500"/>
    <cellStyle name="Heading 1 2 2 2 3 2 5 2" xfId="8501"/>
    <cellStyle name="Heading 1 2 2 2 3 2 5 2 2" xfId="8502"/>
    <cellStyle name="Heading 1 2 2 2 3 2 5 2 2 2" xfId="8503"/>
    <cellStyle name="Heading 1 2 2 2 3 2 5 2 3" xfId="8504"/>
    <cellStyle name="Heading 1 2 2 2 3 2 5 3" xfId="8505"/>
    <cellStyle name="Heading 1 2 2 2 3 2 5 3 2" xfId="8506"/>
    <cellStyle name="Heading 1 2 2 2 3 2 5 3 2 2" xfId="8507"/>
    <cellStyle name="Heading 1 2 2 2 3 2 5 3 3" xfId="8508"/>
    <cellStyle name="Heading 1 2 2 2 3 2 5 4" xfId="8509"/>
    <cellStyle name="Heading 1 2 2 2 3 2 5 4 2" xfId="8510"/>
    <cellStyle name="Heading 1 2 2 2 3 2 5 4 2 2" xfId="8511"/>
    <cellStyle name="Heading 1 2 2 2 3 2 5 4 3" xfId="8512"/>
    <cellStyle name="Heading 1 2 2 2 3 2 5 5" xfId="8513"/>
    <cellStyle name="Heading 1 2 2 2 3 2 5 5 2" xfId="8514"/>
    <cellStyle name="Heading 1 2 2 2 3 2 5 5 2 2" xfId="8515"/>
    <cellStyle name="Heading 1 2 2 2 3 2 5 5 3" xfId="8516"/>
    <cellStyle name="Heading 1 2 2 2 3 2 5 6" xfId="8517"/>
    <cellStyle name="Heading 1 2 2 2 3 2 5 6 2" xfId="8518"/>
    <cellStyle name="Heading 1 2 2 2 3 2 5 6 2 2" xfId="8519"/>
    <cellStyle name="Heading 1 2 2 2 3 2 5 6 3" xfId="8520"/>
    <cellStyle name="Heading 1 2 2 2 3 2 5 7" xfId="8521"/>
    <cellStyle name="Heading 1 2 2 2 3 2 5 7 2" xfId="8522"/>
    <cellStyle name="Heading 1 2 2 2 3 2 5 7 2 2" xfId="8523"/>
    <cellStyle name="Heading 1 2 2 2 3 2 5 7 3" xfId="8524"/>
    <cellStyle name="Heading 1 2 2 2 3 2 5 8" xfId="8525"/>
    <cellStyle name="Heading 1 2 2 2 3 2 5 8 2" xfId="8526"/>
    <cellStyle name="Heading 1 2 2 2 3 2 5 9" xfId="8527"/>
    <cellStyle name="Heading 1 2 2 2 3 2 6" xfId="8528"/>
    <cellStyle name="Heading 1 2 2 2 3 2 6 2" xfId="8529"/>
    <cellStyle name="Heading 1 2 2 2 3 2 6 2 2" xfId="8530"/>
    <cellStyle name="Heading 1 2 2 2 3 2 6 2 2 2" xfId="8531"/>
    <cellStyle name="Heading 1 2 2 2 3 2 6 2 3" xfId="8532"/>
    <cellStyle name="Heading 1 2 2 2 3 2 6 3" xfId="8533"/>
    <cellStyle name="Heading 1 2 2 2 3 2 6 3 2" xfId="8534"/>
    <cellStyle name="Heading 1 2 2 2 3 2 6 3 2 2" xfId="8535"/>
    <cellStyle name="Heading 1 2 2 2 3 2 6 3 3" xfId="8536"/>
    <cellStyle name="Heading 1 2 2 2 3 2 6 4" xfId="8537"/>
    <cellStyle name="Heading 1 2 2 2 3 2 6 4 2" xfId="8538"/>
    <cellStyle name="Heading 1 2 2 2 3 2 6 4 2 2" xfId="8539"/>
    <cellStyle name="Heading 1 2 2 2 3 2 6 4 3" xfId="8540"/>
    <cellStyle name="Heading 1 2 2 2 3 2 6 5" xfId="8541"/>
    <cellStyle name="Heading 1 2 2 2 3 2 6 5 2" xfId="8542"/>
    <cellStyle name="Heading 1 2 2 2 3 2 6 5 2 2" xfId="8543"/>
    <cellStyle name="Heading 1 2 2 2 3 2 6 5 3" xfId="8544"/>
    <cellStyle name="Heading 1 2 2 2 3 2 6 6" xfId="8545"/>
    <cellStyle name="Heading 1 2 2 2 3 2 6 6 2" xfId="8546"/>
    <cellStyle name="Heading 1 2 2 2 3 2 6 6 2 2" xfId="8547"/>
    <cellStyle name="Heading 1 2 2 2 3 2 6 6 3" xfId="8548"/>
    <cellStyle name="Heading 1 2 2 2 3 2 6 7" xfId="8549"/>
    <cellStyle name="Heading 1 2 2 2 3 2 6 7 2" xfId="8550"/>
    <cellStyle name="Heading 1 2 2 2 3 2 6 7 2 2" xfId="8551"/>
    <cellStyle name="Heading 1 2 2 2 3 2 6 7 3" xfId="8552"/>
    <cellStyle name="Heading 1 2 2 2 3 2 6 8" xfId="8553"/>
    <cellStyle name="Heading 1 2 2 2 3 2 6 8 2" xfId="8554"/>
    <cellStyle name="Heading 1 2 2 2 3 2 6 9" xfId="8555"/>
    <cellStyle name="Heading 1 2 2 2 3 2 7" xfId="8556"/>
    <cellStyle name="Heading 1 2 2 2 3 2 7 2" xfId="8557"/>
    <cellStyle name="Heading 1 2 2 2 3 2 7 2 2" xfId="8558"/>
    <cellStyle name="Heading 1 2 2 2 3 2 7 2 2 2" xfId="8559"/>
    <cellStyle name="Heading 1 2 2 2 3 2 7 2 3" xfId="8560"/>
    <cellStyle name="Heading 1 2 2 2 3 2 7 3" xfId="8561"/>
    <cellStyle name="Heading 1 2 2 2 3 2 7 3 2" xfId="8562"/>
    <cellStyle name="Heading 1 2 2 2 3 2 7 3 2 2" xfId="8563"/>
    <cellStyle name="Heading 1 2 2 2 3 2 7 3 3" xfId="8564"/>
    <cellStyle name="Heading 1 2 2 2 3 2 7 4" xfId="8565"/>
    <cellStyle name="Heading 1 2 2 2 3 2 7 4 2" xfId="8566"/>
    <cellStyle name="Heading 1 2 2 2 3 2 7 4 2 2" xfId="8567"/>
    <cellStyle name="Heading 1 2 2 2 3 2 7 4 3" xfId="8568"/>
    <cellStyle name="Heading 1 2 2 2 3 2 7 5" xfId="8569"/>
    <cellStyle name="Heading 1 2 2 2 3 2 7 5 2" xfId="8570"/>
    <cellStyle name="Heading 1 2 2 2 3 2 7 5 2 2" xfId="8571"/>
    <cellStyle name="Heading 1 2 2 2 3 2 7 5 3" xfId="8572"/>
    <cellStyle name="Heading 1 2 2 2 3 2 7 6" xfId="8573"/>
    <cellStyle name="Heading 1 2 2 2 3 2 7 6 2" xfId="8574"/>
    <cellStyle name="Heading 1 2 2 2 3 2 7 6 2 2" xfId="8575"/>
    <cellStyle name="Heading 1 2 2 2 3 2 7 6 3" xfId="8576"/>
    <cellStyle name="Heading 1 2 2 2 3 2 7 7" xfId="8577"/>
    <cellStyle name="Heading 1 2 2 2 3 2 7 7 2" xfId="8578"/>
    <cellStyle name="Heading 1 2 2 2 3 2 7 7 2 2" xfId="8579"/>
    <cellStyle name="Heading 1 2 2 2 3 2 7 7 3" xfId="8580"/>
    <cellStyle name="Heading 1 2 2 2 3 2 7 8" xfId="8581"/>
    <cellStyle name="Heading 1 2 2 2 3 2 7 8 2" xfId="8582"/>
    <cellStyle name="Heading 1 2 2 2 3 2 7 9" xfId="8583"/>
    <cellStyle name="Heading 1 2 2 2 3 2 8" xfId="8584"/>
    <cellStyle name="Heading 1 2 2 2 3 2 8 2" xfId="8585"/>
    <cellStyle name="Heading 1 2 2 2 3 2 8 2 2" xfId="8586"/>
    <cellStyle name="Heading 1 2 2 2 3 2 8 2 2 2" xfId="8587"/>
    <cellStyle name="Heading 1 2 2 2 3 2 8 2 3" xfId="8588"/>
    <cellStyle name="Heading 1 2 2 2 3 2 8 3" xfId="8589"/>
    <cellStyle name="Heading 1 2 2 2 3 2 8 3 2" xfId="8590"/>
    <cellStyle name="Heading 1 2 2 2 3 2 8 3 2 2" xfId="8591"/>
    <cellStyle name="Heading 1 2 2 2 3 2 8 3 3" xfId="8592"/>
    <cellStyle name="Heading 1 2 2 2 3 2 8 4" xfId="8593"/>
    <cellStyle name="Heading 1 2 2 2 3 2 8 4 2" xfId="8594"/>
    <cellStyle name="Heading 1 2 2 2 3 2 8 4 2 2" xfId="8595"/>
    <cellStyle name="Heading 1 2 2 2 3 2 8 4 3" xfId="8596"/>
    <cellStyle name="Heading 1 2 2 2 3 2 8 5" xfId="8597"/>
    <cellStyle name="Heading 1 2 2 2 3 2 8 5 2" xfId="8598"/>
    <cellStyle name="Heading 1 2 2 2 3 2 8 5 2 2" xfId="8599"/>
    <cellStyle name="Heading 1 2 2 2 3 2 8 5 3" xfId="8600"/>
    <cellStyle name="Heading 1 2 2 2 3 2 8 6" xfId="8601"/>
    <cellStyle name="Heading 1 2 2 2 3 2 8 6 2" xfId="8602"/>
    <cellStyle name="Heading 1 2 2 2 3 2 8 6 2 2" xfId="8603"/>
    <cellStyle name="Heading 1 2 2 2 3 2 8 6 3" xfId="8604"/>
    <cellStyle name="Heading 1 2 2 2 3 2 8 7" xfId="8605"/>
    <cellStyle name="Heading 1 2 2 2 3 2 8 7 2" xfId="8606"/>
    <cellStyle name="Heading 1 2 2 2 3 2 8 7 2 2" xfId="8607"/>
    <cellStyle name="Heading 1 2 2 2 3 2 8 7 3" xfId="8608"/>
    <cellStyle name="Heading 1 2 2 2 3 2 8 8" xfId="8609"/>
    <cellStyle name="Heading 1 2 2 2 3 2 8 8 2" xfId="8610"/>
    <cellStyle name="Heading 1 2 2 2 3 2 8 9" xfId="8611"/>
    <cellStyle name="Heading 1 2 2 2 3 2 9" xfId="8612"/>
    <cellStyle name="Heading 1 2 2 2 3 2 9 2" xfId="8613"/>
    <cellStyle name="Heading 1 2 2 2 3 2 9 2 2" xfId="8614"/>
    <cellStyle name="Heading 1 2 2 2 3 2 9 2 2 2" xfId="8615"/>
    <cellStyle name="Heading 1 2 2 2 3 2 9 2 3" xfId="8616"/>
    <cellStyle name="Heading 1 2 2 2 3 2 9 3" xfId="8617"/>
    <cellStyle name="Heading 1 2 2 2 3 2 9 3 2" xfId="8618"/>
    <cellStyle name="Heading 1 2 2 2 3 2 9 3 2 2" xfId="8619"/>
    <cellStyle name="Heading 1 2 2 2 3 2 9 3 3" xfId="8620"/>
    <cellStyle name="Heading 1 2 2 2 3 2 9 4" xfId="8621"/>
    <cellStyle name="Heading 1 2 2 2 3 2 9 4 2" xfId="8622"/>
    <cellStyle name="Heading 1 2 2 2 3 2 9 4 2 2" xfId="8623"/>
    <cellStyle name="Heading 1 2 2 2 3 2 9 4 3" xfId="8624"/>
    <cellStyle name="Heading 1 2 2 2 3 2 9 5" xfId="8625"/>
    <cellStyle name="Heading 1 2 2 2 3 2 9 5 2" xfId="8626"/>
    <cellStyle name="Heading 1 2 2 2 3 2 9 5 2 2" xfId="8627"/>
    <cellStyle name="Heading 1 2 2 2 3 2 9 5 3" xfId="8628"/>
    <cellStyle name="Heading 1 2 2 2 3 2 9 6" xfId="8629"/>
    <cellStyle name="Heading 1 2 2 2 3 2 9 6 2" xfId="8630"/>
    <cellStyle name="Heading 1 2 2 2 3 2 9 6 2 2" xfId="8631"/>
    <cellStyle name="Heading 1 2 2 2 3 2 9 6 3" xfId="8632"/>
    <cellStyle name="Heading 1 2 2 2 3 2 9 7" xfId="8633"/>
    <cellStyle name="Heading 1 2 2 2 3 2 9 7 2" xfId="8634"/>
    <cellStyle name="Heading 1 2 2 2 3 2 9 7 2 2" xfId="8635"/>
    <cellStyle name="Heading 1 2 2 2 3 2 9 7 3" xfId="8636"/>
    <cellStyle name="Heading 1 2 2 2 3 2 9 8" xfId="8637"/>
    <cellStyle name="Heading 1 2 2 2 3 2 9 8 2" xfId="8638"/>
    <cellStyle name="Heading 1 2 2 2 3 2 9 9" xfId="8639"/>
    <cellStyle name="Heading 1 2 2 2 3 3" xfId="8640"/>
    <cellStyle name="Heading 1 2 2 2 3 3 10" xfId="8641"/>
    <cellStyle name="Heading 1 2 2 2 3 3 10 2" xfId="8642"/>
    <cellStyle name="Heading 1 2 2 2 3 3 10 2 2" xfId="8643"/>
    <cellStyle name="Heading 1 2 2 2 3 3 10 3" xfId="8644"/>
    <cellStyle name="Heading 1 2 2 2 3 3 11" xfId="8645"/>
    <cellStyle name="Heading 1 2 2 2 3 3 11 2" xfId="8646"/>
    <cellStyle name="Heading 1 2 2 2 3 3 11 2 2" xfId="8647"/>
    <cellStyle name="Heading 1 2 2 2 3 3 11 3" xfId="8648"/>
    <cellStyle name="Heading 1 2 2 2 3 3 12" xfId="8649"/>
    <cellStyle name="Heading 1 2 2 2 3 3 12 2" xfId="8650"/>
    <cellStyle name="Heading 1 2 2 2 3 3 12 2 2" xfId="8651"/>
    <cellStyle name="Heading 1 2 2 2 3 3 12 3" xfId="8652"/>
    <cellStyle name="Heading 1 2 2 2 3 3 13" xfId="8653"/>
    <cellStyle name="Heading 1 2 2 2 3 3 13 2" xfId="8654"/>
    <cellStyle name="Heading 1 2 2 2 3 3 13 2 2" xfId="8655"/>
    <cellStyle name="Heading 1 2 2 2 3 3 13 3" xfId="8656"/>
    <cellStyle name="Heading 1 2 2 2 3 3 14" xfId="8657"/>
    <cellStyle name="Heading 1 2 2 2 3 3 14 2" xfId="8658"/>
    <cellStyle name="Heading 1 2 2 2 3 3 14 2 2" xfId="8659"/>
    <cellStyle name="Heading 1 2 2 2 3 3 14 3" xfId="8660"/>
    <cellStyle name="Heading 1 2 2 2 3 3 15" xfId="8661"/>
    <cellStyle name="Heading 1 2 2 2 3 3 15 2" xfId="8662"/>
    <cellStyle name="Heading 1 2 2 2 3 3 15 2 2" xfId="8663"/>
    <cellStyle name="Heading 1 2 2 2 3 3 15 3" xfId="8664"/>
    <cellStyle name="Heading 1 2 2 2 3 3 16" xfId="8665"/>
    <cellStyle name="Heading 1 2 2 2 3 3 16 2" xfId="8666"/>
    <cellStyle name="Heading 1 2 2 2 3 3 16 2 2" xfId="8667"/>
    <cellStyle name="Heading 1 2 2 2 3 3 16 3" xfId="8668"/>
    <cellStyle name="Heading 1 2 2 2 3 3 17" xfId="8669"/>
    <cellStyle name="Heading 1 2 2 2 3 3 17 2" xfId="8670"/>
    <cellStyle name="Heading 1 2 2 2 3 3 17 2 2" xfId="8671"/>
    <cellStyle name="Heading 1 2 2 2 3 3 17 3" xfId="8672"/>
    <cellStyle name="Heading 1 2 2 2 3 3 18" xfId="8673"/>
    <cellStyle name="Heading 1 2 2 2 3 3 18 2" xfId="8674"/>
    <cellStyle name="Heading 1 2 2 2 3 3 18 2 2" xfId="8675"/>
    <cellStyle name="Heading 1 2 2 2 3 3 18 3" xfId="8676"/>
    <cellStyle name="Heading 1 2 2 2 3 3 19" xfId="8677"/>
    <cellStyle name="Heading 1 2 2 2 3 3 19 2" xfId="8678"/>
    <cellStyle name="Heading 1 2 2 2 3 3 2" xfId="8679"/>
    <cellStyle name="Heading 1 2 2 2 3 3 2 2" xfId="8680"/>
    <cellStyle name="Heading 1 2 2 2 3 3 2 2 2" xfId="8681"/>
    <cellStyle name="Heading 1 2 2 2 3 3 2 2 2 2" xfId="8682"/>
    <cellStyle name="Heading 1 2 2 2 3 3 2 2 3" xfId="8683"/>
    <cellStyle name="Heading 1 2 2 2 3 3 2 3" xfId="8684"/>
    <cellStyle name="Heading 1 2 2 2 3 3 2 3 2" xfId="8685"/>
    <cellStyle name="Heading 1 2 2 2 3 3 2 3 2 2" xfId="8686"/>
    <cellStyle name="Heading 1 2 2 2 3 3 2 3 3" xfId="8687"/>
    <cellStyle name="Heading 1 2 2 2 3 3 2 4" xfId="8688"/>
    <cellStyle name="Heading 1 2 2 2 3 3 2 4 2" xfId="8689"/>
    <cellStyle name="Heading 1 2 2 2 3 3 2 4 2 2" xfId="8690"/>
    <cellStyle name="Heading 1 2 2 2 3 3 2 4 3" xfId="8691"/>
    <cellStyle name="Heading 1 2 2 2 3 3 2 5" xfId="8692"/>
    <cellStyle name="Heading 1 2 2 2 3 3 2 5 2" xfId="8693"/>
    <cellStyle name="Heading 1 2 2 2 3 3 2 5 2 2" xfId="8694"/>
    <cellStyle name="Heading 1 2 2 2 3 3 2 5 3" xfId="8695"/>
    <cellStyle name="Heading 1 2 2 2 3 3 2 6" xfId="8696"/>
    <cellStyle name="Heading 1 2 2 2 3 3 2 6 2" xfId="8697"/>
    <cellStyle name="Heading 1 2 2 2 3 3 2 6 2 2" xfId="8698"/>
    <cellStyle name="Heading 1 2 2 2 3 3 2 6 3" xfId="8699"/>
    <cellStyle name="Heading 1 2 2 2 3 3 2 7" xfId="8700"/>
    <cellStyle name="Heading 1 2 2 2 3 3 2 7 2" xfId="8701"/>
    <cellStyle name="Heading 1 2 2 2 3 3 2 7 2 2" xfId="8702"/>
    <cellStyle name="Heading 1 2 2 2 3 3 2 7 3" xfId="8703"/>
    <cellStyle name="Heading 1 2 2 2 3 3 2 8" xfId="8704"/>
    <cellStyle name="Heading 1 2 2 2 3 3 2 8 2" xfId="8705"/>
    <cellStyle name="Heading 1 2 2 2 3 3 2 9" xfId="8706"/>
    <cellStyle name="Heading 1 2 2 2 3 3 20" xfId="8707"/>
    <cellStyle name="Heading 1 2 2 2 3 3 20 2" xfId="8708"/>
    <cellStyle name="Heading 1 2 2 2 3 3 21" xfId="8709"/>
    <cellStyle name="Heading 1 2 2 2 3 3 21 2" xfId="8710"/>
    <cellStyle name="Heading 1 2 2 2 3 3 22" xfId="8711"/>
    <cellStyle name="Heading 1 2 2 2 3 3 3" xfId="8712"/>
    <cellStyle name="Heading 1 2 2 2 3 3 3 2" xfId="8713"/>
    <cellStyle name="Heading 1 2 2 2 3 3 3 2 2" xfId="8714"/>
    <cellStyle name="Heading 1 2 2 2 3 3 3 2 2 2" xfId="8715"/>
    <cellStyle name="Heading 1 2 2 2 3 3 3 2 3" xfId="8716"/>
    <cellStyle name="Heading 1 2 2 2 3 3 3 3" xfId="8717"/>
    <cellStyle name="Heading 1 2 2 2 3 3 3 3 2" xfId="8718"/>
    <cellStyle name="Heading 1 2 2 2 3 3 3 3 2 2" xfId="8719"/>
    <cellStyle name="Heading 1 2 2 2 3 3 3 3 3" xfId="8720"/>
    <cellStyle name="Heading 1 2 2 2 3 3 3 4" xfId="8721"/>
    <cellStyle name="Heading 1 2 2 2 3 3 3 4 2" xfId="8722"/>
    <cellStyle name="Heading 1 2 2 2 3 3 3 4 2 2" xfId="8723"/>
    <cellStyle name="Heading 1 2 2 2 3 3 3 4 3" xfId="8724"/>
    <cellStyle name="Heading 1 2 2 2 3 3 3 5" xfId="8725"/>
    <cellStyle name="Heading 1 2 2 2 3 3 3 5 2" xfId="8726"/>
    <cellStyle name="Heading 1 2 2 2 3 3 3 5 2 2" xfId="8727"/>
    <cellStyle name="Heading 1 2 2 2 3 3 3 5 3" xfId="8728"/>
    <cellStyle name="Heading 1 2 2 2 3 3 3 6" xfId="8729"/>
    <cellStyle name="Heading 1 2 2 2 3 3 3 6 2" xfId="8730"/>
    <cellStyle name="Heading 1 2 2 2 3 3 3 6 2 2" xfId="8731"/>
    <cellStyle name="Heading 1 2 2 2 3 3 3 6 3" xfId="8732"/>
    <cellStyle name="Heading 1 2 2 2 3 3 3 7" xfId="8733"/>
    <cellStyle name="Heading 1 2 2 2 3 3 3 7 2" xfId="8734"/>
    <cellStyle name="Heading 1 2 2 2 3 3 3 7 2 2" xfId="8735"/>
    <cellStyle name="Heading 1 2 2 2 3 3 3 7 3" xfId="8736"/>
    <cellStyle name="Heading 1 2 2 2 3 3 3 8" xfId="8737"/>
    <cellStyle name="Heading 1 2 2 2 3 3 3 8 2" xfId="8738"/>
    <cellStyle name="Heading 1 2 2 2 3 3 3 9" xfId="8739"/>
    <cellStyle name="Heading 1 2 2 2 3 3 4" xfId="8740"/>
    <cellStyle name="Heading 1 2 2 2 3 3 4 2" xfId="8741"/>
    <cellStyle name="Heading 1 2 2 2 3 3 4 2 2" xfId="8742"/>
    <cellStyle name="Heading 1 2 2 2 3 3 4 2 2 2" xfId="8743"/>
    <cellStyle name="Heading 1 2 2 2 3 3 4 2 3" xfId="8744"/>
    <cellStyle name="Heading 1 2 2 2 3 3 4 3" xfId="8745"/>
    <cellStyle name="Heading 1 2 2 2 3 3 4 3 2" xfId="8746"/>
    <cellStyle name="Heading 1 2 2 2 3 3 4 3 2 2" xfId="8747"/>
    <cellStyle name="Heading 1 2 2 2 3 3 4 3 3" xfId="8748"/>
    <cellStyle name="Heading 1 2 2 2 3 3 4 4" xfId="8749"/>
    <cellStyle name="Heading 1 2 2 2 3 3 4 4 2" xfId="8750"/>
    <cellStyle name="Heading 1 2 2 2 3 3 4 4 2 2" xfId="8751"/>
    <cellStyle name="Heading 1 2 2 2 3 3 4 4 3" xfId="8752"/>
    <cellStyle name="Heading 1 2 2 2 3 3 4 5" xfId="8753"/>
    <cellStyle name="Heading 1 2 2 2 3 3 4 5 2" xfId="8754"/>
    <cellStyle name="Heading 1 2 2 2 3 3 4 5 2 2" xfId="8755"/>
    <cellStyle name="Heading 1 2 2 2 3 3 4 5 3" xfId="8756"/>
    <cellStyle name="Heading 1 2 2 2 3 3 4 6" xfId="8757"/>
    <cellStyle name="Heading 1 2 2 2 3 3 4 6 2" xfId="8758"/>
    <cellStyle name="Heading 1 2 2 2 3 3 4 6 2 2" xfId="8759"/>
    <cellStyle name="Heading 1 2 2 2 3 3 4 6 3" xfId="8760"/>
    <cellStyle name="Heading 1 2 2 2 3 3 4 7" xfId="8761"/>
    <cellStyle name="Heading 1 2 2 2 3 3 4 7 2" xfId="8762"/>
    <cellStyle name="Heading 1 2 2 2 3 3 4 7 2 2" xfId="8763"/>
    <cellStyle name="Heading 1 2 2 2 3 3 4 7 3" xfId="8764"/>
    <cellStyle name="Heading 1 2 2 2 3 3 4 8" xfId="8765"/>
    <cellStyle name="Heading 1 2 2 2 3 3 4 8 2" xfId="8766"/>
    <cellStyle name="Heading 1 2 2 2 3 3 4 9" xfId="8767"/>
    <cellStyle name="Heading 1 2 2 2 3 3 5" xfId="8768"/>
    <cellStyle name="Heading 1 2 2 2 3 3 5 2" xfId="8769"/>
    <cellStyle name="Heading 1 2 2 2 3 3 5 2 2" xfId="8770"/>
    <cellStyle name="Heading 1 2 2 2 3 3 5 2 2 2" xfId="8771"/>
    <cellStyle name="Heading 1 2 2 2 3 3 5 2 3" xfId="8772"/>
    <cellStyle name="Heading 1 2 2 2 3 3 5 3" xfId="8773"/>
    <cellStyle name="Heading 1 2 2 2 3 3 5 3 2" xfId="8774"/>
    <cellStyle name="Heading 1 2 2 2 3 3 5 3 2 2" xfId="8775"/>
    <cellStyle name="Heading 1 2 2 2 3 3 5 3 3" xfId="8776"/>
    <cellStyle name="Heading 1 2 2 2 3 3 5 4" xfId="8777"/>
    <cellStyle name="Heading 1 2 2 2 3 3 5 4 2" xfId="8778"/>
    <cellStyle name="Heading 1 2 2 2 3 3 5 4 2 2" xfId="8779"/>
    <cellStyle name="Heading 1 2 2 2 3 3 5 4 3" xfId="8780"/>
    <cellStyle name="Heading 1 2 2 2 3 3 5 5" xfId="8781"/>
    <cellStyle name="Heading 1 2 2 2 3 3 5 5 2" xfId="8782"/>
    <cellStyle name="Heading 1 2 2 2 3 3 5 5 2 2" xfId="8783"/>
    <cellStyle name="Heading 1 2 2 2 3 3 5 5 3" xfId="8784"/>
    <cellStyle name="Heading 1 2 2 2 3 3 5 6" xfId="8785"/>
    <cellStyle name="Heading 1 2 2 2 3 3 5 6 2" xfId="8786"/>
    <cellStyle name="Heading 1 2 2 2 3 3 5 6 2 2" xfId="8787"/>
    <cellStyle name="Heading 1 2 2 2 3 3 5 6 3" xfId="8788"/>
    <cellStyle name="Heading 1 2 2 2 3 3 5 7" xfId="8789"/>
    <cellStyle name="Heading 1 2 2 2 3 3 5 7 2" xfId="8790"/>
    <cellStyle name="Heading 1 2 2 2 3 3 5 7 2 2" xfId="8791"/>
    <cellStyle name="Heading 1 2 2 2 3 3 5 7 3" xfId="8792"/>
    <cellStyle name="Heading 1 2 2 2 3 3 5 8" xfId="8793"/>
    <cellStyle name="Heading 1 2 2 2 3 3 5 8 2" xfId="8794"/>
    <cellStyle name="Heading 1 2 2 2 3 3 5 9" xfId="8795"/>
    <cellStyle name="Heading 1 2 2 2 3 3 6" xfId="8796"/>
    <cellStyle name="Heading 1 2 2 2 3 3 6 2" xfId="8797"/>
    <cellStyle name="Heading 1 2 2 2 3 3 6 2 2" xfId="8798"/>
    <cellStyle name="Heading 1 2 2 2 3 3 6 2 2 2" xfId="8799"/>
    <cellStyle name="Heading 1 2 2 2 3 3 6 2 3" xfId="8800"/>
    <cellStyle name="Heading 1 2 2 2 3 3 6 3" xfId="8801"/>
    <cellStyle name="Heading 1 2 2 2 3 3 6 3 2" xfId="8802"/>
    <cellStyle name="Heading 1 2 2 2 3 3 6 3 2 2" xfId="8803"/>
    <cellStyle name="Heading 1 2 2 2 3 3 6 3 3" xfId="8804"/>
    <cellStyle name="Heading 1 2 2 2 3 3 6 4" xfId="8805"/>
    <cellStyle name="Heading 1 2 2 2 3 3 6 4 2" xfId="8806"/>
    <cellStyle name="Heading 1 2 2 2 3 3 6 4 2 2" xfId="8807"/>
    <cellStyle name="Heading 1 2 2 2 3 3 6 4 3" xfId="8808"/>
    <cellStyle name="Heading 1 2 2 2 3 3 6 5" xfId="8809"/>
    <cellStyle name="Heading 1 2 2 2 3 3 6 5 2" xfId="8810"/>
    <cellStyle name="Heading 1 2 2 2 3 3 6 5 2 2" xfId="8811"/>
    <cellStyle name="Heading 1 2 2 2 3 3 6 5 3" xfId="8812"/>
    <cellStyle name="Heading 1 2 2 2 3 3 6 6" xfId="8813"/>
    <cellStyle name="Heading 1 2 2 2 3 3 6 6 2" xfId="8814"/>
    <cellStyle name="Heading 1 2 2 2 3 3 6 6 2 2" xfId="8815"/>
    <cellStyle name="Heading 1 2 2 2 3 3 6 6 3" xfId="8816"/>
    <cellStyle name="Heading 1 2 2 2 3 3 6 7" xfId="8817"/>
    <cellStyle name="Heading 1 2 2 2 3 3 6 7 2" xfId="8818"/>
    <cellStyle name="Heading 1 2 2 2 3 3 6 7 2 2" xfId="8819"/>
    <cellStyle name="Heading 1 2 2 2 3 3 6 7 3" xfId="8820"/>
    <cellStyle name="Heading 1 2 2 2 3 3 6 8" xfId="8821"/>
    <cellStyle name="Heading 1 2 2 2 3 3 6 8 2" xfId="8822"/>
    <cellStyle name="Heading 1 2 2 2 3 3 6 9" xfId="8823"/>
    <cellStyle name="Heading 1 2 2 2 3 3 7" xfId="8824"/>
    <cellStyle name="Heading 1 2 2 2 3 3 7 2" xfId="8825"/>
    <cellStyle name="Heading 1 2 2 2 3 3 7 2 2" xfId="8826"/>
    <cellStyle name="Heading 1 2 2 2 3 3 7 2 2 2" xfId="8827"/>
    <cellStyle name="Heading 1 2 2 2 3 3 7 2 3" xfId="8828"/>
    <cellStyle name="Heading 1 2 2 2 3 3 7 3" xfId="8829"/>
    <cellStyle name="Heading 1 2 2 2 3 3 7 3 2" xfId="8830"/>
    <cellStyle name="Heading 1 2 2 2 3 3 7 3 2 2" xfId="8831"/>
    <cellStyle name="Heading 1 2 2 2 3 3 7 3 3" xfId="8832"/>
    <cellStyle name="Heading 1 2 2 2 3 3 7 4" xfId="8833"/>
    <cellStyle name="Heading 1 2 2 2 3 3 7 4 2" xfId="8834"/>
    <cellStyle name="Heading 1 2 2 2 3 3 7 4 2 2" xfId="8835"/>
    <cellStyle name="Heading 1 2 2 2 3 3 7 4 3" xfId="8836"/>
    <cellStyle name="Heading 1 2 2 2 3 3 7 5" xfId="8837"/>
    <cellStyle name="Heading 1 2 2 2 3 3 7 5 2" xfId="8838"/>
    <cellStyle name="Heading 1 2 2 2 3 3 7 5 2 2" xfId="8839"/>
    <cellStyle name="Heading 1 2 2 2 3 3 7 5 3" xfId="8840"/>
    <cellStyle name="Heading 1 2 2 2 3 3 7 6" xfId="8841"/>
    <cellStyle name="Heading 1 2 2 2 3 3 7 6 2" xfId="8842"/>
    <cellStyle name="Heading 1 2 2 2 3 3 7 6 2 2" xfId="8843"/>
    <cellStyle name="Heading 1 2 2 2 3 3 7 6 3" xfId="8844"/>
    <cellStyle name="Heading 1 2 2 2 3 3 7 7" xfId="8845"/>
    <cellStyle name="Heading 1 2 2 2 3 3 7 7 2" xfId="8846"/>
    <cellStyle name="Heading 1 2 2 2 3 3 7 7 2 2" xfId="8847"/>
    <cellStyle name="Heading 1 2 2 2 3 3 7 7 3" xfId="8848"/>
    <cellStyle name="Heading 1 2 2 2 3 3 7 8" xfId="8849"/>
    <cellStyle name="Heading 1 2 2 2 3 3 7 8 2" xfId="8850"/>
    <cellStyle name="Heading 1 2 2 2 3 3 7 9" xfId="8851"/>
    <cellStyle name="Heading 1 2 2 2 3 3 8" xfId="8852"/>
    <cellStyle name="Heading 1 2 2 2 3 3 8 2" xfId="8853"/>
    <cellStyle name="Heading 1 2 2 2 3 3 8 2 2" xfId="8854"/>
    <cellStyle name="Heading 1 2 2 2 3 3 8 2 2 2" xfId="8855"/>
    <cellStyle name="Heading 1 2 2 2 3 3 8 2 3" xfId="8856"/>
    <cellStyle name="Heading 1 2 2 2 3 3 8 3" xfId="8857"/>
    <cellStyle name="Heading 1 2 2 2 3 3 8 3 2" xfId="8858"/>
    <cellStyle name="Heading 1 2 2 2 3 3 8 3 2 2" xfId="8859"/>
    <cellStyle name="Heading 1 2 2 2 3 3 8 3 3" xfId="8860"/>
    <cellStyle name="Heading 1 2 2 2 3 3 8 4" xfId="8861"/>
    <cellStyle name="Heading 1 2 2 2 3 3 8 4 2" xfId="8862"/>
    <cellStyle name="Heading 1 2 2 2 3 3 8 4 2 2" xfId="8863"/>
    <cellStyle name="Heading 1 2 2 2 3 3 8 4 3" xfId="8864"/>
    <cellStyle name="Heading 1 2 2 2 3 3 8 5" xfId="8865"/>
    <cellStyle name="Heading 1 2 2 2 3 3 8 5 2" xfId="8866"/>
    <cellStyle name="Heading 1 2 2 2 3 3 8 5 2 2" xfId="8867"/>
    <cellStyle name="Heading 1 2 2 2 3 3 8 5 3" xfId="8868"/>
    <cellStyle name="Heading 1 2 2 2 3 3 8 6" xfId="8869"/>
    <cellStyle name="Heading 1 2 2 2 3 3 8 6 2" xfId="8870"/>
    <cellStyle name="Heading 1 2 2 2 3 3 8 6 2 2" xfId="8871"/>
    <cellStyle name="Heading 1 2 2 2 3 3 8 6 3" xfId="8872"/>
    <cellStyle name="Heading 1 2 2 2 3 3 8 7" xfId="8873"/>
    <cellStyle name="Heading 1 2 2 2 3 3 8 7 2" xfId="8874"/>
    <cellStyle name="Heading 1 2 2 2 3 3 8 7 2 2" xfId="8875"/>
    <cellStyle name="Heading 1 2 2 2 3 3 8 7 3" xfId="8876"/>
    <cellStyle name="Heading 1 2 2 2 3 3 8 8" xfId="8877"/>
    <cellStyle name="Heading 1 2 2 2 3 3 8 8 2" xfId="8878"/>
    <cellStyle name="Heading 1 2 2 2 3 3 8 9" xfId="8879"/>
    <cellStyle name="Heading 1 2 2 2 3 3 9" xfId="8880"/>
    <cellStyle name="Heading 1 2 2 2 3 3 9 2" xfId="8881"/>
    <cellStyle name="Heading 1 2 2 2 3 3 9 2 2" xfId="8882"/>
    <cellStyle name="Heading 1 2 2 2 3 3 9 3" xfId="8883"/>
    <cellStyle name="Heading 1 2 2 2 3 4" xfId="8884"/>
    <cellStyle name="Heading 1 2 2 2 3 4 2" xfId="8885"/>
    <cellStyle name="Heading 1 2 2 2 3 4 2 2" xfId="8886"/>
    <cellStyle name="Heading 1 2 2 2 3 4 3" xfId="8887"/>
    <cellStyle name="Heading 1 2 2 2 3 5" xfId="8888"/>
    <cellStyle name="Heading 1 2 2 2 3 5 2" xfId="8889"/>
    <cellStyle name="Heading 1 2 2 2 3 6" xfId="8890"/>
    <cellStyle name="Heading 1 2 2 2 4" xfId="8891"/>
    <cellStyle name="Heading 1 2 2 2 4 2" xfId="8892"/>
    <cellStyle name="Heading 1 2 2 2 4 2 10" xfId="8893"/>
    <cellStyle name="Heading 1 2 2 2 4 2 10 2" xfId="8894"/>
    <cellStyle name="Heading 1 2 2 2 4 2 10 2 2" xfId="8895"/>
    <cellStyle name="Heading 1 2 2 2 4 2 10 3" xfId="8896"/>
    <cellStyle name="Heading 1 2 2 2 4 2 11" xfId="8897"/>
    <cellStyle name="Heading 1 2 2 2 4 2 11 2" xfId="8898"/>
    <cellStyle name="Heading 1 2 2 2 4 2 11 2 2" xfId="8899"/>
    <cellStyle name="Heading 1 2 2 2 4 2 11 3" xfId="8900"/>
    <cellStyle name="Heading 1 2 2 2 4 2 12" xfId="8901"/>
    <cellStyle name="Heading 1 2 2 2 4 2 12 2" xfId="8902"/>
    <cellStyle name="Heading 1 2 2 2 4 2 12 2 2" xfId="8903"/>
    <cellStyle name="Heading 1 2 2 2 4 2 12 3" xfId="8904"/>
    <cellStyle name="Heading 1 2 2 2 4 2 13" xfId="8905"/>
    <cellStyle name="Heading 1 2 2 2 4 2 13 2" xfId="8906"/>
    <cellStyle name="Heading 1 2 2 2 4 2 13 2 2" xfId="8907"/>
    <cellStyle name="Heading 1 2 2 2 4 2 13 3" xfId="8908"/>
    <cellStyle name="Heading 1 2 2 2 4 2 14" xfId="8909"/>
    <cellStyle name="Heading 1 2 2 2 4 2 14 2" xfId="8910"/>
    <cellStyle name="Heading 1 2 2 2 4 2 14 2 2" xfId="8911"/>
    <cellStyle name="Heading 1 2 2 2 4 2 14 3" xfId="8912"/>
    <cellStyle name="Heading 1 2 2 2 4 2 15" xfId="8913"/>
    <cellStyle name="Heading 1 2 2 2 4 2 15 2" xfId="8914"/>
    <cellStyle name="Heading 1 2 2 2 4 2 15 2 2" xfId="8915"/>
    <cellStyle name="Heading 1 2 2 2 4 2 15 3" xfId="8916"/>
    <cellStyle name="Heading 1 2 2 2 4 2 16" xfId="8917"/>
    <cellStyle name="Heading 1 2 2 2 4 2 16 2" xfId="8918"/>
    <cellStyle name="Heading 1 2 2 2 4 2 16 2 2" xfId="8919"/>
    <cellStyle name="Heading 1 2 2 2 4 2 16 3" xfId="8920"/>
    <cellStyle name="Heading 1 2 2 2 4 2 17" xfId="8921"/>
    <cellStyle name="Heading 1 2 2 2 4 2 17 2" xfId="8922"/>
    <cellStyle name="Heading 1 2 2 2 4 2 17 2 2" xfId="8923"/>
    <cellStyle name="Heading 1 2 2 2 4 2 17 3" xfId="8924"/>
    <cellStyle name="Heading 1 2 2 2 4 2 18" xfId="8925"/>
    <cellStyle name="Heading 1 2 2 2 4 2 18 2" xfId="8926"/>
    <cellStyle name="Heading 1 2 2 2 4 2 18 2 2" xfId="8927"/>
    <cellStyle name="Heading 1 2 2 2 4 2 18 3" xfId="8928"/>
    <cellStyle name="Heading 1 2 2 2 4 2 19" xfId="8929"/>
    <cellStyle name="Heading 1 2 2 2 4 2 19 2" xfId="8930"/>
    <cellStyle name="Heading 1 2 2 2 4 2 19 2 2" xfId="8931"/>
    <cellStyle name="Heading 1 2 2 2 4 2 19 3" xfId="8932"/>
    <cellStyle name="Heading 1 2 2 2 4 2 2" xfId="8933"/>
    <cellStyle name="Heading 1 2 2 2 4 2 2 10" xfId="8934"/>
    <cellStyle name="Heading 1 2 2 2 4 2 2 10 2" xfId="8935"/>
    <cellStyle name="Heading 1 2 2 2 4 2 2 10 2 2" xfId="8936"/>
    <cellStyle name="Heading 1 2 2 2 4 2 2 10 3" xfId="8937"/>
    <cellStyle name="Heading 1 2 2 2 4 2 2 11" xfId="8938"/>
    <cellStyle name="Heading 1 2 2 2 4 2 2 11 2" xfId="8939"/>
    <cellStyle name="Heading 1 2 2 2 4 2 2 11 2 2" xfId="8940"/>
    <cellStyle name="Heading 1 2 2 2 4 2 2 11 3" xfId="8941"/>
    <cellStyle name="Heading 1 2 2 2 4 2 2 12" xfId="8942"/>
    <cellStyle name="Heading 1 2 2 2 4 2 2 12 2" xfId="8943"/>
    <cellStyle name="Heading 1 2 2 2 4 2 2 12 2 2" xfId="8944"/>
    <cellStyle name="Heading 1 2 2 2 4 2 2 12 3" xfId="8945"/>
    <cellStyle name="Heading 1 2 2 2 4 2 2 13" xfId="8946"/>
    <cellStyle name="Heading 1 2 2 2 4 2 2 13 2" xfId="8947"/>
    <cellStyle name="Heading 1 2 2 2 4 2 2 13 2 2" xfId="8948"/>
    <cellStyle name="Heading 1 2 2 2 4 2 2 13 3" xfId="8949"/>
    <cellStyle name="Heading 1 2 2 2 4 2 2 14" xfId="8950"/>
    <cellStyle name="Heading 1 2 2 2 4 2 2 14 2" xfId="8951"/>
    <cellStyle name="Heading 1 2 2 2 4 2 2 14 2 2" xfId="8952"/>
    <cellStyle name="Heading 1 2 2 2 4 2 2 14 3" xfId="8953"/>
    <cellStyle name="Heading 1 2 2 2 4 2 2 15" xfId="8954"/>
    <cellStyle name="Heading 1 2 2 2 4 2 2 15 2" xfId="8955"/>
    <cellStyle name="Heading 1 2 2 2 4 2 2 15 2 2" xfId="8956"/>
    <cellStyle name="Heading 1 2 2 2 4 2 2 15 3" xfId="8957"/>
    <cellStyle name="Heading 1 2 2 2 4 2 2 16" xfId="8958"/>
    <cellStyle name="Heading 1 2 2 2 4 2 2 16 2" xfId="8959"/>
    <cellStyle name="Heading 1 2 2 2 4 2 2 16 2 2" xfId="8960"/>
    <cellStyle name="Heading 1 2 2 2 4 2 2 16 3" xfId="8961"/>
    <cellStyle name="Heading 1 2 2 2 4 2 2 17" xfId="8962"/>
    <cellStyle name="Heading 1 2 2 2 4 2 2 17 2" xfId="8963"/>
    <cellStyle name="Heading 1 2 2 2 4 2 2 17 2 2" xfId="8964"/>
    <cellStyle name="Heading 1 2 2 2 4 2 2 17 3" xfId="8965"/>
    <cellStyle name="Heading 1 2 2 2 4 2 2 18" xfId="8966"/>
    <cellStyle name="Heading 1 2 2 2 4 2 2 18 2" xfId="8967"/>
    <cellStyle name="Heading 1 2 2 2 4 2 2 18 2 2" xfId="8968"/>
    <cellStyle name="Heading 1 2 2 2 4 2 2 18 3" xfId="8969"/>
    <cellStyle name="Heading 1 2 2 2 4 2 2 19" xfId="8970"/>
    <cellStyle name="Heading 1 2 2 2 4 2 2 19 2" xfId="8971"/>
    <cellStyle name="Heading 1 2 2 2 4 2 2 2" xfId="8972"/>
    <cellStyle name="Heading 1 2 2 2 4 2 2 2 2" xfId="8973"/>
    <cellStyle name="Heading 1 2 2 2 4 2 2 2 2 2" xfId="8974"/>
    <cellStyle name="Heading 1 2 2 2 4 2 2 2 2 2 2" xfId="8975"/>
    <cellStyle name="Heading 1 2 2 2 4 2 2 2 2 3" xfId="8976"/>
    <cellStyle name="Heading 1 2 2 2 4 2 2 2 3" xfId="8977"/>
    <cellStyle name="Heading 1 2 2 2 4 2 2 2 3 2" xfId="8978"/>
    <cellStyle name="Heading 1 2 2 2 4 2 2 2 3 2 2" xfId="8979"/>
    <cellStyle name="Heading 1 2 2 2 4 2 2 2 3 3" xfId="8980"/>
    <cellStyle name="Heading 1 2 2 2 4 2 2 2 4" xfId="8981"/>
    <cellStyle name="Heading 1 2 2 2 4 2 2 2 4 2" xfId="8982"/>
    <cellStyle name="Heading 1 2 2 2 4 2 2 2 4 2 2" xfId="8983"/>
    <cellStyle name="Heading 1 2 2 2 4 2 2 2 4 3" xfId="8984"/>
    <cellStyle name="Heading 1 2 2 2 4 2 2 2 5" xfId="8985"/>
    <cellStyle name="Heading 1 2 2 2 4 2 2 2 5 2" xfId="8986"/>
    <cellStyle name="Heading 1 2 2 2 4 2 2 2 5 2 2" xfId="8987"/>
    <cellStyle name="Heading 1 2 2 2 4 2 2 2 5 3" xfId="8988"/>
    <cellStyle name="Heading 1 2 2 2 4 2 2 2 6" xfId="8989"/>
    <cellStyle name="Heading 1 2 2 2 4 2 2 2 6 2" xfId="8990"/>
    <cellStyle name="Heading 1 2 2 2 4 2 2 2 6 2 2" xfId="8991"/>
    <cellStyle name="Heading 1 2 2 2 4 2 2 2 6 3" xfId="8992"/>
    <cellStyle name="Heading 1 2 2 2 4 2 2 2 7" xfId="8993"/>
    <cellStyle name="Heading 1 2 2 2 4 2 2 2 7 2" xfId="8994"/>
    <cellStyle name="Heading 1 2 2 2 4 2 2 2 7 2 2" xfId="8995"/>
    <cellStyle name="Heading 1 2 2 2 4 2 2 2 7 3" xfId="8996"/>
    <cellStyle name="Heading 1 2 2 2 4 2 2 2 8" xfId="8997"/>
    <cellStyle name="Heading 1 2 2 2 4 2 2 2 8 2" xfId="8998"/>
    <cellStyle name="Heading 1 2 2 2 4 2 2 2 9" xfId="8999"/>
    <cellStyle name="Heading 1 2 2 2 4 2 2 20" xfId="9000"/>
    <cellStyle name="Heading 1 2 2 2 4 2 2 20 2" xfId="9001"/>
    <cellStyle name="Heading 1 2 2 2 4 2 2 21" xfId="9002"/>
    <cellStyle name="Heading 1 2 2 2 4 2 2 21 2" xfId="9003"/>
    <cellStyle name="Heading 1 2 2 2 4 2 2 22" xfId="9004"/>
    <cellStyle name="Heading 1 2 2 2 4 2 2 3" xfId="9005"/>
    <cellStyle name="Heading 1 2 2 2 4 2 2 3 2" xfId="9006"/>
    <cellStyle name="Heading 1 2 2 2 4 2 2 3 2 2" xfId="9007"/>
    <cellStyle name="Heading 1 2 2 2 4 2 2 3 2 2 2" xfId="9008"/>
    <cellStyle name="Heading 1 2 2 2 4 2 2 3 2 3" xfId="9009"/>
    <cellStyle name="Heading 1 2 2 2 4 2 2 3 3" xfId="9010"/>
    <cellStyle name="Heading 1 2 2 2 4 2 2 3 3 2" xfId="9011"/>
    <cellStyle name="Heading 1 2 2 2 4 2 2 3 3 2 2" xfId="9012"/>
    <cellStyle name="Heading 1 2 2 2 4 2 2 3 3 3" xfId="9013"/>
    <cellStyle name="Heading 1 2 2 2 4 2 2 3 4" xfId="9014"/>
    <cellStyle name="Heading 1 2 2 2 4 2 2 3 4 2" xfId="9015"/>
    <cellStyle name="Heading 1 2 2 2 4 2 2 3 4 2 2" xfId="9016"/>
    <cellStyle name="Heading 1 2 2 2 4 2 2 3 4 3" xfId="9017"/>
    <cellStyle name="Heading 1 2 2 2 4 2 2 3 5" xfId="9018"/>
    <cellStyle name="Heading 1 2 2 2 4 2 2 3 5 2" xfId="9019"/>
    <cellStyle name="Heading 1 2 2 2 4 2 2 3 5 2 2" xfId="9020"/>
    <cellStyle name="Heading 1 2 2 2 4 2 2 3 5 3" xfId="9021"/>
    <cellStyle name="Heading 1 2 2 2 4 2 2 3 6" xfId="9022"/>
    <cellStyle name="Heading 1 2 2 2 4 2 2 3 6 2" xfId="9023"/>
    <cellStyle name="Heading 1 2 2 2 4 2 2 3 6 2 2" xfId="9024"/>
    <cellStyle name="Heading 1 2 2 2 4 2 2 3 6 3" xfId="9025"/>
    <cellStyle name="Heading 1 2 2 2 4 2 2 3 7" xfId="9026"/>
    <cellStyle name="Heading 1 2 2 2 4 2 2 3 7 2" xfId="9027"/>
    <cellStyle name="Heading 1 2 2 2 4 2 2 3 7 2 2" xfId="9028"/>
    <cellStyle name="Heading 1 2 2 2 4 2 2 3 7 3" xfId="9029"/>
    <cellStyle name="Heading 1 2 2 2 4 2 2 3 8" xfId="9030"/>
    <cellStyle name="Heading 1 2 2 2 4 2 2 3 8 2" xfId="9031"/>
    <cellStyle name="Heading 1 2 2 2 4 2 2 3 9" xfId="9032"/>
    <cellStyle name="Heading 1 2 2 2 4 2 2 4" xfId="9033"/>
    <cellStyle name="Heading 1 2 2 2 4 2 2 4 2" xfId="9034"/>
    <cellStyle name="Heading 1 2 2 2 4 2 2 4 2 2" xfId="9035"/>
    <cellStyle name="Heading 1 2 2 2 4 2 2 4 2 2 2" xfId="9036"/>
    <cellStyle name="Heading 1 2 2 2 4 2 2 4 2 3" xfId="9037"/>
    <cellStyle name="Heading 1 2 2 2 4 2 2 4 3" xfId="9038"/>
    <cellStyle name="Heading 1 2 2 2 4 2 2 4 3 2" xfId="9039"/>
    <cellStyle name="Heading 1 2 2 2 4 2 2 4 3 2 2" xfId="9040"/>
    <cellStyle name="Heading 1 2 2 2 4 2 2 4 3 3" xfId="9041"/>
    <cellStyle name="Heading 1 2 2 2 4 2 2 4 4" xfId="9042"/>
    <cellStyle name="Heading 1 2 2 2 4 2 2 4 4 2" xfId="9043"/>
    <cellStyle name="Heading 1 2 2 2 4 2 2 4 4 2 2" xfId="9044"/>
    <cellStyle name="Heading 1 2 2 2 4 2 2 4 4 3" xfId="9045"/>
    <cellStyle name="Heading 1 2 2 2 4 2 2 4 5" xfId="9046"/>
    <cellStyle name="Heading 1 2 2 2 4 2 2 4 5 2" xfId="9047"/>
    <cellStyle name="Heading 1 2 2 2 4 2 2 4 5 2 2" xfId="9048"/>
    <cellStyle name="Heading 1 2 2 2 4 2 2 4 5 3" xfId="9049"/>
    <cellStyle name="Heading 1 2 2 2 4 2 2 4 6" xfId="9050"/>
    <cellStyle name="Heading 1 2 2 2 4 2 2 4 6 2" xfId="9051"/>
    <cellStyle name="Heading 1 2 2 2 4 2 2 4 6 2 2" xfId="9052"/>
    <cellStyle name="Heading 1 2 2 2 4 2 2 4 6 3" xfId="9053"/>
    <cellStyle name="Heading 1 2 2 2 4 2 2 4 7" xfId="9054"/>
    <cellStyle name="Heading 1 2 2 2 4 2 2 4 7 2" xfId="9055"/>
    <cellStyle name="Heading 1 2 2 2 4 2 2 4 7 2 2" xfId="9056"/>
    <cellStyle name="Heading 1 2 2 2 4 2 2 4 7 3" xfId="9057"/>
    <cellStyle name="Heading 1 2 2 2 4 2 2 4 8" xfId="9058"/>
    <cellStyle name="Heading 1 2 2 2 4 2 2 4 8 2" xfId="9059"/>
    <cellStyle name="Heading 1 2 2 2 4 2 2 4 9" xfId="9060"/>
    <cellStyle name="Heading 1 2 2 2 4 2 2 5" xfId="9061"/>
    <cellStyle name="Heading 1 2 2 2 4 2 2 5 2" xfId="9062"/>
    <cellStyle name="Heading 1 2 2 2 4 2 2 5 2 2" xfId="9063"/>
    <cellStyle name="Heading 1 2 2 2 4 2 2 5 2 2 2" xfId="9064"/>
    <cellStyle name="Heading 1 2 2 2 4 2 2 5 2 3" xfId="9065"/>
    <cellStyle name="Heading 1 2 2 2 4 2 2 5 3" xfId="9066"/>
    <cellStyle name="Heading 1 2 2 2 4 2 2 5 3 2" xfId="9067"/>
    <cellStyle name="Heading 1 2 2 2 4 2 2 5 3 2 2" xfId="9068"/>
    <cellStyle name="Heading 1 2 2 2 4 2 2 5 3 3" xfId="9069"/>
    <cellStyle name="Heading 1 2 2 2 4 2 2 5 4" xfId="9070"/>
    <cellStyle name="Heading 1 2 2 2 4 2 2 5 4 2" xfId="9071"/>
    <cellStyle name="Heading 1 2 2 2 4 2 2 5 4 2 2" xfId="9072"/>
    <cellStyle name="Heading 1 2 2 2 4 2 2 5 4 3" xfId="9073"/>
    <cellStyle name="Heading 1 2 2 2 4 2 2 5 5" xfId="9074"/>
    <cellStyle name="Heading 1 2 2 2 4 2 2 5 5 2" xfId="9075"/>
    <cellStyle name="Heading 1 2 2 2 4 2 2 5 5 2 2" xfId="9076"/>
    <cellStyle name="Heading 1 2 2 2 4 2 2 5 5 3" xfId="9077"/>
    <cellStyle name="Heading 1 2 2 2 4 2 2 5 6" xfId="9078"/>
    <cellStyle name="Heading 1 2 2 2 4 2 2 5 6 2" xfId="9079"/>
    <cellStyle name="Heading 1 2 2 2 4 2 2 5 6 2 2" xfId="9080"/>
    <cellStyle name="Heading 1 2 2 2 4 2 2 5 6 3" xfId="9081"/>
    <cellStyle name="Heading 1 2 2 2 4 2 2 5 7" xfId="9082"/>
    <cellStyle name="Heading 1 2 2 2 4 2 2 5 7 2" xfId="9083"/>
    <cellStyle name="Heading 1 2 2 2 4 2 2 5 7 2 2" xfId="9084"/>
    <cellStyle name="Heading 1 2 2 2 4 2 2 5 7 3" xfId="9085"/>
    <cellStyle name="Heading 1 2 2 2 4 2 2 5 8" xfId="9086"/>
    <cellStyle name="Heading 1 2 2 2 4 2 2 5 8 2" xfId="9087"/>
    <cellStyle name="Heading 1 2 2 2 4 2 2 5 9" xfId="9088"/>
    <cellStyle name="Heading 1 2 2 2 4 2 2 6" xfId="9089"/>
    <cellStyle name="Heading 1 2 2 2 4 2 2 6 2" xfId="9090"/>
    <cellStyle name="Heading 1 2 2 2 4 2 2 6 2 2" xfId="9091"/>
    <cellStyle name="Heading 1 2 2 2 4 2 2 6 2 2 2" xfId="9092"/>
    <cellStyle name="Heading 1 2 2 2 4 2 2 6 2 3" xfId="9093"/>
    <cellStyle name="Heading 1 2 2 2 4 2 2 6 3" xfId="9094"/>
    <cellStyle name="Heading 1 2 2 2 4 2 2 6 3 2" xfId="9095"/>
    <cellStyle name="Heading 1 2 2 2 4 2 2 6 3 2 2" xfId="9096"/>
    <cellStyle name="Heading 1 2 2 2 4 2 2 6 3 3" xfId="9097"/>
    <cellStyle name="Heading 1 2 2 2 4 2 2 6 4" xfId="9098"/>
    <cellStyle name="Heading 1 2 2 2 4 2 2 6 4 2" xfId="9099"/>
    <cellStyle name="Heading 1 2 2 2 4 2 2 6 4 2 2" xfId="9100"/>
    <cellStyle name="Heading 1 2 2 2 4 2 2 6 4 3" xfId="9101"/>
    <cellStyle name="Heading 1 2 2 2 4 2 2 6 5" xfId="9102"/>
    <cellStyle name="Heading 1 2 2 2 4 2 2 6 5 2" xfId="9103"/>
    <cellStyle name="Heading 1 2 2 2 4 2 2 6 5 2 2" xfId="9104"/>
    <cellStyle name="Heading 1 2 2 2 4 2 2 6 5 3" xfId="9105"/>
    <cellStyle name="Heading 1 2 2 2 4 2 2 6 6" xfId="9106"/>
    <cellStyle name="Heading 1 2 2 2 4 2 2 6 6 2" xfId="9107"/>
    <cellStyle name="Heading 1 2 2 2 4 2 2 6 6 2 2" xfId="9108"/>
    <cellStyle name="Heading 1 2 2 2 4 2 2 6 6 3" xfId="9109"/>
    <cellStyle name="Heading 1 2 2 2 4 2 2 6 7" xfId="9110"/>
    <cellStyle name="Heading 1 2 2 2 4 2 2 6 7 2" xfId="9111"/>
    <cellStyle name="Heading 1 2 2 2 4 2 2 6 7 2 2" xfId="9112"/>
    <cellStyle name="Heading 1 2 2 2 4 2 2 6 7 3" xfId="9113"/>
    <cellStyle name="Heading 1 2 2 2 4 2 2 6 8" xfId="9114"/>
    <cellStyle name="Heading 1 2 2 2 4 2 2 6 8 2" xfId="9115"/>
    <cellStyle name="Heading 1 2 2 2 4 2 2 6 9" xfId="9116"/>
    <cellStyle name="Heading 1 2 2 2 4 2 2 7" xfId="9117"/>
    <cellStyle name="Heading 1 2 2 2 4 2 2 7 2" xfId="9118"/>
    <cellStyle name="Heading 1 2 2 2 4 2 2 7 2 2" xfId="9119"/>
    <cellStyle name="Heading 1 2 2 2 4 2 2 7 2 2 2" xfId="9120"/>
    <cellStyle name="Heading 1 2 2 2 4 2 2 7 2 3" xfId="9121"/>
    <cellStyle name="Heading 1 2 2 2 4 2 2 7 3" xfId="9122"/>
    <cellStyle name="Heading 1 2 2 2 4 2 2 7 3 2" xfId="9123"/>
    <cellStyle name="Heading 1 2 2 2 4 2 2 7 3 2 2" xfId="9124"/>
    <cellStyle name="Heading 1 2 2 2 4 2 2 7 3 3" xfId="9125"/>
    <cellStyle name="Heading 1 2 2 2 4 2 2 7 4" xfId="9126"/>
    <cellStyle name="Heading 1 2 2 2 4 2 2 7 4 2" xfId="9127"/>
    <cellStyle name="Heading 1 2 2 2 4 2 2 7 4 2 2" xfId="9128"/>
    <cellStyle name="Heading 1 2 2 2 4 2 2 7 4 3" xfId="9129"/>
    <cellStyle name="Heading 1 2 2 2 4 2 2 7 5" xfId="9130"/>
    <cellStyle name="Heading 1 2 2 2 4 2 2 7 5 2" xfId="9131"/>
    <cellStyle name="Heading 1 2 2 2 4 2 2 7 5 2 2" xfId="9132"/>
    <cellStyle name="Heading 1 2 2 2 4 2 2 7 5 3" xfId="9133"/>
    <cellStyle name="Heading 1 2 2 2 4 2 2 7 6" xfId="9134"/>
    <cellStyle name="Heading 1 2 2 2 4 2 2 7 6 2" xfId="9135"/>
    <cellStyle name="Heading 1 2 2 2 4 2 2 7 6 2 2" xfId="9136"/>
    <cellStyle name="Heading 1 2 2 2 4 2 2 7 6 3" xfId="9137"/>
    <cellStyle name="Heading 1 2 2 2 4 2 2 7 7" xfId="9138"/>
    <cellStyle name="Heading 1 2 2 2 4 2 2 7 7 2" xfId="9139"/>
    <cellStyle name="Heading 1 2 2 2 4 2 2 7 7 2 2" xfId="9140"/>
    <cellStyle name="Heading 1 2 2 2 4 2 2 7 7 3" xfId="9141"/>
    <cellStyle name="Heading 1 2 2 2 4 2 2 7 8" xfId="9142"/>
    <cellStyle name="Heading 1 2 2 2 4 2 2 7 8 2" xfId="9143"/>
    <cellStyle name="Heading 1 2 2 2 4 2 2 7 9" xfId="9144"/>
    <cellStyle name="Heading 1 2 2 2 4 2 2 8" xfId="9145"/>
    <cellStyle name="Heading 1 2 2 2 4 2 2 8 2" xfId="9146"/>
    <cellStyle name="Heading 1 2 2 2 4 2 2 8 2 2" xfId="9147"/>
    <cellStyle name="Heading 1 2 2 2 4 2 2 8 2 2 2" xfId="9148"/>
    <cellStyle name="Heading 1 2 2 2 4 2 2 8 2 3" xfId="9149"/>
    <cellStyle name="Heading 1 2 2 2 4 2 2 8 3" xfId="9150"/>
    <cellStyle name="Heading 1 2 2 2 4 2 2 8 3 2" xfId="9151"/>
    <cellStyle name="Heading 1 2 2 2 4 2 2 8 3 2 2" xfId="9152"/>
    <cellStyle name="Heading 1 2 2 2 4 2 2 8 3 3" xfId="9153"/>
    <cellStyle name="Heading 1 2 2 2 4 2 2 8 4" xfId="9154"/>
    <cellStyle name="Heading 1 2 2 2 4 2 2 8 4 2" xfId="9155"/>
    <cellStyle name="Heading 1 2 2 2 4 2 2 8 4 2 2" xfId="9156"/>
    <cellStyle name="Heading 1 2 2 2 4 2 2 8 4 3" xfId="9157"/>
    <cellStyle name="Heading 1 2 2 2 4 2 2 8 5" xfId="9158"/>
    <cellStyle name="Heading 1 2 2 2 4 2 2 8 5 2" xfId="9159"/>
    <cellStyle name="Heading 1 2 2 2 4 2 2 8 5 2 2" xfId="9160"/>
    <cellStyle name="Heading 1 2 2 2 4 2 2 8 5 3" xfId="9161"/>
    <cellStyle name="Heading 1 2 2 2 4 2 2 8 6" xfId="9162"/>
    <cellStyle name="Heading 1 2 2 2 4 2 2 8 6 2" xfId="9163"/>
    <cellStyle name="Heading 1 2 2 2 4 2 2 8 6 2 2" xfId="9164"/>
    <cellStyle name="Heading 1 2 2 2 4 2 2 8 6 3" xfId="9165"/>
    <cellStyle name="Heading 1 2 2 2 4 2 2 8 7" xfId="9166"/>
    <cellStyle name="Heading 1 2 2 2 4 2 2 8 7 2" xfId="9167"/>
    <cellStyle name="Heading 1 2 2 2 4 2 2 8 7 2 2" xfId="9168"/>
    <cellStyle name="Heading 1 2 2 2 4 2 2 8 7 3" xfId="9169"/>
    <cellStyle name="Heading 1 2 2 2 4 2 2 8 8" xfId="9170"/>
    <cellStyle name="Heading 1 2 2 2 4 2 2 8 8 2" xfId="9171"/>
    <cellStyle name="Heading 1 2 2 2 4 2 2 8 9" xfId="9172"/>
    <cellStyle name="Heading 1 2 2 2 4 2 2 9" xfId="9173"/>
    <cellStyle name="Heading 1 2 2 2 4 2 2 9 2" xfId="9174"/>
    <cellStyle name="Heading 1 2 2 2 4 2 2 9 2 2" xfId="9175"/>
    <cellStyle name="Heading 1 2 2 2 4 2 2 9 3" xfId="9176"/>
    <cellStyle name="Heading 1 2 2 2 4 2 20" xfId="9177"/>
    <cellStyle name="Heading 1 2 2 2 4 2 20 2" xfId="9178"/>
    <cellStyle name="Heading 1 2 2 2 4 2 21" xfId="9179"/>
    <cellStyle name="Heading 1 2 2 2 4 2 21 2" xfId="9180"/>
    <cellStyle name="Heading 1 2 2 2 4 2 22" xfId="9181"/>
    <cellStyle name="Heading 1 2 2 2 4 2 22 2" xfId="9182"/>
    <cellStyle name="Heading 1 2 2 2 4 2 23" xfId="9183"/>
    <cellStyle name="Heading 1 2 2 2 4 2 3" xfId="9184"/>
    <cellStyle name="Heading 1 2 2 2 4 2 3 2" xfId="9185"/>
    <cellStyle name="Heading 1 2 2 2 4 2 3 2 2" xfId="9186"/>
    <cellStyle name="Heading 1 2 2 2 4 2 3 2 2 2" xfId="9187"/>
    <cellStyle name="Heading 1 2 2 2 4 2 3 2 3" xfId="9188"/>
    <cellStyle name="Heading 1 2 2 2 4 2 3 3" xfId="9189"/>
    <cellStyle name="Heading 1 2 2 2 4 2 3 3 2" xfId="9190"/>
    <cellStyle name="Heading 1 2 2 2 4 2 3 3 2 2" xfId="9191"/>
    <cellStyle name="Heading 1 2 2 2 4 2 3 3 3" xfId="9192"/>
    <cellStyle name="Heading 1 2 2 2 4 2 3 4" xfId="9193"/>
    <cellStyle name="Heading 1 2 2 2 4 2 3 4 2" xfId="9194"/>
    <cellStyle name="Heading 1 2 2 2 4 2 3 4 2 2" xfId="9195"/>
    <cellStyle name="Heading 1 2 2 2 4 2 3 4 3" xfId="9196"/>
    <cellStyle name="Heading 1 2 2 2 4 2 3 5" xfId="9197"/>
    <cellStyle name="Heading 1 2 2 2 4 2 3 5 2" xfId="9198"/>
    <cellStyle name="Heading 1 2 2 2 4 2 3 5 2 2" xfId="9199"/>
    <cellStyle name="Heading 1 2 2 2 4 2 3 5 3" xfId="9200"/>
    <cellStyle name="Heading 1 2 2 2 4 2 3 6" xfId="9201"/>
    <cellStyle name="Heading 1 2 2 2 4 2 3 6 2" xfId="9202"/>
    <cellStyle name="Heading 1 2 2 2 4 2 3 6 2 2" xfId="9203"/>
    <cellStyle name="Heading 1 2 2 2 4 2 3 6 3" xfId="9204"/>
    <cellStyle name="Heading 1 2 2 2 4 2 3 7" xfId="9205"/>
    <cellStyle name="Heading 1 2 2 2 4 2 3 7 2" xfId="9206"/>
    <cellStyle name="Heading 1 2 2 2 4 2 3 7 2 2" xfId="9207"/>
    <cellStyle name="Heading 1 2 2 2 4 2 3 7 3" xfId="9208"/>
    <cellStyle name="Heading 1 2 2 2 4 2 3 8" xfId="9209"/>
    <cellStyle name="Heading 1 2 2 2 4 2 3 8 2" xfId="9210"/>
    <cellStyle name="Heading 1 2 2 2 4 2 3 9" xfId="9211"/>
    <cellStyle name="Heading 1 2 2 2 4 2 4" xfId="9212"/>
    <cellStyle name="Heading 1 2 2 2 4 2 4 2" xfId="9213"/>
    <cellStyle name="Heading 1 2 2 2 4 2 4 2 2" xfId="9214"/>
    <cellStyle name="Heading 1 2 2 2 4 2 4 2 2 2" xfId="9215"/>
    <cellStyle name="Heading 1 2 2 2 4 2 4 2 3" xfId="9216"/>
    <cellStyle name="Heading 1 2 2 2 4 2 4 3" xfId="9217"/>
    <cellStyle name="Heading 1 2 2 2 4 2 4 3 2" xfId="9218"/>
    <cellStyle name="Heading 1 2 2 2 4 2 4 3 2 2" xfId="9219"/>
    <cellStyle name="Heading 1 2 2 2 4 2 4 3 3" xfId="9220"/>
    <cellStyle name="Heading 1 2 2 2 4 2 4 4" xfId="9221"/>
    <cellStyle name="Heading 1 2 2 2 4 2 4 4 2" xfId="9222"/>
    <cellStyle name="Heading 1 2 2 2 4 2 4 4 2 2" xfId="9223"/>
    <cellStyle name="Heading 1 2 2 2 4 2 4 4 3" xfId="9224"/>
    <cellStyle name="Heading 1 2 2 2 4 2 4 5" xfId="9225"/>
    <cellStyle name="Heading 1 2 2 2 4 2 4 5 2" xfId="9226"/>
    <cellStyle name="Heading 1 2 2 2 4 2 4 5 2 2" xfId="9227"/>
    <cellStyle name="Heading 1 2 2 2 4 2 4 5 3" xfId="9228"/>
    <cellStyle name="Heading 1 2 2 2 4 2 4 6" xfId="9229"/>
    <cellStyle name="Heading 1 2 2 2 4 2 4 6 2" xfId="9230"/>
    <cellStyle name="Heading 1 2 2 2 4 2 4 6 2 2" xfId="9231"/>
    <cellStyle name="Heading 1 2 2 2 4 2 4 6 3" xfId="9232"/>
    <cellStyle name="Heading 1 2 2 2 4 2 4 7" xfId="9233"/>
    <cellStyle name="Heading 1 2 2 2 4 2 4 7 2" xfId="9234"/>
    <cellStyle name="Heading 1 2 2 2 4 2 4 7 2 2" xfId="9235"/>
    <cellStyle name="Heading 1 2 2 2 4 2 4 7 3" xfId="9236"/>
    <cellStyle name="Heading 1 2 2 2 4 2 4 8" xfId="9237"/>
    <cellStyle name="Heading 1 2 2 2 4 2 4 8 2" xfId="9238"/>
    <cellStyle name="Heading 1 2 2 2 4 2 4 9" xfId="9239"/>
    <cellStyle name="Heading 1 2 2 2 4 2 5" xfId="9240"/>
    <cellStyle name="Heading 1 2 2 2 4 2 5 2" xfId="9241"/>
    <cellStyle name="Heading 1 2 2 2 4 2 5 2 2" xfId="9242"/>
    <cellStyle name="Heading 1 2 2 2 4 2 5 2 2 2" xfId="9243"/>
    <cellStyle name="Heading 1 2 2 2 4 2 5 2 3" xfId="9244"/>
    <cellStyle name="Heading 1 2 2 2 4 2 5 3" xfId="9245"/>
    <cellStyle name="Heading 1 2 2 2 4 2 5 3 2" xfId="9246"/>
    <cellStyle name="Heading 1 2 2 2 4 2 5 3 2 2" xfId="9247"/>
    <cellStyle name="Heading 1 2 2 2 4 2 5 3 3" xfId="9248"/>
    <cellStyle name="Heading 1 2 2 2 4 2 5 4" xfId="9249"/>
    <cellStyle name="Heading 1 2 2 2 4 2 5 4 2" xfId="9250"/>
    <cellStyle name="Heading 1 2 2 2 4 2 5 4 2 2" xfId="9251"/>
    <cellStyle name="Heading 1 2 2 2 4 2 5 4 3" xfId="9252"/>
    <cellStyle name="Heading 1 2 2 2 4 2 5 5" xfId="9253"/>
    <cellStyle name="Heading 1 2 2 2 4 2 5 5 2" xfId="9254"/>
    <cellStyle name="Heading 1 2 2 2 4 2 5 5 2 2" xfId="9255"/>
    <cellStyle name="Heading 1 2 2 2 4 2 5 5 3" xfId="9256"/>
    <cellStyle name="Heading 1 2 2 2 4 2 5 6" xfId="9257"/>
    <cellStyle name="Heading 1 2 2 2 4 2 5 6 2" xfId="9258"/>
    <cellStyle name="Heading 1 2 2 2 4 2 5 6 2 2" xfId="9259"/>
    <cellStyle name="Heading 1 2 2 2 4 2 5 6 3" xfId="9260"/>
    <cellStyle name="Heading 1 2 2 2 4 2 5 7" xfId="9261"/>
    <cellStyle name="Heading 1 2 2 2 4 2 5 7 2" xfId="9262"/>
    <cellStyle name="Heading 1 2 2 2 4 2 5 7 2 2" xfId="9263"/>
    <cellStyle name="Heading 1 2 2 2 4 2 5 7 3" xfId="9264"/>
    <cellStyle name="Heading 1 2 2 2 4 2 5 8" xfId="9265"/>
    <cellStyle name="Heading 1 2 2 2 4 2 5 8 2" xfId="9266"/>
    <cellStyle name="Heading 1 2 2 2 4 2 5 9" xfId="9267"/>
    <cellStyle name="Heading 1 2 2 2 4 2 6" xfId="9268"/>
    <cellStyle name="Heading 1 2 2 2 4 2 6 2" xfId="9269"/>
    <cellStyle name="Heading 1 2 2 2 4 2 6 2 2" xfId="9270"/>
    <cellStyle name="Heading 1 2 2 2 4 2 6 2 2 2" xfId="9271"/>
    <cellStyle name="Heading 1 2 2 2 4 2 6 2 3" xfId="9272"/>
    <cellStyle name="Heading 1 2 2 2 4 2 6 3" xfId="9273"/>
    <cellStyle name="Heading 1 2 2 2 4 2 6 3 2" xfId="9274"/>
    <cellStyle name="Heading 1 2 2 2 4 2 6 3 2 2" xfId="9275"/>
    <cellStyle name="Heading 1 2 2 2 4 2 6 3 3" xfId="9276"/>
    <cellStyle name="Heading 1 2 2 2 4 2 6 4" xfId="9277"/>
    <cellStyle name="Heading 1 2 2 2 4 2 6 4 2" xfId="9278"/>
    <cellStyle name="Heading 1 2 2 2 4 2 6 4 2 2" xfId="9279"/>
    <cellStyle name="Heading 1 2 2 2 4 2 6 4 3" xfId="9280"/>
    <cellStyle name="Heading 1 2 2 2 4 2 6 5" xfId="9281"/>
    <cellStyle name="Heading 1 2 2 2 4 2 6 5 2" xfId="9282"/>
    <cellStyle name="Heading 1 2 2 2 4 2 6 5 2 2" xfId="9283"/>
    <cellStyle name="Heading 1 2 2 2 4 2 6 5 3" xfId="9284"/>
    <cellStyle name="Heading 1 2 2 2 4 2 6 6" xfId="9285"/>
    <cellStyle name="Heading 1 2 2 2 4 2 6 6 2" xfId="9286"/>
    <cellStyle name="Heading 1 2 2 2 4 2 6 6 2 2" xfId="9287"/>
    <cellStyle name="Heading 1 2 2 2 4 2 6 6 3" xfId="9288"/>
    <cellStyle name="Heading 1 2 2 2 4 2 6 7" xfId="9289"/>
    <cellStyle name="Heading 1 2 2 2 4 2 6 7 2" xfId="9290"/>
    <cellStyle name="Heading 1 2 2 2 4 2 6 7 2 2" xfId="9291"/>
    <cellStyle name="Heading 1 2 2 2 4 2 6 7 3" xfId="9292"/>
    <cellStyle name="Heading 1 2 2 2 4 2 6 8" xfId="9293"/>
    <cellStyle name="Heading 1 2 2 2 4 2 6 8 2" xfId="9294"/>
    <cellStyle name="Heading 1 2 2 2 4 2 6 9" xfId="9295"/>
    <cellStyle name="Heading 1 2 2 2 4 2 7" xfId="9296"/>
    <cellStyle name="Heading 1 2 2 2 4 2 7 2" xfId="9297"/>
    <cellStyle name="Heading 1 2 2 2 4 2 7 2 2" xfId="9298"/>
    <cellStyle name="Heading 1 2 2 2 4 2 7 2 2 2" xfId="9299"/>
    <cellStyle name="Heading 1 2 2 2 4 2 7 2 3" xfId="9300"/>
    <cellStyle name="Heading 1 2 2 2 4 2 7 3" xfId="9301"/>
    <cellStyle name="Heading 1 2 2 2 4 2 7 3 2" xfId="9302"/>
    <cellStyle name="Heading 1 2 2 2 4 2 7 3 2 2" xfId="9303"/>
    <cellStyle name="Heading 1 2 2 2 4 2 7 3 3" xfId="9304"/>
    <cellStyle name="Heading 1 2 2 2 4 2 7 4" xfId="9305"/>
    <cellStyle name="Heading 1 2 2 2 4 2 7 4 2" xfId="9306"/>
    <cellStyle name="Heading 1 2 2 2 4 2 7 4 2 2" xfId="9307"/>
    <cellStyle name="Heading 1 2 2 2 4 2 7 4 3" xfId="9308"/>
    <cellStyle name="Heading 1 2 2 2 4 2 7 5" xfId="9309"/>
    <cellStyle name="Heading 1 2 2 2 4 2 7 5 2" xfId="9310"/>
    <cellStyle name="Heading 1 2 2 2 4 2 7 5 2 2" xfId="9311"/>
    <cellStyle name="Heading 1 2 2 2 4 2 7 5 3" xfId="9312"/>
    <cellStyle name="Heading 1 2 2 2 4 2 7 6" xfId="9313"/>
    <cellStyle name="Heading 1 2 2 2 4 2 7 6 2" xfId="9314"/>
    <cellStyle name="Heading 1 2 2 2 4 2 7 6 2 2" xfId="9315"/>
    <cellStyle name="Heading 1 2 2 2 4 2 7 6 3" xfId="9316"/>
    <cellStyle name="Heading 1 2 2 2 4 2 7 7" xfId="9317"/>
    <cellStyle name="Heading 1 2 2 2 4 2 7 7 2" xfId="9318"/>
    <cellStyle name="Heading 1 2 2 2 4 2 7 7 2 2" xfId="9319"/>
    <cellStyle name="Heading 1 2 2 2 4 2 7 7 3" xfId="9320"/>
    <cellStyle name="Heading 1 2 2 2 4 2 7 8" xfId="9321"/>
    <cellStyle name="Heading 1 2 2 2 4 2 7 8 2" xfId="9322"/>
    <cellStyle name="Heading 1 2 2 2 4 2 7 9" xfId="9323"/>
    <cellStyle name="Heading 1 2 2 2 4 2 8" xfId="9324"/>
    <cellStyle name="Heading 1 2 2 2 4 2 8 2" xfId="9325"/>
    <cellStyle name="Heading 1 2 2 2 4 2 8 2 2" xfId="9326"/>
    <cellStyle name="Heading 1 2 2 2 4 2 8 2 2 2" xfId="9327"/>
    <cellStyle name="Heading 1 2 2 2 4 2 8 2 3" xfId="9328"/>
    <cellStyle name="Heading 1 2 2 2 4 2 8 3" xfId="9329"/>
    <cellStyle name="Heading 1 2 2 2 4 2 8 3 2" xfId="9330"/>
    <cellStyle name="Heading 1 2 2 2 4 2 8 3 2 2" xfId="9331"/>
    <cellStyle name="Heading 1 2 2 2 4 2 8 3 3" xfId="9332"/>
    <cellStyle name="Heading 1 2 2 2 4 2 8 4" xfId="9333"/>
    <cellStyle name="Heading 1 2 2 2 4 2 8 4 2" xfId="9334"/>
    <cellStyle name="Heading 1 2 2 2 4 2 8 4 2 2" xfId="9335"/>
    <cellStyle name="Heading 1 2 2 2 4 2 8 4 3" xfId="9336"/>
    <cellStyle name="Heading 1 2 2 2 4 2 8 5" xfId="9337"/>
    <cellStyle name="Heading 1 2 2 2 4 2 8 5 2" xfId="9338"/>
    <cellStyle name="Heading 1 2 2 2 4 2 8 5 2 2" xfId="9339"/>
    <cellStyle name="Heading 1 2 2 2 4 2 8 5 3" xfId="9340"/>
    <cellStyle name="Heading 1 2 2 2 4 2 8 6" xfId="9341"/>
    <cellStyle name="Heading 1 2 2 2 4 2 8 6 2" xfId="9342"/>
    <cellStyle name="Heading 1 2 2 2 4 2 8 6 2 2" xfId="9343"/>
    <cellStyle name="Heading 1 2 2 2 4 2 8 6 3" xfId="9344"/>
    <cellStyle name="Heading 1 2 2 2 4 2 8 7" xfId="9345"/>
    <cellStyle name="Heading 1 2 2 2 4 2 8 7 2" xfId="9346"/>
    <cellStyle name="Heading 1 2 2 2 4 2 8 7 2 2" xfId="9347"/>
    <cellStyle name="Heading 1 2 2 2 4 2 8 7 3" xfId="9348"/>
    <cellStyle name="Heading 1 2 2 2 4 2 8 8" xfId="9349"/>
    <cellStyle name="Heading 1 2 2 2 4 2 8 8 2" xfId="9350"/>
    <cellStyle name="Heading 1 2 2 2 4 2 8 9" xfId="9351"/>
    <cellStyle name="Heading 1 2 2 2 4 2 9" xfId="9352"/>
    <cellStyle name="Heading 1 2 2 2 4 2 9 2" xfId="9353"/>
    <cellStyle name="Heading 1 2 2 2 4 2 9 2 2" xfId="9354"/>
    <cellStyle name="Heading 1 2 2 2 4 2 9 2 2 2" xfId="9355"/>
    <cellStyle name="Heading 1 2 2 2 4 2 9 2 3" xfId="9356"/>
    <cellStyle name="Heading 1 2 2 2 4 2 9 3" xfId="9357"/>
    <cellStyle name="Heading 1 2 2 2 4 2 9 3 2" xfId="9358"/>
    <cellStyle name="Heading 1 2 2 2 4 2 9 3 2 2" xfId="9359"/>
    <cellStyle name="Heading 1 2 2 2 4 2 9 3 3" xfId="9360"/>
    <cellStyle name="Heading 1 2 2 2 4 2 9 4" xfId="9361"/>
    <cellStyle name="Heading 1 2 2 2 4 2 9 4 2" xfId="9362"/>
    <cellStyle name="Heading 1 2 2 2 4 2 9 4 2 2" xfId="9363"/>
    <cellStyle name="Heading 1 2 2 2 4 2 9 4 3" xfId="9364"/>
    <cellStyle name="Heading 1 2 2 2 4 2 9 5" xfId="9365"/>
    <cellStyle name="Heading 1 2 2 2 4 2 9 5 2" xfId="9366"/>
    <cellStyle name="Heading 1 2 2 2 4 2 9 5 2 2" xfId="9367"/>
    <cellStyle name="Heading 1 2 2 2 4 2 9 5 3" xfId="9368"/>
    <cellStyle name="Heading 1 2 2 2 4 2 9 6" xfId="9369"/>
    <cellStyle name="Heading 1 2 2 2 4 2 9 6 2" xfId="9370"/>
    <cellStyle name="Heading 1 2 2 2 4 2 9 6 2 2" xfId="9371"/>
    <cellStyle name="Heading 1 2 2 2 4 2 9 6 3" xfId="9372"/>
    <cellStyle name="Heading 1 2 2 2 4 2 9 7" xfId="9373"/>
    <cellStyle name="Heading 1 2 2 2 4 2 9 7 2" xfId="9374"/>
    <cellStyle name="Heading 1 2 2 2 4 2 9 7 2 2" xfId="9375"/>
    <cellStyle name="Heading 1 2 2 2 4 2 9 7 3" xfId="9376"/>
    <cellStyle name="Heading 1 2 2 2 4 2 9 8" xfId="9377"/>
    <cellStyle name="Heading 1 2 2 2 4 2 9 8 2" xfId="9378"/>
    <cellStyle name="Heading 1 2 2 2 4 2 9 9" xfId="9379"/>
    <cellStyle name="Heading 1 2 2 2 4 3" xfId="9380"/>
    <cellStyle name="Heading 1 2 2 2 4 3 10" xfId="9381"/>
    <cellStyle name="Heading 1 2 2 2 4 3 10 2" xfId="9382"/>
    <cellStyle name="Heading 1 2 2 2 4 3 10 2 2" xfId="9383"/>
    <cellStyle name="Heading 1 2 2 2 4 3 10 3" xfId="9384"/>
    <cellStyle name="Heading 1 2 2 2 4 3 11" xfId="9385"/>
    <cellStyle name="Heading 1 2 2 2 4 3 11 2" xfId="9386"/>
    <cellStyle name="Heading 1 2 2 2 4 3 11 2 2" xfId="9387"/>
    <cellStyle name="Heading 1 2 2 2 4 3 11 3" xfId="9388"/>
    <cellStyle name="Heading 1 2 2 2 4 3 12" xfId="9389"/>
    <cellStyle name="Heading 1 2 2 2 4 3 12 2" xfId="9390"/>
    <cellStyle name="Heading 1 2 2 2 4 3 12 2 2" xfId="9391"/>
    <cellStyle name="Heading 1 2 2 2 4 3 12 3" xfId="9392"/>
    <cellStyle name="Heading 1 2 2 2 4 3 13" xfId="9393"/>
    <cellStyle name="Heading 1 2 2 2 4 3 13 2" xfId="9394"/>
    <cellStyle name="Heading 1 2 2 2 4 3 13 2 2" xfId="9395"/>
    <cellStyle name="Heading 1 2 2 2 4 3 13 3" xfId="9396"/>
    <cellStyle name="Heading 1 2 2 2 4 3 14" xfId="9397"/>
    <cellStyle name="Heading 1 2 2 2 4 3 14 2" xfId="9398"/>
    <cellStyle name="Heading 1 2 2 2 4 3 14 2 2" xfId="9399"/>
    <cellStyle name="Heading 1 2 2 2 4 3 14 3" xfId="9400"/>
    <cellStyle name="Heading 1 2 2 2 4 3 15" xfId="9401"/>
    <cellStyle name="Heading 1 2 2 2 4 3 15 2" xfId="9402"/>
    <cellStyle name="Heading 1 2 2 2 4 3 15 2 2" xfId="9403"/>
    <cellStyle name="Heading 1 2 2 2 4 3 15 3" xfId="9404"/>
    <cellStyle name="Heading 1 2 2 2 4 3 16" xfId="9405"/>
    <cellStyle name="Heading 1 2 2 2 4 3 16 2" xfId="9406"/>
    <cellStyle name="Heading 1 2 2 2 4 3 16 2 2" xfId="9407"/>
    <cellStyle name="Heading 1 2 2 2 4 3 16 3" xfId="9408"/>
    <cellStyle name="Heading 1 2 2 2 4 3 17" xfId="9409"/>
    <cellStyle name="Heading 1 2 2 2 4 3 17 2" xfId="9410"/>
    <cellStyle name="Heading 1 2 2 2 4 3 17 2 2" xfId="9411"/>
    <cellStyle name="Heading 1 2 2 2 4 3 17 3" xfId="9412"/>
    <cellStyle name="Heading 1 2 2 2 4 3 18" xfId="9413"/>
    <cellStyle name="Heading 1 2 2 2 4 3 18 2" xfId="9414"/>
    <cellStyle name="Heading 1 2 2 2 4 3 18 2 2" xfId="9415"/>
    <cellStyle name="Heading 1 2 2 2 4 3 18 3" xfId="9416"/>
    <cellStyle name="Heading 1 2 2 2 4 3 19" xfId="9417"/>
    <cellStyle name="Heading 1 2 2 2 4 3 19 2" xfId="9418"/>
    <cellStyle name="Heading 1 2 2 2 4 3 2" xfId="9419"/>
    <cellStyle name="Heading 1 2 2 2 4 3 2 2" xfId="9420"/>
    <cellStyle name="Heading 1 2 2 2 4 3 2 2 2" xfId="9421"/>
    <cellStyle name="Heading 1 2 2 2 4 3 2 2 2 2" xfId="9422"/>
    <cellStyle name="Heading 1 2 2 2 4 3 2 2 3" xfId="9423"/>
    <cellStyle name="Heading 1 2 2 2 4 3 2 3" xfId="9424"/>
    <cellStyle name="Heading 1 2 2 2 4 3 2 3 2" xfId="9425"/>
    <cellStyle name="Heading 1 2 2 2 4 3 2 3 2 2" xfId="9426"/>
    <cellStyle name="Heading 1 2 2 2 4 3 2 3 3" xfId="9427"/>
    <cellStyle name="Heading 1 2 2 2 4 3 2 4" xfId="9428"/>
    <cellStyle name="Heading 1 2 2 2 4 3 2 4 2" xfId="9429"/>
    <cellStyle name="Heading 1 2 2 2 4 3 2 4 2 2" xfId="9430"/>
    <cellStyle name="Heading 1 2 2 2 4 3 2 4 3" xfId="9431"/>
    <cellStyle name="Heading 1 2 2 2 4 3 2 5" xfId="9432"/>
    <cellStyle name="Heading 1 2 2 2 4 3 2 5 2" xfId="9433"/>
    <cellStyle name="Heading 1 2 2 2 4 3 2 5 2 2" xfId="9434"/>
    <cellStyle name="Heading 1 2 2 2 4 3 2 5 3" xfId="9435"/>
    <cellStyle name="Heading 1 2 2 2 4 3 2 6" xfId="9436"/>
    <cellStyle name="Heading 1 2 2 2 4 3 2 6 2" xfId="9437"/>
    <cellStyle name="Heading 1 2 2 2 4 3 2 6 2 2" xfId="9438"/>
    <cellStyle name="Heading 1 2 2 2 4 3 2 6 3" xfId="9439"/>
    <cellStyle name="Heading 1 2 2 2 4 3 2 7" xfId="9440"/>
    <cellStyle name="Heading 1 2 2 2 4 3 2 7 2" xfId="9441"/>
    <cellStyle name="Heading 1 2 2 2 4 3 2 7 2 2" xfId="9442"/>
    <cellStyle name="Heading 1 2 2 2 4 3 2 7 3" xfId="9443"/>
    <cellStyle name="Heading 1 2 2 2 4 3 2 8" xfId="9444"/>
    <cellStyle name="Heading 1 2 2 2 4 3 2 8 2" xfId="9445"/>
    <cellStyle name="Heading 1 2 2 2 4 3 2 9" xfId="9446"/>
    <cellStyle name="Heading 1 2 2 2 4 3 20" xfId="9447"/>
    <cellStyle name="Heading 1 2 2 2 4 3 20 2" xfId="9448"/>
    <cellStyle name="Heading 1 2 2 2 4 3 21" xfId="9449"/>
    <cellStyle name="Heading 1 2 2 2 4 3 21 2" xfId="9450"/>
    <cellStyle name="Heading 1 2 2 2 4 3 22" xfId="9451"/>
    <cellStyle name="Heading 1 2 2 2 4 3 3" xfId="9452"/>
    <cellStyle name="Heading 1 2 2 2 4 3 3 2" xfId="9453"/>
    <cellStyle name="Heading 1 2 2 2 4 3 3 2 2" xfId="9454"/>
    <cellStyle name="Heading 1 2 2 2 4 3 3 2 2 2" xfId="9455"/>
    <cellStyle name="Heading 1 2 2 2 4 3 3 2 3" xfId="9456"/>
    <cellStyle name="Heading 1 2 2 2 4 3 3 3" xfId="9457"/>
    <cellStyle name="Heading 1 2 2 2 4 3 3 3 2" xfId="9458"/>
    <cellStyle name="Heading 1 2 2 2 4 3 3 3 2 2" xfId="9459"/>
    <cellStyle name="Heading 1 2 2 2 4 3 3 3 3" xfId="9460"/>
    <cellStyle name="Heading 1 2 2 2 4 3 3 4" xfId="9461"/>
    <cellStyle name="Heading 1 2 2 2 4 3 3 4 2" xfId="9462"/>
    <cellStyle name="Heading 1 2 2 2 4 3 3 4 2 2" xfId="9463"/>
    <cellStyle name="Heading 1 2 2 2 4 3 3 4 3" xfId="9464"/>
    <cellStyle name="Heading 1 2 2 2 4 3 3 5" xfId="9465"/>
    <cellStyle name="Heading 1 2 2 2 4 3 3 5 2" xfId="9466"/>
    <cellStyle name="Heading 1 2 2 2 4 3 3 5 2 2" xfId="9467"/>
    <cellStyle name="Heading 1 2 2 2 4 3 3 5 3" xfId="9468"/>
    <cellStyle name="Heading 1 2 2 2 4 3 3 6" xfId="9469"/>
    <cellStyle name="Heading 1 2 2 2 4 3 3 6 2" xfId="9470"/>
    <cellStyle name="Heading 1 2 2 2 4 3 3 6 2 2" xfId="9471"/>
    <cellStyle name="Heading 1 2 2 2 4 3 3 6 3" xfId="9472"/>
    <cellStyle name="Heading 1 2 2 2 4 3 3 7" xfId="9473"/>
    <cellStyle name="Heading 1 2 2 2 4 3 3 7 2" xfId="9474"/>
    <cellStyle name="Heading 1 2 2 2 4 3 3 7 2 2" xfId="9475"/>
    <cellStyle name="Heading 1 2 2 2 4 3 3 7 3" xfId="9476"/>
    <cellStyle name="Heading 1 2 2 2 4 3 3 8" xfId="9477"/>
    <cellStyle name="Heading 1 2 2 2 4 3 3 8 2" xfId="9478"/>
    <cellStyle name="Heading 1 2 2 2 4 3 3 9" xfId="9479"/>
    <cellStyle name="Heading 1 2 2 2 4 3 4" xfId="9480"/>
    <cellStyle name="Heading 1 2 2 2 4 3 4 2" xfId="9481"/>
    <cellStyle name="Heading 1 2 2 2 4 3 4 2 2" xfId="9482"/>
    <cellStyle name="Heading 1 2 2 2 4 3 4 2 2 2" xfId="9483"/>
    <cellStyle name="Heading 1 2 2 2 4 3 4 2 3" xfId="9484"/>
    <cellStyle name="Heading 1 2 2 2 4 3 4 3" xfId="9485"/>
    <cellStyle name="Heading 1 2 2 2 4 3 4 3 2" xfId="9486"/>
    <cellStyle name="Heading 1 2 2 2 4 3 4 3 2 2" xfId="9487"/>
    <cellStyle name="Heading 1 2 2 2 4 3 4 3 3" xfId="9488"/>
    <cellStyle name="Heading 1 2 2 2 4 3 4 4" xfId="9489"/>
    <cellStyle name="Heading 1 2 2 2 4 3 4 4 2" xfId="9490"/>
    <cellStyle name="Heading 1 2 2 2 4 3 4 4 2 2" xfId="9491"/>
    <cellStyle name="Heading 1 2 2 2 4 3 4 4 3" xfId="9492"/>
    <cellStyle name="Heading 1 2 2 2 4 3 4 5" xfId="9493"/>
    <cellStyle name="Heading 1 2 2 2 4 3 4 5 2" xfId="9494"/>
    <cellStyle name="Heading 1 2 2 2 4 3 4 5 2 2" xfId="9495"/>
    <cellStyle name="Heading 1 2 2 2 4 3 4 5 3" xfId="9496"/>
    <cellStyle name="Heading 1 2 2 2 4 3 4 6" xfId="9497"/>
    <cellStyle name="Heading 1 2 2 2 4 3 4 6 2" xfId="9498"/>
    <cellStyle name="Heading 1 2 2 2 4 3 4 6 2 2" xfId="9499"/>
    <cellStyle name="Heading 1 2 2 2 4 3 4 6 3" xfId="9500"/>
    <cellStyle name="Heading 1 2 2 2 4 3 4 7" xfId="9501"/>
    <cellStyle name="Heading 1 2 2 2 4 3 4 7 2" xfId="9502"/>
    <cellStyle name="Heading 1 2 2 2 4 3 4 7 2 2" xfId="9503"/>
    <cellStyle name="Heading 1 2 2 2 4 3 4 7 3" xfId="9504"/>
    <cellStyle name="Heading 1 2 2 2 4 3 4 8" xfId="9505"/>
    <cellStyle name="Heading 1 2 2 2 4 3 4 8 2" xfId="9506"/>
    <cellStyle name="Heading 1 2 2 2 4 3 4 9" xfId="9507"/>
    <cellStyle name="Heading 1 2 2 2 4 3 5" xfId="9508"/>
    <cellStyle name="Heading 1 2 2 2 4 3 5 2" xfId="9509"/>
    <cellStyle name="Heading 1 2 2 2 4 3 5 2 2" xfId="9510"/>
    <cellStyle name="Heading 1 2 2 2 4 3 5 2 2 2" xfId="9511"/>
    <cellStyle name="Heading 1 2 2 2 4 3 5 2 3" xfId="9512"/>
    <cellStyle name="Heading 1 2 2 2 4 3 5 3" xfId="9513"/>
    <cellStyle name="Heading 1 2 2 2 4 3 5 3 2" xfId="9514"/>
    <cellStyle name="Heading 1 2 2 2 4 3 5 3 2 2" xfId="9515"/>
    <cellStyle name="Heading 1 2 2 2 4 3 5 3 3" xfId="9516"/>
    <cellStyle name="Heading 1 2 2 2 4 3 5 4" xfId="9517"/>
    <cellStyle name="Heading 1 2 2 2 4 3 5 4 2" xfId="9518"/>
    <cellStyle name="Heading 1 2 2 2 4 3 5 4 2 2" xfId="9519"/>
    <cellStyle name="Heading 1 2 2 2 4 3 5 4 3" xfId="9520"/>
    <cellStyle name="Heading 1 2 2 2 4 3 5 5" xfId="9521"/>
    <cellStyle name="Heading 1 2 2 2 4 3 5 5 2" xfId="9522"/>
    <cellStyle name="Heading 1 2 2 2 4 3 5 5 2 2" xfId="9523"/>
    <cellStyle name="Heading 1 2 2 2 4 3 5 5 3" xfId="9524"/>
    <cellStyle name="Heading 1 2 2 2 4 3 5 6" xfId="9525"/>
    <cellStyle name="Heading 1 2 2 2 4 3 5 6 2" xfId="9526"/>
    <cellStyle name="Heading 1 2 2 2 4 3 5 6 2 2" xfId="9527"/>
    <cellStyle name="Heading 1 2 2 2 4 3 5 6 3" xfId="9528"/>
    <cellStyle name="Heading 1 2 2 2 4 3 5 7" xfId="9529"/>
    <cellStyle name="Heading 1 2 2 2 4 3 5 7 2" xfId="9530"/>
    <cellStyle name="Heading 1 2 2 2 4 3 5 7 2 2" xfId="9531"/>
    <cellStyle name="Heading 1 2 2 2 4 3 5 7 3" xfId="9532"/>
    <cellStyle name="Heading 1 2 2 2 4 3 5 8" xfId="9533"/>
    <cellStyle name="Heading 1 2 2 2 4 3 5 8 2" xfId="9534"/>
    <cellStyle name="Heading 1 2 2 2 4 3 5 9" xfId="9535"/>
    <cellStyle name="Heading 1 2 2 2 4 3 6" xfId="9536"/>
    <cellStyle name="Heading 1 2 2 2 4 3 6 2" xfId="9537"/>
    <cellStyle name="Heading 1 2 2 2 4 3 6 2 2" xfId="9538"/>
    <cellStyle name="Heading 1 2 2 2 4 3 6 2 2 2" xfId="9539"/>
    <cellStyle name="Heading 1 2 2 2 4 3 6 2 3" xfId="9540"/>
    <cellStyle name="Heading 1 2 2 2 4 3 6 3" xfId="9541"/>
    <cellStyle name="Heading 1 2 2 2 4 3 6 3 2" xfId="9542"/>
    <cellStyle name="Heading 1 2 2 2 4 3 6 3 2 2" xfId="9543"/>
    <cellStyle name="Heading 1 2 2 2 4 3 6 3 3" xfId="9544"/>
    <cellStyle name="Heading 1 2 2 2 4 3 6 4" xfId="9545"/>
    <cellStyle name="Heading 1 2 2 2 4 3 6 4 2" xfId="9546"/>
    <cellStyle name="Heading 1 2 2 2 4 3 6 4 2 2" xfId="9547"/>
    <cellStyle name="Heading 1 2 2 2 4 3 6 4 3" xfId="9548"/>
    <cellStyle name="Heading 1 2 2 2 4 3 6 5" xfId="9549"/>
    <cellStyle name="Heading 1 2 2 2 4 3 6 5 2" xfId="9550"/>
    <cellStyle name="Heading 1 2 2 2 4 3 6 5 2 2" xfId="9551"/>
    <cellStyle name="Heading 1 2 2 2 4 3 6 5 3" xfId="9552"/>
    <cellStyle name="Heading 1 2 2 2 4 3 6 6" xfId="9553"/>
    <cellStyle name="Heading 1 2 2 2 4 3 6 6 2" xfId="9554"/>
    <cellStyle name="Heading 1 2 2 2 4 3 6 6 2 2" xfId="9555"/>
    <cellStyle name="Heading 1 2 2 2 4 3 6 6 3" xfId="9556"/>
    <cellStyle name="Heading 1 2 2 2 4 3 6 7" xfId="9557"/>
    <cellStyle name="Heading 1 2 2 2 4 3 6 7 2" xfId="9558"/>
    <cellStyle name="Heading 1 2 2 2 4 3 6 7 2 2" xfId="9559"/>
    <cellStyle name="Heading 1 2 2 2 4 3 6 7 3" xfId="9560"/>
    <cellStyle name="Heading 1 2 2 2 4 3 6 8" xfId="9561"/>
    <cellStyle name="Heading 1 2 2 2 4 3 6 8 2" xfId="9562"/>
    <cellStyle name="Heading 1 2 2 2 4 3 6 9" xfId="9563"/>
    <cellStyle name="Heading 1 2 2 2 4 3 7" xfId="9564"/>
    <cellStyle name="Heading 1 2 2 2 4 3 7 2" xfId="9565"/>
    <cellStyle name="Heading 1 2 2 2 4 3 7 2 2" xfId="9566"/>
    <cellStyle name="Heading 1 2 2 2 4 3 7 2 2 2" xfId="9567"/>
    <cellStyle name="Heading 1 2 2 2 4 3 7 2 3" xfId="9568"/>
    <cellStyle name="Heading 1 2 2 2 4 3 7 3" xfId="9569"/>
    <cellStyle name="Heading 1 2 2 2 4 3 7 3 2" xfId="9570"/>
    <cellStyle name="Heading 1 2 2 2 4 3 7 3 2 2" xfId="9571"/>
    <cellStyle name="Heading 1 2 2 2 4 3 7 3 3" xfId="9572"/>
    <cellStyle name="Heading 1 2 2 2 4 3 7 4" xfId="9573"/>
    <cellStyle name="Heading 1 2 2 2 4 3 7 4 2" xfId="9574"/>
    <cellStyle name="Heading 1 2 2 2 4 3 7 4 2 2" xfId="9575"/>
    <cellStyle name="Heading 1 2 2 2 4 3 7 4 3" xfId="9576"/>
    <cellStyle name="Heading 1 2 2 2 4 3 7 5" xfId="9577"/>
    <cellStyle name="Heading 1 2 2 2 4 3 7 5 2" xfId="9578"/>
    <cellStyle name="Heading 1 2 2 2 4 3 7 5 2 2" xfId="9579"/>
    <cellStyle name="Heading 1 2 2 2 4 3 7 5 3" xfId="9580"/>
    <cellStyle name="Heading 1 2 2 2 4 3 7 6" xfId="9581"/>
    <cellStyle name="Heading 1 2 2 2 4 3 7 6 2" xfId="9582"/>
    <cellStyle name="Heading 1 2 2 2 4 3 7 6 2 2" xfId="9583"/>
    <cellStyle name="Heading 1 2 2 2 4 3 7 6 3" xfId="9584"/>
    <cellStyle name="Heading 1 2 2 2 4 3 7 7" xfId="9585"/>
    <cellStyle name="Heading 1 2 2 2 4 3 7 7 2" xfId="9586"/>
    <cellStyle name="Heading 1 2 2 2 4 3 7 7 2 2" xfId="9587"/>
    <cellStyle name="Heading 1 2 2 2 4 3 7 7 3" xfId="9588"/>
    <cellStyle name="Heading 1 2 2 2 4 3 7 8" xfId="9589"/>
    <cellStyle name="Heading 1 2 2 2 4 3 7 8 2" xfId="9590"/>
    <cellStyle name="Heading 1 2 2 2 4 3 7 9" xfId="9591"/>
    <cellStyle name="Heading 1 2 2 2 4 3 8" xfId="9592"/>
    <cellStyle name="Heading 1 2 2 2 4 3 8 2" xfId="9593"/>
    <cellStyle name="Heading 1 2 2 2 4 3 8 2 2" xfId="9594"/>
    <cellStyle name="Heading 1 2 2 2 4 3 8 2 2 2" xfId="9595"/>
    <cellStyle name="Heading 1 2 2 2 4 3 8 2 3" xfId="9596"/>
    <cellStyle name="Heading 1 2 2 2 4 3 8 3" xfId="9597"/>
    <cellStyle name="Heading 1 2 2 2 4 3 8 3 2" xfId="9598"/>
    <cellStyle name="Heading 1 2 2 2 4 3 8 3 2 2" xfId="9599"/>
    <cellStyle name="Heading 1 2 2 2 4 3 8 3 3" xfId="9600"/>
    <cellStyle name="Heading 1 2 2 2 4 3 8 4" xfId="9601"/>
    <cellStyle name="Heading 1 2 2 2 4 3 8 4 2" xfId="9602"/>
    <cellStyle name="Heading 1 2 2 2 4 3 8 4 2 2" xfId="9603"/>
    <cellStyle name="Heading 1 2 2 2 4 3 8 4 3" xfId="9604"/>
    <cellStyle name="Heading 1 2 2 2 4 3 8 5" xfId="9605"/>
    <cellStyle name="Heading 1 2 2 2 4 3 8 5 2" xfId="9606"/>
    <cellStyle name="Heading 1 2 2 2 4 3 8 5 2 2" xfId="9607"/>
    <cellStyle name="Heading 1 2 2 2 4 3 8 5 3" xfId="9608"/>
    <cellStyle name="Heading 1 2 2 2 4 3 8 6" xfId="9609"/>
    <cellStyle name="Heading 1 2 2 2 4 3 8 6 2" xfId="9610"/>
    <cellStyle name="Heading 1 2 2 2 4 3 8 6 2 2" xfId="9611"/>
    <cellStyle name="Heading 1 2 2 2 4 3 8 6 3" xfId="9612"/>
    <cellStyle name="Heading 1 2 2 2 4 3 8 7" xfId="9613"/>
    <cellStyle name="Heading 1 2 2 2 4 3 8 7 2" xfId="9614"/>
    <cellStyle name="Heading 1 2 2 2 4 3 8 7 2 2" xfId="9615"/>
    <cellStyle name="Heading 1 2 2 2 4 3 8 7 3" xfId="9616"/>
    <cellStyle name="Heading 1 2 2 2 4 3 8 8" xfId="9617"/>
    <cellStyle name="Heading 1 2 2 2 4 3 8 8 2" xfId="9618"/>
    <cellStyle name="Heading 1 2 2 2 4 3 8 9" xfId="9619"/>
    <cellStyle name="Heading 1 2 2 2 4 3 9" xfId="9620"/>
    <cellStyle name="Heading 1 2 2 2 4 3 9 2" xfId="9621"/>
    <cellStyle name="Heading 1 2 2 2 4 3 9 2 2" xfId="9622"/>
    <cellStyle name="Heading 1 2 2 2 4 3 9 3" xfId="9623"/>
    <cellStyle name="Heading 1 2 2 2 4 4" xfId="9624"/>
    <cellStyle name="Heading 1 2 2 2 4 4 2" xfId="9625"/>
    <cellStyle name="Heading 1 2 2 2 4 4 2 2" xfId="9626"/>
    <cellStyle name="Heading 1 2 2 2 4 4 3" xfId="9627"/>
    <cellStyle name="Heading 1 2 2 2 4 5" xfId="9628"/>
    <cellStyle name="Heading 1 2 2 2 4 5 2" xfId="9629"/>
    <cellStyle name="Heading 1 2 2 2 4 6" xfId="9630"/>
    <cellStyle name="Heading 1 2 2 2 5" xfId="9631"/>
    <cellStyle name="Heading 1 2 2 2 5 2" xfId="9632"/>
    <cellStyle name="Heading 1 2 2 2 5 2 10" xfId="9633"/>
    <cellStyle name="Heading 1 2 2 2 5 2 10 2" xfId="9634"/>
    <cellStyle name="Heading 1 2 2 2 5 2 10 2 2" xfId="9635"/>
    <cellStyle name="Heading 1 2 2 2 5 2 10 3" xfId="9636"/>
    <cellStyle name="Heading 1 2 2 2 5 2 11" xfId="9637"/>
    <cellStyle name="Heading 1 2 2 2 5 2 11 2" xfId="9638"/>
    <cellStyle name="Heading 1 2 2 2 5 2 11 2 2" xfId="9639"/>
    <cellStyle name="Heading 1 2 2 2 5 2 11 3" xfId="9640"/>
    <cellStyle name="Heading 1 2 2 2 5 2 12" xfId="9641"/>
    <cellStyle name="Heading 1 2 2 2 5 2 12 2" xfId="9642"/>
    <cellStyle name="Heading 1 2 2 2 5 2 12 2 2" xfId="9643"/>
    <cellStyle name="Heading 1 2 2 2 5 2 12 3" xfId="9644"/>
    <cellStyle name="Heading 1 2 2 2 5 2 13" xfId="9645"/>
    <cellStyle name="Heading 1 2 2 2 5 2 13 2" xfId="9646"/>
    <cellStyle name="Heading 1 2 2 2 5 2 13 2 2" xfId="9647"/>
    <cellStyle name="Heading 1 2 2 2 5 2 13 3" xfId="9648"/>
    <cellStyle name="Heading 1 2 2 2 5 2 14" xfId="9649"/>
    <cellStyle name="Heading 1 2 2 2 5 2 14 2" xfId="9650"/>
    <cellStyle name="Heading 1 2 2 2 5 2 14 2 2" xfId="9651"/>
    <cellStyle name="Heading 1 2 2 2 5 2 14 3" xfId="9652"/>
    <cellStyle name="Heading 1 2 2 2 5 2 15" xfId="9653"/>
    <cellStyle name="Heading 1 2 2 2 5 2 15 2" xfId="9654"/>
    <cellStyle name="Heading 1 2 2 2 5 2 15 2 2" xfId="9655"/>
    <cellStyle name="Heading 1 2 2 2 5 2 15 3" xfId="9656"/>
    <cellStyle name="Heading 1 2 2 2 5 2 16" xfId="9657"/>
    <cellStyle name="Heading 1 2 2 2 5 2 16 2" xfId="9658"/>
    <cellStyle name="Heading 1 2 2 2 5 2 16 2 2" xfId="9659"/>
    <cellStyle name="Heading 1 2 2 2 5 2 16 3" xfId="9660"/>
    <cellStyle name="Heading 1 2 2 2 5 2 17" xfId="9661"/>
    <cellStyle name="Heading 1 2 2 2 5 2 17 2" xfId="9662"/>
    <cellStyle name="Heading 1 2 2 2 5 2 17 2 2" xfId="9663"/>
    <cellStyle name="Heading 1 2 2 2 5 2 17 3" xfId="9664"/>
    <cellStyle name="Heading 1 2 2 2 5 2 18" xfId="9665"/>
    <cellStyle name="Heading 1 2 2 2 5 2 18 2" xfId="9666"/>
    <cellStyle name="Heading 1 2 2 2 5 2 18 2 2" xfId="9667"/>
    <cellStyle name="Heading 1 2 2 2 5 2 18 3" xfId="9668"/>
    <cellStyle name="Heading 1 2 2 2 5 2 19" xfId="9669"/>
    <cellStyle name="Heading 1 2 2 2 5 2 19 2" xfId="9670"/>
    <cellStyle name="Heading 1 2 2 2 5 2 19 2 2" xfId="9671"/>
    <cellStyle name="Heading 1 2 2 2 5 2 19 3" xfId="9672"/>
    <cellStyle name="Heading 1 2 2 2 5 2 2" xfId="9673"/>
    <cellStyle name="Heading 1 2 2 2 5 2 2 10" xfId="9674"/>
    <cellStyle name="Heading 1 2 2 2 5 2 2 10 2" xfId="9675"/>
    <cellStyle name="Heading 1 2 2 2 5 2 2 10 2 2" xfId="9676"/>
    <cellStyle name="Heading 1 2 2 2 5 2 2 10 3" xfId="9677"/>
    <cellStyle name="Heading 1 2 2 2 5 2 2 11" xfId="9678"/>
    <cellStyle name="Heading 1 2 2 2 5 2 2 11 2" xfId="9679"/>
    <cellStyle name="Heading 1 2 2 2 5 2 2 11 2 2" xfId="9680"/>
    <cellStyle name="Heading 1 2 2 2 5 2 2 11 3" xfId="9681"/>
    <cellStyle name="Heading 1 2 2 2 5 2 2 12" xfId="9682"/>
    <cellStyle name="Heading 1 2 2 2 5 2 2 12 2" xfId="9683"/>
    <cellStyle name="Heading 1 2 2 2 5 2 2 12 2 2" xfId="9684"/>
    <cellStyle name="Heading 1 2 2 2 5 2 2 12 3" xfId="9685"/>
    <cellStyle name="Heading 1 2 2 2 5 2 2 13" xfId="9686"/>
    <cellStyle name="Heading 1 2 2 2 5 2 2 13 2" xfId="9687"/>
    <cellStyle name="Heading 1 2 2 2 5 2 2 13 2 2" xfId="9688"/>
    <cellStyle name="Heading 1 2 2 2 5 2 2 13 3" xfId="9689"/>
    <cellStyle name="Heading 1 2 2 2 5 2 2 14" xfId="9690"/>
    <cellStyle name="Heading 1 2 2 2 5 2 2 14 2" xfId="9691"/>
    <cellStyle name="Heading 1 2 2 2 5 2 2 14 2 2" xfId="9692"/>
    <cellStyle name="Heading 1 2 2 2 5 2 2 14 3" xfId="9693"/>
    <cellStyle name="Heading 1 2 2 2 5 2 2 15" xfId="9694"/>
    <cellStyle name="Heading 1 2 2 2 5 2 2 15 2" xfId="9695"/>
    <cellStyle name="Heading 1 2 2 2 5 2 2 15 2 2" xfId="9696"/>
    <cellStyle name="Heading 1 2 2 2 5 2 2 15 3" xfId="9697"/>
    <cellStyle name="Heading 1 2 2 2 5 2 2 16" xfId="9698"/>
    <cellStyle name="Heading 1 2 2 2 5 2 2 16 2" xfId="9699"/>
    <cellStyle name="Heading 1 2 2 2 5 2 2 16 2 2" xfId="9700"/>
    <cellStyle name="Heading 1 2 2 2 5 2 2 16 3" xfId="9701"/>
    <cellStyle name="Heading 1 2 2 2 5 2 2 17" xfId="9702"/>
    <cellStyle name="Heading 1 2 2 2 5 2 2 17 2" xfId="9703"/>
    <cellStyle name="Heading 1 2 2 2 5 2 2 17 2 2" xfId="9704"/>
    <cellStyle name="Heading 1 2 2 2 5 2 2 17 3" xfId="9705"/>
    <cellStyle name="Heading 1 2 2 2 5 2 2 18" xfId="9706"/>
    <cellStyle name="Heading 1 2 2 2 5 2 2 18 2" xfId="9707"/>
    <cellStyle name="Heading 1 2 2 2 5 2 2 18 2 2" xfId="9708"/>
    <cellStyle name="Heading 1 2 2 2 5 2 2 18 3" xfId="9709"/>
    <cellStyle name="Heading 1 2 2 2 5 2 2 19" xfId="9710"/>
    <cellStyle name="Heading 1 2 2 2 5 2 2 19 2" xfId="9711"/>
    <cellStyle name="Heading 1 2 2 2 5 2 2 2" xfId="9712"/>
    <cellStyle name="Heading 1 2 2 2 5 2 2 2 2" xfId="9713"/>
    <cellStyle name="Heading 1 2 2 2 5 2 2 2 2 2" xfId="9714"/>
    <cellStyle name="Heading 1 2 2 2 5 2 2 2 2 2 2" xfId="9715"/>
    <cellStyle name="Heading 1 2 2 2 5 2 2 2 2 3" xfId="9716"/>
    <cellStyle name="Heading 1 2 2 2 5 2 2 2 3" xfId="9717"/>
    <cellStyle name="Heading 1 2 2 2 5 2 2 2 3 2" xfId="9718"/>
    <cellStyle name="Heading 1 2 2 2 5 2 2 2 3 2 2" xfId="9719"/>
    <cellStyle name="Heading 1 2 2 2 5 2 2 2 3 3" xfId="9720"/>
    <cellStyle name="Heading 1 2 2 2 5 2 2 2 4" xfId="9721"/>
    <cellStyle name="Heading 1 2 2 2 5 2 2 2 4 2" xfId="9722"/>
    <cellStyle name="Heading 1 2 2 2 5 2 2 2 4 2 2" xfId="9723"/>
    <cellStyle name="Heading 1 2 2 2 5 2 2 2 4 3" xfId="9724"/>
    <cellStyle name="Heading 1 2 2 2 5 2 2 2 5" xfId="9725"/>
    <cellStyle name="Heading 1 2 2 2 5 2 2 2 5 2" xfId="9726"/>
    <cellStyle name="Heading 1 2 2 2 5 2 2 2 5 2 2" xfId="9727"/>
    <cellStyle name="Heading 1 2 2 2 5 2 2 2 5 3" xfId="9728"/>
    <cellStyle name="Heading 1 2 2 2 5 2 2 2 6" xfId="9729"/>
    <cellStyle name="Heading 1 2 2 2 5 2 2 2 6 2" xfId="9730"/>
    <cellStyle name="Heading 1 2 2 2 5 2 2 2 6 2 2" xfId="9731"/>
    <cellStyle name="Heading 1 2 2 2 5 2 2 2 6 3" xfId="9732"/>
    <cellStyle name="Heading 1 2 2 2 5 2 2 2 7" xfId="9733"/>
    <cellStyle name="Heading 1 2 2 2 5 2 2 2 7 2" xfId="9734"/>
    <cellStyle name="Heading 1 2 2 2 5 2 2 2 7 2 2" xfId="9735"/>
    <cellStyle name="Heading 1 2 2 2 5 2 2 2 7 3" xfId="9736"/>
    <cellStyle name="Heading 1 2 2 2 5 2 2 2 8" xfId="9737"/>
    <cellStyle name="Heading 1 2 2 2 5 2 2 2 8 2" xfId="9738"/>
    <cellStyle name="Heading 1 2 2 2 5 2 2 2 9" xfId="9739"/>
    <cellStyle name="Heading 1 2 2 2 5 2 2 20" xfId="9740"/>
    <cellStyle name="Heading 1 2 2 2 5 2 2 20 2" xfId="9741"/>
    <cellStyle name="Heading 1 2 2 2 5 2 2 21" xfId="9742"/>
    <cellStyle name="Heading 1 2 2 2 5 2 2 21 2" xfId="9743"/>
    <cellStyle name="Heading 1 2 2 2 5 2 2 22" xfId="9744"/>
    <cellStyle name="Heading 1 2 2 2 5 2 2 3" xfId="9745"/>
    <cellStyle name="Heading 1 2 2 2 5 2 2 3 2" xfId="9746"/>
    <cellStyle name="Heading 1 2 2 2 5 2 2 3 2 2" xfId="9747"/>
    <cellStyle name="Heading 1 2 2 2 5 2 2 3 2 2 2" xfId="9748"/>
    <cellStyle name="Heading 1 2 2 2 5 2 2 3 2 3" xfId="9749"/>
    <cellStyle name="Heading 1 2 2 2 5 2 2 3 3" xfId="9750"/>
    <cellStyle name="Heading 1 2 2 2 5 2 2 3 3 2" xfId="9751"/>
    <cellStyle name="Heading 1 2 2 2 5 2 2 3 3 2 2" xfId="9752"/>
    <cellStyle name="Heading 1 2 2 2 5 2 2 3 3 3" xfId="9753"/>
    <cellStyle name="Heading 1 2 2 2 5 2 2 3 4" xfId="9754"/>
    <cellStyle name="Heading 1 2 2 2 5 2 2 3 4 2" xfId="9755"/>
    <cellStyle name="Heading 1 2 2 2 5 2 2 3 4 2 2" xfId="9756"/>
    <cellStyle name="Heading 1 2 2 2 5 2 2 3 4 3" xfId="9757"/>
    <cellStyle name="Heading 1 2 2 2 5 2 2 3 5" xfId="9758"/>
    <cellStyle name="Heading 1 2 2 2 5 2 2 3 5 2" xfId="9759"/>
    <cellStyle name="Heading 1 2 2 2 5 2 2 3 5 2 2" xfId="9760"/>
    <cellStyle name="Heading 1 2 2 2 5 2 2 3 5 3" xfId="9761"/>
    <cellStyle name="Heading 1 2 2 2 5 2 2 3 6" xfId="9762"/>
    <cellStyle name="Heading 1 2 2 2 5 2 2 3 6 2" xfId="9763"/>
    <cellStyle name="Heading 1 2 2 2 5 2 2 3 6 2 2" xfId="9764"/>
    <cellStyle name="Heading 1 2 2 2 5 2 2 3 6 3" xfId="9765"/>
    <cellStyle name="Heading 1 2 2 2 5 2 2 3 7" xfId="9766"/>
    <cellStyle name="Heading 1 2 2 2 5 2 2 3 7 2" xfId="9767"/>
    <cellStyle name="Heading 1 2 2 2 5 2 2 3 7 2 2" xfId="9768"/>
    <cellStyle name="Heading 1 2 2 2 5 2 2 3 7 3" xfId="9769"/>
    <cellStyle name="Heading 1 2 2 2 5 2 2 3 8" xfId="9770"/>
    <cellStyle name="Heading 1 2 2 2 5 2 2 3 8 2" xfId="9771"/>
    <cellStyle name="Heading 1 2 2 2 5 2 2 3 9" xfId="9772"/>
    <cellStyle name="Heading 1 2 2 2 5 2 2 4" xfId="9773"/>
    <cellStyle name="Heading 1 2 2 2 5 2 2 4 2" xfId="9774"/>
    <cellStyle name="Heading 1 2 2 2 5 2 2 4 2 2" xfId="9775"/>
    <cellStyle name="Heading 1 2 2 2 5 2 2 4 2 2 2" xfId="9776"/>
    <cellStyle name="Heading 1 2 2 2 5 2 2 4 2 3" xfId="9777"/>
    <cellStyle name="Heading 1 2 2 2 5 2 2 4 3" xfId="9778"/>
    <cellStyle name="Heading 1 2 2 2 5 2 2 4 3 2" xfId="9779"/>
    <cellStyle name="Heading 1 2 2 2 5 2 2 4 3 2 2" xfId="9780"/>
    <cellStyle name="Heading 1 2 2 2 5 2 2 4 3 3" xfId="9781"/>
    <cellStyle name="Heading 1 2 2 2 5 2 2 4 4" xfId="9782"/>
    <cellStyle name="Heading 1 2 2 2 5 2 2 4 4 2" xfId="9783"/>
    <cellStyle name="Heading 1 2 2 2 5 2 2 4 4 2 2" xfId="9784"/>
    <cellStyle name="Heading 1 2 2 2 5 2 2 4 4 3" xfId="9785"/>
    <cellStyle name="Heading 1 2 2 2 5 2 2 4 5" xfId="9786"/>
    <cellStyle name="Heading 1 2 2 2 5 2 2 4 5 2" xfId="9787"/>
    <cellStyle name="Heading 1 2 2 2 5 2 2 4 5 2 2" xfId="9788"/>
    <cellStyle name="Heading 1 2 2 2 5 2 2 4 5 3" xfId="9789"/>
    <cellStyle name="Heading 1 2 2 2 5 2 2 4 6" xfId="9790"/>
    <cellStyle name="Heading 1 2 2 2 5 2 2 4 6 2" xfId="9791"/>
    <cellStyle name="Heading 1 2 2 2 5 2 2 4 6 2 2" xfId="9792"/>
    <cellStyle name="Heading 1 2 2 2 5 2 2 4 6 3" xfId="9793"/>
    <cellStyle name="Heading 1 2 2 2 5 2 2 4 7" xfId="9794"/>
    <cellStyle name="Heading 1 2 2 2 5 2 2 4 7 2" xfId="9795"/>
    <cellStyle name="Heading 1 2 2 2 5 2 2 4 7 2 2" xfId="9796"/>
    <cellStyle name="Heading 1 2 2 2 5 2 2 4 7 3" xfId="9797"/>
    <cellStyle name="Heading 1 2 2 2 5 2 2 4 8" xfId="9798"/>
    <cellStyle name="Heading 1 2 2 2 5 2 2 4 8 2" xfId="9799"/>
    <cellStyle name="Heading 1 2 2 2 5 2 2 4 9" xfId="9800"/>
    <cellStyle name="Heading 1 2 2 2 5 2 2 5" xfId="9801"/>
    <cellStyle name="Heading 1 2 2 2 5 2 2 5 2" xfId="9802"/>
    <cellStyle name="Heading 1 2 2 2 5 2 2 5 2 2" xfId="9803"/>
    <cellStyle name="Heading 1 2 2 2 5 2 2 5 2 2 2" xfId="9804"/>
    <cellStyle name="Heading 1 2 2 2 5 2 2 5 2 3" xfId="9805"/>
    <cellStyle name="Heading 1 2 2 2 5 2 2 5 3" xfId="9806"/>
    <cellStyle name="Heading 1 2 2 2 5 2 2 5 3 2" xfId="9807"/>
    <cellStyle name="Heading 1 2 2 2 5 2 2 5 3 2 2" xfId="9808"/>
    <cellStyle name="Heading 1 2 2 2 5 2 2 5 3 3" xfId="9809"/>
    <cellStyle name="Heading 1 2 2 2 5 2 2 5 4" xfId="9810"/>
    <cellStyle name="Heading 1 2 2 2 5 2 2 5 4 2" xfId="9811"/>
    <cellStyle name="Heading 1 2 2 2 5 2 2 5 4 2 2" xfId="9812"/>
    <cellStyle name="Heading 1 2 2 2 5 2 2 5 4 3" xfId="9813"/>
    <cellStyle name="Heading 1 2 2 2 5 2 2 5 5" xfId="9814"/>
    <cellStyle name="Heading 1 2 2 2 5 2 2 5 5 2" xfId="9815"/>
    <cellStyle name="Heading 1 2 2 2 5 2 2 5 5 2 2" xfId="9816"/>
    <cellStyle name="Heading 1 2 2 2 5 2 2 5 5 3" xfId="9817"/>
    <cellStyle name="Heading 1 2 2 2 5 2 2 5 6" xfId="9818"/>
    <cellStyle name="Heading 1 2 2 2 5 2 2 5 6 2" xfId="9819"/>
    <cellStyle name="Heading 1 2 2 2 5 2 2 5 6 2 2" xfId="9820"/>
    <cellStyle name="Heading 1 2 2 2 5 2 2 5 6 3" xfId="9821"/>
    <cellStyle name="Heading 1 2 2 2 5 2 2 5 7" xfId="9822"/>
    <cellStyle name="Heading 1 2 2 2 5 2 2 5 7 2" xfId="9823"/>
    <cellStyle name="Heading 1 2 2 2 5 2 2 5 7 2 2" xfId="9824"/>
    <cellStyle name="Heading 1 2 2 2 5 2 2 5 7 3" xfId="9825"/>
    <cellStyle name="Heading 1 2 2 2 5 2 2 5 8" xfId="9826"/>
    <cellStyle name="Heading 1 2 2 2 5 2 2 5 8 2" xfId="9827"/>
    <cellStyle name="Heading 1 2 2 2 5 2 2 5 9" xfId="9828"/>
    <cellStyle name="Heading 1 2 2 2 5 2 2 6" xfId="9829"/>
    <cellStyle name="Heading 1 2 2 2 5 2 2 6 2" xfId="9830"/>
    <cellStyle name="Heading 1 2 2 2 5 2 2 6 2 2" xfId="9831"/>
    <cellStyle name="Heading 1 2 2 2 5 2 2 6 2 2 2" xfId="9832"/>
    <cellStyle name="Heading 1 2 2 2 5 2 2 6 2 3" xfId="9833"/>
    <cellStyle name="Heading 1 2 2 2 5 2 2 6 3" xfId="9834"/>
    <cellStyle name="Heading 1 2 2 2 5 2 2 6 3 2" xfId="9835"/>
    <cellStyle name="Heading 1 2 2 2 5 2 2 6 3 2 2" xfId="9836"/>
    <cellStyle name="Heading 1 2 2 2 5 2 2 6 3 3" xfId="9837"/>
    <cellStyle name="Heading 1 2 2 2 5 2 2 6 4" xfId="9838"/>
    <cellStyle name="Heading 1 2 2 2 5 2 2 6 4 2" xfId="9839"/>
    <cellStyle name="Heading 1 2 2 2 5 2 2 6 4 2 2" xfId="9840"/>
    <cellStyle name="Heading 1 2 2 2 5 2 2 6 4 3" xfId="9841"/>
    <cellStyle name="Heading 1 2 2 2 5 2 2 6 5" xfId="9842"/>
    <cellStyle name="Heading 1 2 2 2 5 2 2 6 5 2" xfId="9843"/>
    <cellStyle name="Heading 1 2 2 2 5 2 2 6 5 2 2" xfId="9844"/>
    <cellStyle name="Heading 1 2 2 2 5 2 2 6 5 3" xfId="9845"/>
    <cellStyle name="Heading 1 2 2 2 5 2 2 6 6" xfId="9846"/>
    <cellStyle name="Heading 1 2 2 2 5 2 2 6 6 2" xfId="9847"/>
    <cellStyle name="Heading 1 2 2 2 5 2 2 6 6 2 2" xfId="9848"/>
    <cellStyle name="Heading 1 2 2 2 5 2 2 6 6 3" xfId="9849"/>
    <cellStyle name="Heading 1 2 2 2 5 2 2 6 7" xfId="9850"/>
    <cellStyle name="Heading 1 2 2 2 5 2 2 6 7 2" xfId="9851"/>
    <cellStyle name="Heading 1 2 2 2 5 2 2 6 7 2 2" xfId="9852"/>
    <cellStyle name="Heading 1 2 2 2 5 2 2 6 7 3" xfId="9853"/>
    <cellStyle name="Heading 1 2 2 2 5 2 2 6 8" xfId="9854"/>
    <cellStyle name="Heading 1 2 2 2 5 2 2 6 8 2" xfId="9855"/>
    <cellStyle name="Heading 1 2 2 2 5 2 2 6 9" xfId="9856"/>
    <cellStyle name="Heading 1 2 2 2 5 2 2 7" xfId="9857"/>
    <cellStyle name="Heading 1 2 2 2 5 2 2 7 2" xfId="9858"/>
    <cellStyle name="Heading 1 2 2 2 5 2 2 7 2 2" xfId="9859"/>
    <cellStyle name="Heading 1 2 2 2 5 2 2 7 2 2 2" xfId="9860"/>
    <cellStyle name="Heading 1 2 2 2 5 2 2 7 2 3" xfId="9861"/>
    <cellStyle name="Heading 1 2 2 2 5 2 2 7 3" xfId="9862"/>
    <cellStyle name="Heading 1 2 2 2 5 2 2 7 3 2" xfId="9863"/>
    <cellStyle name="Heading 1 2 2 2 5 2 2 7 3 2 2" xfId="9864"/>
    <cellStyle name="Heading 1 2 2 2 5 2 2 7 3 3" xfId="9865"/>
    <cellStyle name="Heading 1 2 2 2 5 2 2 7 4" xfId="9866"/>
    <cellStyle name="Heading 1 2 2 2 5 2 2 7 4 2" xfId="9867"/>
    <cellStyle name="Heading 1 2 2 2 5 2 2 7 4 2 2" xfId="9868"/>
    <cellStyle name="Heading 1 2 2 2 5 2 2 7 4 3" xfId="9869"/>
    <cellStyle name="Heading 1 2 2 2 5 2 2 7 5" xfId="9870"/>
    <cellStyle name="Heading 1 2 2 2 5 2 2 7 5 2" xfId="9871"/>
    <cellStyle name="Heading 1 2 2 2 5 2 2 7 5 2 2" xfId="9872"/>
    <cellStyle name="Heading 1 2 2 2 5 2 2 7 5 3" xfId="9873"/>
    <cellStyle name="Heading 1 2 2 2 5 2 2 7 6" xfId="9874"/>
    <cellStyle name="Heading 1 2 2 2 5 2 2 7 6 2" xfId="9875"/>
    <cellStyle name="Heading 1 2 2 2 5 2 2 7 6 2 2" xfId="9876"/>
    <cellStyle name="Heading 1 2 2 2 5 2 2 7 6 3" xfId="9877"/>
    <cellStyle name="Heading 1 2 2 2 5 2 2 7 7" xfId="9878"/>
    <cellStyle name="Heading 1 2 2 2 5 2 2 7 7 2" xfId="9879"/>
    <cellStyle name="Heading 1 2 2 2 5 2 2 7 7 2 2" xfId="9880"/>
    <cellStyle name="Heading 1 2 2 2 5 2 2 7 7 3" xfId="9881"/>
    <cellStyle name="Heading 1 2 2 2 5 2 2 7 8" xfId="9882"/>
    <cellStyle name="Heading 1 2 2 2 5 2 2 7 8 2" xfId="9883"/>
    <cellStyle name="Heading 1 2 2 2 5 2 2 7 9" xfId="9884"/>
    <cellStyle name="Heading 1 2 2 2 5 2 2 8" xfId="9885"/>
    <cellStyle name="Heading 1 2 2 2 5 2 2 8 2" xfId="9886"/>
    <cellStyle name="Heading 1 2 2 2 5 2 2 8 2 2" xfId="9887"/>
    <cellStyle name="Heading 1 2 2 2 5 2 2 8 2 2 2" xfId="9888"/>
    <cellStyle name="Heading 1 2 2 2 5 2 2 8 2 3" xfId="9889"/>
    <cellStyle name="Heading 1 2 2 2 5 2 2 8 3" xfId="9890"/>
    <cellStyle name="Heading 1 2 2 2 5 2 2 8 3 2" xfId="9891"/>
    <cellStyle name="Heading 1 2 2 2 5 2 2 8 3 2 2" xfId="9892"/>
    <cellStyle name="Heading 1 2 2 2 5 2 2 8 3 3" xfId="9893"/>
    <cellStyle name="Heading 1 2 2 2 5 2 2 8 4" xfId="9894"/>
    <cellStyle name="Heading 1 2 2 2 5 2 2 8 4 2" xfId="9895"/>
    <cellStyle name="Heading 1 2 2 2 5 2 2 8 4 2 2" xfId="9896"/>
    <cellStyle name="Heading 1 2 2 2 5 2 2 8 4 3" xfId="9897"/>
    <cellStyle name="Heading 1 2 2 2 5 2 2 8 5" xfId="9898"/>
    <cellStyle name="Heading 1 2 2 2 5 2 2 8 5 2" xfId="9899"/>
    <cellStyle name="Heading 1 2 2 2 5 2 2 8 5 2 2" xfId="9900"/>
    <cellStyle name="Heading 1 2 2 2 5 2 2 8 5 3" xfId="9901"/>
    <cellStyle name="Heading 1 2 2 2 5 2 2 8 6" xfId="9902"/>
    <cellStyle name="Heading 1 2 2 2 5 2 2 8 6 2" xfId="9903"/>
    <cellStyle name="Heading 1 2 2 2 5 2 2 8 6 2 2" xfId="9904"/>
    <cellStyle name="Heading 1 2 2 2 5 2 2 8 6 3" xfId="9905"/>
    <cellStyle name="Heading 1 2 2 2 5 2 2 8 7" xfId="9906"/>
    <cellStyle name="Heading 1 2 2 2 5 2 2 8 7 2" xfId="9907"/>
    <cellStyle name="Heading 1 2 2 2 5 2 2 8 7 2 2" xfId="9908"/>
    <cellStyle name="Heading 1 2 2 2 5 2 2 8 7 3" xfId="9909"/>
    <cellStyle name="Heading 1 2 2 2 5 2 2 8 8" xfId="9910"/>
    <cellStyle name="Heading 1 2 2 2 5 2 2 8 8 2" xfId="9911"/>
    <cellStyle name="Heading 1 2 2 2 5 2 2 8 9" xfId="9912"/>
    <cellStyle name="Heading 1 2 2 2 5 2 2 9" xfId="9913"/>
    <cellStyle name="Heading 1 2 2 2 5 2 2 9 2" xfId="9914"/>
    <cellStyle name="Heading 1 2 2 2 5 2 2 9 2 2" xfId="9915"/>
    <cellStyle name="Heading 1 2 2 2 5 2 2 9 3" xfId="9916"/>
    <cellStyle name="Heading 1 2 2 2 5 2 20" xfId="9917"/>
    <cellStyle name="Heading 1 2 2 2 5 2 20 2" xfId="9918"/>
    <cellStyle name="Heading 1 2 2 2 5 2 21" xfId="9919"/>
    <cellStyle name="Heading 1 2 2 2 5 2 21 2" xfId="9920"/>
    <cellStyle name="Heading 1 2 2 2 5 2 22" xfId="9921"/>
    <cellStyle name="Heading 1 2 2 2 5 2 22 2" xfId="9922"/>
    <cellStyle name="Heading 1 2 2 2 5 2 23" xfId="9923"/>
    <cellStyle name="Heading 1 2 2 2 5 2 3" xfId="9924"/>
    <cellStyle name="Heading 1 2 2 2 5 2 3 2" xfId="9925"/>
    <cellStyle name="Heading 1 2 2 2 5 2 3 2 2" xfId="9926"/>
    <cellStyle name="Heading 1 2 2 2 5 2 3 2 2 2" xfId="9927"/>
    <cellStyle name="Heading 1 2 2 2 5 2 3 2 3" xfId="9928"/>
    <cellStyle name="Heading 1 2 2 2 5 2 3 3" xfId="9929"/>
    <cellStyle name="Heading 1 2 2 2 5 2 3 3 2" xfId="9930"/>
    <cellStyle name="Heading 1 2 2 2 5 2 3 3 2 2" xfId="9931"/>
    <cellStyle name="Heading 1 2 2 2 5 2 3 3 3" xfId="9932"/>
    <cellStyle name="Heading 1 2 2 2 5 2 3 4" xfId="9933"/>
    <cellStyle name="Heading 1 2 2 2 5 2 3 4 2" xfId="9934"/>
    <cellStyle name="Heading 1 2 2 2 5 2 3 4 2 2" xfId="9935"/>
    <cellStyle name="Heading 1 2 2 2 5 2 3 4 3" xfId="9936"/>
    <cellStyle name="Heading 1 2 2 2 5 2 3 5" xfId="9937"/>
    <cellStyle name="Heading 1 2 2 2 5 2 3 5 2" xfId="9938"/>
    <cellStyle name="Heading 1 2 2 2 5 2 3 5 2 2" xfId="9939"/>
    <cellStyle name="Heading 1 2 2 2 5 2 3 5 3" xfId="9940"/>
    <cellStyle name="Heading 1 2 2 2 5 2 3 6" xfId="9941"/>
    <cellStyle name="Heading 1 2 2 2 5 2 3 6 2" xfId="9942"/>
    <cellStyle name="Heading 1 2 2 2 5 2 3 6 2 2" xfId="9943"/>
    <cellStyle name="Heading 1 2 2 2 5 2 3 6 3" xfId="9944"/>
    <cellStyle name="Heading 1 2 2 2 5 2 3 7" xfId="9945"/>
    <cellStyle name="Heading 1 2 2 2 5 2 3 7 2" xfId="9946"/>
    <cellStyle name="Heading 1 2 2 2 5 2 3 7 2 2" xfId="9947"/>
    <cellStyle name="Heading 1 2 2 2 5 2 3 7 3" xfId="9948"/>
    <cellStyle name="Heading 1 2 2 2 5 2 3 8" xfId="9949"/>
    <cellStyle name="Heading 1 2 2 2 5 2 3 8 2" xfId="9950"/>
    <cellStyle name="Heading 1 2 2 2 5 2 3 9" xfId="9951"/>
    <cellStyle name="Heading 1 2 2 2 5 2 4" xfId="9952"/>
    <cellStyle name="Heading 1 2 2 2 5 2 4 2" xfId="9953"/>
    <cellStyle name="Heading 1 2 2 2 5 2 4 2 2" xfId="9954"/>
    <cellStyle name="Heading 1 2 2 2 5 2 4 2 2 2" xfId="9955"/>
    <cellStyle name="Heading 1 2 2 2 5 2 4 2 3" xfId="9956"/>
    <cellStyle name="Heading 1 2 2 2 5 2 4 3" xfId="9957"/>
    <cellStyle name="Heading 1 2 2 2 5 2 4 3 2" xfId="9958"/>
    <cellStyle name="Heading 1 2 2 2 5 2 4 3 2 2" xfId="9959"/>
    <cellStyle name="Heading 1 2 2 2 5 2 4 3 3" xfId="9960"/>
    <cellStyle name="Heading 1 2 2 2 5 2 4 4" xfId="9961"/>
    <cellStyle name="Heading 1 2 2 2 5 2 4 4 2" xfId="9962"/>
    <cellStyle name="Heading 1 2 2 2 5 2 4 4 2 2" xfId="9963"/>
    <cellStyle name="Heading 1 2 2 2 5 2 4 4 3" xfId="9964"/>
    <cellStyle name="Heading 1 2 2 2 5 2 4 5" xfId="9965"/>
    <cellStyle name="Heading 1 2 2 2 5 2 4 5 2" xfId="9966"/>
    <cellStyle name="Heading 1 2 2 2 5 2 4 5 2 2" xfId="9967"/>
    <cellStyle name="Heading 1 2 2 2 5 2 4 5 3" xfId="9968"/>
    <cellStyle name="Heading 1 2 2 2 5 2 4 6" xfId="9969"/>
    <cellStyle name="Heading 1 2 2 2 5 2 4 6 2" xfId="9970"/>
    <cellStyle name="Heading 1 2 2 2 5 2 4 6 2 2" xfId="9971"/>
    <cellStyle name="Heading 1 2 2 2 5 2 4 6 3" xfId="9972"/>
    <cellStyle name="Heading 1 2 2 2 5 2 4 7" xfId="9973"/>
    <cellStyle name="Heading 1 2 2 2 5 2 4 7 2" xfId="9974"/>
    <cellStyle name="Heading 1 2 2 2 5 2 4 7 2 2" xfId="9975"/>
    <cellStyle name="Heading 1 2 2 2 5 2 4 7 3" xfId="9976"/>
    <cellStyle name="Heading 1 2 2 2 5 2 4 8" xfId="9977"/>
    <cellStyle name="Heading 1 2 2 2 5 2 4 8 2" xfId="9978"/>
    <cellStyle name="Heading 1 2 2 2 5 2 4 9" xfId="9979"/>
    <cellStyle name="Heading 1 2 2 2 5 2 5" xfId="9980"/>
    <cellStyle name="Heading 1 2 2 2 5 2 5 2" xfId="9981"/>
    <cellStyle name="Heading 1 2 2 2 5 2 5 2 2" xfId="9982"/>
    <cellStyle name="Heading 1 2 2 2 5 2 5 2 2 2" xfId="9983"/>
    <cellStyle name="Heading 1 2 2 2 5 2 5 2 3" xfId="9984"/>
    <cellStyle name="Heading 1 2 2 2 5 2 5 3" xfId="9985"/>
    <cellStyle name="Heading 1 2 2 2 5 2 5 3 2" xfId="9986"/>
    <cellStyle name="Heading 1 2 2 2 5 2 5 3 2 2" xfId="9987"/>
    <cellStyle name="Heading 1 2 2 2 5 2 5 3 3" xfId="9988"/>
    <cellStyle name="Heading 1 2 2 2 5 2 5 4" xfId="9989"/>
    <cellStyle name="Heading 1 2 2 2 5 2 5 4 2" xfId="9990"/>
    <cellStyle name="Heading 1 2 2 2 5 2 5 4 2 2" xfId="9991"/>
    <cellStyle name="Heading 1 2 2 2 5 2 5 4 3" xfId="9992"/>
    <cellStyle name="Heading 1 2 2 2 5 2 5 5" xfId="9993"/>
    <cellStyle name="Heading 1 2 2 2 5 2 5 5 2" xfId="9994"/>
    <cellStyle name="Heading 1 2 2 2 5 2 5 5 2 2" xfId="9995"/>
    <cellStyle name="Heading 1 2 2 2 5 2 5 5 3" xfId="9996"/>
    <cellStyle name="Heading 1 2 2 2 5 2 5 6" xfId="9997"/>
    <cellStyle name="Heading 1 2 2 2 5 2 5 6 2" xfId="9998"/>
    <cellStyle name="Heading 1 2 2 2 5 2 5 6 2 2" xfId="9999"/>
    <cellStyle name="Heading 1 2 2 2 5 2 5 6 3" xfId="10000"/>
    <cellStyle name="Heading 1 2 2 2 5 2 5 7" xfId="10001"/>
    <cellStyle name="Heading 1 2 2 2 5 2 5 7 2" xfId="10002"/>
    <cellStyle name="Heading 1 2 2 2 5 2 5 7 2 2" xfId="10003"/>
    <cellStyle name="Heading 1 2 2 2 5 2 5 7 3" xfId="10004"/>
    <cellStyle name="Heading 1 2 2 2 5 2 5 8" xfId="10005"/>
    <cellStyle name="Heading 1 2 2 2 5 2 5 8 2" xfId="10006"/>
    <cellStyle name="Heading 1 2 2 2 5 2 5 9" xfId="10007"/>
    <cellStyle name="Heading 1 2 2 2 5 2 6" xfId="10008"/>
    <cellStyle name="Heading 1 2 2 2 5 2 6 2" xfId="10009"/>
    <cellStyle name="Heading 1 2 2 2 5 2 6 2 2" xfId="10010"/>
    <cellStyle name="Heading 1 2 2 2 5 2 6 2 2 2" xfId="10011"/>
    <cellStyle name="Heading 1 2 2 2 5 2 6 2 3" xfId="10012"/>
    <cellStyle name="Heading 1 2 2 2 5 2 6 3" xfId="10013"/>
    <cellStyle name="Heading 1 2 2 2 5 2 6 3 2" xfId="10014"/>
    <cellStyle name="Heading 1 2 2 2 5 2 6 3 2 2" xfId="10015"/>
    <cellStyle name="Heading 1 2 2 2 5 2 6 3 3" xfId="10016"/>
    <cellStyle name="Heading 1 2 2 2 5 2 6 4" xfId="10017"/>
    <cellStyle name="Heading 1 2 2 2 5 2 6 4 2" xfId="10018"/>
    <cellStyle name="Heading 1 2 2 2 5 2 6 4 2 2" xfId="10019"/>
    <cellStyle name="Heading 1 2 2 2 5 2 6 4 3" xfId="10020"/>
    <cellStyle name="Heading 1 2 2 2 5 2 6 5" xfId="10021"/>
    <cellStyle name="Heading 1 2 2 2 5 2 6 5 2" xfId="10022"/>
    <cellStyle name="Heading 1 2 2 2 5 2 6 5 2 2" xfId="10023"/>
    <cellStyle name="Heading 1 2 2 2 5 2 6 5 3" xfId="10024"/>
    <cellStyle name="Heading 1 2 2 2 5 2 6 6" xfId="10025"/>
    <cellStyle name="Heading 1 2 2 2 5 2 6 6 2" xfId="10026"/>
    <cellStyle name="Heading 1 2 2 2 5 2 6 6 2 2" xfId="10027"/>
    <cellStyle name="Heading 1 2 2 2 5 2 6 6 3" xfId="10028"/>
    <cellStyle name="Heading 1 2 2 2 5 2 6 7" xfId="10029"/>
    <cellStyle name="Heading 1 2 2 2 5 2 6 7 2" xfId="10030"/>
    <cellStyle name="Heading 1 2 2 2 5 2 6 7 2 2" xfId="10031"/>
    <cellStyle name="Heading 1 2 2 2 5 2 6 7 3" xfId="10032"/>
    <cellStyle name="Heading 1 2 2 2 5 2 6 8" xfId="10033"/>
    <cellStyle name="Heading 1 2 2 2 5 2 6 8 2" xfId="10034"/>
    <cellStyle name="Heading 1 2 2 2 5 2 6 9" xfId="10035"/>
    <cellStyle name="Heading 1 2 2 2 5 2 7" xfId="10036"/>
    <cellStyle name="Heading 1 2 2 2 5 2 7 2" xfId="10037"/>
    <cellStyle name="Heading 1 2 2 2 5 2 7 2 2" xfId="10038"/>
    <cellStyle name="Heading 1 2 2 2 5 2 7 2 2 2" xfId="10039"/>
    <cellStyle name="Heading 1 2 2 2 5 2 7 2 3" xfId="10040"/>
    <cellStyle name="Heading 1 2 2 2 5 2 7 3" xfId="10041"/>
    <cellStyle name="Heading 1 2 2 2 5 2 7 3 2" xfId="10042"/>
    <cellStyle name="Heading 1 2 2 2 5 2 7 3 2 2" xfId="10043"/>
    <cellStyle name="Heading 1 2 2 2 5 2 7 3 3" xfId="10044"/>
    <cellStyle name="Heading 1 2 2 2 5 2 7 4" xfId="10045"/>
    <cellStyle name="Heading 1 2 2 2 5 2 7 4 2" xfId="10046"/>
    <cellStyle name="Heading 1 2 2 2 5 2 7 4 2 2" xfId="10047"/>
    <cellStyle name="Heading 1 2 2 2 5 2 7 4 3" xfId="10048"/>
    <cellStyle name="Heading 1 2 2 2 5 2 7 5" xfId="10049"/>
    <cellStyle name="Heading 1 2 2 2 5 2 7 5 2" xfId="10050"/>
    <cellStyle name="Heading 1 2 2 2 5 2 7 5 2 2" xfId="10051"/>
    <cellStyle name="Heading 1 2 2 2 5 2 7 5 3" xfId="10052"/>
    <cellStyle name="Heading 1 2 2 2 5 2 7 6" xfId="10053"/>
    <cellStyle name="Heading 1 2 2 2 5 2 7 6 2" xfId="10054"/>
    <cellStyle name="Heading 1 2 2 2 5 2 7 6 2 2" xfId="10055"/>
    <cellStyle name="Heading 1 2 2 2 5 2 7 6 3" xfId="10056"/>
    <cellStyle name="Heading 1 2 2 2 5 2 7 7" xfId="10057"/>
    <cellStyle name="Heading 1 2 2 2 5 2 7 7 2" xfId="10058"/>
    <cellStyle name="Heading 1 2 2 2 5 2 7 7 2 2" xfId="10059"/>
    <cellStyle name="Heading 1 2 2 2 5 2 7 7 3" xfId="10060"/>
    <cellStyle name="Heading 1 2 2 2 5 2 7 8" xfId="10061"/>
    <cellStyle name="Heading 1 2 2 2 5 2 7 8 2" xfId="10062"/>
    <cellStyle name="Heading 1 2 2 2 5 2 7 9" xfId="10063"/>
    <cellStyle name="Heading 1 2 2 2 5 2 8" xfId="10064"/>
    <cellStyle name="Heading 1 2 2 2 5 2 8 2" xfId="10065"/>
    <cellStyle name="Heading 1 2 2 2 5 2 8 2 2" xfId="10066"/>
    <cellStyle name="Heading 1 2 2 2 5 2 8 2 2 2" xfId="10067"/>
    <cellStyle name="Heading 1 2 2 2 5 2 8 2 3" xfId="10068"/>
    <cellStyle name="Heading 1 2 2 2 5 2 8 3" xfId="10069"/>
    <cellStyle name="Heading 1 2 2 2 5 2 8 3 2" xfId="10070"/>
    <cellStyle name="Heading 1 2 2 2 5 2 8 3 2 2" xfId="10071"/>
    <cellStyle name="Heading 1 2 2 2 5 2 8 3 3" xfId="10072"/>
    <cellStyle name="Heading 1 2 2 2 5 2 8 4" xfId="10073"/>
    <cellStyle name="Heading 1 2 2 2 5 2 8 4 2" xfId="10074"/>
    <cellStyle name="Heading 1 2 2 2 5 2 8 4 2 2" xfId="10075"/>
    <cellStyle name="Heading 1 2 2 2 5 2 8 4 3" xfId="10076"/>
    <cellStyle name="Heading 1 2 2 2 5 2 8 5" xfId="10077"/>
    <cellStyle name="Heading 1 2 2 2 5 2 8 5 2" xfId="10078"/>
    <cellStyle name="Heading 1 2 2 2 5 2 8 5 2 2" xfId="10079"/>
    <cellStyle name="Heading 1 2 2 2 5 2 8 5 3" xfId="10080"/>
    <cellStyle name="Heading 1 2 2 2 5 2 8 6" xfId="10081"/>
    <cellStyle name="Heading 1 2 2 2 5 2 8 6 2" xfId="10082"/>
    <cellStyle name="Heading 1 2 2 2 5 2 8 6 2 2" xfId="10083"/>
    <cellStyle name="Heading 1 2 2 2 5 2 8 6 3" xfId="10084"/>
    <cellStyle name="Heading 1 2 2 2 5 2 8 7" xfId="10085"/>
    <cellStyle name="Heading 1 2 2 2 5 2 8 7 2" xfId="10086"/>
    <cellStyle name="Heading 1 2 2 2 5 2 8 7 2 2" xfId="10087"/>
    <cellStyle name="Heading 1 2 2 2 5 2 8 7 3" xfId="10088"/>
    <cellStyle name="Heading 1 2 2 2 5 2 8 8" xfId="10089"/>
    <cellStyle name="Heading 1 2 2 2 5 2 8 8 2" xfId="10090"/>
    <cellStyle name="Heading 1 2 2 2 5 2 8 9" xfId="10091"/>
    <cellStyle name="Heading 1 2 2 2 5 2 9" xfId="10092"/>
    <cellStyle name="Heading 1 2 2 2 5 2 9 2" xfId="10093"/>
    <cellStyle name="Heading 1 2 2 2 5 2 9 2 2" xfId="10094"/>
    <cellStyle name="Heading 1 2 2 2 5 2 9 2 2 2" xfId="10095"/>
    <cellStyle name="Heading 1 2 2 2 5 2 9 2 3" xfId="10096"/>
    <cellStyle name="Heading 1 2 2 2 5 2 9 3" xfId="10097"/>
    <cellStyle name="Heading 1 2 2 2 5 2 9 3 2" xfId="10098"/>
    <cellStyle name="Heading 1 2 2 2 5 2 9 3 2 2" xfId="10099"/>
    <cellStyle name="Heading 1 2 2 2 5 2 9 3 3" xfId="10100"/>
    <cellStyle name="Heading 1 2 2 2 5 2 9 4" xfId="10101"/>
    <cellStyle name="Heading 1 2 2 2 5 2 9 4 2" xfId="10102"/>
    <cellStyle name="Heading 1 2 2 2 5 2 9 4 2 2" xfId="10103"/>
    <cellStyle name="Heading 1 2 2 2 5 2 9 4 3" xfId="10104"/>
    <cellStyle name="Heading 1 2 2 2 5 2 9 5" xfId="10105"/>
    <cellStyle name="Heading 1 2 2 2 5 2 9 5 2" xfId="10106"/>
    <cellStyle name="Heading 1 2 2 2 5 2 9 5 2 2" xfId="10107"/>
    <cellStyle name="Heading 1 2 2 2 5 2 9 5 3" xfId="10108"/>
    <cellStyle name="Heading 1 2 2 2 5 2 9 6" xfId="10109"/>
    <cellStyle name="Heading 1 2 2 2 5 2 9 6 2" xfId="10110"/>
    <cellStyle name="Heading 1 2 2 2 5 2 9 6 2 2" xfId="10111"/>
    <cellStyle name="Heading 1 2 2 2 5 2 9 6 3" xfId="10112"/>
    <cellStyle name="Heading 1 2 2 2 5 2 9 7" xfId="10113"/>
    <cellStyle name="Heading 1 2 2 2 5 2 9 7 2" xfId="10114"/>
    <cellStyle name="Heading 1 2 2 2 5 2 9 7 2 2" xfId="10115"/>
    <cellStyle name="Heading 1 2 2 2 5 2 9 7 3" xfId="10116"/>
    <cellStyle name="Heading 1 2 2 2 5 2 9 8" xfId="10117"/>
    <cellStyle name="Heading 1 2 2 2 5 2 9 8 2" xfId="10118"/>
    <cellStyle name="Heading 1 2 2 2 5 2 9 9" xfId="10119"/>
    <cellStyle name="Heading 1 2 2 2 5 3" xfId="10120"/>
    <cellStyle name="Heading 1 2 2 2 5 3 10" xfId="10121"/>
    <cellStyle name="Heading 1 2 2 2 5 3 10 2" xfId="10122"/>
    <cellStyle name="Heading 1 2 2 2 5 3 10 2 2" xfId="10123"/>
    <cellStyle name="Heading 1 2 2 2 5 3 10 3" xfId="10124"/>
    <cellStyle name="Heading 1 2 2 2 5 3 11" xfId="10125"/>
    <cellStyle name="Heading 1 2 2 2 5 3 11 2" xfId="10126"/>
    <cellStyle name="Heading 1 2 2 2 5 3 11 2 2" xfId="10127"/>
    <cellStyle name="Heading 1 2 2 2 5 3 11 3" xfId="10128"/>
    <cellStyle name="Heading 1 2 2 2 5 3 12" xfId="10129"/>
    <cellStyle name="Heading 1 2 2 2 5 3 12 2" xfId="10130"/>
    <cellStyle name="Heading 1 2 2 2 5 3 12 2 2" xfId="10131"/>
    <cellStyle name="Heading 1 2 2 2 5 3 12 3" xfId="10132"/>
    <cellStyle name="Heading 1 2 2 2 5 3 13" xfId="10133"/>
    <cellStyle name="Heading 1 2 2 2 5 3 13 2" xfId="10134"/>
    <cellStyle name="Heading 1 2 2 2 5 3 13 2 2" xfId="10135"/>
    <cellStyle name="Heading 1 2 2 2 5 3 13 3" xfId="10136"/>
    <cellStyle name="Heading 1 2 2 2 5 3 14" xfId="10137"/>
    <cellStyle name="Heading 1 2 2 2 5 3 14 2" xfId="10138"/>
    <cellStyle name="Heading 1 2 2 2 5 3 14 2 2" xfId="10139"/>
    <cellStyle name="Heading 1 2 2 2 5 3 14 3" xfId="10140"/>
    <cellStyle name="Heading 1 2 2 2 5 3 15" xfId="10141"/>
    <cellStyle name="Heading 1 2 2 2 5 3 15 2" xfId="10142"/>
    <cellStyle name="Heading 1 2 2 2 5 3 15 2 2" xfId="10143"/>
    <cellStyle name="Heading 1 2 2 2 5 3 15 3" xfId="10144"/>
    <cellStyle name="Heading 1 2 2 2 5 3 16" xfId="10145"/>
    <cellStyle name="Heading 1 2 2 2 5 3 16 2" xfId="10146"/>
    <cellStyle name="Heading 1 2 2 2 5 3 16 2 2" xfId="10147"/>
    <cellStyle name="Heading 1 2 2 2 5 3 16 3" xfId="10148"/>
    <cellStyle name="Heading 1 2 2 2 5 3 17" xfId="10149"/>
    <cellStyle name="Heading 1 2 2 2 5 3 17 2" xfId="10150"/>
    <cellStyle name="Heading 1 2 2 2 5 3 17 2 2" xfId="10151"/>
    <cellStyle name="Heading 1 2 2 2 5 3 17 3" xfId="10152"/>
    <cellStyle name="Heading 1 2 2 2 5 3 18" xfId="10153"/>
    <cellStyle name="Heading 1 2 2 2 5 3 18 2" xfId="10154"/>
    <cellStyle name="Heading 1 2 2 2 5 3 18 2 2" xfId="10155"/>
    <cellStyle name="Heading 1 2 2 2 5 3 18 3" xfId="10156"/>
    <cellStyle name="Heading 1 2 2 2 5 3 19" xfId="10157"/>
    <cellStyle name="Heading 1 2 2 2 5 3 19 2" xfId="10158"/>
    <cellStyle name="Heading 1 2 2 2 5 3 2" xfId="10159"/>
    <cellStyle name="Heading 1 2 2 2 5 3 2 2" xfId="10160"/>
    <cellStyle name="Heading 1 2 2 2 5 3 2 2 2" xfId="10161"/>
    <cellStyle name="Heading 1 2 2 2 5 3 2 2 2 2" xfId="10162"/>
    <cellStyle name="Heading 1 2 2 2 5 3 2 2 3" xfId="10163"/>
    <cellStyle name="Heading 1 2 2 2 5 3 2 3" xfId="10164"/>
    <cellStyle name="Heading 1 2 2 2 5 3 2 3 2" xfId="10165"/>
    <cellStyle name="Heading 1 2 2 2 5 3 2 3 2 2" xfId="10166"/>
    <cellStyle name="Heading 1 2 2 2 5 3 2 3 3" xfId="10167"/>
    <cellStyle name="Heading 1 2 2 2 5 3 2 4" xfId="10168"/>
    <cellStyle name="Heading 1 2 2 2 5 3 2 4 2" xfId="10169"/>
    <cellStyle name="Heading 1 2 2 2 5 3 2 4 2 2" xfId="10170"/>
    <cellStyle name="Heading 1 2 2 2 5 3 2 4 3" xfId="10171"/>
    <cellStyle name="Heading 1 2 2 2 5 3 2 5" xfId="10172"/>
    <cellStyle name="Heading 1 2 2 2 5 3 2 5 2" xfId="10173"/>
    <cellStyle name="Heading 1 2 2 2 5 3 2 5 2 2" xfId="10174"/>
    <cellStyle name="Heading 1 2 2 2 5 3 2 5 3" xfId="10175"/>
    <cellStyle name="Heading 1 2 2 2 5 3 2 6" xfId="10176"/>
    <cellStyle name="Heading 1 2 2 2 5 3 2 6 2" xfId="10177"/>
    <cellStyle name="Heading 1 2 2 2 5 3 2 6 2 2" xfId="10178"/>
    <cellStyle name="Heading 1 2 2 2 5 3 2 6 3" xfId="10179"/>
    <cellStyle name="Heading 1 2 2 2 5 3 2 7" xfId="10180"/>
    <cellStyle name="Heading 1 2 2 2 5 3 2 7 2" xfId="10181"/>
    <cellStyle name="Heading 1 2 2 2 5 3 2 7 2 2" xfId="10182"/>
    <cellStyle name="Heading 1 2 2 2 5 3 2 7 3" xfId="10183"/>
    <cellStyle name="Heading 1 2 2 2 5 3 2 8" xfId="10184"/>
    <cellStyle name="Heading 1 2 2 2 5 3 2 8 2" xfId="10185"/>
    <cellStyle name="Heading 1 2 2 2 5 3 2 9" xfId="10186"/>
    <cellStyle name="Heading 1 2 2 2 5 3 20" xfId="10187"/>
    <cellStyle name="Heading 1 2 2 2 5 3 20 2" xfId="10188"/>
    <cellStyle name="Heading 1 2 2 2 5 3 21" xfId="10189"/>
    <cellStyle name="Heading 1 2 2 2 5 3 21 2" xfId="10190"/>
    <cellStyle name="Heading 1 2 2 2 5 3 22" xfId="10191"/>
    <cellStyle name="Heading 1 2 2 2 5 3 3" xfId="10192"/>
    <cellStyle name="Heading 1 2 2 2 5 3 3 2" xfId="10193"/>
    <cellStyle name="Heading 1 2 2 2 5 3 3 2 2" xfId="10194"/>
    <cellStyle name="Heading 1 2 2 2 5 3 3 2 2 2" xfId="10195"/>
    <cellStyle name="Heading 1 2 2 2 5 3 3 2 3" xfId="10196"/>
    <cellStyle name="Heading 1 2 2 2 5 3 3 3" xfId="10197"/>
    <cellStyle name="Heading 1 2 2 2 5 3 3 3 2" xfId="10198"/>
    <cellStyle name="Heading 1 2 2 2 5 3 3 3 2 2" xfId="10199"/>
    <cellStyle name="Heading 1 2 2 2 5 3 3 3 3" xfId="10200"/>
    <cellStyle name="Heading 1 2 2 2 5 3 3 4" xfId="10201"/>
    <cellStyle name="Heading 1 2 2 2 5 3 3 4 2" xfId="10202"/>
    <cellStyle name="Heading 1 2 2 2 5 3 3 4 2 2" xfId="10203"/>
    <cellStyle name="Heading 1 2 2 2 5 3 3 4 3" xfId="10204"/>
    <cellStyle name="Heading 1 2 2 2 5 3 3 5" xfId="10205"/>
    <cellStyle name="Heading 1 2 2 2 5 3 3 5 2" xfId="10206"/>
    <cellStyle name="Heading 1 2 2 2 5 3 3 5 2 2" xfId="10207"/>
    <cellStyle name="Heading 1 2 2 2 5 3 3 5 3" xfId="10208"/>
    <cellStyle name="Heading 1 2 2 2 5 3 3 6" xfId="10209"/>
    <cellStyle name="Heading 1 2 2 2 5 3 3 6 2" xfId="10210"/>
    <cellStyle name="Heading 1 2 2 2 5 3 3 6 2 2" xfId="10211"/>
    <cellStyle name="Heading 1 2 2 2 5 3 3 6 3" xfId="10212"/>
    <cellStyle name="Heading 1 2 2 2 5 3 3 7" xfId="10213"/>
    <cellStyle name="Heading 1 2 2 2 5 3 3 7 2" xfId="10214"/>
    <cellStyle name="Heading 1 2 2 2 5 3 3 7 2 2" xfId="10215"/>
    <cellStyle name="Heading 1 2 2 2 5 3 3 7 3" xfId="10216"/>
    <cellStyle name="Heading 1 2 2 2 5 3 3 8" xfId="10217"/>
    <cellStyle name="Heading 1 2 2 2 5 3 3 8 2" xfId="10218"/>
    <cellStyle name="Heading 1 2 2 2 5 3 3 9" xfId="10219"/>
    <cellStyle name="Heading 1 2 2 2 5 3 4" xfId="10220"/>
    <cellStyle name="Heading 1 2 2 2 5 3 4 2" xfId="10221"/>
    <cellStyle name="Heading 1 2 2 2 5 3 4 2 2" xfId="10222"/>
    <cellStyle name="Heading 1 2 2 2 5 3 4 2 2 2" xfId="10223"/>
    <cellStyle name="Heading 1 2 2 2 5 3 4 2 3" xfId="10224"/>
    <cellStyle name="Heading 1 2 2 2 5 3 4 3" xfId="10225"/>
    <cellStyle name="Heading 1 2 2 2 5 3 4 3 2" xfId="10226"/>
    <cellStyle name="Heading 1 2 2 2 5 3 4 3 2 2" xfId="10227"/>
    <cellStyle name="Heading 1 2 2 2 5 3 4 3 3" xfId="10228"/>
    <cellStyle name="Heading 1 2 2 2 5 3 4 4" xfId="10229"/>
    <cellStyle name="Heading 1 2 2 2 5 3 4 4 2" xfId="10230"/>
    <cellStyle name="Heading 1 2 2 2 5 3 4 4 2 2" xfId="10231"/>
    <cellStyle name="Heading 1 2 2 2 5 3 4 4 3" xfId="10232"/>
    <cellStyle name="Heading 1 2 2 2 5 3 4 5" xfId="10233"/>
    <cellStyle name="Heading 1 2 2 2 5 3 4 5 2" xfId="10234"/>
    <cellStyle name="Heading 1 2 2 2 5 3 4 5 2 2" xfId="10235"/>
    <cellStyle name="Heading 1 2 2 2 5 3 4 5 3" xfId="10236"/>
    <cellStyle name="Heading 1 2 2 2 5 3 4 6" xfId="10237"/>
    <cellStyle name="Heading 1 2 2 2 5 3 4 6 2" xfId="10238"/>
    <cellStyle name="Heading 1 2 2 2 5 3 4 6 2 2" xfId="10239"/>
    <cellStyle name="Heading 1 2 2 2 5 3 4 6 3" xfId="10240"/>
    <cellStyle name="Heading 1 2 2 2 5 3 4 7" xfId="10241"/>
    <cellStyle name="Heading 1 2 2 2 5 3 4 7 2" xfId="10242"/>
    <cellStyle name="Heading 1 2 2 2 5 3 4 7 2 2" xfId="10243"/>
    <cellStyle name="Heading 1 2 2 2 5 3 4 7 3" xfId="10244"/>
    <cellStyle name="Heading 1 2 2 2 5 3 4 8" xfId="10245"/>
    <cellStyle name="Heading 1 2 2 2 5 3 4 8 2" xfId="10246"/>
    <cellStyle name="Heading 1 2 2 2 5 3 4 9" xfId="10247"/>
    <cellStyle name="Heading 1 2 2 2 5 3 5" xfId="10248"/>
    <cellStyle name="Heading 1 2 2 2 5 3 5 2" xfId="10249"/>
    <cellStyle name="Heading 1 2 2 2 5 3 5 2 2" xfId="10250"/>
    <cellStyle name="Heading 1 2 2 2 5 3 5 2 2 2" xfId="10251"/>
    <cellStyle name="Heading 1 2 2 2 5 3 5 2 3" xfId="10252"/>
    <cellStyle name="Heading 1 2 2 2 5 3 5 3" xfId="10253"/>
    <cellStyle name="Heading 1 2 2 2 5 3 5 3 2" xfId="10254"/>
    <cellStyle name="Heading 1 2 2 2 5 3 5 3 2 2" xfId="10255"/>
    <cellStyle name="Heading 1 2 2 2 5 3 5 3 3" xfId="10256"/>
    <cellStyle name="Heading 1 2 2 2 5 3 5 4" xfId="10257"/>
    <cellStyle name="Heading 1 2 2 2 5 3 5 4 2" xfId="10258"/>
    <cellStyle name="Heading 1 2 2 2 5 3 5 4 2 2" xfId="10259"/>
    <cellStyle name="Heading 1 2 2 2 5 3 5 4 3" xfId="10260"/>
    <cellStyle name="Heading 1 2 2 2 5 3 5 5" xfId="10261"/>
    <cellStyle name="Heading 1 2 2 2 5 3 5 5 2" xfId="10262"/>
    <cellStyle name="Heading 1 2 2 2 5 3 5 5 2 2" xfId="10263"/>
    <cellStyle name="Heading 1 2 2 2 5 3 5 5 3" xfId="10264"/>
    <cellStyle name="Heading 1 2 2 2 5 3 5 6" xfId="10265"/>
    <cellStyle name="Heading 1 2 2 2 5 3 5 6 2" xfId="10266"/>
    <cellStyle name="Heading 1 2 2 2 5 3 5 6 2 2" xfId="10267"/>
    <cellStyle name="Heading 1 2 2 2 5 3 5 6 3" xfId="10268"/>
    <cellStyle name="Heading 1 2 2 2 5 3 5 7" xfId="10269"/>
    <cellStyle name="Heading 1 2 2 2 5 3 5 7 2" xfId="10270"/>
    <cellStyle name="Heading 1 2 2 2 5 3 5 7 2 2" xfId="10271"/>
    <cellStyle name="Heading 1 2 2 2 5 3 5 7 3" xfId="10272"/>
    <cellStyle name="Heading 1 2 2 2 5 3 5 8" xfId="10273"/>
    <cellStyle name="Heading 1 2 2 2 5 3 5 8 2" xfId="10274"/>
    <cellStyle name="Heading 1 2 2 2 5 3 5 9" xfId="10275"/>
    <cellStyle name="Heading 1 2 2 2 5 3 6" xfId="10276"/>
    <cellStyle name="Heading 1 2 2 2 5 3 6 2" xfId="10277"/>
    <cellStyle name="Heading 1 2 2 2 5 3 6 2 2" xfId="10278"/>
    <cellStyle name="Heading 1 2 2 2 5 3 6 2 2 2" xfId="10279"/>
    <cellStyle name="Heading 1 2 2 2 5 3 6 2 3" xfId="10280"/>
    <cellStyle name="Heading 1 2 2 2 5 3 6 3" xfId="10281"/>
    <cellStyle name="Heading 1 2 2 2 5 3 6 3 2" xfId="10282"/>
    <cellStyle name="Heading 1 2 2 2 5 3 6 3 2 2" xfId="10283"/>
    <cellStyle name="Heading 1 2 2 2 5 3 6 3 3" xfId="10284"/>
    <cellStyle name="Heading 1 2 2 2 5 3 6 4" xfId="10285"/>
    <cellStyle name="Heading 1 2 2 2 5 3 6 4 2" xfId="10286"/>
    <cellStyle name="Heading 1 2 2 2 5 3 6 4 2 2" xfId="10287"/>
    <cellStyle name="Heading 1 2 2 2 5 3 6 4 3" xfId="10288"/>
    <cellStyle name="Heading 1 2 2 2 5 3 6 5" xfId="10289"/>
    <cellStyle name="Heading 1 2 2 2 5 3 6 5 2" xfId="10290"/>
    <cellStyle name="Heading 1 2 2 2 5 3 6 5 2 2" xfId="10291"/>
    <cellStyle name="Heading 1 2 2 2 5 3 6 5 3" xfId="10292"/>
    <cellStyle name="Heading 1 2 2 2 5 3 6 6" xfId="10293"/>
    <cellStyle name="Heading 1 2 2 2 5 3 6 6 2" xfId="10294"/>
    <cellStyle name="Heading 1 2 2 2 5 3 6 6 2 2" xfId="10295"/>
    <cellStyle name="Heading 1 2 2 2 5 3 6 6 3" xfId="10296"/>
    <cellStyle name="Heading 1 2 2 2 5 3 6 7" xfId="10297"/>
    <cellStyle name="Heading 1 2 2 2 5 3 6 7 2" xfId="10298"/>
    <cellStyle name="Heading 1 2 2 2 5 3 6 7 2 2" xfId="10299"/>
    <cellStyle name="Heading 1 2 2 2 5 3 6 7 3" xfId="10300"/>
    <cellStyle name="Heading 1 2 2 2 5 3 6 8" xfId="10301"/>
    <cellStyle name="Heading 1 2 2 2 5 3 6 8 2" xfId="10302"/>
    <cellStyle name="Heading 1 2 2 2 5 3 6 9" xfId="10303"/>
    <cellStyle name="Heading 1 2 2 2 5 3 7" xfId="10304"/>
    <cellStyle name="Heading 1 2 2 2 5 3 7 2" xfId="10305"/>
    <cellStyle name="Heading 1 2 2 2 5 3 7 2 2" xfId="10306"/>
    <cellStyle name="Heading 1 2 2 2 5 3 7 2 2 2" xfId="10307"/>
    <cellStyle name="Heading 1 2 2 2 5 3 7 2 3" xfId="10308"/>
    <cellStyle name="Heading 1 2 2 2 5 3 7 3" xfId="10309"/>
    <cellStyle name="Heading 1 2 2 2 5 3 7 3 2" xfId="10310"/>
    <cellStyle name="Heading 1 2 2 2 5 3 7 3 2 2" xfId="10311"/>
    <cellStyle name="Heading 1 2 2 2 5 3 7 3 3" xfId="10312"/>
    <cellStyle name="Heading 1 2 2 2 5 3 7 4" xfId="10313"/>
    <cellStyle name="Heading 1 2 2 2 5 3 7 4 2" xfId="10314"/>
    <cellStyle name="Heading 1 2 2 2 5 3 7 4 2 2" xfId="10315"/>
    <cellStyle name="Heading 1 2 2 2 5 3 7 4 3" xfId="10316"/>
    <cellStyle name="Heading 1 2 2 2 5 3 7 5" xfId="10317"/>
    <cellStyle name="Heading 1 2 2 2 5 3 7 5 2" xfId="10318"/>
    <cellStyle name="Heading 1 2 2 2 5 3 7 5 2 2" xfId="10319"/>
    <cellStyle name="Heading 1 2 2 2 5 3 7 5 3" xfId="10320"/>
    <cellStyle name="Heading 1 2 2 2 5 3 7 6" xfId="10321"/>
    <cellStyle name="Heading 1 2 2 2 5 3 7 6 2" xfId="10322"/>
    <cellStyle name="Heading 1 2 2 2 5 3 7 6 2 2" xfId="10323"/>
    <cellStyle name="Heading 1 2 2 2 5 3 7 6 3" xfId="10324"/>
    <cellStyle name="Heading 1 2 2 2 5 3 7 7" xfId="10325"/>
    <cellStyle name="Heading 1 2 2 2 5 3 7 7 2" xfId="10326"/>
    <cellStyle name="Heading 1 2 2 2 5 3 7 7 2 2" xfId="10327"/>
    <cellStyle name="Heading 1 2 2 2 5 3 7 7 3" xfId="10328"/>
    <cellStyle name="Heading 1 2 2 2 5 3 7 8" xfId="10329"/>
    <cellStyle name="Heading 1 2 2 2 5 3 7 8 2" xfId="10330"/>
    <cellStyle name="Heading 1 2 2 2 5 3 7 9" xfId="10331"/>
    <cellStyle name="Heading 1 2 2 2 5 3 8" xfId="10332"/>
    <cellStyle name="Heading 1 2 2 2 5 3 8 2" xfId="10333"/>
    <cellStyle name="Heading 1 2 2 2 5 3 8 2 2" xfId="10334"/>
    <cellStyle name="Heading 1 2 2 2 5 3 8 2 2 2" xfId="10335"/>
    <cellStyle name="Heading 1 2 2 2 5 3 8 2 3" xfId="10336"/>
    <cellStyle name="Heading 1 2 2 2 5 3 8 3" xfId="10337"/>
    <cellStyle name="Heading 1 2 2 2 5 3 8 3 2" xfId="10338"/>
    <cellStyle name="Heading 1 2 2 2 5 3 8 3 2 2" xfId="10339"/>
    <cellStyle name="Heading 1 2 2 2 5 3 8 3 3" xfId="10340"/>
    <cellStyle name="Heading 1 2 2 2 5 3 8 4" xfId="10341"/>
    <cellStyle name="Heading 1 2 2 2 5 3 8 4 2" xfId="10342"/>
    <cellStyle name="Heading 1 2 2 2 5 3 8 4 2 2" xfId="10343"/>
    <cellStyle name="Heading 1 2 2 2 5 3 8 4 3" xfId="10344"/>
    <cellStyle name="Heading 1 2 2 2 5 3 8 5" xfId="10345"/>
    <cellStyle name="Heading 1 2 2 2 5 3 8 5 2" xfId="10346"/>
    <cellStyle name="Heading 1 2 2 2 5 3 8 5 2 2" xfId="10347"/>
    <cellStyle name="Heading 1 2 2 2 5 3 8 5 3" xfId="10348"/>
    <cellStyle name="Heading 1 2 2 2 5 3 8 6" xfId="10349"/>
    <cellStyle name="Heading 1 2 2 2 5 3 8 6 2" xfId="10350"/>
    <cellStyle name="Heading 1 2 2 2 5 3 8 6 2 2" xfId="10351"/>
    <cellStyle name="Heading 1 2 2 2 5 3 8 6 3" xfId="10352"/>
    <cellStyle name="Heading 1 2 2 2 5 3 8 7" xfId="10353"/>
    <cellStyle name="Heading 1 2 2 2 5 3 8 7 2" xfId="10354"/>
    <cellStyle name="Heading 1 2 2 2 5 3 8 7 2 2" xfId="10355"/>
    <cellStyle name="Heading 1 2 2 2 5 3 8 7 3" xfId="10356"/>
    <cellStyle name="Heading 1 2 2 2 5 3 8 8" xfId="10357"/>
    <cellStyle name="Heading 1 2 2 2 5 3 8 8 2" xfId="10358"/>
    <cellStyle name="Heading 1 2 2 2 5 3 8 9" xfId="10359"/>
    <cellStyle name="Heading 1 2 2 2 5 3 9" xfId="10360"/>
    <cellStyle name="Heading 1 2 2 2 5 3 9 2" xfId="10361"/>
    <cellStyle name="Heading 1 2 2 2 5 3 9 2 2" xfId="10362"/>
    <cellStyle name="Heading 1 2 2 2 5 3 9 3" xfId="10363"/>
    <cellStyle name="Heading 1 2 2 2 5 4" xfId="10364"/>
    <cellStyle name="Heading 1 2 2 2 5 4 2" xfId="10365"/>
    <cellStyle name="Heading 1 2 2 2 5 4 2 2" xfId="10366"/>
    <cellStyle name="Heading 1 2 2 2 5 4 3" xfId="10367"/>
    <cellStyle name="Heading 1 2 2 2 5 5" xfId="10368"/>
    <cellStyle name="Heading 1 2 2 2 5 5 2" xfId="10369"/>
    <cellStyle name="Heading 1 2 2 2 5 6" xfId="10370"/>
    <cellStyle name="Heading 1 2 2 2 6" xfId="10371"/>
    <cellStyle name="Heading 1 2 2 2 6 2" xfId="10372"/>
    <cellStyle name="Heading 1 2 2 2 6 2 10" xfId="10373"/>
    <cellStyle name="Heading 1 2 2 2 6 2 10 2" xfId="10374"/>
    <cellStyle name="Heading 1 2 2 2 6 2 10 2 2" xfId="10375"/>
    <cellStyle name="Heading 1 2 2 2 6 2 10 3" xfId="10376"/>
    <cellStyle name="Heading 1 2 2 2 6 2 11" xfId="10377"/>
    <cellStyle name="Heading 1 2 2 2 6 2 11 2" xfId="10378"/>
    <cellStyle name="Heading 1 2 2 2 6 2 11 2 2" xfId="10379"/>
    <cellStyle name="Heading 1 2 2 2 6 2 11 3" xfId="10380"/>
    <cellStyle name="Heading 1 2 2 2 6 2 12" xfId="10381"/>
    <cellStyle name="Heading 1 2 2 2 6 2 12 2" xfId="10382"/>
    <cellStyle name="Heading 1 2 2 2 6 2 12 2 2" xfId="10383"/>
    <cellStyle name="Heading 1 2 2 2 6 2 12 3" xfId="10384"/>
    <cellStyle name="Heading 1 2 2 2 6 2 13" xfId="10385"/>
    <cellStyle name="Heading 1 2 2 2 6 2 13 2" xfId="10386"/>
    <cellStyle name="Heading 1 2 2 2 6 2 13 2 2" xfId="10387"/>
    <cellStyle name="Heading 1 2 2 2 6 2 13 3" xfId="10388"/>
    <cellStyle name="Heading 1 2 2 2 6 2 14" xfId="10389"/>
    <cellStyle name="Heading 1 2 2 2 6 2 14 2" xfId="10390"/>
    <cellStyle name="Heading 1 2 2 2 6 2 14 2 2" xfId="10391"/>
    <cellStyle name="Heading 1 2 2 2 6 2 14 3" xfId="10392"/>
    <cellStyle name="Heading 1 2 2 2 6 2 15" xfId="10393"/>
    <cellStyle name="Heading 1 2 2 2 6 2 15 2" xfId="10394"/>
    <cellStyle name="Heading 1 2 2 2 6 2 15 2 2" xfId="10395"/>
    <cellStyle name="Heading 1 2 2 2 6 2 15 3" xfId="10396"/>
    <cellStyle name="Heading 1 2 2 2 6 2 16" xfId="10397"/>
    <cellStyle name="Heading 1 2 2 2 6 2 16 2" xfId="10398"/>
    <cellStyle name="Heading 1 2 2 2 6 2 16 2 2" xfId="10399"/>
    <cellStyle name="Heading 1 2 2 2 6 2 16 3" xfId="10400"/>
    <cellStyle name="Heading 1 2 2 2 6 2 17" xfId="10401"/>
    <cellStyle name="Heading 1 2 2 2 6 2 17 2" xfId="10402"/>
    <cellStyle name="Heading 1 2 2 2 6 2 17 2 2" xfId="10403"/>
    <cellStyle name="Heading 1 2 2 2 6 2 17 3" xfId="10404"/>
    <cellStyle name="Heading 1 2 2 2 6 2 18" xfId="10405"/>
    <cellStyle name="Heading 1 2 2 2 6 2 18 2" xfId="10406"/>
    <cellStyle name="Heading 1 2 2 2 6 2 18 2 2" xfId="10407"/>
    <cellStyle name="Heading 1 2 2 2 6 2 18 3" xfId="10408"/>
    <cellStyle name="Heading 1 2 2 2 6 2 19" xfId="10409"/>
    <cellStyle name="Heading 1 2 2 2 6 2 19 2" xfId="10410"/>
    <cellStyle name="Heading 1 2 2 2 6 2 19 2 2" xfId="10411"/>
    <cellStyle name="Heading 1 2 2 2 6 2 19 3" xfId="10412"/>
    <cellStyle name="Heading 1 2 2 2 6 2 2" xfId="10413"/>
    <cellStyle name="Heading 1 2 2 2 6 2 2 10" xfId="10414"/>
    <cellStyle name="Heading 1 2 2 2 6 2 2 10 2" xfId="10415"/>
    <cellStyle name="Heading 1 2 2 2 6 2 2 10 2 2" xfId="10416"/>
    <cellStyle name="Heading 1 2 2 2 6 2 2 10 3" xfId="10417"/>
    <cellStyle name="Heading 1 2 2 2 6 2 2 11" xfId="10418"/>
    <cellStyle name="Heading 1 2 2 2 6 2 2 11 2" xfId="10419"/>
    <cellStyle name="Heading 1 2 2 2 6 2 2 11 2 2" xfId="10420"/>
    <cellStyle name="Heading 1 2 2 2 6 2 2 11 3" xfId="10421"/>
    <cellStyle name="Heading 1 2 2 2 6 2 2 12" xfId="10422"/>
    <cellStyle name="Heading 1 2 2 2 6 2 2 12 2" xfId="10423"/>
    <cellStyle name="Heading 1 2 2 2 6 2 2 12 2 2" xfId="10424"/>
    <cellStyle name="Heading 1 2 2 2 6 2 2 12 3" xfId="10425"/>
    <cellStyle name="Heading 1 2 2 2 6 2 2 13" xfId="10426"/>
    <cellStyle name="Heading 1 2 2 2 6 2 2 13 2" xfId="10427"/>
    <cellStyle name="Heading 1 2 2 2 6 2 2 13 2 2" xfId="10428"/>
    <cellStyle name="Heading 1 2 2 2 6 2 2 13 3" xfId="10429"/>
    <cellStyle name="Heading 1 2 2 2 6 2 2 14" xfId="10430"/>
    <cellStyle name="Heading 1 2 2 2 6 2 2 14 2" xfId="10431"/>
    <cellStyle name="Heading 1 2 2 2 6 2 2 14 2 2" xfId="10432"/>
    <cellStyle name="Heading 1 2 2 2 6 2 2 14 3" xfId="10433"/>
    <cellStyle name="Heading 1 2 2 2 6 2 2 15" xfId="10434"/>
    <cellStyle name="Heading 1 2 2 2 6 2 2 15 2" xfId="10435"/>
    <cellStyle name="Heading 1 2 2 2 6 2 2 15 2 2" xfId="10436"/>
    <cellStyle name="Heading 1 2 2 2 6 2 2 15 3" xfId="10437"/>
    <cellStyle name="Heading 1 2 2 2 6 2 2 16" xfId="10438"/>
    <cellStyle name="Heading 1 2 2 2 6 2 2 16 2" xfId="10439"/>
    <cellStyle name="Heading 1 2 2 2 6 2 2 16 2 2" xfId="10440"/>
    <cellStyle name="Heading 1 2 2 2 6 2 2 16 3" xfId="10441"/>
    <cellStyle name="Heading 1 2 2 2 6 2 2 17" xfId="10442"/>
    <cellStyle name="Heading 1 2 2 2 6 2 2 17 2" xfId="10443"/>
    <cellStyle name="Heading 1 2 2 2 6 2 2 17 2 2" xfId="10444"/>
    <cellStyle name="Heading 1 2 2 2 6 2 2 17 3" xfId="10445"/>
    <cellStyle name="Heading 1 2 2 2 6 2 2 18" xfId="10446"/>
    <cellStyle name="Heading 1 2 2 2 6 2 2 18 2" xfId="10447"/>
    <cellStyle name="Heading 1 2 2 2 6 2 2 18 2 2" xfId="10448"/>
    <cellStyle name="Heading 1 2 2 2 6 2 2 18 3" xfId="10449"/>
    <cellStyle name="Heading 1 2 2 2 6 2 2 19" xfId="10450"/>
    <cellStyle name="Heading 1 2 2 2 6 2 2 19 2" xfId="10451"/>
    <cellStyle name="Heading 1 2 2 2 6 2 2 2" xfId="10452"/>
    <cellStyle name="Heading 1 2 2 2 6 2 2 2 2" xfId="10453"/>
    <cellStyle name="Heading 1 2 2 2 6 2 2 2 2 2" xfId="10454"/>
    <cellStyle name="Heading 1 2 2 2 6 2 2 2 2 2 2" xfId="10455"/>
    <cellStyle name="Heading 1 2 2 2 6 2 2 2 2 3" xfId="10456"/>
    <cellStyle name="Heading 1 2 2 2 6 2 2 2 3" xfId="10457"/>
    <cellStyle name="Heading 1 2 2 2 6 2 2 2 3 2" xfId="10458"/>
    <cellStyle name="Heading 1 2 2 2 6 2 2 2 3 2 2" xfId="10459"/>
    <cellStyle name="Heading 1 2 2 2 6 2 2 2 3 3" xfId="10460"/>
    <cellStyle name="Heading 1 2 2 2 6 2 2 2 4" xfId="10461"/>
    <cellStyle name="Heading 1 2 2 2 6 2 2 2 4 2" xfId="10462"/>
    <cellStyle name="Heading 1 2 2 2 6 2 2 2 4 2 2" xfId="10463"/>
    <cellStyle name="Heading 1 2 2 2 6 2 2 2 4 3" xfId="10464"/>
    <cellStyle name="Heading 1 2 2 2 6 2 2 2 5" xfId="10465"/>
    <cellStyle name="Heading 1 2 2 2 6 2 2 2 5 2" xfId="10466"/>
    <cellStyle name="Heading 1 2 2 2 6 2 2 2 5 2 2" xfId="10467"/>
    <cellStyle name="Heading 1 2 2 2 6 2 2 2 5 3" xfId="10468"/>
    <cellStyle name="Heading 1 2 2 2 6 2 2 2 6" xfId="10469"/>
    <cellStyle name="Heading 1 2 2 2 6 2 2 2 6 2" xfId="10470"/>
    <cellStyle name="Heading 1 2 2 2 6 2 2 2 6 2 2" xfId="10471"/>
    <cellStyle name="Heading 1 2 2 2 6 2 2 2 6 3" xfId="10472"/>
    <cellStyle name="Heading 1 2 2 2 6 2 2 2 7" xfId="10473"/>
    <cellStyle name="Heading 1 2 2 2 6 2 2 2 7 2" xfId="10474"/>
    <cellStyle name="Heading 1 2 2 2 6 2 2 2 7 2 2" xfId="10475"/>
    <cellStyle name="Heading 1 2 2 2 6 2 2 2 7 3" xfId="10476"/>
    <cellStyle name="Heading 1 2 2 2 6 2 2 2 8" xfId="10477"/>
    <cellStyle name="Heading 1 2 2 2 6 2 2 2 8 2" xfId="10478"/>
    <cellStyle name="Heading 1 2 2 2 6 2 2 2 9" xfId="10479"/>
    <cellStyle name="Heading 1 2 2 2 6 2 2 20" xfId="10480"/>
    <cellStyle name="Heading 1 2 2 2 6 2 2 20 2" xfId="10481"/>
    <cellStyle name="Heading 1 2 2 2 6 2 2 21" xfId="10482"/>
    <cellStyle name="Heading 1 2 2 2 6 2 2 21 2" xfId="10483"/>
    <cellStyle name="Heading 1 2 2 2 6 2 2 22" xfId="10484"/>
    <cellStyle name="Heading 1 2 2 2 6 2 2 3" xfId="10485"/>
    <cellStyle name="Heading 1 2 2 2 6 2 2 3 2" xfId="10486"/>
    <cellStyle name="Heading 1 2 2 2 6 2 2 3 2 2" xfId="10487"/>
    <cellStyle name="Heading 1 2 2 2 6 2 2 3 2 2 2" xfId="10488"/>
    <cellStyle name="Heading 1 2 2 2 6 2 2 3 2 3" xfId="10489"/>
    <cellStyle name="Heading 1 2 2 2 6 2 2 3 3" xfId="10490"/>
    <cellStyle name="Heading 1 2 2 2 6 2 2 3 3 2" xfId="10491"/>
    <cellStyle name="Heading 1 2 2 2 6 2 2 3 3 2 2" xfId="10492"/>
    <cellStyle name="Heading 1 2 2 2 6 2 2 3 3 3" xfId="10493"/>
    <cellStyle name="Heading 1 2 2 2 6 2 2 3 4" xfId="10494"/>
    <cellStyle name="Heading 1 2 2 2 6 2 2 3 4 2" xfId="10495"/>
    <cellStyle name="Heading 1 2 2 2 6 2 2 3 4 2 2" xfId="10496"/>
    <cellStyle name="Heading 1 2 2 2 6 2 2 3 4 3" xfId="10497"/>
    <cellStyle name="Heading 1 2 2 2 6 2 2 3 5" xfId="10498"/>
    <cellStyle name="Heading 1 2 2 2 6 2 2 3 5 2" xfId="10499"/>
    <cellStyle name="Heading 1 2 2 2 6 2 2 3 5 2 2" xfId="10500"/>
    <cellStyle name="Heading 1 2 2 2 6 2 2 3 5 3" xfId="10501"/>
    <cellStyle name="Heading 1 2 2 2 6 2 2 3 6" xfId="10502"/>
    <cellStyle name="Heading 1 2 2 2 6 2 2 3 6 2" xfId="10503"/>
    <cellStyle name="Heading 1 2 2 2 6 2 2 3 6 2 2" xfId="10504"/>
    <cellStyle name="Heading 1 2 2 2 6 2 2 3 6 3" xfId="10505"/>
    <cellStyle name="Heading 1 2 2 2 6 2 2 3 7" xfId="10506"/>
    <cellStyle name="Heading 1 2 2 2 6 2 2 3 7 2" xfId="10507"/>
    <cellStyle name="Heading 1 2 2 2 6 2 2 3 7 2 2" xfId="10508"/>
    <cellStyle name="Heading 1 2 2 2 6 2 2 3 7 3" xfId="10509"/>
    <cellStyle name="Heading 1 2 2 2 6 2 2 3 8" xfId="10510"/>
    <cellStyle name="Heading 1 2 2 2 6 2 2 3 8 2" xfId="10511"/>
    <cellStyle name="Heading 1 2 2 2 6 2 2 3 9" xfId="10512"/>
    <cellStyle name="Heading 1 2 2 2 6 2 2 4" xfId="10513"/>
    <cellStyle name="Heading 1 2 2 2 6 2 2 4 2" xfId="10514"/>
    <cellStyle name="Heading 1 2 2 2 6 2 2 4 2 2" xfId="10515"/>
    <cellStyle name="Heading 1 2 2 2 6 2 2 4 2 2 2" xfId="10516"/>
    <cellStyle name="Heading 1 2 2 2 6 2 2 4 2 3" xfId="10517"/>
    <cellStyle name="Heading 1 2 2 2 6 2 2 4 3" xfId="10518"/>
    <cellStyle name="Heading 1 2 2 2 6 2 2 4 3 2" xfId="10519"/>
    <cellStyle name="Heading 1 2 2 2 6 2 2 4 3 2 2" xfId="10520"/>
    <cellStyle name="Heading 1 2 2 2 6 2 2 4 3 3" xfId="10521"/>
    <cellStyle name="Heading 1 2 2 2 6 2 2 4 4" xfId="10522"/>
    <cellStyle name="Heading 1 2 2 2 6 2 2 4 4 2" xfId="10523"/>
    <cellStyle name="Heading 1 2 2 2 6 2 2 4 4 2 2" xfId="10524"/>
    <cellStyle name="Heading 1 2 2 2 6 2 2 4 4 3" xfId="10525"/>
    <cellStyle name="Heading 1 2 2 2 6 2 2 4 5" xfId="10526"/>
    <cellStyle name="Heading 1 2 2 2 6 2 2 4 5 2" xfId="10527"/>
    <cellStyle name="Heading 1 2 2 2 6 2 2 4 5 2 2" xfId="10528"/>
    <cellStyle name="Heading 1 2 2 2 6 2 2 4 5 3" xfId="10529"/>
    <cellStyle name="Heading 1 2 2 2 6 2 2 4 6" xfId="10530"/>
    <cellStyle name="Heading 1 2 2 2 6 2 2 4 6 2" xfId="10531"/>
    <cellStyle name="Heading 1 2 2 2 6 2 2 4 6 2 2" xfId="10532"/>
    <cellStyle name="Heading 1 2 2 2 6 2 2 4 6 3" xfId="10533"/>
    <cellStyle name="Heading 1 2 2 2 6 2 2 4 7" xfId="10534"/>
    <cellStyle name="Heading 1 2 2 2 6 2 2 4 7 2" xfId="10535"/>
    <cellStyle name="Heading 1 2 2 2 6 2 2 4 7 2 2" xfId="10536"/>
    <cellStyle name="Heading 1 2 2 2 6 2 2 4 7 3" xfId="10537"/>
    <cellStyle name="Heading 1 2 2 2 6 2 2 4 8" xfId="10538"/>
    <cellStyle name="Heading 1 2 2 2 6 2 2 4 8 2" xfId="10539"/>
    <cellStyle name="Heading 1 2 2 2 6 2 2 4 9" xfId="10540"/>
    <cellStyle name="Heading 1 2 2 2 6 2 2 5" xfId="10541"/>
    <cellStyle name="Heading 1 2 2 2 6 2 2 5 2" xfId="10542"/>
    <cellStyle name="Heading 1 2 2 2 6 2 2 5 2 2" xfId="10543"/>
    <cellStyle name="Heading 1 2 2 2 6 2 2 5 2 2 2" xfId="10544"/>
    <cellStyle name="Heading 1 2 2 2 6 2 2 5 2 3" xfId="10545"/>
    <cellStyle name="Heading 1 2 2 2 6 2 2 5 3" xfId="10546"/>
    <cellStyle name="Heading 1 2 2 2 6 2 2 5 3 2" xfId="10547"/>
    <cellStyle name="Heading 1 2 2 2 6 2 2 5 3 2 2" xfId="10548"/>
    <cellStyle name="Heading 1 2 2 2 6 2 2 5 3 3" xfId="10549"/>
    <cellStyle name="Heading 1 2 2 2 6 2 2 5 4" xfId="10550"/>
    <cellStyle name="Heading 1 2 2 2 6 2 2 5 4 2" xfId="10551"/>
    <cellStyle name="Heading 1 2 2 2 6 2 2 5 4 2 2" xfId="10552"/>
    <cellStyle name="Heading 1 2 2 2 6 2 2 5 4 3" xfId="10553"/>
    <cellStyle name="Heading 1 2 2 2 6 2 2 5 5" xfId="10554"/>
    <cellStyle name="Heading 1 2 2 2 6 2 2 5 5 2" xfId="10555"/>
    <cellStyle name="Heading 1 2 2 2 6 2 2 5 5 2 2" xfId="10556"/>
    <cellStyle name="Heading 1 2 2 2 6 2 2 5 5 3" xfId="10557"/>
    <cellStyle name="Heading 1 2 2 2 6 2 2 5 6" xfId="10558"/>
    <cellStyle name="Heading 1 2 2 2 6 2 2 5 6 2" xfId="10559"/>
    <cellStyle name="Heading 1 2 2 2 6 2 2 5 6 2 2" xfId="10560"/>
    <cellStyle name="Heading 1 2 2 2 6 2 2 5 6 3" xfId="10561"/>
    <cellStyle name="Heading 1 2 2 2 6 2 2 5 7" xfId="10562"/>
    <cellStyle name="Heading 1 2 2 2 6 2 2 5 7 2" xfId="10563"/>
    <cellStyle name="Heading 1 2 2 2 6 2 2 5 7 2 2" xfId="10564"/>
    <cellStyle name="Heading 1 2 2 2 6 2 2 5 7 3" xfId="10565"/>
    <cellStyle name="Heading 1 2 2 2 6 2 2 5 8" xfId="10566"/>
    <cellStyle name="Heading 1 2 2 2 6 2 2 5 8 2" xfId="10567"/>
    <cellStyle name="Heading 1 2 2 2 6 2 2 5 9" xfId="10568"/>
    <cellStyle name="Heading 1 2 2 2 6 2 2 6" xfId="10569"/>
    <cellStyle name="Heading 1 2 2 2 6 2 2 6 2" xfId="10570"/>
    <cellStyle name="Heading 1 2 2 2 6 2 2 6 2 2" xfId="10571"/>
    <cellStyle name="Heading 1 2 2 2 6 2 2 6 2 2 2" xfId="10572"/>
    <cellStyle name="Heading 1 2 2 2 6 2 2 6 2 3" xfId="10573"/>
    <cellStyle name="Heading 1 2 2 2 6 2 2 6 3" xfId="10574"/>
    <cellStyle name="Heading 1 2 2 2 6 2 2 6 3 2" xfId="10575"/>
    <cellStyle name="Heading 1 2 2 2 6 2 2 6 3 2 2" xfId="10576"/>
    <cellStyle name="Heading 1 2 2 2 6 2 2 6 3 3" xfId="10577"/>
    <cellStyle name="Heading 1 2 2 2 6 2 2 6 4" xfId="10578"/>
    <cellStyle name="Heading 1 2 2 2 6 2 2 6 4 2" xfId="10579"/>
    <cellStyle name="Heading 1 2 2 2 6 2 2 6 4 2 2" xfId="10580"/>
    <cellStyle name="Heading 1 2 2 2 6 2 2 6 4 3" xfId="10581"/>
    <cellStyle name="Heading 1 2 2 2 6 2 2 6 5" xfId="10582"/>
    <cellStyle name="Heading 1 2 2 2 6 2 2 6 5 2" xfId="10583"/>
    <cellStyle name="Heading 1 2 2 2 6 2 2 6 5 2 2" xfId="10584"/>
    <cellStyle name="Heading 1 2 2 2 6 2 2 6 5 3" xfId="10585"/>
    <cellStyle name="Heading 1 2 2 2 6 2 2 6 6" xfId="10586"/>
    <cellStyle name="Heading 1 2 2 2 6 2 2 6 6 2" xfId="10587"/>
    <cellStyle name="Heading 1 2 2 2 6 2 2 6 6 2 2" xfId="10588"/>
    <cellStyle name="Heading 1 2 2 2 6 2 2 6 6 3" xfId="10589"/>
    <cellStyle name="Heading 1 2 2 2 6 2 2 6 7" xfId="10590"/>
    <cellStyle name="Heading 1 2 2 2 6 2 2 6 7 2" xfId="10591"/>
    <cellStyle name="Heading 1 2 2 2 6 2 2 6 7 2 2" xfId="10592"/>
    <cellStyle name="Heading 1 2 2 2 6 2 2 6 7 3" xfId="10593"/>
    <cellStyle name="Heading 1 2 2 2 6 2 2 6 8" xfId="10594"/>
    <cellStyle name="Heading 1 2 2 2 6 2 2 6 8 2" xfId="10595"/>
    <cellStyle name="Heading 1 2 2 2 6 2 2 6 9" xfId="10596"/>
    <cellStyle name="Heading 1 2 2 2 6 2 2 7" xfId="10597"/>
    <cellStyle name="Heading 1 2 2 2 6 2 2 7 2" xfId="10598"/>
    <cellStyle name="Heading 1 2 2 2 6 2 2 7 2 2" xfId="10599"/>
    <cellStyle name="Heading 1 2 2 2 6 2 2 7 2 2 2" xfId="10600"/>
    <cellStyle name="Heading 1 2 2 2 6 2 2 7 2 3" xfId="10601"/>
    <cellStyle name="Heading 1 2 2 2 6 2 2 7 3" xfId="10602"/>
    <cellStyle name="Heading 1 2 2 2 6 2 2 7 3 2" xfId="10603"/>
    <cellStyle name="Heading 1 2 2 2 6 2 2 7 3 2 2" xfId="10604"/>
    <cellStyle name="Heading 1 2 2 2 6 2 2 7 3 3" xfId="10605"/>
    <cellStyle name="Heading 1 2 2 2 6 2 2 7 4" xfId="10606"/>
    <cellStyle name="Heading 1 2 2 2 6 2 2 7 4 2" xfId="10607"/>
    <cellStyle name="Heading 1 2 2 2 6 2 2 7 4 2 2" xfId="10608"/>
    <cellStyle name="Heading 1 2 2 2 6 2 2 7 4 3" xfId="10609"/>
    <cellStyle name="Heading 1 2 2 2 6 2 2 7 5" xfId="10610"/>
    <cellStyle name="Heading 1 2 2 2 6 2 2 7 5 2" xfId="10611"/>
    <cellStyle name="Heading 1 2 2 2 6 2 2 7 5 2 2" xfId="10612"/>
    <cellStyle name="Heading 1 2 2 2 6 2 2 7 5 3" xfId="10613"/>
    <cellStyle name="Heading 1 2 2 2 6 2 2 7 6" xfId="10614"/>
    <cellStyle name="Heading 1 2 2 2 6 2 2 7 6 2" xfId="10615"/>
    <cellStyle name="Heading 1 2 2 2 6 2 2 7 6 2 2" xfId="10616"/>
    <cellStyle name="Heading 1 2 2 2 6 2 2 7 6 3" xfId="10617"/>
    <cellStyle name="Heading 1 2 2 2 6 2 2 7 7" xfId="10618"/>
    <cellStyle name="Heading 1 2 2 2 6 2 2 7 7 2" xfId="10619"/>
    <cellStyle name="Heading 1 2 2 2 6 2 2 7 7 2 2" xfId="10620"/>
    <cellStyle name="Heading 1 2 2 2 6 2 2 7 7 3" xfId="10621"/>
    <cellStyle name="Heading 1 2 2 2 6 2 2 7 8" xfId="10622"/>
    <cellStyle name="Heading 1 2 2 2 6 2 2 7 8 2" xfId="10623"/>
    <cellStyle name="Heading 1 2 2 2 6 2 2 7 9" xfId="10624"/>
    <cellStyle name="Heading 1 2 2 2 6 2 2 8" xfId="10625"/>
    <cellStyle name="Heading 1 2 2 2 6 2 2 8 2" xfId="10626"/>
    <cellStyle name="Heading 1 2 2 2 6 2 2 8 2 2" xfId="10627"/>
    <cellStyle name="Heading 1 2 2 2 6 2 2 8 2 2 2" xfId="10628"/>
    <cellStyle name="Heading 1 2 2 2 6 2 2 8 2 3" xfId="10629"/>
    <cellStyle name="Heading 1 2 2 2 6 2 2 8 3" xfId="10630"/>
    <cellStyle name="Heading 1 2 2 2 6 2 2 8 3 2" xfId="10631"/>
    <cellStyle name="Heading 1 2 2 2 6 2 2 8 3 2 2" xfId="10632"/>
    <cellStyle name="Heading 1 2 2 2 6 2 2 8 3 3" xfId="10633"/>
    <cellStyle name="Heading 1 2 2 2 6 2 2 8 4" xfId="10634"/>
    <cellStyle name="Heading 1 2 2 2 6 2 2 8 4 2" xfId="10635"/>
    <cellStyle name="Heading 1 2 2 2 6 2 2 8 4 2 2" xfId="10636"/>
    <cellStyle name="Heading 1 2 2 2 6 2 2 8 4 3" xfId="10637"/>
    <cellStyle name="Heading 1 2 2 2 6 2 2 8 5" xfId="10638"/>
    <cellStyle name="Heading 1 2 2 2 6 2 2 8 5 2" xfId="10639"/>
    <cellStyle name="Heading 1 2 2 2 6 2 2 8 5 2 2" xfId="10640"/>
    <cellStyle name="Heading 1 2 2 2 6 2 2 8 5 3" xfId="10641"/>
    <cellStyle name="Heading 1 2 2 2 6 2 2 8 6" xfId="10642"/>
    <cellStyle name="Heading 1 2 2 2 6 2 2 8 6 2" xfId="10643"/>
    <cellStyle name="Heading 1 2 2 2 6 2 2 8 6 2 2" xfId="10644"/>
    <cellStyle name="Heading 1 2 2 2 6 2 2 8 6 3" xfId="10645"/>
    <cellStyle name="Heading 1 2 2 2 6 2 2 8 7" xfId="10646"/>
    <cellStyle name="Heading 1 2 2 2 6 2 2 8 7 2" xfId="10647"/>
    <cellStyle name="Heading 1 2 2 2 6 2 2 8 7 2 2" xfId="10648"/>
    <cellStyle name="Heading 1 2 2 2 6 2 2 8 7 3" xfId="10649"/>
    <cellStyle name="Heading 1 2 2 2 6 2 2 8 8" xfId="10650"/>
    <cellStyle name="Heading 1 2 2 2 6 2 2 8 8 2" xfId="10651"/>
    <cellStyle name="Heading 1 2 2 2 6 2 2 8 9" xfId="10652"/>
    <cellStyle name="Heading 1 2 2 2 6 2 2 9" xfId="10653"/>
    <cellStyle name="Heading 1 2 2 2 6 2 2 9 2" xfId="10654"/>
    <cellStyle name="Heading 1 2 2 2 6 2 2 9 2 2" xfId="10655"/>
    <cellStyle name="Heading 1 2 2 2 6 2 2 9 3" xfId="10656"/>
    <cellStyle name="Heading 1 2 2 2 6 2 20" xfId="10657"/>
    <cellStyle name="Heading 1 2 2 2 6 2 20 2" xfId="10658"/>
    <cellStyle name="Heading 1 2 2 2 6 2 21" xfId="10659"/>
    <cellStyle name="Heading 1 2 2 2 6 2 21 2" xfId="10660"/>
    <cellStyle name="Heading 1 2 2 2 6 2 22" xfId="10661"/>
    <cellStyle name="Heading 1 2 2 2 6 2 22 2" xfId="10662"/>
    <cellStyle name="Heading 1 2 2 2 6 2 23" xfId="10663"/>
    <cellStyle name="Heading 1 2 2 2 6 2 3" xfId="10664"/>
    <cellStyle name="Heading 1 2 2 2 6 2 3 2" xfId="10665"/>
    <cellStyle name="Heading 1 2 2 2 6 2 3 2 2" xfId="10666"/>
    <cellStyle name="Heading 1 2 2 2 6 2 3 2 2 2" xfId="10667"/>
    <cellStyle name="Heading 1 2 2 2 6 2 3 2 3" xfId="10668"/>
    <cellStyle name="Heading 1 2 2 2 6 2 3 3" xfId="10669"/>
    <cellStyle name="Heading 1 2 2 2 6 2 3 3 2" xfId="10670"/>
    <cellStyle name="Heading 1 2 2 2 6 2 3 3 2 2" xfId="10671"/>
    <cellStyle name="Heading 1 2 2 2 6 2 3 3 3" xfId="10672"/>
    <cellStyle name="Heading 1 2 2 2 6 2 3 4" xfId="10673"/>
    <cellStyle name="Heading 1 2 2 2 6 2 3 4 2" xfId="10674"/>
    <cellStyle name="Heading 1 2 2 2 6 2 3 4 2 2" xfId="10675"/>
    <cellStyle name="Heading 1 2 2 2 6 2 3 4 3" xfId="10676"/>
    <cellStyle name="Heading 1 2 2 2 6 2 3 5" xfId="10677"/>
    <cellStyle name="Heading 1 2 2 2 6 2 3 5 2" xfId="10678"/>
    <cellStyle name="Heading 1 2 2 2 6 2 3 5 2 2" xfId="10679"/>
    <cellStyle name="Heading 1 2 2 2 6 2 3 5 3" xfId="10680"/>
    <cellStyle name="Heading 1 2 2 2 6 2 3 6" xfId="10681"/>
    <cellStyle name="Heading 1 2 2 2 6 2 3 6 2" xfId="10682"/>
    <cellStyle name="Heading 1 2 2 2 6 2 3 6 2 2" xfId="10683"/>
    <cellStyle name="Heading 1 2 2 2 6 2 3 6 3" xfId="10684"/>
    <cellStyle name="Heading 1 2 2 2 6 2 3 7" xfId="10685"/>
    <cellStyle name="Heading 1 2 2 2 6 2 3 7 2" xfId="10686"/>
    <cellStyle name="Heading 1 2 2 2 6 2 3 7 2 2" xfId="10687"/>
    <cellStyle name="Heading 1 2 2 2 6 2 3 7 3" xfId="10688"/>
    <cellStyle name="Heading 1 2 2 2 6 2 3 8" xfId="10689"/>
    <cellStyle name="Heading 1 2 2 2 6 2 3 8 2" xfId="10690"/>
    <cellStyle name="Heading 1 2 2 2 6 2 3 9" xfId="10691"/>
    <cellStyle name="Heading 1 2 2 2 6 2 4" xfId="10692"/>
    <cellStyle name="Heading 1 2 2 2 6 2 4 2" xfId="10693"/>
    <cellStyle name="Heading 1 2 2 2 6 2 4 2 2" xfId="10694"/>
    <cellStyle name="Heading 1 2 2 2 6 2 4 2 2 2" xfId="10695"/>
    <cellStyle name="Heading 1 2 2 2 6 2 4 2 3" xfId="10696"/>
    <cellStyle name="Heading 1 2 2 2 6 2 4 3" xfId="10697"/>
    <cellStyle name="Heading 1 2 2 2 6 2 4 3 2" xfId="10698"/>
    <cellStyle name="Heading 1 2 2 2 6 2 4 3 2 2" xfId="10699"/>
    <cellStyle name="Heading 1 2 2 2 6 2 4 3 3" xfId="10700"/>
    <cellStyle name="Heading 1 2 2 2 6 2 4 4" xfId="10701"/>
    <cellStyle name="Heading 1 2 2 2 6 2 4 4 2" xfId="10702"/>
    <cellStyle name="Heading 1 2 2 2 6 2 4 4 2 2" xfId="10703"/>
    <cellStyle name="Heading 1 2 2 2 6 2 4 4 3" xfId="10704"/>
    <cellStyle name="Heading 1 2 2 2 6 2 4 5" xfId="10705"/>
    <cellStyle name="Heading 1 2 2 2 6 2 4 5 2" xfId="10706"/>
    <cellStyle name="Heading 1 2 2 2 6 2 4 5 2 2" xfId="10707"/>
    <cellStyle name="Heading 1 2 2 2 6 2 4 5 3" xfId="10708"/>
    <cellStyle name="Heading 1 2 2 2 6 2 4 6" xfId="10709"/>
    <cellStyle name="Heading 1 2 2 2 6 2 4 6 2" xfId="10710"/>
    <cellStyle name="Heading 1 2 2 2 6 2 4 6 2 2" xfId="10711"/>
    <cellStyle name="Heading 1 2 2 2 6 2 4 6 3" xfId="10712"/>
    <cellStyle name="Heading 1 2 2 2 6 2 4 7" xfId="10713"/>
    <cellStyle name="Heading 1 2 2 2 6 2 4 7 2" xfId="10714"/>
    <cellStyle name="Heading 1 2 2 2 6 2 4 7 2 2" xfId="10715"/>
    <cellStyle name="Heading 1 2 2 2 6 2 4 7 3" xfId="10716"/>
    <cellStyle name="Heading 1 2 2 2 6 2 4 8" xfId="10717"/>
    <cellStyle name="Heading 1 2 2 2 6 2 4 8 2" xfId="10718"/>
    <cellStyle name="Heading 1 2 2 2 6 2 4 9" xfId="10719"/>
    <cellStyle name="Heading 1 2 2 2 6 2 5" xfId="10720"/>
    <cellStyle name="Heading 1 2 2 2 6 2 5 2" xfId="10721"/>
    <cellStyle name="Heading 1 2 2 2 6 2 5 2 2" xfId="10722"/>
    <cellStyle name="Heading 1 2 2 2 6 2 5 2 2 2" xfId="10723"/>
    <cellStyle name="Heading 1 2 2 2 6 2 5 2 3" xfId="10724"/>
    <cellStyle name="Heading 1 2 2 2 6 2 5 3" xfId="10725"/>
    <cellStyle name="Heading 1 2 2 2 6 2 5 3 2" xfId="10726"/>
    <cellStyle name="Heading 1 2 2 2 6 2 5 3 2 2" xfId="10727"/>
    <cellStyle name="Heading 1 2 2 2 6 2 5 3 3" xfId="10728"/>
    <cellStyle name="Heading 1 2 2 2 6 2 5 4" xfId="10729"/>
    <cellStyle name="Heading 1 2 2 2 6 2 5 4 2" xfId="10730"/>
    <cellStyle name="Heading 1 2 2 2 6 2 5 4 2 2" xfId="10731"/>
    <cellStyle name="Heading 1 2 2 2 6 2 5 4 3" xfId="10732"/>
    <cellStyle name="Heading 1 2 2 2 6 2 5 5" xfId="10733"/>
    <cellStyle name="Heading 1 2 2 2 6 2 5 5 2" xfId="10734"/>
    <cellStyle name="Heading 1 2 2 2 6 2 5 5 2 2" xfId="10735"/>
    <cellStyle name="Heading 1 2 2 2 6 2 5 5 3" xfId="10736"/>
    <cellStyle name="Heading 1 2 2 2 6 2 5 6" xfId="10737"/>
    <cellStyle name="Heading 1 2 2 2 6 2 5 6 2" xfId="10738"/>
    <cellStyle name="Heading 1 2 2 2 6 2 5 6 2 2" xfId="10739"/>
    <cellStyle name="Heading 1 2 2 2 6 2 5 6 3" xfId="10740"/>
    <cellStyle name="Heading 1 2 2 2 6 2 5 7" xfId="10741"/>
    <cellStyle name="Heading 1 2 2 2 6 2 5 7 2" xfId="10742"/>
    <cellStyle name="Heading 1 2 2 2 6 2 5 7 2 2" xfId="10743"/>
    <cellStyle name="Heading 1 2 2 2 6 2 5 7 3" xfId="10744"/>
    <cellStyle name="Heading 1 2 2 2 6 2 5 8" xfId="10745"/>
    <cellStyle name="Heading 1 2 2 2 6 2 5 8 2" xfId="10746"/>
    <cellStyle name="Heading 1 2 2 2 6 2 5 9" xfId="10747"/>
    <cellStyle name="Heading 1 2 2 2 6 2 6" xfId="10748"/>
    <cellStyle name="Heading 1 2 2 2 6 2 6 2" xfId="10749"/>
    <cellStyle name="Heading 1 2 2 2 6 2 6 2 2" xfId="10750"/>
    <cellStyle name="Heading 1 2 2 2 6 2 6 2 2 2" xfId="10751"/>
    <cellStyle name="Heading 1 2 2 2 6 2 6 2 3" xfId="10752"/>
    <cellStyle name="Heading 1 2 2 2 6 2 6 3" xfId="10753"/>
    <cellStyle name="Heading 1 2 2 2 6 2 6 3 2" xfId="10754"/>
    <cellStyle name="Heading 1 2 2 2 6 2 6 3 2 2" xfId="10755"/>
    <cellStyle name="Heading 1 2 2 2 6 2 6 3 3" xfId="10756"/>
    <cellStyle name="Heading 1 2 2 2 6 2 6 4" xfId="10757"/>
    <cellStyle name="Heading 1 2 2 2 6 2 6 4 2" xfId="10758"/>
    <cellStyle name="Heading 1 2 2 2 6 2 6 4 2 2" xfId="10759"/>
    <cellStyle name="Heading 1 2 2 2 6 2 6 4 3" xfId="10760"/>
    <cellStyle name="Heading 1 2 2 2 6 2 6 5" xfId="10761"/>
    <cellStyle name="Heading 1 2 2 2 6 2 6 5 2" xfId="10762"/>
    <cellStyle name="Heading 1 2 2 2 6 2 6 5 2 2" xfId="10763"/>
    <cellStyle name="Heading 1 2 2 2 6 2 6 5 3" xfId="10764"/>
    <cellStyle name="Heading 1 2 2 2 6 2 6 6" xfId="10765"/>
    <cellStyle name="Heading 1 2 2 2 6 2 6 6 2" xfId="10766"/>
    <cellStyle name="Heading 1 2 2 2 6 2 6 6 2 2" xfId="10767"/>
    <cellStyle name="Heading 1 2 2 2 6 2 6 6 3" xfId="10768"/>
    <cellStyle name="Heading 1 2 2 2 6 2 6 7" xfId="10769"/>
    <cellStyle name="Heading 1 2 2 2 6 2 6 7 2" xfId="10770"/>
    <cellStyle name="Heading 1 2 2 2 6 2 6 7 2 2" xfId="10771"/>
    <cellStyle name="Heading 1 2 2 2 6 2 6 7 3" xfId="10772"/>
    <cellStyle name="Heading 1 2 2 2 6 2 6 8" xfId="10773"/>
    <cellStyle name="Heading 1 2 2 2 6 2 6 8 2" xfId="10774"/>
    <cellStyle name="Heading 1 2 2 2 6 2 6 9" xfId="10775"/>
    <cellStyle name="Heading 1 2 2 2 6 2 7" xfId="10776"/>
    <cellStyle name="Heading 1 2 2 2 6 2 7 2" xfId="10777"/>
    <cellStyle name="Heading 1 2 2 2 6 2 7 2 2" xfId="10778"/>
    <cellStyle name="Heading 1 2 2 2 6 2 7 2 2 2" xfId="10779"/>
    <cellStyle name="Heading 1 2 2 2 6 2 7 2 3" xfId="10780"/>
    <cellStyle name="Heading 1 2 2 2 6 2 7 3" xfId="10781"/>
    <cellStyle name="Heading 1 2 2 2 6 2 7 3 2" xfId="10782"/>
    <cellStyle name="Heading 1 2 2 2 6 2 7 3 2 2" xfId="10783"/>
    <cellStyle name="Heading 1 2 2 2 6 2 7 3 3" xfId="10784"/>
    <cellStyle name="Heading 1 2 2 2 6 2 7 4" xfId="10785"/>
    <cellStyle name="Heading 1 2 2 2 6 2 7 4 2" xfId="10786"/>
    <cellStyle name="Heading 1 2 2 2 6 2 7 4 2 2" xfId="10787"/>
    <cellStyle name="Heading 1 2 2 2 6 2 7 4 3" xfId="10788"/>
    <cellStyle name="Heading 1 2 2 2 6 2 7 5" xfId="10789"/>
    <cellStyle name="Heading 1 2 2 2 6 2 7 5 2" xfId="10790"/>
    <cellStyle name="Heading 1 2 2 2 6 2 7 5 2 2" xfId="10791"/>
    <cellStyle name="Heading 1 2 2 2 6 2 7 5 3" xfId="10792"/>
    <cellStyle name="Heading 1 2 2 2 6 2 7 6" xfId="10793"/>
    <cellStyle name="Heading 1 2 2 2 6 2 7 6 2" xfId="10794"/>
    <cellStyle name="Heading 1 2 2 2 6 2 7 6 2 2" xfId="10795"/>
    <cellStyle name="Heading 1 2 2 2 6 2 7 6 3" xfId="10796"/>
    <cellStyle name="Heading 1 2 2 2 6 2 7 7" xfId="10797"/>
    <cellStyle name="Heading 1 2 2 2 6 2 7 7 2" xfId="10798"/>
    <cellStyle name="Heading 1 2 2 2 6 2 7 7 2 2" xfId="10799"/>
    <cellStyle name="Heading 1 2 2 2 6 2 7 7 3" xfId="10800"/>
    <cellStyle name="Heading 1 2 2 2 6 2 7 8" xfId="10801"/>
    <cellStyle name="Heading 1 2 2 2 6 2 7 8 2" xfId="10802"/>
    <cellStyle name="Heading 1 2 2 2 6 2 7 9" xfId="10803"/>
    <cellStyle name="Heading 1 2 2 2 6 2 8" xfId="10804"/>
    <cellStyle name="Heading 1 2 2 2 6 2 8 2" xfId="10805"/>
    <cellStyle name="Heading 1 2 2 2 6 2 8 2 2" xfId="10806"/>
    <cellStyle name="Heading 1 2 2 2 6 2 8 2 2 2" xfId="10807"/>
    <cellStyle name="Heading 1 2 2 2 6 2 8 2 3" xfId="10808"/>
    <cellStyle name="Heading 1 2 2 2 6 2 8 3" xfId="10809"/>
    <cellStyle name="Heading 1 2 2 2 6 2 8 3 2" xfId="10810"/>
    <cellStyle name="Heading 1 2 2 2 6 2 8 3 2 2" xfId="10811"/>
    <cellStyle name="Heading 1 2 2 2 6 2 8 3 3" xfId="10812"/>
    <cellStyle name="Heading 1 2 2 2 6 2 8 4" xfId="10813"/>
    <cellStyle name="Heading 1 2 2 2 6 2 8 4 2" xfId="10814"/>
    <cellStyle name="Heading 1 2 2 2 6 2 8 4 2 2" xfId="10815"/>
    <cellStyle name="Heading 1 2 2 2 6 2 8 4 3" xfId="10816"/>
    <cellStyle name="Heading 1 2 2 2 6 2 8 5" xfId="10817"/>
    <cellStyle name="Heading 1 2 2 2 6 2 8 5 2" xfId="10818"/>
    <cellStyle name="Heading 1 2 2 2 6 2 8 5 2 2" xfId="10819"/>
    <cellStyle name="Heading 1 2 2 2 6 2 8 5 3" xfId="10820"/>
    <cellStyle name="Heading 1 2 2 2 6 2 8 6" xfId="10821"/>
    <cellStyle name="Heading 1 2 2 2 6 2 8 6 2" xfId="10822"/>
    <cellStyle name="Heading 1 2 2 2 6 2 8 6 2 2" xfId="10823"/>
    <cellStyle name="Heading 1 2 2 2 6 2 8 6 3" xfId="10824"/>
    <cellStyle name="Heading 1 2 2 2 6 2 8 7" xfId="10825"/>
    <cellStyle name="Heading 1 2 2 2 6 2 8 7 2" xfId="10826"/>
    <cellStyle name="Heading 1 2 2 2 6 2 8 7 2 2" xfId="10827"/>
    <cellStyle name="Heading 1 2 2 2 6 2 8 7 3" xfId="10828"/>
    <cellStyle name="Heading 1 2 2 2 6 2 8 8" xfId="10829"/>
    <cellStyle name="Heading 1 2 2 2 6 2 8 8 2" xfId="10830"/>
    <cellStyle name="Heading 1 2 2 2 6 2 8 9" xfId="10831"/>
    <cellStyle name="Heading 1 2 2 2 6 2 9" xfId="10832"/>
    <cellStyle name="Heading 1 2 2 2 6 2 9 2" xfId="10833"/>
    <cellStyle name="Heading 1 2 2 2 6 2 9 2 2" xfId="10834"/>
    <cellStyle name="Heading 1 2 2 2 6 2 9 2 2 2" xfId="10835"/>
    <cellStyle name="Heading 1 2 2 2 6 2 9 2 3" xfId="10836"/>
    <cellStyle name="Heading 1 2 2 2 6 2 9 3" xfId="10837"/>
    <cellStyle name="Heading 1 2 2 2 6 2 9 3 2" xfId="10838"/>
    <cellStyle name="Heading 1 2 2 2 6 2 9 3 2 2" xfId="10839"/>
    <cellStyle name="Heading 1 2 2 2 6 2 9 3 3" xfId="10840"/>
    <cellStyle name="Heading 1 2 2 2 6 2 9 4" xfId="10841"/>
    <cellStyle name="Heading 1 2 2 2 6 2 9 4 2" xfId="10842"/>
    <cellStyle name="Heading 1 2 2 2 6 2 9 4 2 2" xfId="10843"/>
    <cellStyle name="Heading 1 2 2 2 6 2 9 4 3" xfId="10844"/>
    <cellStyle name="Heading 1 2 2 2 6 2 9 5" xfId="10845"/>
    <cellStyle name="Heading 1 2 2 2 6 2 9 5 2" xfId="10846"/>
    <cellStyle name="Heading 1 2 2 2 6 2 9 5 2 2" xfId="10847"/>
    <cellStyle name="Heading 1 2 2 2 6 2 9 5 3" xfId="10848"/>
    <cellStyle name="Heading 1 2 2 2 6 2 9 6" xfId="10849"/>
    <cellStyle name="Heading 1 2 2 2 6 2 9 6 2" xfId="10850"/>
    <cellStyle name="Heading 1 2 2 2 6 2 9 6 2 2" xfId="10851"/>
    <cellStyle name="Heading 1 2 2 2 6 2 9 6 3" xfId="10852"/>
    <cellStyle name="Heading 1 2 2 2 6 2 9 7" xfId="10853"/>
    <cellStyle name="Heading 1 2 2 2 6 2 9 7 2" xfId="10854"/>
    <cellStyle name="Heading 1 2 2 2 6 2 9 7 2 2" xfId="10855"/>
    <cellStyle name="Heading 1 2 2 2 6 2 9 7 3" xfId="10856"/>
    <cellStyle name="Heading 1 2 2 2 6 2 9 8" xfId="10857"/>
    <cellStyle name="Heading 1 2 2 2 6 2 9 8 2" xfId="10858"/>
    <cellStyle name="Heading 1 2 2 2 6 2 9 9" xfId="10859"/>
    <cellStyle name="Heading 1 2 2 2 6 3" xfId="10860"/>
    <cellStyle name="Heading 1 2 2 2 6 3 10" xfId="10861"/>
    <cellStyle name="Heading 1 2 2 2 6 3 10 2" xfId="10862"/>
    <cellStyle name="Heading 1 2 2 2 6 3 10 2 2" xfId="10863"/>
    <cellStyle name="Heading 1 2 2 2 6 3 10 3" xfId="10864"/>
    <cellStyle name="Heading 1 2 2 2 6 3 11" xfId="10865"/>
    <cellStyle name="Heading 1 2 2 2 6 3 11 2" xfId="10866"/>
    <cellStyle name="Heading 1 2 2 2 6 3 11 2 2" xfId="10867"/>
    <cellStyle name="Heading 1 2 2 2 6 3 11 3" xfId="10868"/>
    <cellStyle name="Heading 1 2 2 2 6 3 12" xfId="10869"/>
    <cellStyle name="Heading 1 2 2 2 6 3 12 2" xfId="10870"/>
    <cellStyle name="Heading 1 2 2 2 6 3 12 2 2" xfId="10871"/>
    <cellStyle name="Heading 1 2 2 2 6 3 12 3" xfId="10872"/>
    <cellStyle name="Heading 1 2 2 2 6 3 13" xfId="10873"/>
    <cellStyle name="Heading 1 2 2 2 6 3 13 2" xfId="10874"/>
    <cellStyle name="Heading 1 2 2 2 6 3 13 2 2" xfId="10875"/>
    <cellStyle name="Heading 1 2 2 2 6 3 13 3" xfId="10876"/>
    <cellStyle name="Heading 1 2 2 2 6 3 14" xfId="10877"/>
    <cellStyle name="Heading 1 2 2 2 6 3 14 2" xfId="10878"/>
    <cellStyle name="Heading 1 2 2 2 6 3 14 2 2" xfId="10879"/>
    <cellStyle name="Heading 1 2 2 2 6 3 14 3" xfId="10880"/>
    <cellStyle name="Heading 1 2 2 2 6 3 15" xfId="10881"/>
    <cellStyle name="Heading 1 2 2 2 6 3 15 2" xfId="10882"/>
    <cellStyle name="Heading 1 2 2 2 6 3 15 2 2" xfId="10883"/>
    <cellStyle name="Heading 1 2 2 2 6 3 15 3" xfId="10884"/>
    <cellStyle name="Heading 1 2 2 2 6 3 16" xfId="10885"/>
    <cellStyle name="Heading 1 2 2 2 6 3 16 2" xfId="10886"/>
    <cellStyle name="Heading 1 2 2 2 6 3 16 2 2" xfId="10887"/>
    <cellStyle name="Heading 1 2 2 2 6 3 16 3" xfId="10888"/>
    <cellStyle name="Heading 1 2 2 2 6 3 17" xfId="10889"/>
    <cellStyle name="Heading 1 2 2 2 6 3 17 2" xfId="10890"/>
    <cellStyle name="Heading 1 2 2 2 6 3 17 2 2" xfId="10891"/>
    <cellStyle name="Heading 1 2 2 2 6 3 17 3" xfId="10892"/>
    <cellStyle name="Heading 1 2 2 2 6 3 18" xfId="10893"/>
    <cellStyle name="Heading 1 2 2 2 6 3 18 2" xfId="10894"/>
    <cellStyle name="Heading 1 2 2 2 6 3 18 2 2" xfId="10895"/>
    <cellStyle name="Heading 1 2 2 2 6 3 18 3" xfId="10896"/>
    <cellStyle name="Heading 1 2 2 2 6 3 19" xfId="10897"/>
    <cellStyle name="Heading 1 2 2 2 6 3 19 2" xfId="10898"/>
    <cellStyle name="Heading 1 2 2 2 6 3 2" xfId="10899"/>
    <cellStyle name="Heading 1 2 2 2 6 3 2 2" xfId="10900"/>
    <cellStyle name="Heading 1 2 2 2 6 3 2 2 2" xfId="10901"/>
    <cellStyle name="Heading 1 2 2 2 6 3 2 2 2 2" xfId="10902"/>
    <cellStyle name="Heading 1 2 2 2 6 3 2 2 3" xfId="10903"/>
    <cellStyle name="Heading 1 2 2 2 6 3 2 3" xfId="10904"/>
    <cellStyle name="Heading 1 2 2 2 6 3 2 3 2" xfId="10905"/>
    <cellStyle name="Heading 1 2 2 2 6 3 2 3 2 2" xfId="10906"/>
    <cellStyle name="Heading 1 2 2 2 6 3 2 3 3" xfId="10907"/>
    <cellStyle name="Heading 1 2 2 2 6 3 2 4" xfId="10908"/>
    <cellStyle name="Heading 1 2 2 2 6 3 2 4 2" xfId="10909"/>
    <cellStyle name="Heading 1 2 2 2 6 3 2 4 2 2" xfId="10910"/>
    <cellStyle name="Heading 1 2 2 2 6 3 2 4 3" xfId="10911"/>
    <cellStyle name="Heading 1 2 2 2 6 3 2 5" xfId="10912"/>
    <cellStyle name="Heading 1 2 2 2 6 3 2 5 2" xfId="10913"/>
    <cellStyle name="Heading 1 2 2 2 6 3 2 5 2 2" xfId="10914"/>
    <cellStyle name="Heading 1 2 2 2 6 3 2 5 3" xfId="10915"/>
    <cellStyle name="Heading 1 2 2 2 6 3 2 6" xfId="10916"/>
    <cellStyle name="Heading 1 2 2 2 6 3 2 6 2" xfId="10917"/>
    <cellStyle name="Heading 1 2 2 2 6 3 2 6 2 2" xfId="10918"/>
    <cellStyle name="Heading 1 2 2 2 6 3 2 6 3" xfId="10919"/>
    <cellStyle name="Heading 1 2 2 2 6 3 2 7" xfId="10920"/>
    <cellStyle name="Heading 1 2 2 2 6 3 2 7 2" xfId="10921"/>
    <cellStyle name="Heading 1 2 2 2 6 3 2 7 2 2" xfId="10922"/>
    <cellStyle name="Heading 1 2 2 2 6 3 2 7 3" xfId="10923"/>
    <cellStyle name="Heading 1 2 2 2 6 3 2 8" xfId="10924"/>
    <cellStyle name="Heading 1 2 2 2 6 3 2 8 2" xfId="10925"/>
    <cellStyle name="Heading 1 2 2 2 6 3 2 9" xfId="10926"/>
    <cellStyle name="Heading 1 2 2 2 6 3 20" xfId="10927"/>
    <cellStyle name="Heading 1 2 2 2 6 3 20 2" xfId="10928"/>
    <cellStyle name="Heading 1 2 2 2 6 3 21" xfId="10929"/>
    <cellStyle name="Heading 1 2 2 2 6 3 21 2" xfId="10930"/>
    <cellStyle name="Heading 1 2 2 2 6 3 22" xfId="10931"/>
    <cellStyle name="Heading 1 2 2 2 6 3 3" xfId="10932"/>
    <cellStyle name="Heading 1 2 2 2 6 3 3 2" xfId="10933"/>
    <cellStyle name="Heading 1 2 2 2 6 3 3 2 2" xfId="10934"/>
    <cellStyle name="Heading 1 2 2 2 6 3 3 2 2 2" xfId="10935"/>
    <cellStyle name="Heading 1 2 2 2 6 3 3 2 3" xfId="10936"/>
    <cellStyle name="Heading 1 2 2 2 6 3 3 3" xfId="10937"/>
    <cellStyle name="Heading 1 2 2 2 6 3 3 3 2" xfId="10938"/>
    <cellStyle name="Heading 1 2 2 2 6 3 3 3 2 2" xfId="10939"/>
    <cellStyle name="Heading 1 2 2 2 6 3 3 3 3" xfId="10940"/>
    <cellStyle name="Heading 1 2 2 2 6 3 3 4" xfId="10941"/>
    <cellStyle name="Heading 1 2 2 2 6 3 3 4 2" xfId="10942"/>
    <cellStyle name="Heading 1 2 2 2 6 3 3 4 2 2" xfId="10943"/>
    <cellStyle name="Heading 1 2 2 2 6 3 3 4 3" xfId="10944"/>
    <cellStyle name="Heading 1 2 2 2 6 3 3 5" xfId="10945"/>
    <cellStyle name="Heading 1 2 2 2 6 3 3 5 2" xfId="10946"/>
    <cellStyle name="Heading 1 2 2 2 6 3 3 5 2 2" xfId="10947"/>
    <cellStyle name="Heading 1 2 2 2 6 3 3 5 3" xfId="10948"/>
    <cellStyle name="Heading 1 2 2 2 6 3 3 6" xfId="10949"/>
    <cellStyle name="Heading 1 2 2 2 6 3 3 6 2" xfId="10950"/>
    <cellStyle name="Heading 1 2 2 2 6 3 3 6 2 2" xfId="10951"/>
    <cellStyle name="Heading 1 2 2 2 6 3 3 6 3" xfId="10952"/>
    <cellStyle name="Heading 1 2 2 2 6 3 3 7" xfId="10953"/>
    <cellStyle name="Heading 1 2 2 2 6 3 3 7 2" xfId="10954"/>
    <cellStyle name="Heading 1 2 2 2 6 3 3 7 2 2" xfId="10955"/>
    <cellStyle name="Heading 1 2 2 2 6 3 3 7 3" xfId="10956"/>
    <cellStyle name="Heading 1 2 2 2 6 3 3 8" xfId="10957"/>
    <cellStyle name="Heading 1 2 2 2 6 3 3 8 2" xfId="10958"/>
    <cellStyle name="Heading 1 2 2 2 6 3 3 9" xfId="10959"/>
    <cellStyle name="Heading 1 2 2 2 6 3 4" xfId="10960"/>
    <cellStyle name="Heading 1 2 2 2 6 3 4 2" xfId="10961"/>
    <cellStyle name="Heading 1 2 2 2 6 3 4 2 2" xfId="10962"/>
    <cellStyle name="Heading 1 2 2 2 6 3 4 2 2 2" xfId="10963"/>
    <cellStyle name="Heading 1 2 2 2 6 3 4 2 3" xfId="10964"/>
    <cellStyle name="Heading 1 2 2 2 6 3 4 3" xfId="10965"/>
    <cellStyle name="Heading 1 2 2 2 6 3 4 3 2" xfId="10966"/>
    <cellStyle name="Heading 1 2 2 2 6 3 4 3 2 2" xfId="10967"/>
    <cellStyle name="Heading 1 2 2 2 6 3 4 3 3" xfId="10968"/>
    <cellStyle name="Heading 1 2 2 2 6 3 4 4" xfId="10969"/>
    <cellStyle name="Heading 1 2 2 2 6 3 4 4 2" xfId="10970"/>
    <cellStyle name="Heading 1 2 2 2 6 3 4 4 2 2" xfId="10971"/>
    <cellStyle name="Heading 1 2 2 2 6 3 4 4 3" xfId="10972"/>
    <cellStyle name="Heading 1 2 2 2 6 3 4 5" xfId="10973"/>
    <cellStyle name="Heading 1 2 2 2 6 3 4 5 2" xfId="10974"/>
    <cellStyle name="Heading 1 2 2 2 6 3 4 5 2 2" xfId="10975"/>
    <cellStyle name="Heading 1 2 2 2 6 3 4 5 3" xfId="10976"/>
    <cellStyle name="Heading 1 2 2 2 6 3 4 6" xfId="10977"/>
    <cellStyle name="Heading 1 2 2 2 6 3 4 6 2" xfId="10978"/>
    <cellStyle name="Heading 1 2 2 2 6 3 4 6 2 2" xfId="10979"/>
    <cellStyle name="Heading 1 2 2 2 6 3 4 6 3" xfId="10980"/>
    <cellStyle name="Heading 1 2 2 2 6 3 4 7" xfId="10981"/>
    <cellStyle name="Heading 1 2 2 2 6 3 4 7 2" xfId="10982"/>
    <cellStyle name="Heading 1 2 2 2 6 3 4 7 2 2" xfId="10983"/>
    <cellStyle name="Heading 1 2 2 2 6 3 4 7 3" xfId="10984"/>
    <cellStyle name="Heading 1 2 2 2 6 3 4 8" xfId="10985"/>
    <cellStyle name="Heading 1 2 2 2 6 3 4 8 2" xfId="10986"/>
    <cellStyle name="Heading 1 2 2 2 6 3 4 9" xfId="10987"/>
    <cellStyle name="Heading 1 2 2 2 6 3 5" xfId="10988"/>
    <cellStyle name="Heading 1 2 2 2 6 3 5 2" xfId="10989"/>
    <cellStyle name="Heading 1 2 2 2 6 3 5 2 2" xfId="10990"/>
    <cellStyle name="Heading 1 2 2 2 6 3 5 2 2 2" xfId="10991"/>
    <cellStyle name="Heading 1 2 2 2 6 3 5 2 3" xfId="10992"/>
    <cellStyle name="Heading 1 2 2 2 6 3 5 3" xfId="10993"/>
    <cellStyle name="Heading 1 2 2 2 6 3 5 3 2" xfId="10994"/>
    <cellStyle name="Heading 1 2 2 2 6 3 5 3 2 2" xfId="10995"/>
    <cellStyle name="Heading 1 2 2 2 6 3 5 3 3" xfId="10996"/>
    <cellStyle name="Heading 1 2 2 2 6 3 5 4" xfId="10997"/>
    <cellStyle name="Heading 1 2 2 2 6 3 5 4 2" xfId="10998"/>
    <cellStyle name="Heading 1 2 2 2 6 3 5 4 2 2" xfId="10999"/>
    <cellStyle name="Heading 1 2 2 2 6 3 5 4 3" xfId="11000"/>
    <cellStyle name="Heading 1 2 2 2 6 3 5 5" xfId="11001"/>
    <cellStyle name="Heading 1 2 2 2 6 3 5 5 2" xfId="11002"/>
    <cellStyle name="Heading 1 2 2 2 6 3 5 5 2 2" xfId="11003"/>
    <cellStyle name="Heading 1 2 2 2 6 3 5 5 3" xfId="11004"/>
    <cellStyle name="Heading 1 2 2 2 6 3 5 6" xfId="11005"/>
    <cellStyle name="Heading 1 2 2 2 6 3 5 6 2" xfId="11006"/>
    <cellStyle name="Heading 1 2 2 2 6 3 5 6 2 2" xfId="11007"/>
    <cellStyle name="Heading 1 2 2 2 6 3 5 6 3" xfId="11008"/>
    <cellStyle name="Heading 1 2 2 2 6 3 5 7" xfId="11009"/>
    <cellStyle name="Heading 1 2 2 2 6 3 5 7 2" xfId="11010"/>
    <cellStyle name="Heading 1 2 2 2 6 3 5 7 2 2" xfId="11011"/>
    <cellStyle name="Heading 1 2 2 2 6 3 5 7 3" xfId="11012"/>
    <cellStyle name="Heading 1 2 2 2 6 3 5 8" xfId="11013"/>
    <cellStyle name="Heading 1 2 2 2 6 3 5 8 2" xfId="11014"/>
    <cellStyle name="Heading 1 2 2 2 6 3 5 9" xfId="11015"/>
    <cellStyle name="Heading 1 2 2 2 6 3 6" xfId="11016"/>
    <cellStyle name="Heading 1 2 2 2 6 3 6 2" xfId="11017"/>
    <cellStyle name="Heading 1 2 2 2 6 3 6 2 2" xfId="11018"/>
    <cellStyle name="Heading 1 2 2 2 6 3 6 2 2 2" xfId="11019"/>
    <cellStyle name="Heading 1 2 2 2 6 3 6 2 3" xfId="11020"/>
    <cellStyle name="Heading 1 2 2 2 6 3 6 3" xfId="11021"/>
    <cellStyle name="Heading 1 2 2 2 6 3 6 3 2" xfId="11022"/>
    <cellStyle name="Heading 1 2 2 2 6 3 6 3 2 2" xfId="11023"/>
    <cellStyle name="Heading 1 2 2 2 6 3 6 3 3" xfId="11024"/>
    <cellStyle name="Heading 1 2 2 2 6 3 6 4" xfId="11025"/>
    <cellStyle name="Heading 1 2 2 2 6 3 6 4 2" xfId="11026"/>
    <cellStyle name="Heading 1 2 2 2 6 3 6 4 2 2" xfId="11027"/>
    <cellStyle name="Heading 1 2 2 2 6 3 6 4 3" xfId="11028"/>
    <cellStyle name="Heading 1 2 2 2 6 3 6 5" xfId="11029"/>
    <cellStyle name="Heading 1 2 2 2 6 3 6 5 2" xfId="11030"/>
    <cellStyle name="Heading 1 2 2 2 6 3 6 5 2 2" xfId="11031"/>
    <cellStyle name="Heading 1 2 2 2 6 3 6 5 3" xfId="11032"/>
    <cellStyle name="Heading 1 2 2 2 6 3 6 6" xfId="11033"/>
    <cellStyle name="Heading 1 2 2 2 6 3 6 6 2" xfId="11034"/>
    <cellStyle name="Heading 1 2 2 2 6 3 6 6 2 2" xfId="11035"/>
    <cellStyle name="Heading 1 2 2 2 6 3 6 6 3" xfId="11036"/>
    <cellStyle name="Heading 1 2 2 2 6 3 6 7" xfId="11037"/>
    <cellStyle name="Heading 1 2 2 2 6 3 6 7 2" xfId="11038"/>
    <cellStyle name="Heading 1 2 2 2 6 3 6 7 2 2" xfId="11039"/>
    <cellStyle name="Heading 1 2 2 2 6 3 6 7 3" xfId="11040"/>
    <cellStyle name="Heading 1 2 2 2 6 3 6 8" xfId="11041"/>
    <cellStyle name="Heading 1 2 2 2 6 3 6 8 2" xfId="11042"/>
    <cellStyle name="Heading 1 2 2 2 6 3 6 9" xfId="11043"/>
    <cellStyle name="Heading 1 2 2 2 6 3 7" xfId="11044"/>
    <cellStyle name="Heading 1 2 2 2 6 3 7 2" xfId="11045"/>
    <cellStyle name="Heading 1 2 2 2 6 3 7 2 2" xfId="11046"/>
    <cellStyle name="Heading 1 2 2 2 6 3 7 2 2 2" xfId="11047"/>
    <cellStyle name="Heading 1 2 2 2 6 3 7 2 3" xfId="11048"/>
    <cellStyle name="Heading 1 2 2 2 6 3 7 3" xfId="11049"/>
    <cellStyle name="Heading 1 2 2 2 6 3 7 3 2" xfId="11050"/>
    <cellStyle name="Heading 1 2 2 2 6 3 7 3 2 2" xfId="11051"/>
    <cellStyle name="Heading 1 2 2 2 6 3 7 3 3" xfId="11052"/>
    <cellStyle name="Heading 1 2 2 2 6 3 7 4" xfId="11053"/>
    <cellStyle name="Heading 1 2 2 2 6 3 7 4 2" xfId="11054"/>
    <cellStyle name="Heading 1 2 2 2 6 3 7 4 2 2" xfId="11055"/>
    <cellStyle name="Heading 1 2 2 2 6 3 7 4 3" xfId="11056"/>
    <cellStyle name="Heading 1 2 2 2 6 3 7 5" xfId="11057"/>
    <cellStyle name="Heading 1 2 2 2 6 3 7 5 2" xfId="11058"/>
    <cellStyle name="Heading 1 2 2 2 6 3 7 5 2 2" xfId="11059"/>
    <cellStyle name="Heading 1 2 2 2 6 3 7 5 3" xfId="11060"/>
    <cellStyle name="Heading 1 2 2 2 6 3 7 6" xfId="11061"/>
    <cellStyle name="Heading 1 2 2 2 6 3 7 6 2" xfId="11062"/>
    <cellStyle name="Heading 1 2 2 2 6 3 7 6 2 2" xfId="11063"/>
    <cellStyle name="Heading 1 2 2 2 6 3 7 6 3" xfId="11064"/>
    <cellStyle name="Heading 1 2 2 2 6 3 7 7" xfId="11065"/>
    <cellStyle name="Heading 1 2 2 2 6 3 7 7 2" xfId="11066"/>
    <cellStyle name="Heading 1 2 2 2 6 3 7 7 2 2" xfId="11067"/>
    <cellStyle name="Heading 1 2 2 2 6 3 7 7 3" xfId="11068"/>
    <cellStyle name="Heading 1 2 2 2 6 3 7 8" xfId="11069"/>
    <cellStyle name="Heading 1 2 2 2 6 3 7 8 2" xfId="11070"/>
    <cellStyle name="Heading 1 2 2 2 6 3 7 9" xfId="11071"/>
    <cellStyle name="Heading 1 2 2 2 6 3 8" xfId="11072"/>
    <cellStyle name="Heading 1 2 2 2 6 3 8 2" xfId="11073"/>
    <cellStyle name="Heading 1 2 2 2 6 3 8 2 2" xfId="11074"/>
    <cellStyle name="Heading 1 2 2 2 6 3 8 2 2 2" xfId="11075"/>
    <cellStyle name="Heading 1 2 2 2 6 3 8 2 3" xfId="11076"/>
    <cellStyle name="Heading 1 2 2 2 6 3 8 3" xfId="11077"/>
    <cellStyle name="Heading 1 2 2 2 6 3 8 3 2" xfId="11078"/>
    <cellStyle name="Heading 1 2 2 2 6 3 8 3 2 2" xfId="11079"/>
    <cellStyle name="Heading 1 2 2 2 6 3 8 3 3" xfId="11080"/>
    <cellStyle name="Heading 1 2 2 2 6 3 8 4" xfId="11081"/>
    <cellStyle name="Heading 1 2 2 2 6 3 8 4 2" xfId="11082"/>
    <cellStyle name="Heading 1 2 2 2 6 3 8 4 2 2" xfId="11083"/>
    <cellStyle name="Heading 1 2 2 2 6 3 8 4 3" xfId="11084"/>
    <cellStyle name="Heading 1 2 2 2 6 3 8 5" xfId="11085"/>
    <cellStyle name="Heading 1 2 2 2 6 3 8 5 2" xfId="11086"/>
    <cellStyle name="Heading 1 2 2 2 6 3 8 5 2 2" xfId="11087"/>
    <cellStyle name="Heading 1 2 2 2 6 3 8 5 3" xfId="11088"/>
    <cellStyle name="Heading 1 2 2 2 6 3 8 6" xfId="11089"/>
    <cellStyle name="Heading 1 2 2 2 6 3 8 6 2" xfId="11090"/>
    <cellStyle name="Heading 1 2 2 2 6 3 8 6 2 2" xfId="11091"/>
    <cellStyle name="Heading 1 2 2 2 6 3 8 6 3" xfId="11092"/>
    <cellStyle name="Heading 1 2 2 2 6 3 8 7" xfId="11093"/>
    <cellStyle name="Heading 1 2 2 2 6 3 8 7 2" xfId="11094"/>
    <cellStyle name="Heading 1 2 2 2 6 3 8 7 2 2" xfId="11095"/>
    <cellStyle name="Heading 1 2 2 2 6 3 8 7 3" xfId="11096"/>
    <cellStyle name="Heading 1 2 2 2 6 3 8 8" xfId="11097"/>
    <cellStyle name="Heading 1 2 2 2 6 3 8 8 2" xfId="11098"/>
    <cellStyle name="Heading 1 2 2 2 6 3 8 9" xfId="11099"/>
    <cellStyle name="Heading 1 2 2 2 6 3 9" xfId="11100"/>
    <cellStyle name="Heading 1 2 2 2 6 3 9 2" xfId="11101"/>
    <cellStyle name="Heading 1 2 2 2 6 3 9 2 2" xfId="11102"/>
    <cellStyle name="Heading 1 2 2 2 6 3 9 3" xfId="11103"/>
    <cellStyle name="Heading 1 2 2 2 6 4" xfId="11104"/>
    <cellStyle name="Heading 1 2 2 2 6 4 2" xfId="11105"/>
    <cellStyle name="Heading 1 2 2 2 6 4 2 2" xfId="11106"/>
    <cellStyle name="Heading 1 2 2 2 6 4 3" xfId="11107"/>
    <cellStyle name="Heading 1 2 2 2 6 5" xfId="11108"/>
    <cellStyle name="Heading 1 2 2 2 6 5 2" xfId="11109"/>
    <cellStyle name="Heading 1 2 2 2 6 6" xfId="11110"/>
    <cellStyle name="Heading 1 2 2 2 7" xfId="11111"/>
    <cellStyle name="Heading 1 2 2 2 7 2" xfId="11112"/>
    <cellStyle name="Heading 1 2 2 2 7 2 10" xfId="11113"/>
    <cellStyle name="Heading 1 2 2 2 7 2 10 2" xfId="11114"/>
    <cellStyle name="Heading 1 2 2 2 7 2 10 2 2" xfId="11115"/>
    <cellStyle name="Heading 1 2 2 2 7 2 10 3" xfId="11116"/>
    <cellStyle name="Heading 1 2 2 2 7 2 11" xfId="11117"/>
    <cellStyle name="Heading 1 2 2 2 7 2 11 2" xfId="11118"/>
    <cellStyle name="Heading 1 2 2 2 7 2 11 2 2" xfId="11119"/>
    <cellStyle name="Heading 1 2 2 2 7 2 11 3" xfId="11120"/>
    <cellStyle name="Heading 1 2 2 2 7 2 12" xfId="11121"/>
    <cellStyle name="Heading 1 2 2 2 7 2 12 2" xfId="11122"/>
    <cellStyle name="Heading 1 2 2 2 7 2 12 2 2" xfId="11123"/>
    <cellStyle name="Heading 1 2 2 2 7 2 12 3" xfId="11124"/>
    <cellStyle name="Heading 1 2 2 2 7 2 13" xfId="11125"/>
    <cellStyle name="Heading 1 2 2 2 7 2 13 2" xfId="11126"/>
    <cellStyle name="Heading 1 2 2 2 7 2 13 2 2" xfId="11127"/>
    <cellStyle name="Heading 1 2 2 2 7 2 13 3" xfId="11128"/>
    <cellStyle name="Heading 1 2 2 2 7 2 14" xfId="11129"/>
    <cellStyle name="Heading 1 2 2 2 7 2 14 2" xfId="11130"/>
    <cellStyle name="Heading 1 2 2 2 7 2 14 2 2" xfId="11131"/>
    <cellStyle name="Heading 1 2 2 2 7 2 14 3" xfId="11132"/>
    <cellStyle name="Heading 1 2 2 2 7 2 15" xfId="11133"/>
    <cellStyle name="Heading 1 2 2 2 7 2 15 2" xfId="11134"/>
    <cellStyle name="Heading 1 2 2 2 7 2 15 2 2" xfId="11135"/>
    <cellStyle name="Heading 1 2 2 2 7 2 15 3" xfId="11136"/>
    <cellStyle name="Heading 1 2 2 2 7 2 16" xfId="11137"/>
    <cellStyle name="Heading 1 2 2 2 7 2 16 2" xfId="11138"/>
    <cellStyle name="Heading 1 2 2 2 7 2 16 2 2" xfId="11139"/>
    <cellStyle name="Heading 1 2 2 2 7 2 16 3" xfId="11140"/>
    <cellStyle name="Heading 1 2 2 2 7 2 17" xfId="11141"/>
    <cellStyle name="Heading 1 2 2 2 7 2 17 2" xfId="11142"/>
    <cellStyle name="Heading 1 2 2 2 7 2 17 2 2" xfId="11143"/>
    <cellStyle name="Heading 1 2 2 2 7 2 17 3" xfId="11144"/>
    <cellStyle name="Heading 1 2 2 2 7 2 18" xfId="11145"/>
    <cellStyle name="Heading 1 2 2 2 7 2 18 2" xfId="11146"/>
    <cellStyle name="Heading 1 2 2 2 7 2 18 2 2" xfId="11147"/>
    <cellStyle name="Heading 1 2 2 2 7 2 18 3" xfId="11148"/>
    <cellStyle name="Heading 1 2 2 2 7 2 19" xfId="11149"/>
    <cellStyle name="Heading 1 2 2 2 7 2 19 2" xfId="11150"/>
    <cellStyle name="Heading 1 2 2 2 7 2 19 2 2" xfId="11151"/>
    <cellStyle name="Heading 1 2 2 2 7 2 19 3" xfId="11152"/>
    <cellStyle name="Heading 1 2 2 2 7 2 2" xfId="11153"/>
    <cellStyle name="Heading 1 2 2 2 7 2 2 10" xfId="11154"/>
    <cellStyle name="Heading 1 2 2 2 7 2 2 10 2" xfId="11155"/>
    <cellStyle name="Heading 1 2 2 2 7 2 2 10 2 2" xfId="11156"/>
    <cellStyle name="Heading 1 2 2 2 7 2 2 10 3" xfId="11157"/>
    <cellStyle name="Heading 1 2 2 2 7 2 2 11" xfId="11158"/>
    <cellStyle name="Heading 1 2 2 2 7 2 2 11 2" xfId="11159"/>
    <cellStyle name="Heading 1 2 2 2 7 2 2 11 2 2" xfId="11160"/>
    <cellStyle name="Heading 1 2 2 2 7 2 2 11 3" xfId="11161"/>
    <cellStyle name="Heading 1 2 2 2 7 2 2 12" xfId="11162"/>
    <cellStyle name="Heading 1 2 2 2 7 2 2 12 2" xfId="11163"/>
    <cellStyle name="Heading 1 2 2 2 7 2 2 12 2 2" xfId="11164"/>
    <cellStyle name="Heading 1 2 2 2 7 2 2 12 3" xfId="11165"/>
    <cellStyle name="Heading 1 2 2 2 7 2 2 13" xfId="11166"/>
    <cellStyle name="Heading 1 2 2 2 7 2 2 13 2" xfId="11167"/>
    <cellStyle name="Heading 1 2 2 2 7 2 2 13 2 2" xfId="11168"/>
    <cellStyle name="Heading 1 2 2 2 7 2 2 13 3" xfId="11169"/>
    <cellStyle name="Heading 1 2 2 2 7 2 2 14" xfId="11170"/>
    <cellStyle name="Heading 1 2 2 2 7 2 2 14 2" xfId="11171"/>
    <cellStyle name="Heading 1 2 2 2 7 2 2 14 2 2" xfId="11172"/>
    <cellStyle name="Heading 1 2 2 2 7 2 2 14 3" xfId="11173"/>
    <cellStyle name="Heading 1 2 2 2 7 2 2 15" xfId="11174"/>
    <cellStyle name="Heading 1 2 2 2 7 2 2 15 2" xfId="11175"/>
    <cellStyle name="Heading 1 2 2 2 7 2 2 15 2 2" xfId="11176"/>
    <cellStyle name="Heading 1 2 2 2 7 2 2 15 3" xfId="11177"/>
    <cellStyle name="Heading 1 2 2 2 7 2 2 16" xfId="11178"/>
    <cellStyle name="Heading 1 2 2 2 7 2 2 16 2" xfId="11179"/>
    <cellStyle name="Heading 1 2 2 2 7 2 2 16 2 2" xfId="11180"/>
    <cellStyle name="Heading 1 2 2 2 7 2 2 16 3" xfId="11181"/>
    <cellStyle name="Heading 1 2 2 2 7 2 2 17" xfId="11182"/>
    <cellStyle name="Heading 1 2 2 2 7 2 2 17 2" xfId="11183"/>
    <cellStyle name="Heading 1 2 2 2 7 2 2 17 2 2" xfId="11184"/>
    <cellStyle name="Heading 1 2 2 2 7 2 2 17 3" xfId="11185"/>
    <cellStyle name="Heading 1 2 2 2 7 2 2 18" xfId="11186"/>
    <cellStyle name="Heading 1 2 2 2 7 2 2 18 2" xfId="11187"/>
    <cellStyle name="Heading 1 2 2 2 7 2 2 18 2 2" xfId="11188"/>
    <cellStyle name="Heading 1 2 2 2 7 2 2 18 3" xfId="11189"/>
    <cellStyle name="Heading 1 2 2 2 7 2 2 19" xfId="11190"/>
    <cellStyle name="Heading 1 2 2 2 7 2 2 19 2" xfId="11191"/>
    <cellStyle name="Heading 1 2 2 2 7 2 2 2" xfId="11192"/>
    <cellStyle name="Heading 1 2 2 2 7 2 2 2 2" xfId="11193"/>
    <cellStyle name="Heading 1 2 2 2 7 2 2 2 2 2" xfId="11194"/>
    <cellStyle name="Heading 1 2 2 2 7 2 2 2 2 2 2" xfId="11195"/>
    <cellStyle name="Heading 1 2 2 2 7 2 2 2 2 3" xfId="11196"/>
    <cellStyle name="Heading 1 2 2 2 7 2 2 2 3" xfId="11197"/>
    <cellStyle name="Heading 1 2 2 2 7 2 2 2 3 2" xfId="11198"/>
    <cellStyle name="Heading 1 2 2 2 7 2 2 2 3 2 2" xfId="11199"/>
    <cellStyle name="Heading 1 2 2 2 7 2 2 2 3 3" xfId="11200"/>
    <cellStyle name="Heading 1 2 2 2 7 2 2 2 4" xfId="11201"/>
    <cellStyle name="Heading 1 2 2 2 7 2 2 2 4 2" xfId="11202"/>
    <cellStyle name="Heading 1 2 2 2 7 2 2 2 4 2 2" xfId="11203"/>
    <cellStyle name="Heading 1 2 2 2 7 2 2 2 4 3" xfId="11204"/>
    <cellStyle name="Heading 1 2 2 2 7 2 2 2 5" xfId="11205"/>
    <cellStyle name="Heading 1 2 2 2 7 2 2 2 5 2" xfId="11206"/>
    <cellStyle name="Heading 1 2 2 2 7 2 2 2 5 2 2" xfId="11207"/>
    <cellStyle name="Heading 1 2 2 2 7 2 2 2 5 3" xfId="11208"/>
    <cellStyle name="Heading 1 2 2 2 7 2 2 2 6" xfId="11209"/>
    <cellStyle name="Heading 1 2 2 2 7 2 2 2 6 2" xfId="11210"/>
    <cellStyle name="Heading 1 2 2 2 7 2 2 2 6 2 2" xfId="11211"/>
    <cellStyle name="Heading 1 2 2 2 7 2 2 2 6 3" xfId="11212"/>
    <cellStyle name="Heading 1 2 2 2 7 2 2 2 7" xfId="11213"/>
    <cellStyle name="Heading 1 2 2 2 7 2 2 2 7 2" xfId="11214"/>
    <cellStyle name="Heading 1 2 2 2 7 2 2 2 7 2 2" xfId="11215"/>
    <cellStyle name="Heading 1 2 2 2 7 2 2 2 7 3" xfId="11216"/>
    <cellStyle name="Heading 1 2 2 2 7 2 2 2 8" xfId="11217"/>
    <cellStyle name="Heading 1 2 2 2 7 2 2 2 8 2" xfId="11218"/>
    <cellStyle name="Heading 1 2 2 2 7 2 2 2 9" xfId="11219"/>
    <cellStyle name="Heading 1 2 2 2 7 2 2 20" xfId="11220"/>
    <cellStyle name="Heading 1 2 2 2 7 2 2 20 2" xfId="11221"/>
    <cellStyle name="Heading 1 2 2 2 7 2 2 21" xfId="11222"/>
    <cellStyle name="Heading 1 2 2 2 7 2 2 21 2" xfId="11223"/>
    <cellStyle name="Heading 1 2 2 2 7 2 2 22" xfId="11224"/>
    <cellStyle name="Heading 1 2 2 2 7 2 2 3" xfId="11225"/>
    <cellStyle name="Heading 1 2 2 2 7 2 2 3 2" xfId="11226"/>
    <cellStyle name="Heading 1 2 2 2 7 2 2 3 2 2" xfId="11227"/>
    <cellStyle name="Heading 1 2 2 2 7 2 2 3 2 2 2" xfId="11228"/>
    <cellStyle name="Heading 1 2 2 2 7 2 2 3 2 3" xfId="11229"/>
    <cellStyle name="Heading 1 2 2 2 7 2 2 3 3" xfId="11230"/>
    <cellStyle name="Heading 1 2 2 2 7 2 2 3 3 2" xfId="11231"/>
    <cellStyle name="Heading 1 2 2 2 7 2 2 3 3 2 2" xfId="11232"/>
    <cellStyle name="Heading 1 2 2 2 7 2 2 3 3 3" xfId="11233"/>
    <cellStyle name="Heading 1 2 2 2 7 2 2 3 4" xfId="11234"/>
    <cellStyle name="Heading 1 2 2 2 7 2 2 3 4 2" xfId="11235"/>
    <cellStyle name="Heading 1 2 2 2 7 2 2 3 4 2 2" xfId="11236"/>
    <cellStyle name="Heading 1 2 2 2 7 2 2 3 4 3" xfId="11237"/>
    <cellStyle name="Heading 1 2 2 2 7 2 2 3 5" xfId="11238"/>
    <cellStyle name="Heading 1 2 2 2 7 2 2 3 5 2" xfId="11239"/>
    <cellStyle name="Heading 1 2 2 2 7 2 2 3 5 2 2" xfId="11240"/>
    <cellStyle name="Heading 1 2 2 2 7 2 2 3 5 3" xfId="11241"/>
    <cellStyle name="Heading 1 2 2 2 7 2 2 3 6" xfId="11242"/>
    <cellStyle name="Heading 1 2 2 2 7 2 2 3 6 2" xfId="11243"/>
    <cellStyle name="Heading 1 2 2 2 7 2 2 3 6 2 2" xfId="11244"/>
    <cellStyle name="Heading 1 2 2 2 7 2 2 3 6 3" xfId="11245"/>
    <cellStyle name="Heading 1 2 2 2 7 2 2 3 7" xfId="11246"/>
    <cellStyle name="Heading 1 2 2 2 7 2 2 3 7 2" xfId="11247"/>
    <cellStyle name="Heading 1 2 2 2 7 2 2 3 7 2 2" xfId="11248"/>
    <cellStyle name="Heading 1 2 2 2 7 2 2 3 7 3" xfId="11249"/>
    <cellStyle name="Heading 1 2 2 2 7 2 2 3 8" xfId="11250"/>
    <cellStyle name="Heading 1 2 2 2 7 2 2 3 8 2" xfId="11251"/>
    <cellStyle name="Heading 1 2 2 2 7 2 2 3 9" xfId="11252"/>
    <cellStyle name="Heading 1 2 2 2 7 2 2 4" xfId="11253"/>
    <cellStyle name="Heading 1 2 2 2 7 2 2 4 2" xfId="11254"/>
    <cellStyle name="Heading 1 2 2 2 7 2 2 4 2 2" xfId="11255"/>
    <cellStyle name="Heading 1 2 2 2 7 2 2 4 2 2 2" xfId="11256"/>
    <cellStyle name="Heading 1 2 2 2 7 2 2 4 2 3" xfId="11257"/>
    <cellStyle name="Heading 1 2 2 2 7 2 2 4 3" xfId="11258"/>
    <cellStyle name="Heading 1 2 2 2 7 2 2 4 3 2" xfId="11259"/>
    <cellStyle name="Heading 1 2 2 2 7 2 2 4 3 2 2" xfId="11260"/>
    <cellStyle name="Heading 1 2 2 2 7 2 2 4 3 3" xfId="11261"/>
    <cellStyle name="Heading 1 2 2 2 7 2 2 4 4" xfId="11262"/>
    <cellStyle name="Heading 1 2 2 2 7 2 2 4 4 2" xfId="11263"/>
    <cellStyle name="Heading 1 2 2 2 7 2 2 4 4 2 2" xfId="11264"/>
    <cellStyle name="Heading 1 2 2 2 7 2 2 4 4 3" xfId="11265"/>
    <cellStyle name="Heading 1 2 2 2 7 2 2 4 5" xfId="11266"/>
    <cellStyle name="Heading 1 2 2 2 7 2 2 4 5 2" xfId="11267"/>
    <cellStyle name="Heading 1 2 2 2 7 2 2 4 5 2 2" xfId="11268"/>
    <cellStyle name="Heading 1 2 2 2 7 2 2 4 5 3" xfId="11269"/>
    <cellStyle name="Heading 1 2 2 2 7 2 2 4 6" xfId="11270"/>
    <cellStyle name="Heading 1 2 2 2 7 2 2 4 6 2" xfId="11271"/>
    <cellStyle name="Heading 1 2 2 2 7 2 2 4 6 2 2" xfId="11272"/>
    <cellStyle name="Heading 1 2 2 2 7 2 2 4 6 3" xfId="11273"/>
    <cellStyle name="Heading 1 2 2 2 7 2 2 4 7" xfId="11274"/>
    <cellStyle name="Heading 1 2 2 2 7 2 2 4 7 2" xfId="11275"/>
    <cellStyle name="Heading 1 2 2 2 7 2 2 4 7 2 2" xfId="11276"/>
    <cellStyle name="Heading 1 2 2 2 7 2 2 4 7 3" xfId="11277"/>
    <cellStyle name="Heading 1 2 2 2 7 2 2 4 8" xfId="11278"/>
    <cellStyle name="Heading 1 2 2 2 7 2 2 4 8 2" xfId="11279"/>
    <cellStyle name="Heading 1 2 2 2 7 2 2 4 9" xfId="11280"/>
    <cellStyle name="Heading 1 2 2 2 7 2 2 5" xfId="11281"/>
    <cellStyle name="Heading 1 2 2 2 7 2 2 5 2" xfId="11282"/>
    <cellStyle name="Heading 1 2 2 2 7 2 2 5 2 2" xfId="11283"/>
    <cellStyle name="Heading 1 2 2 2 7 2 2 5 2 2 2" xfId="11284"/>
    <cellStyle name="Heading 1 2 2 2 7 2 2 5 2 3" xfId="11285"/>
    <cellStyle name="Heading 1 2 2 2 7 2 2 5 3" xfId="11286"/>
    <cellStyle name="Heading 1 2 2 2 7 2 2 5 3 2" xfId="11287"/>
    <cellStyle name="Heading 1 2 2 2 7 2 2 5 3 2 2" xfId="11288"/>
    <cellStyle name="Heading 1 2 2 2 7 2 2 5 3 3" xfId="11289"/>
    <cellStyle name="Heading 1 2 2 2 7 2 2 5 4" xfId="11290"/>
    <cellStyle name="Heading 1 2 2 2 7 2 2 5 4 2" xfId="11291"/>
    <cellStyle name="Heading 1 2 2 2 7 2 2 5 4 2 2" xfId="11292"/>
    <cellStyle name="Heading 1 2 2 2 7 2 2 5 4 3" xfId="11293"/>
    <cellStyle name="Heading 1 2 2 2 7 2 2 5 5" xfId="11294"/>
    <cellStyle name="Heading 1 2 2 2 7 2 2 5 5 2" xfId="11295"/>
    <cellStyle name="Heading 1 2 2 2 7 2 2 5 5 2 2" xfId="11296"/>
    <cellStyle name="Heading 1 2 2 2 7 2 2 5 5 3" xfId="11297"/>
    <cellStyle name="Heading 1 2 2 2 7 2 2 5 6" xfId="11298"/>
    <cellStyle name="Heading 1 2 2 2 7 2 2 5 6 2" xfId="11299"/>
    <cellStyle name="Heading 1 2 2 2 7 2 2 5 6 2 2" xfId="11300"/>
    <cellStyle name="Heading 1 2 2 2 7 2 2 5 6 3" xfId="11301"/>
    <cellStyle name="Heading 1 2 2 2 7 2 2 5 7" xfId="11302"/>
    <cellStyle name="Heading 1 2 2 2 7 2 2 5 7 2" xfId="11303"/>
    <cellStyle name="Heading 1 2 2 2 7 2 2 5 7 2 2" xfId="11304"/>
    <cellStyle name="Heading 1 2 2 2 7 2 2 5 7 3" xfId="11305"/>
    <cellStyle name="Heading 1 2 2 2 7 2 2 5 8" xfId="11306"/>
    <cellStyle name="Heading 1 2 2 2 7 2 2 5 8 2" xfId="11307"/>
    <cellStyle name="Heading 1 2 2 2 7 2 2 5 9" xfId="11308"/>
    <cellStyle name="Heading 1 2 2 2 7 2 2 6" xfId="11309"/>
    <cellStyle name="Heading 1 2 2 2 7 2 2 6 2" xfId="11310"/>
    <cellStyle name="Heading 1 2 2 2 7 2 2 6 2 2" xfId="11311"/>
    <cellStyle name="Heading 1 2 2 2 7 2 2 6 2 2 2" xfId="11312"/>
    <cellStyle name="Heading 1 2 2 2 7 2 2 6 2 3" xfId="11313"/>
    <cellStyle name="Heading 1 2 2 2 7 2 2 6 3" xfId="11314"/>
    <cellStyle name="Heading 1 2 2 2 7 2 2 6 3 2" xfId="11315"/>
    <cellStyle name="Heading 1 2 2 2 7 2 2 6 3 2 2" xfId="11316"/>
    <cellStyle name="Heading 1 2 2 2 7 2 2 6 3 3" xfId="11317"/>
    <cellStyle name="Heading 1 2 2 2 7 2 2 6 4" xfId="11318"/>
    <cellStyle name="Heading 1 2 2 2 7 2 2 6 4 2" xfId="11319"/>
    <cellStyle name="Heading 1 2 2 2 7 2 2 6 4 2 2" xfId="11320"/>
    <cellStyle name="Heading 1 2 2 2 7 2 2 6 4 3" xfId="11321"/>
    <cellStyle name="Heading 1 2 2 2 7 2 2 6 5" xfId="11322"/>
    <cellStyle name="Heading 1 2 2 2 7 2 2 6 5 2" xfId="11323"/>
    <cellStyle name="Heading 1 2 2 2 7 2 2 6 5 2 2" xfId="11324"/>
    <cellStyle name="Heading 1 2 2 2 7 2 2 6 5 3" xfId="11325"/>
    <cellStyle name="Heading 1 2 2 2 7 2 2 6 6" xfId="11326"/>
    <cellStyle name="Heading 1 2 2 2 7 2 2 6 6 2" xfId="11327"/>
    <cellStyle name="Heading 1 2 2 2 7 2 2 6 6 2 2" xfId="11328"/>
    <cellStyle name="Heading 1 2 2 2 7 2 2 6 6 3" xfId="11329"/>
    <cellStyle name="Heading 1 2 2 2 7 2 2 6 7" xfId="11330"/>
    <cellStyle name="Heading 1 2 2 2 7 2 2 6 7 2" xfId="11331"/>
    <cellStyle name="Heading 1 2 2 2 7 2 2 6 7 2 2" xfId="11332"/>
    <cellStyle name="Heading 1 2 2 2 7 2 2 6 7 3" xfId="11333"/>
    <cellStyle name="Heading 1 2 2 2 7 2 2 6 8" xfId="11334"/>
    <cellStyle name="Heading 1 2 2 2 7 2 2 6 8 2" xfId="11335"/>
    <cellStyle name="Heading 1 2 2 2 7 2 2 6 9" xfId="11336"/>
    <cellStyle name="Heading 1 2 2 2 7 2 2 7" xfId="11337"/>
    <cellStyle name="Heading 1 2 2 2 7 2 2 7 2" xfId="11338"/>
    <cellStyle name="Heading 1 2 2 2 7 2 2 7 2 2" xfId="11339"/>
    <cellStyle name="Heading 1 2 2 2 7 2 2 7 2 2 2" xfId="11340"/>
    <cellStyle name="Heading 1 2 2 2 7 2 2 7 2 3" xfId="11341"/>
    <cellStyle name="Heading 1 2 2 2 7 2 2 7 3" xfId="11342"/>
    <cellStyle name="Heading 1 2 2 2 7 2 2 7 3 2" xfId="11343"/>
    <cellStyle name="Heading 1 2 2 2 7 2 2 7 3 2 2" xfId="11344"/>
    <cellStyle name="Heading 1 2 2 2 7 2 2 7 3 3" xfId="11345"/>
    <cellStyle name="Heading 1 2 2 2 7 2 2 7 4" xfId="11346"/>
    <cellStyle name="Heading 1 2 2 2 7 2 2 7 4 2" xfId="11347"/>
    <cellStyle name="Heading 1 2 2 2 7 2 2 7 4 2 2" xfId="11348"/>
    <cellStyle name="Heading 1 2 2 2 7 2 2 7 4 3" xfId="11349"/>
    <cellStyle name="Heading 1 2 2 2 7 2 2 7 5" xfId="11350"/>
    <cellStyle name="Heading 1 2 2 2 7 2 2 7 5 2" xfId="11351"/>
    <cellStyle name="Heading 1 2 2 2 7 2 2 7 5 2 2" xfId="11352"/>
    <cellStyle name="Heading 1 2 2 2 7 2 2 7 5 3" xfId="11353"/>
    <cellStyle name="Heading 1 2 2 2 7 2 2 7 6" xfId="11354"/>
    <cellStyle name="Heading 1 2 2 2 7 2 2 7 6 2" xfId="11355"/>
    <cellStyle name="Heading 1 2 2 2 7 2 2 7 6 2 2" xfId="11356"/>
    <cellStyle name="Heading 1 2 2 2 7 2 2 7 6 3" xfId="11357"/>
    <cellStyle name="Heading 1 2 2 2 7 2 2 7 7" xfId="11358"/>
    <cellStyle name="Heading 1 2 2 2 7 2 2 7 7 2" xfId="11359"/>
    <cellStyle name="Heading 1 2 2 2 7 2 2 7 7 2 2" xfId="11360"/>
    <cellStyle name="Heading 1 2 2 2 7 2 2 7 7 3" xfId="11361"/>
    <cellStyle name="Heading 1 2 2 2 7 2 2 7 8" xfId="11362"/>
    <cellStyle name="Heading 1 2 2 2 7 2 2 7 8 2" xfId="11363"/>
    <cellStyle name="Heading 1 2 2 2 7 2 2 7 9" xfId="11364"/>
    <cellStyle name="Heading 1 2 2 2 7 2 2 8" xfId="11365"/>
    <cellStyle name="Heading 1 2 2 2 7 2 2 8 2" xfId="11366"/>
    <cellStyle name="Heading 1 2 2 2 7 2 2 8 2 2" xfId="11367"/>
    <cellStyle name="Heading 1 2 2 2 7 2 2 8 2 2 2" xfId="11368"/>
    <cellStyle name="Heading 1 2 2 2 7 2 2 8 2 3" xfId="11369"/>
    <cellStyle name="Heading 1 2 2 2 7 2 2 8 3" xfId="11370"/>
    <cellStyle name="Heading 1 2 2 2 7 2 2 8 3 2" xfId="11371"/>
    <cellStyle name="Heading 1 2 2 2 7 2 2 8 3 2 2" xfId="11372"/>
    <cellStyle name="Heading 1 2 2 2 7 2 2 8 3 3" xfId="11373"/>
    <cellStyle name="Heading 1 2 2 2 7 2 2 8 4" xfId="11374"/>
    <cellStyle name="Heading 1 2 2 2 7 2 2 8 4 2" xfId="11375"/>
    <cellStyle name="Heading 1 2 2 2 7 2 2 8 4 2 2" xfId="11376"/>
    <cellStyle name="Heading 1 2 2 2 7 2 2 8 4 3" xfId="11377"/>
    <cellStyle name="Heading 1 2 2 2 7 2 2 8 5" xfId="11378"/>
    <cellStyle name="Heading 1 2 2 2 7 2 2 8 5 2" xfId="11379"/>
    <cellStyle name="Heading 1 2 2 2 7 2 2 8 5 2 2" xfId="11380"/>
    <cellStyle name="Heading 1 2 2 2 7 2 2 8 5 3" xfId="11381"/>
    <cellStyle name="Heading 1 2 2 2 7 2 2 8 6" xfId="11382"/>
    <cellStyle name="Heading 1 2 2 2 7 2 2 8 6 2" xfId="11383"/>
    <cellStyle name="Heading 1 2 2 2 7 2 2 8 6 2 2" xfId="11384"/>
    <cellStyle name="Heading 1 2 2 2 7 2 2 8 6 3" xfId="11385"/>
    <cellStyle name="Heading 1 2 2 2 7 2 2 8 7" xfId="11386"/>
    <cellStyle name="Heading 1 2 2 2 7 2 2 8 7 2" xfId="11387"/>
    <cellStyle name="Heading 1 2 2 2 7 2 2 8 7 2 2" xfId="11388"/>
    <cellStyle name="Heading 1 2 2 2 7 2 2 8 7 3" xfId="11389"/>
    <cellStyle name="Heading 1 2 2 2 7 2 2 8 8" xfId="11390"/>
    <cellStyle name="Heading 1 2 2 2 7 2 2 8 8 2" xfId="11391"/>
    <cellStyle name="Heading 1 2 2 2 7 2 2 8 9" xfId="11392"/>
    <cellStyle name="Heading 1 2 2 2 7 2 2 9" xfId="11393"/>
    <cellStyle name="Heading 1 2 2 2 7 2 2 9 2" xfId="11394"/>
    <cellStyle name="Heading 1 2 2 2 7 2 2 9 2 2" xfId="11395"/>
    <cellStyle name="Heading 1 2 2 2 7 2 2 9 3" xfId="11396"/>
    <cellStyle name="Heading 1 2 2 2 7 2 20" xfId="11397"/>
    <cellStyle name="Heading 1 2 2 2 7 2 20 2" xfId="11398"/>
    <cellStyle name="Heading 1 2 2 2 7 2 21" xfId="11399"/>
    <cellStyle name="Heading 1 2 2 2 7 2 21 2" xfId="11400"/>
    <cellStyle name="Heading 1 2 2 2 7 2 22" xfId="11401"/>
    <cellStyle name="Heading 1 2 2 2 7 2 22 2" xfId="11402"/>
    <cellStyle name="Heading 1 2 2 2 7 2 23" xfId="11403"/>
    <cellStyle name="Heading 1 2 2 2 7 2 3" xfId="11404"/>
    <cellStyle name="Heading 1 2 2 2 7 2 3 2" xfId="11405"/>
    <cellStyle name="Heading 1 2 2 2 7 2 3 2 2" xfId="11406"/>
    <cellStyle name="Heading 1 2 2 2 7 2 3 2 2 2" xfId="11407"/>
    <cellStyle name="Heading 1 2 2 2 7 2 3 2 3" xfId="11408"/>
    <cellStyle name="Heading 1 2 2 2 7 2 3 3" xfId="11409"/>
    <cellStyle name="Heading 1 2 2 2 7 2 3 3 2" xfId="11410"/>
    <cellStyle name="Heading 1 2 2 2 7 2 3 3 2 2" xfId="11411"/>
    <cellStyle name="Heading 1 2 2 2 7 2 3 3 3" xfId="11412"/>
    <cellStyle name="Heading 1 2 2 2 7 2 3 4" xfId="11413"/>
    <cellStyle name="Heading 1 2 2 2 7 2 3 4 2" xfId="11414"/>
    <cellStyle name="Heading 1 2 2 2 7 2 3 4 2 2" xfId="11415"/>
    <cellStyle name="Heading 1 2 2 2 7 2 3 4 3" xfId="11416"/>
    <cellStyle name="Heading 1 2 2 2 7 2 3 5" xfId="11417"/>
    <cellStyle name="Heading 1 2 2 2 7 2 3 5 2" xfId="11418"/>
    <cellStyle name="Heading 1 2 2 2 7 2 3 5 2 2" xfId="11419"/>
    <cellStyle name="Heading 1 2 2 2 7 2 3 5 3" xfId="11420"/>
    <cellStyle name="Heading 1 2 2 2 7 2 3 6" xfId="11421"/>
    <cellStyle name="Heading 1 2 2 2 7 2 3 6 2" xfId="11422"/>
    <cellStyle name="Heading 1 2 2 2 7 2 3 6 2 2" xfId="11423"/>
    <cellStyle name="Heading 1 2 2 2 7 2 3 6 3" xfId="11424"/>
    <cellStyle name="Heading 1 2 2 2 7 2 3 7" xfId="11425"/>
    <cellStyle name="Heading 1 2 2 2 7 2 3 7 2" xfId="11426"/>
    <cellStyle name="Heading 1 2 2 2 7 2 3 7 2 2" xfId="11427"/>
    <cellStyle name="Heading 1 2 2 2 7 2 3 7 3" xfId="11428"/>
    <cellStyle name="Heading 1 2 2 2 7 2 3 8" xfId="11429"/>
    <cellStyle name="Heading 1 2 2 2 7 2 3 8 2" xfId="11430"/>
    <cellStyle name="Heading 1 2 2 2 7 2 3 9" xfId="11431"/>
    <cellStyle name="Heading 1 2 2 2 7 2 4" xfId="11432"/>
    <cellStyle name="Heading 1 2 2 2 7 2 4 2" xfId="11433"/>
    <cellStyle name="Heading 1 2 2 2 7 2 4 2 2" xfId="11434"/>
    <cellStyle name="Heading 1 2 2 2 7 2 4 2 2 2" xfId="11435"/>
    <cellStyle name="Heading 1 2 2 2 7 2 4 2 3" xfId="11436"/>
    <cellStyle name="Heading 1 2 2 2 7 2 4 3" xfId="11437"/>
    <cellStyle name="Heading 1 2 2 2 7 2 4 3 2" xfId="11438"/>
    <cellStyle name="Heading 1 2 2 2 7 2 4 3 2 2" xfId="11439"/>
    <cellStyle name="Heading 1 2 2 2 7 2 4 3 3" xfId="11440"/>
    <cellStyle name="Heading 1 2 2 2 7 2 4 4" xfId="11441"/>
    <cellStyle name="Heading 1 2 2 2 7 2 4 4 2" xfId="11442"/>
    <cellStyle name="Heading 1 2 2 2 7 2 4 4 2 2" xfId="11443"/>
    <cellStyle name="Heading 1 2 2 2 7 2 4 4 3" xfId="11444"/>
    <cellStyle name="Heading 1 2 2 2 7 2 4 5" xfId="11445"/>
    <cellStyle name="Heading 1 2 2 2 7 2 4 5 2" xfId="11446"/>
    <cellStyle name="Heading 1 2 2 2 7 2 4 5 2 2" xfId="11447"/>
    <cellStyle name="Heading 1 2 2 2 7 2 4 5 3" xfId="11448"/>
    <cellStyle name="Heading 1 2 2 2 7 2 4 6" xfId="11449"/>
    <cellStyle name="Heading 1 2 2 2 7 2 4 6 2" xfId="11450"/>
    <cellStyle name="Heading 1 2 2 2 7 2 4 6 2 2" xfId="11451"/>
    <cellStyle name="Heading 1 2 2 2 7 2 4 6 3" xfId="11452"/>
    <cellStyle name="Heading 1 2 2 2 7 2 4 7" xfId="11453"/>
    <cellStyle name="Heading 1 2 2 2 7 2 4 7 2" xfId="11454"/>
    <cellStyle name="Heading 1 2 2 2 7 2 4 7 2 2" xfId="11455"/>
    <cellStyle name="Heading 1 2 2 2 7 2 4 7 3" xfId="11456"/>
    <cellStyle name="Heading 1 2 2 2 7 2 4 8" xfId="11457"/>
    <cellStyle name="Heading 1 2 2 2 7 2 4 8 2" xfId="11458"/>
    <cellStyle name="Heading 1 2 2 2 7 2 4 9" xfId="11459"/>
    <cellStyle name="Heading 1 2 2 2 7 2 5" xfId="11460"/>
    <cellStyle name="Heading 1 2 2 2 7 2 5 2" xfId="11461"/>
    <cellStyle name="Heading 1 2 2 2 7 2 5 2 2" xfId="11462"/>
    <cellStyle name="Heading 1 2 2 2 7 2 5 2 2 2" xfId="11463"/>
    <cellStyle name="Heading 1 2 2 2 7 2 5 2 3" xfId="11464"/>
    <cellStyle name="Heading 1 2 2 2 7 2 5 3" xfId="11465"/>
    <cellStyle name="Heading 1 2 2 2 7 2 5 3 2" xfId="11466"/>
    <cellStyle name="Heading 1 2 2 2 7 2 5 3 2 2" xfId="11467"/>
    <cellStyle name="Heading 1 2 2 2 7 2 5 3 3" xfId="11468"/>
    <cellStyle name="Heading 1 2 2 2 7 2 5 4" xfId="11469"/>
    <cellStyle name="Heading 1 2 2 2 7 2 5 4 2" xfId="11470"/>
    <cellStyle name="Heading 1 2 2 2 7 2 5 4 2 2" xfId="11471"/>
    <cellStyle name="Heading 1 2 2 2 7 2 5 4 3" xfId="11472"/>
    <cellStyle name="Heading 1 2 2 2 7 2 5 5" xfId="11473"/>
    <cellStyle name="Heading 1 2 2 2 7 2 5 5 2" xfId="11474"/>
    <cellStyle name="Heading 1 2 2 2 7 2 5 5 2 2" xfId="11475"/>
    <cellStyle name="Heading 1 2 2 2 7 2 5 5 3" xfId="11476"/>
    <cellStyle name="Heading 1 2 2 2 7 2 5 6" xfId="11477"/>
    <cellStyle name="Heading 1 2 2 2 7 2 5 6 2" xfId="11478"/>
    <cellStyle name="Heading 1 2 2 2 7 2 5 6 2 2" xfId="11479"/>
    <cellStyle name="Heading 1 2 2 2 7 2 5 6 3" xfId="11480"/>
    <cellStyle name="Heading 1 2 2 2 7 2 5 7" xfId="11481"/>
    <cellStyle name="Heading 1 2 2 2 7 2 5 7 2" xfId="11482"/>
    <cellStyle name="Heading 1 2 2 2 7 2 5 7 2 2" xfId="11483"/>
    <cellStyle name="Heading 1 2 2 2 7 2 5 7 3" xfId="11484"/>
    <cellStyle name="Heading 1 2 2 2 7 2 5 8" xfId="11485"/>
    <cellStyle name="Heading 1 2 2 2 7 2 5 8 2" xfId="11486"/>
    <cellStyle name="Heading 1 2 2 2 7 2 5 9" xfId="11487"/>
    <cellStyle name="Heading 1 2 2 2 7 2 6" xfId="11488"/>
    <cellStyle name="Heading 1 2 2 2 7 2 6 2" xfId="11489"/>
    <cellStyle name="Heading 1 2 2 2 7 2 6 2 2" xfId="11490"/>
    <cellStyle name="Heading 1 2 2 2 7 2 6 2 2 2" xfId="11491"/>
    <cellStyle name="Heading 1 2 2 2 7 2 6 2 3" xfId="11492"/>
    <cellStyle name="Heading 1 2 2 2 7 2 6 3" xfId="11493"/>
    <cellStyle name="Heading 1 2 2 2 7 2 6 3 2" xfId="11494"/>
    <cellStyle name="Heading 1 2 2 2 7 2 6 3 2 2" xfId="11495"/>
    <cellStyle name="Heading 1 2 2 2 7 2 6 3 3" xfId="11496"/>
    <cellStyle name="Heading 1 2 2 2 7 2 6 4" xfId="11497"/>
    <cellStyle name="Heading 1 2 2 2 7 2 6 4 2" xfId="11498"/>
    <cellStyle name="Heading 1 2 2 2 7 2 6 4 2 2" xfId="11499"/>
    <cellStyle name="Heading 1 2 2 2 7 2 6 4 3" xfId="11500"/>
    <cellStyle name="Heading 1 2 2 2 7 2 6 5" xfId="11501"/>
    <cellStyle name="Heading 1 2 2 2 7 2 6 5 2" xfId="11502"/>
    <cellStyle name="Heading 1 2 2 2 7 2 6 5 2 2" xfId="11503"/>
    <cellStyle name="Heading 1 2 2 2 7 2 6 5 3" xfId="11504"/>
    <cellStyle name="Heading 1 2 2 2 7 2 6 6" xfId="11505"/>
    <cellStyle name="Heading 1 2 2 2 7 2 6 6 2" xfId="11506"/>
    <cellStyle name="Heading 1 2 2 2 7 2 6 6 2 2" xfId="11507"/>
    <cellStyle name="Heading 1 2 2 2 7 2 6 6 3" xfId="11508"/>
    <cellStyle name="Heading 1 2 2 2 7 2 6 7" xfId="11509"/>
    <cellStyle name="Heading 1 2 2 2 7 2 6 7 2" xfId="11510"/>
    <cellStyle name="Heading 1 2 2 2 7 2 6 7 2 2" xfId="11511"/>
    <cellStyle name="Heading 1 2 2 2 7 2 6 7 3" xfId="11512"/>
    <cellStyle name="Heading 1 2 2 2 7 2 6 8" xfId="11513"/>
    <cellStyle name="Heading 1 2 2 2 7 2 6 8 2" xfId="11514"/>
    <cellStyle name="Heading 1 2 2 2 7 2 6 9" xfId="11515"/>
    <cellStyle name="Heading 1 2 2 2 7 2 7" xfId="11516"/>
    <cellStyle name="Heading 1 2 2 2 7 2 7 2" xfId="11517"/>
    <cellStyle name="Heading 1 2 2 2 7 2 7 2 2" xfId="11518"/>
    <cellStyle name="Heading 1 2 2 2 7 2 7 2 2 2" xfId="11519"/>
    <cellStyle name="Heading 1 2 2 2 7 2 7 2 3" xfId="11520"/>
    <cellStyle name="Heading 1 2 2 2 7 2 7 3" xfId="11521"/>
    <cellStyle name="Heading 1 2 2 2 7 2 7 3 2" xfId="11522"/>
    <cellStyle name="Heading 1 2 2 2 7 2 7 3 2 2" xfId="11523"/>
    <cellStyle name="Heading 1 2 2 2 7 2 7 3 3" xfId="11524"/>
    <cellStyle name="Heading 1 2 2 2 7 2 7 4" xfId="11525"/>
    <cellStyle name="Heading 1 2 2 2 7 2 7 4 2" xfId="11526"/>
    <cellStyle name="Heading 1 2 2 2 7 2 7 4 2 2" xfId="11527"/>
    <cellStyle name="Heading 1 2 2 2 7 2 7 4 3" xfId="11528"/>
    <cellStyle name="Heading 1 2 2 2 7 2 7 5" xfId="11529"/>
    <cellStyle name="Heading 1 2 2 2 7 2 7 5 2" xfId="11530"/>
    <cellStyle name="Heading 1 2 2 2 7 2 7 5 2 2" xfId="11531"/>
    <cellStyle name="Heading 1 2 2 2 7 2 7 5 3" xfId="11532"/>
    <cellStyle name="Heading 1 2 2 2 7 2 7 6" xfId="11533"/>
    <cellStyle name="Heading 1 2 2 2 7 2 7 6 2" xfId="11534"/>
    <cellStyle name="Heading 1 2 2 2 7 2 7 6 2 2" xfId="11535"/>
    <cellStyle name="Heading 1 2 2 2 7 2 7 6 3" xfId="11536"/>
    <cellStyle name="Heading 1 2 2 2 7 2 7 7" xfId="11537"/>
    <cellStyle name="Heading 1 2 2 2 7 2 7 7 2" xfId="11538"/>
    <cellStyle name="Heading 1 2 2 2 7 2 7 7 2 2" xfId="11539"/>
    <cellStyle name="Heading 1 2 2 2 7 2 7 7 3" xfId="11540"/>
    <cellStyle name="Heading 1 2 2 2 7 2 7 8" xfId="11541"/>
    <cellStyle name="Heading 1 2 2 2 7 2 7 8 2" xfId="11542"/>
    <cellStyle name="Heading 1 2 2 2 7 2 7 9" xfId="11543"/>
    <cellStyle name="Heading 1 2 2 2 7 2 8" xfId="11544"/>
    <cellStyle name="Heading 1 2 2 2 7 2 8 2" xfId="11545"/>
    <cellStyle name="Heading 1 2 2 2 7 2 8 2 2" xfId="11546"/>
    <cellStyle name="Heading 1 2 2 2 7 2 8 2 2 2" xfId="11547"/>
    <cellStyle name="Heading 1 2 2 2 7 2 8 2 3" xfId="11548"/>
    <cellStyle name="Heading 1 2 2 2 7 2 8 3" xfId="11549"/>
    <cellStyle name="Heading 1 2 2 2 7 2 8 3 2" xfId="11550"/>
    <cellStyle name="Heading 1 2 2 2 7 2 8 3 2 2" xfId="11551"/>
    <cellStyle name="Heading 1 2 2 2 7 2 8 3 3" xfId="11552"/>
    <cellStyle name="Heading 1 2 2 2 7 2 8 4" xfId="11553"/>
    <cellStyle name="Heading 1 2 2 2 7 2 8 4 2" xfId="11554"/>
    <cellStyle name="Heading 1 2 2 2 7 2 8 4 2 2" xfId="11555"/>
    <cellStyle name="Heading 1 2 2 2 7 2 8 4 3" xfId="11556"/>
    <cellStyle name="Heading 1 2 2 2 7 2 8 5" xfId="11557"/>
    <cellStyle name="Heading 1 2 2 2 7 2 8 5 2" xfId="11558"/>
    <cellStyle name="Heading 1 2 2 2 7 2 8 5 2 2" xfId="11559"/>
    <cellStyle name="Heading 1 2 2 2 7 2 8 5 3" xfId="11560"/>
    <cellStyle name="Heading 1 2 2 2 7 2 8 6" xfId="11561"/>
    <cellStyle name="Heading 1 2 2 2 7 2 8 6 2" xfId="11562"/>
    <cellStyle name="Heading 1 2 2 2 7 2 8 6 2 2" xfId="11563"/>
    <cellStyle name="Heading 1 2 2 2 7 2 8 6 3" xfId="11564"/>
    <cellStyle name="Heading 1 2 2 2 7 2 8 7" xfId="11565"/>
    <cellStyle name="Heading 1 2 2 2 7 2 8 7 2" xfId="11566"/>
    <cellStyle name="Heading 1 2 2 2 7 2 8 7 2 2" xfId="11567"/>
    <cellStyle name="Heading 1 2 2 2 7 2 8 7 3" xfId="11568"/>
    <cellStyle name="Heading 1 2 2 2 7 2 8 8" xfId="11569"/>
    <cellStyle name="Heading 1 2 2 2 7 2 8 8 2" xfId="11570"/>
    <cellStyle name="Heading 1 2 2 2 7 2 8 9" xfId="11571"/>
    <cellStyle name="Heading 1 2 2 2 7 2 9" xfId="11572"/>
    <cellStyle name="Heading 1 2 2 2 7 2 9 2" xfId="11573"/>
    <cellStyle name="Heading 1 2 2 2 7 2 9 2 2" xfId="11574"/>
    <cellStyle name="Heading 1 2 2 2 7 2 9 2 2 2" xfId="11575"/>
    <cellStyle name="Heading 1 2 2 2 7 2 9 2 3" xfId="11576"/>
    <cellStyle name="Heading 1 2 2 2 7 2 9 3" xfId="11577"/>
    <cellStyle name="Heading 1 2 2 2 7 2 9 3 2" xfId="11578"/>
    <cellStyle name="Heading 1 2 2 2 7 2 9 3 2 2" xfId="11579"/>
    <cellStyle name="Heading 1 2 2 2 7 2 9 3 3" xfId="11580"/>
    <cellStyle name="Heading 1 2 2 2 7 2 9 4" xfId="11581"/>
    <cellStyle name="Heading 1 2 2 2 7 2 9 4 2" xfId="11582"/>
    <cellStyle name="Heading 1 2 2 2 7 2 9 4 2 2" xfId="11583"/>
    <cellStyle name="Heading 1 2 2 2 7 2 9 4 3" xfId="11584"/>
    <cellStyle name="Heading 1 2 2 2 7 2 9 5" xfId="11585"/>
    <cellStyle name="Heading 1 2 2 2 7 2 9 5 2" xfId="11586"/>
    <cellStyle name="Heading 1 2 2 2 7 2 9 5 2 2" xfId="11587"/>
    <cellStyle name="Heading 1 2 2 2 7 2 9 5 3" xfId="11588"/>
    <cellStyle name="Heading 1 2 2 2 7 2 9 6" xfId="11589"/>
    <cellStyle name="Heading 1 2 2 2 7 2 9 6 2" xfId="11590"/>
    <cellStyle name="Heading 1 2 2 2 7 2 9 6 2 2" xfId="11591"/>
    <cellStyle name="Heading 1 2 2 2 7 2 9 6 3" xfId="11592"/>
    <cellStyle name="Heading 1 2 2 2 7 2 9 7" xfId="11593"/>
    <cellStyle name="Heading 1 2 2 2 7 2 9 7 2" xfId="11594"/>
    <cellStyle name="Heading 1 2 2 2 7 2 9 7 2 2" xfId="11595"/>
    <cellStyle name="Heading 1 2 2 2 7 2 9 7 3" xfId="11596"/>
    <cellStyle name="Heading 1 2 2 2 7 2 9 8" xfId="11597"/>
    <cellStyle name="Heading 1 2 2 2 7 2 9 8 2" xfId="11598"/>
    <cellStyle name="Heading 1 2 2 2 7 2 9 9" xfId="11599"/>
    <cellStyle name="Heading 1 2 2 2 7 3" xfId="11600"/>
    <cellStyle name="Heading 1 2 2 2 7 3 10" xfId="11601"/>
    <cellStyle name="Heading 1 2 2 2 7 3 10 2" xfId="11602"/>
    <cellStyle name="Heading 1 2 2 2 7 3 10 2 2" xfId="11603"/>
    <cellStyle name="Heading 1 2 2 2 7 3 10 3" xfId="11604"/>
    <cellStyle name="Heading 1 2 2 2 7 3 11" xfId="11605"/>
    <cellStyle name="Heading 1 2 2 2 7 3 11 2" xfId="11606"/>
    <cellStyle name="Heading 1 2 2 2 7 3 11 2 2" xfId="11607"/>
    <cellStyle name="Heading 1 2 2 2 7 3 11 3" xfId="11608"/>
    <cellStyle name="Heading 1 2 2 2 7 3 12" xfId="11609"/>
    <cellStyle name="Heading 1 2 2 2 7 3 12 2" xfId="11610"/>
    <cellStyle name="Heading 1 2 2 2 7 3 12 2 2" xfId="11611"/>
    <cellStyle name="Heading 1 2 2 2 7 3 12 3" xfId="11612"/>
    <cellStyle name="Heading 1 2 2 2 7 3 13" xfId="11613"/>
    <cellStyle name="Heading 1 2 2 2 7 3 13 2" xfId="11614"/>
    <cellStyle name="Heading 1 2 2 2 7 3 13 2 2" xfId="11615"/>
    <cellStyle name="Heading 1 2 2 2 7 3 13 3" xfId="11616"/>
    <cellStyle name="Heading 1 2 2 2 7 3 14" xfId="11617"/>
    <cellStyle name="Heading 1 2 2 2 7 3 14 2" xfId="11618"/>
    <cellStyle name="Heading 1 2 2 2 7 3 14 2 2" xfId="11619"/>
    <cellStyle name="Heading 1 2 2 2 7 3 14 3" xfId="11620"/>
    <cellStyle name="Heading 1 2 2 2 7 3 15" xfId="11621"/>
    <cellStyle name="Heading 1 2 2 2 7 3 15 2" xfId="11622"/>
    <cellStyle name="Heading 1 2 2 2 7 3 15 2 2" xfId="11623"/>
    <cellStyle name="Heading 1 2 2 2 7 3 15 3" xfId="11624"/>
    <cellStyle name="Heading 1 2 2 2 7 3 16" xfId="11625"/>
    <cellStyle name="Heading 1 2 2 2 7 3 16 2" xfId="11626"/>
    <cellStyle name="Heading 1 2 2 2 7 3 16 2 2" xfId="11627"/>
    <cellStyle name="Heading 1 2 2 2 7 3 16 3" xfId="11628"/>
    <cellStyle name="Heading 1 2 2 2 7 3 17" xfId="11629"/>
    <cellStyle name="Heading 1 2 2 2 7 3 17 2" xfId="11630"/>
    <cellStyle name="Heading 1 2 2 2 7 3 17 2 2" xfId="11631"/>
    <cellStyle name="Heading 1 2 2 2 7 3 17 3" xfId="11632"/>
    <cellStyle name="Heading 1 2 2 2 7 3 18" xfId="11633"/>
    <cellStyle name="Heading 1 2 2 2 7 3 18 2" xfId="11634"/>
    <cellStyle name="Heading 1 2 2 2 7 3 18 2 2" xfId="11635"/>
    <cellStyle name="Heading 1 2 2 2 7 3 18 3" xfId="11636"/>
    <cellStyle name="Heading 1 2 2 2 7 3 19" xfId="11637"/>
    <cellStyle name="Heading 1 2 2 2 7 3 19 2" xfId="11638"/>
    <cellStyle name="Heading 1 2 2 2 7 3 2" xfId="11639"/>
    <cellStyle name="Heading 1 2 2 2 7 3 2 2" xfId="11640"/>
    <cellStyle name="Heading 1 2 2 2 7 3 2 2 2" xfId="11641"/>
    <cellStyle name="Heading 1 2 2 2 7 3 2 2 2 2" xfId="11642"/>
    <cellStyle name="Heading 1 2 2 2 7 3 2 2 3" xfId="11643"/>
    <cellStyle name="Heading 1 2 2 2 7 3 2 3" xfId="11644"/>
    <cellStyle name="Heading 1 2 2 2 7 3 2 3 2" xfId="11645"/>
    <cellStyle name="Heading 1 2 2 2 7 3 2 3 2 2" xfId="11646"/>
    <cellStyle name="Heading 1 2 2 2 7 3 2 3 3" xfId="11647"/>
    <cellStyle name="Heading 1 2 2 2 7 3 2 4" xfId="11648"/>
    <cellStyle name="Heading 1 2 2 2 7 3 2 4 2" xfId="11649"/>
    <cellStyle name="Heading 1 2 2 2 7 3 2 4 2 2" xfId="11650"/>
    <cellStyle name="Heading 1 2 2 2 7 3 2 4 3" xfId="11651"/>
    <cellStyle name="Heading 1 2 2 2 7 3 2 5" xfId="11652"/>
    <cellStyle name="Heading 1 2 2 2 7 3 2 5 2" xfId="11653"/>
    <cellStyle name="Heading 1 2 2 2 7 3 2 5 2 2" xfId="11654"/>
    <cellStyle name="Heading 1 2 2 2 7 3 2 5 3" xfId="11655"/>
    <cellStyle name="Heading 1 2 2 2 7 3 2 6" xfId="11656"/>
    <cellStyle name="Heading 1 2 2 2 7 3 2 6 2" xfId="11657"/>
    <cellStyle name="Heading 1 2 2 2 7 3 2 6 2 2" xfId="11658"/>
    <cellStyle name="Heading 1 2 2 2 7 3 2 6 3" xfId="11659"/>
    <cellStyle name="Heading 1 2 2 2 7 3 2 7" xfId="11660"/>
    <cellStyle name="Heading 1 2 2 2 7 3 2 7 2" xfId="11661"/>
    <cellStyle name="Heading 1 2 2 2 7 3 2 7 2 2" xfId="11662"/>
    <cellStyle name="Heading 1 2 2 2 7 3 2 7 3" xfId="11663"/>
    <cellStyle name="Heading 1 2 2 2 7 3 2 8" xfId="11664"/>
    <cellStyle name="Heading 1 2 2 2 7 3 2 8 2" xfId="11665"/>
    <cellStyle name="Heading 1 2 2 2 7 3 2 9" xfId="11666"/>
    <cellStyle name="Heading 1 2 2 2 7 3 20" xfId="11667"/>
    <cellStyle name="Heading 1 2 2 2 7 3 20 2" xfId="11668"/>
    <cellStyle name="Heading 1 2 2 2 7 3 21" xfId="11669"/>
    <cellStyle name="Heading 1 2 2 2 7 3 21 2" xfId="11670"/>
    <cellStyle name="Heading 1 2 2 2 7 3 22" xfId="11671"/>
    <cellStyle name="Heading 1 2 2 2 7 3 3" xfId="11672"/>
    <cellStyle name="Heading 1 2 2 2 7 3 3 2" xfId="11673"/>
    <cellStyle name="Heading 1 2 2 2 7 3 3 2 2" xfId="11674"/>
    <cellStyle name="Heading 1 2 2 2 7 3 3 2 2 2" xfId="11675"/>
    <cellStyle name="Heading 1 2 2 2 7 3 3 2 3" xfId="11676"/>
    <cellStyle name="Heading 1 2 2 2 7 3 3 3" xfId="11677"/>
    <cellStyle name="Heading 1 2 2 2 7 3 3 3 2" xfId="11678"/>
    <cellStyle name="Heading 1 2 2 2 7 3 3 3 2 2" xfId="11679"/>
    <cellStyle name="Heading 1 2 2 2 7 3 3 3 3" xfId="11680"/>
    <cellStyle name="Heading 1 2 2 2 7 3 3 4" xfId="11681"/>
    <cellStyle name="Heading 1 2 2 2 7 3 3 4 2" xfId="11682"/>
    <cellStyle name="Heading 1 2 2 2 7 3 3 4 2 2" xfId="11683"/>
    <cellStyle name="Heading 1 2 2 2 7 3 3 4 3" xfId="11684"/>
    <cellStyle name="Heading 1 2 2 2 7 3 3 5" xfId="11685"/>
    <cellStyle name="Heading 1 2 2 2 7 3 3 5 2" xfId="11686"/>
    <cellStyle name="Heading 1 2 2 2 7 3 3 5 2 2" xfId="11687"/>
    <cellStyle name="Heading 1 2 2 2 7 3 3 5 3" xfId="11688"/>
    <cellStyle name="Heading 1 2 2 2 7 3 3 6" xfId="11689"/>
    <cellStyle name="Heading 1 2 2 2 7 3 3 6 2" xfId="11690"/>
    <cellStyle name="Heading 1 2 2 2 7 3 3 6 2 2" xfId="11691"/>
    <cellStyle name="Heading 1 2 2 2 7 3 3 6 3" xfId="11692"/>
    <cellStyle name="Heading 1 2 2 2 7 3 3 7" xfId="11693"/>
    <cellStyle name="Heading 1 2 2 2 7 3 3 7 2" xfId="11694"/>
    <cellStyle name="Heading 1 2 2 2 7 3 3 7 2 2" xfId="11695"/>
    <cellStyle name="Heading 1 2 2 2 7 3 3 7 3" xfId="11696"/>
    <cellStyle name="Heading 1 2 2 2 7 3 3 8" xfId="11697"/>
    <cellStyle name="Heading 1 2 2 2 7 3 3 8 2" xfId="11698"/>
    <cellStyle name="Heading 1 2 2 2 7 3 3 9" xfId="11699"/>
    <cellStyle name="Heading 1 2 2 2 7 3 4" xfId="11700"/>
    <cellStyle name="Heading 1 2 2 2 7 3 4 2" xfId="11701"/>
    <cellStyle name="Heading 1 2 2 2 7 3 4 2 2" xfId="11702"/>
    <cellStyle name="Heading 1 2 2 2 7 3 4 2 2 2" xfId="11703"/>
    <cellStyle name="Heading 1 2 2 2 7 3 4 2 3" xfId="11704"/>
    <cellStyle name="Heading 1 2 2 2 7 3 4 3" xfId="11705"/>
    <cellStyle name="Heading 1 2 2 2 7 3 4 3 2" xfId="11706"/>
    <cellStyle name="Heading 1 2 2 2 7 3 4 3 2 2" xfId="11707"/>
    <cellStyle name="Heading 1 2 2 2 7 3 4 3 3" xfId="11708"/>
    <cellStyle name="Heading 1 2 2 2 7 3 4 4" xfId="11709"/>
    <cellStyle name="Heading 1 2 2 2 7 3 4 4 2" xfId="11710"/>
    <cellStyle name="Heading 1 2 2 2 7 3 4 4 2 2" xfId="11711"/>
    <cellStyle name="Heading 1 2 2 2 7 3 4 4 3" xfId="11712"/>
    <cellStyle name="Heading 1 2 2 2 7 3 4 5" xfId="11713"/>
    <cellStyle name="Heading 1 2 2 2 7 3 4 5 2" xfId="11714"/>
    <cellStyle name="Heading 1 2 2 2 7 3 4 5 2 2" xfId="11715"/>
    <cellStyle name="Heading 1 2 2 2 7 3 4 5 3" xfId="11716"/>
    <cellStyle name="Heading 1 2 2 2 7 3 4 6" xfId="11717"/>
    <cellStyle name="Heading 1 2 2 2 7 3 4 6 2" xfId="11718"/>
    <cellStyle name="Heading 1 2 2 2 7 3 4 6 2 2" xfId="11719"/>
    <cellStyle name="Heading 1 2 2 2 7 3 4 6 3" xfId="11720"/>
    <cellStyle name="Heading 1 2 2 2 7 3 4 7" xfId="11721"/>
    <cellStyle name="Heading 1 2 2 2 7 3 4 7 2" xfId="11722"/>
    <cellStyle name="Heading 1 2 2 2 7 3 4 7 2 2" xfId="11723"/>
    <cellStyle name="Heading 1 2 2 2 7 3 4 7 3" xfId="11724"/>
    <cellStyle name="Heading 1 2 2 2 7 3 4 8" xfId="11725"/>
    <cellStyle name="Heading 1 2 2 2 7 3 4 8 2" xfId="11726"/>
    <cellStyle name="Heading 1 2 2 2 7 3 4 9" xfId="11727"/>
    <cellStyle name="Heading 1 2 2 2 7 3 5" xfId="11728"/>
    <cellStyle name="Heading 1 2 2 2 7 3 5 2" xfId="11729"/>
    <cellStyle name="Heading 1 2 2 2 7 3 5 2 2" xfId="11730"/>
    <cellStyle name="Heading 1 2 2 2 7 3 5 2 2 2" xfId="11731"/>
    <cellStyle name="Heading 1 2 2 2 7 3 5 2 3" xfId="11732"/>
    <cellStyle name="Heading 1 2 2 2 7 3 5 3" xfId="11733"/>
    <cellStyle name="Heading 1 2 2 2 7 3 5 3 2" xfId="11734"/>
    <cellStyle name="Heading 1 2 2 2 7 3 5 3 2 2" xfId="11735"/>
    <cellStyle name="Heading 1 2 2 2 7 3 5 3 3" xfId="11736"/>
    <cellStyle name="Heading 1 2 2 2 7 3 5 4" xfId="11737"/>
    <cellStyle name="Heading 1 2 2 2 7 3 5 4 2" xfId="11738"/>
    <cellStyle name="Heading 1 2 2 2 7 3 5 4 2 2" xfId="11739"/>
    <cellStyle name="Heading 1 2 2 2 7 3 5 4 3" xfId="11740"/>
    <cellStyle name="Heading 1 2 2 2 7 3 5 5" xfId="11741"/>
    <cellStyle name="Heading 1 2 2 2 7 3 5 5 2" xfId="11742"/>
    <cellStyle name="Heading 1 2 2 2 7 3 5 5 2 2" xfId="11743"/>
    <cellStyle name="Heading 1 2 2 2 7 3 5 5 3" xfId="11744"/>
    <cellStyle name="Heading 1 2 2 2 7 3 5 6" xfId="11745"/>
    <cellStyle name="Heading 1 2 2 2 7 3 5 6 2" xfId="11746"/>
    <cellStyle name="Heading 1 2 2 2 7 3 5 6 2 2" xfId="11747"/>
    <cellStyle name="Heading 1 2 2 2 7 3 5 6 3" xfId="11748"/>
    <cellStyle name="Heading 1 2 2 2 7 3 5 7" xfId="11749"/>
    <cellStyle name="Heading 1 2 2 2 7 3 5 7 2" xfId="11750"/>
    <cellStyle name="Heading 1 2 2 2 7 3 5 7 2 2" xfId="11751"/>
    <cellStyle name="Heading 1 2 2 2 7 3 5 7 3" xfId="11752"/>
    <cellStyle name="Heading 1 2 2 2 7 3 5 8" xfId="11753"/>
    <cellStyle name="Heading 1 2 2 2 7 3 5 8 2" xfId="11754"/>
    <cellStyle name="Heading 1 2 2 2 7 3 5 9" xfId="11755"/>
    <cellStyle name="Heading 1 2 2 2 7 3 6" xfId="11756"/>
    <cellStyle name="Heading 1 2 2 2 7 3 6 2" xfId="11757"/>
    <cellStyle name="Heading 1 2 2 2 7 3 6 2 2" xfId="11758"/>
    <cellStyle name="Heading 1 2 2 2 7 3 6 2 2 2" xfId="11759"/>
    <cellStyle name="Heading 1 2 2 2 7 3 6 2 3" xfId="11760"/>
    <cellStyle name="Heading 1 2 2 2 7 3 6 3" xfId="11761"/>
    <cellStyle name="Heading 1 2 2 2 7 3 6 3 2" xfId="11762"/>
    <cellStyle name="Heading 1 2 2 2 7 3 6 3 2 2" xfId="11763"/>
    <cellStyle name="Heading 1 2 2 2 7 3 6 3 3" xfId="11764"/>
    <cellStyle name="Heading 1 2 2 2 7 3 6 4" xfId="11765"/>
    <cellStyle name="Heading 1 2 2 2 7 3 6 4 2" xfId="11766"/>
    <cellStyle name="Heading 1 2 2 2 7 3 6 4 2 2" xfId="11767"/>
    <cellStyle name="Heading 1 2 2 2 7 3 6 4 3" xfId="11768"/>
    <cellStyle name="Heading 1 2 2 2 7 3 6 5" xfId="11769"/>
    <cellStyle name="Heading 1 2 2 2 7 3 6 5 2" xfId="11770"/>
    <cellStyle name="Heading 1 2 2 2 7 3 6 5 2 2" xfId="11771"/>
    <cellStyle name="Heading 1 2 2 2 7 3 6 5 3" xfId="11772"/>
    <cellStyle name="Heading 1 2 2 2 7 3 6 6" xfId="11773"/>
    <cellStyle name="Heading 1 2 2 2 7 3 6 6 2" xfId="11774"/>
    <cellStyle name="Heading 1 2 2 2 7 3 6 6 2 2" xfId="11775"/>
    <cellStyle name="Heading 1 2 2 2 7 3 6 6 3" xfId="11776"/>
    <cellStyle name="Heading 1 2 2 2 7 3 6 7" xfId="11777"/>
    <cellStyle name="Heading 1 2 2 2 7 3 6 7 2" xfId="11778"/>
    <cellStyle name="Heading 1 2 2 2 7 3 6 7 2 2" xfId="11779"/>
    <cellStyle name="Heading 1 2 2 2 7 3 6 7 3" xfId="11780"/>
    <cellStyle name="Heading 1 2 2 2 7 3 6 8" xfId="11781"/>
    <cellStyle name="Heading 1 2 2 2 7 3 6 8 2" xfId="11782"/>
    <cellStyle name="Heading 1 2 2 2 7 3 6 9" xfId="11783"/>
    <cellStyle name="Heading 1 2 2 2 7 3 7" xfId="11784"/>
    <cellStyle name="Heading 1 2 2 2 7 3 7 2" xfId="11785"/>
    <cellStyle name="Heading 1 2 2 2 7 3 7 2 2" xfId="11786"/>
    <cellStyle name="Heading 1 2 2 2 7 3 7 2 2 2" xfId="11787"/>
    <cellStyle name="Heading 1 2 2 2 7 3 7 2 3" xfId="11788"/>
    <cellStyle name="Heading 1 2 2 2 7 3 7 3" xfId="11789"/>
    <cellStyle name="Heading 1 2 2 2 7 3 7 3 2" xfId="11790"/>
    <cellStyle name="Heading 1 2 2 2 7 3 7 3 2 2" xfId="11791"/>
    <cellStyle name="Heading 1 2 2 2 7 3 7 3 3" xfId="11792"/>
    <cellStyle name="Heading 1 2 2 2 7 3 7 4" xfId="11793"/>
    <cellStyle name="Heading 1 2 2 2 7 3 7 4 2" xfId="11794"/>
    <cellStyle name="Heading 1 2 2 2 7 3 7 4 2 2" xfId="11795"/>
    <cellStyle name="Heading 1 2 2 2 7 3 7 4 3" xfId="11796"/>
    <cellStyle name="Heading 1 2 2 2 7 3 7 5" xfId="11797"/>
    <cellStyle name="Heading 1 2 2 2 7 3 7 5 2" xfId="11798"/>
    <cellStyle name="Heading 1 2 2 2 7 3 7 5 2 2" xfId="11799"/>
    <cellStyle name="Heading 1 2 2 2 7 3 7 5 3" xfId="11800"/>
    <cellStyle name="Heading 1 2 2 2 7 3 7 6" xfId="11801"/>
    <cellStyle name="Heading 1 2 2 2 7 3 7 6 2" xfId="11802"/>
    <cellStyle name="Heading 1 2 2 2 7 3 7 6 2 2" xfId="11803"/>
    <cellStyle name="Heading 1 2 2 2 7 3 7 6 3" xfId="11804"/>
    <cellStyle name="Heading 1 2 2 2 7 3 7 7" xfId="11805"/>
    <cellStyle name="Heading 1 2 2 2 7 3 7 7 2" xfId="11806"/>
    <cellStyle name="Heading 1 2 2 2 7 3 7 7 2 2" xfId="11807"/>
    <cellStyle name="Heading 1 2 2 2 7 3 7 7 3" xfId="11808"/>
    <cellStyle name="Heading 1 2 2 2 7 3 7 8" xfId="11809"/>
    <cellStyle name="Heading 1 2 2 2 7 3 7 8 2" xfId="11810"/>
    <cellStyle name="Heading 1 2 2 2 7 3 7 9" xfId="11811"/>
    <cellStyle name="Heading 1 2 2 2 7 3 8" xfId="11812"/>
    <cellStyle name="Heading 1 2 2 2 7 3 8 2" xfId="11813"/>
    <cellStyle name="Heading 1 2 2 2 7 3 8 2 2" xfId="11814"/>
    <cellStyle name="Heading 1 2 2 2 7 3 8 2 2 2" xfId="11815"/>
    <cellStyle name="Heading 1 2 2 2 7 3 8 2 3" xfId="11816"/>
    <cellStyle name="Heading 1 2 2 2 7 3 8 3" xfId="11817"/>
    <cellStyle name="Heading 1 2 2 2 7 3 8 3 2" xfId="11818"/>
    <cellStyle name="Heading 1 2 2 2 7 3 8 3 2 2" xfId="11819"/>
    <cellStyle name="Heading 1 2 2 2 7 3 8 3 3" xfId="11820"/>
    <cellStyle name="Heading 1 2 2 2 7 3 8 4" xfId="11821"/>
    <cellStyle name="Heading 1 2 2 2 7 3 8 4 2" xfId="11822"/>
    <cellStyle name="Heading 1 2 2 2 7 3 8 4 2 2" xfId="11823"/>
    <cellStyle name="Heading 1 2 2 2 7 3 8 4 3" xfId="11824"/>
    <cellStyle name="Heading 1 2 2 2 7 3 8 5" xfId="11825"/>
    <cellStyle name="Heading 1 2 2 2 7 3 8 5 2" xfId="11826"/>
    <cellStyle name="Heading 1 2 2 2 7 3 8 5 2 2" xfId="11827"/>
    <cellStyle name="Heading 1 2 2 2 7 3 8 5 3" xfId="11828"/>
    <cellStyle name="Heading 1 2 2 2 7 3 8 6" xfId="11829"/>
    <cellStyle name="Heading 1 2 2 2 7 3 8 6 2" xfId="11830"/>
    <cellStyle name="Heading 1 2 2 2 7 3 8 6 2 2" xfId="11831"/>
    <cellStyle name="Heading 1 2 2 2 7 3 8 6 3" xfId="11832"/>
    <cellStyle name="Heading 1 2 2 2 7 3 8 7" xfId="11833"/>
    <cellStyle name="Heading 1 2 2 2 7 3 8 7 2" xfId="11834"/>
    <cellStyle name="Heading 1 2 2 2 7 3 8 7 2 2" xfId="11835"/>
    <cellStyle name="Heading 1 2 2 2 7 3 8 7 3" xfId="11836"/>
    <cellStyle name="Heading 1 2 2 2 7 3 8 8" xfId="11837"/>
    <cellStyle name="Heading 1 2 2 2 7 3 8 8 2" xfId="11838"/>
    <cellStyle name="Heading 1 2 2 2 7 3 8 9" xfId="11839"/>
    <cellStyle name="Heading 1 2 2 2 7 3 9" xfId="11840"/>
    <cellStyle name="Heading 1 2 2 2 7 3 9 2" xfId="11841"/>
    <cellStyle name="Heading 1 2 2 2 7 3 9 2 2" xfId="11842"/>
    <cellStyle name="Heading 1 2 2 2 7 3 9 3" xfId="11843"/>
    <cellStyle name="Heading 1 2 2 2 7 4" xfId="11844"/>
    <cellStyle name="Heading 1 2 2 2 7 4 2" xfId="11845"/>
    <cellStyle name="Heading 1 2 2 2 7 4 2 2" xfId="11846"/>
    <cellStyle name="Heading 1 2 2 2 7 4 3" xfId="11847"/>
    <cellStyle name="Heading 1 2 2 2 7 5" xfId="11848"/>
    <cellStyle name="Heading 1 2 2 2 7 5 2" xfId="11849"/>
    <cellStyle name="Heading 1 2 2 2 7 6" xfId="11850"/>
    <cellStyle name="Heading 1 2 2 2 8" xfId="11851"/>
    <cellStyle name="Heading 1 2 2 2 8 10" xfId="11852"/>
    <cellStyle name="Heading 1 2 2 2 8 10 2" xfId="11853"/>
    <cellStyle name="Heading 1 2 2 2 8 10 2 2" xfId="11854"/>
    <cellStyle name="Heading 1 2 2 2 8 10 3" xfId="11855"/>
    <cellStyle name="Heading 1 2 2 2 8 11" xfId="11856"/>
    <cellStyle name="Heading 1 2 2 2 8 11 2" xfId="11857"/>
    <cellStyle name="Heading 1 2 2 2 8 11 2 2" xfId="11858"/>
    <cellStyle name="Heading 1 2 2 2 8 11 3" xfId="11859"/>
    <cellStyle name="Heading 1 2 2 2 8 12" xfId="11860"/>
    <cellStyle name="Heading 1 2 2 2 8 12 2" xfId="11861"/>
    <cellStyle name="Heading 1 2 2 2 8 12 2 2" xfId="11862"/>
    <cellStyle name="Heading 1 2 2 2 8 12 3" xfId="11863"/>
    <cellStyle name="Heading 1 2 2 2 8 13" xfId="11864"/>
    <cellStyle name="Heading 1 2 2 2 8 13 2" xfId="11865"/>
    <cellStyle name="Heading 1 2 2 2 8 13 2 2" xfId="11866"/>
    <cellStyle name="Heading 1 2 2 2 8 13 3" xfId="11867"/>
    <cellStyle name="Heading 1 2 2 2 8 14" xfId="11868"/>
    <cellStyle name="Heading 1 2 2 2 8 14 2" xfId="11869"/>
    <cellStyle name="Heading 1 2 2 2 8 14 2 2" xfId="11870"/>
    <cellStyle name="Heading 1 2 2 2 8 14 3" xfId="11871"/>
    <cellStyle name="Heading 1 2 2 2 8 15" xfId="11872"/>
    <cellStyle name="Heading 1 2 2 2 8 15 2" xfId="11873"/>
    <cellStyle name="Heading 1 2 2 2 8 15 2 2" xfId="11874"/>
    <cellStyle name="Heading 1 2 2 2 8 15 3" xfId="11875"/>
    <cellStyle name="Heading 1 2 2 2 8 16" xfId="11876"/>
    <cellStyle name="Heading 1 2 2 2 8 16 2" xfId="11877"/>
    <cellStyle name="Heading 1 2 2 2 8 16 2 2" xfId="11878"/>
    <cellStyle name="Heading 1 2 2 2 8 16 3" xfId="11879"/>
    <cellStyle name="Heading 1 2 2 2 8 17" xfId="11880"/>
    <cellStyle name="Heading 1 2 2 2 8 17 2" xfId="11881"/>
    <cellStyle name="Heading 1 2 2 2 8 17 2 2" xfId="11882"/>
    <cellStyle name="Heading 1 2 2 2 8 17 3" xfId="11883"/>
    <cellStyle name="Heading 1 2 2 2 8 18" xfId="11884"/>
    <cellStyle name="Heading 1 2 2 2 8 18 2" xfId="11885"/>
    <cellStyle name="Heading 1 2 2 2 8 18 2 2" xfId="11886"/>
    <cellStyle name="Heading 1 2 2 2 8 18 3" xfId="11887"/>
    <cellStyle name="Heading 1 2 2 2 8 19" xfId="11888"/>
    <cellStyle name="Heading 1 2 2 2 8 19 2" xfId="11889"/>
    <cellStyle name="Heading 1 2 2 2 8 19 2 2" xfId="11890"/>
    <cellStyle name="Heading 1 2 2 2 8 19 3" xfId="11891"/>
    <cellStyle name="Heading 1 2 2 2 8 2" xfId="11892"/>
    <cellStyle name="Heading 1 2 2 2 8 2 10" xfId="11893"/>
    <cellStyle name="Heading 1 2 2 2 8 2 10 2" xfId="11894"/>
    <cellStyle name="Heading 1 2 2 2 8 2 10 2 2" xfId="11895"/>
    <cellStyle name="Heading 1 2 2 2 8 2 10 3" xfId="11896"/>
    <cellStyle name="Heading 1 2 2 2 8 2 11" xfId="11897"/>
    <cellStyle name="Heading 1 2 2 2 8 2 11 2" xfId="11898"/>
    <cellStyle name="Heading 1 2 2 2 8 2 11 2 2" xfId="11899"/>
    <cellStyle name="Heading 1 2 2 2 8 2 11 3" xfId="11900"/>
    <cellStyle name="Heading 1 2 2 2 8 2 12" xfId="11901"/>
    <cellStyle name="Heading 1 2 2 2 8 2 12 2" xfId="11902"/>
    <cellStyle name="Heading 1 2 2 2 8 2 12 2 2" xfId="11903"/>
    <cellStyle name="Heading 1 2 2 2 8 2 12 3" xfId="11904"/>
    <cellStyle name="Heading 1 2 2 2 8 2 13" xfId="11905"/>
    <cellStyle name="Heading 1 2 2 2 8 2 13 2" xfId="11906"/>
    <cellStyle name="Heading 1 2 2 2 8 2 13 2 2" xfId="11907"/>
    <cellStyle name="Heading 1 2 2 2 8 2 13 3" xfId="11908"/>
    <cellStyle name="Heading 1 2 2 2 8 2 14" xfId="11909"/>
    <cellStyle name="Heading 1 2 2 2 8 2 14 2" xfId="11910"/>
    <cellStyle name="Heading 1 2 2 2 8 2 14 2 2" xfId="11911"/>
    <cellStyle name="Heading 1 2 2 2 8 2 14 3" xfId="11912"/>
    <cellStyle name="Heading 1 2 2 2 8 2 15" xfId="11913"/>
    <cellStyle name="Heading 1 2 2 2 8 2 15 2" xfId="11914"/>
    <cellStyle name="Heading 1 2 2 2 8 2 15 2 2" xfId="11915"/>
    <cellStyle name="Heading 1 2 2 2 8 2 15 3" xfId="11916"/>
    <cellStyle name="Heading 1 2 2 2 8 2 16" xfId="11917"/>
    <cellStyle name="Heading 1 2 2 2 8 2 16 2" xfId="11918"/>
    <cellStyle name="Heading 1 2 2 2 8 2 16 2 2" xfId="11919"/>
    <cellStyle name="Heading 1 2 2 2 8 2 16 3" xfId="11920"/>
    <cellStyle name="Heading 1 2 2 2 8 2 17" xfId="11921"/>
    <cellStyle name="Heading 1 2 2 2 8 2 17 2" xfId="11922"/>
    <cellStyle name="Heading 1 2 2 2 8 2 17 2 2" xfId="11923"/>
    <cellStyle name="Heading 1 2 2 2 8 2 17 3" xfId="11924"/>
    <cellStyle name="Heading 1 2 2 2 8 2 18" xfId="11925"/>
    <cellStyle name="Heading 1 2 2 2 8 2 18 2" xfId="11926"/>
    <cellStyle name="Heading 1 2 2 2 8 2 18 2 2" xfId="11927"/>
    <cellStyle name="Heading 1 2 2 2 8 2 18 3" xfId="11928"/>
    <cellStyle name="Heading 1 2 2 2 8 2 19" xfId="11929"/>
    <cellStyle name="Heading 1 2 2 2 8 2 19 2" xfId="11930"/>
    <cellStyle name="Heading 1 2 2 2 8 2 2" xfId="11931"/>
    <cellStyle name="Heading 1 2 2 2 8 2 2 2" xfId="11932"/>
    <cellStyle name="Heading 1 2 2 2 8 2 2 2 2" xfId="11933"/>
    <cellStyle name="Heading 1 2 2 2 8 2 2 2 2 2" xfId="11934"/>
    <cellStyle name="Heading 1 2 2 2 8 2 2 2 3" xfId="11935"/>
    <cellStyle name="Heading 1 2 2 2 8 2 2 3" xfId="11936"/>
    <cellStyle name="Heading 1 2 2 2 8 2 2 3 2" xfId="11937"/>
    <cellStyle name="Heading 1 2 2 2 8 2 2 3 2 2" xfId="11938"/>
    <cellStyle name="Heading 1 2 2 2 8 2 2 3 3" xfId="11939"/>
    <cellStyle name="Heading 1 2 2 2 8 2 2 4" xfId="11940"/>
    <cellStyle name="Heading 1 2 2 2 8 2 2 4 2" xfId="11941"/>
    <cellStyle name="Heading 1 2 2 2 8 2 2 4 2 2" xfId="11942"/>
    <cellStyle name="Heading 1 2 2 2 8 2 2 4 3" xfId="11943"/>
    <cellStyle name="Heading 1 2 2 2 8 2 2 5" xfId="11944"/>
    <cellStyle name="Heading 1 2 2 2 8 2 2 5 2" xfId="11945"/>
    <cellStyle name="Heading 1 2 2 2 8 2 2 5 2 2" xfId="11946"/>
    <cellStyle name="Heading 1 2 2 2 8 2 2 5 3" xfId="11947"/>
    <cellStyle name="Heading 1 2 2 2 8 2 2 6" xfId="11948"/>
    <cellStyle name="Heading 1 2 2 2 8 2 2 6 2" xfId="11949"/>
    <cellStyle name="Heading 1 2 2 2 8 2 2 6 2 2" xfId="11950"/>
    <cellStyle name="Heading 1 2 2 2 8 2 2 6 3" xfId="11951"/>
    <cellStyle name="Heading 1 2 2 2 8 2 2 7" xfId="11952"/>
    <cellStyle name="Heading 1 2 2 2 8 2 2 7 2" xfId="11953"/>
    <cellStyle name="Heading 1 2 2 2 8 2 2 7 2 2" xfId="11954"/>
    <cellStyle name="Heading 1 2 2 2 8 2 2 7 3" xfId="11955"/>
    <cellStyle name="Heading 1 2 2 2 8 2 2 8" xfId="11956"/>
    <cellStyle name="Heading 1 2 2 2 8 2 2 8 2" xfId="11957"/>
    <cellStyle name="Heading 1 2 2 2 8 2 2 9" xfId="11958"/>
    <cellStyle name="Heading 1 2 2 2 8 2 20" xfId="11959"/>
    <cellStyle name="Heading 1 2 2 2 8 2 20 2" xfId="11960"/>
    <cellStyle name="Heading 1 2 2 2 8 2 21" xfId="11961"/>
    <cellStyle name="Heading 1 2 2 2 8 2 21 2" xfId="11962"/>
    <cellStyle name="Heading 1 2 2 2 8 2 22" xfId="11963"/>
    <cellStyle name="Heading 1 2 2 2 8 2 3" xfId="11964"/>
    <cellStyle name="Heading 1 2 2 2 8 2 3 2" xfId="11965"/>
    <cellStyle name="Heading 1 2 2 2 8 2 3 2 2" xfId="11966"/>
    <cellStyle name="Heading 1 2 2 2 8 2 3 2 2 2" xfId="11967"/>
    <cellStyle name="Heading 1 2 2 2 8 2 3 2 3" xfId="11968"/>
    <cellStyle name="Heading 1 2 2 2 8 2 3 3" xfId="11969"/>
    <cellStyle name="Heading 1 2 2 2 8 2 3 3 2" xfId="11970"/>
    <cellStyle name="Heading 1 2 2 2 8 2 3 3 2 2" xfId="11971"/>
    <cellStyle name="Heading 1 2 2 2 8 2 3 3 3" xfId="11972"/>
    <cellStyle name="Heading 1 2 2 2 8 2 3 4" xfId="11973"/>
    <cellStyle name="Heading 1 2 2 2 8 2 3 4 2" xfId="11974"/>
    <cellStyle name="Heading 1 2 2 2 8 2 3 4 2 2" xfId="11975"/>
    <cellStyle name="Heading 1 2 2 2 8 2 3 4 3" xfId="11976"/>
    <cellStyle name="Heading 1 2 2 2 8 2 3 5" xfId="11977"/>
    <cellStyle name="Heading 1 2 2 2 8 2 3 5 2" xfId="11978"/>
    <cellStyle name="Heading 1 2 2 2 8 2 3 5 2 2" xfId="11979"/>
    <cellStyle name="Heading 1 2 2 2 8 2 3 5 3" xfId="11980"/>
    <cellStyle name="Heading 1 2 2 2 8 2 3 6" xfId="11981"/>
    <cellStyle name="Heading 1 2 2 2 8 2 3 6 2" xfId="11982"/>
    <cellStyle name="Heading 1 2 2 2 8 2 3 6 2 2" xfId="11983"/>
    <cellStyle name="Heading 1 2 2 2 8 2 3 6 3" xfId="11984"/>
    <cellStyle name="Heading 1 2 2 2 8 2 3 7" xfId="11985"/>
    <cellStyle name="Heading 1 2 2 2 8 2 3 7 2" xfId="11986"/>
    <cellStyle name="Heading 1 2 2 2 8 2 3 7 2 2" xfId="11987"/>
    <cellStyle name="Heading 1 2 2 2 8 2 3 7 3" xfId="11988"/>
    <cellStyle name="Heading 1 2 2 2 8 2 3 8" xfId="11989"/>
    <cellStyle name="Heading 1 2 2 2 8 2 3 8 2" xfId="11990"/>
    <cellStyle name="Heading 1 2 2 2 8 2 3 9" xfId="11991"/>
    <cellStyle name="Heading 1 2 2 2 8 2 4" xfId="11992"/>
    <cellStyle name="Heading 1 2 2 2 8 2 4 2" xfId="11993"/>
    <cellStyle name="Heading 1 2 2 2 8 2 4 2 2" xfId="11994"/>
    <cellStyle name="Heading 1 2 2 2 8 2 4 2 2 2" xfId="11995"/>
    <cellStyle name="Heading 1 2 2 2 8 2 4 2 3" xfId="11996"/>
    <cellStyle name="Heading 1 2 2 2 8 2 4 3" xfId="11997"/>
    <cellStyle name="Heading 1 2 2 2 8 2 4 3 2" xfId="11998"/>
    <cellStyle name="Heading 1 2 2 2 8 2 4 3 2 2" xfId="11999"/>
    <cellStyle name="Heading 1 2 2 2 8 2 4 3 3" xfId="12000"/>
    <cellStyle name="Heading 1 2 2 2 8 2 4 4" xfId="12001"/>
    <cellStyle name="Heading 1 2 2 2 8 2 4 4 2" xfId="12002"/>
    <cellStyle name="Heading 1 2 2 2 8 2 4 4 2 2" xfId="12003"/>
    <cellStyle name="Heading 1 2 2 2 8 2 4 4 3" xfId="12004"/>
    <cellStyle name="Heading 1 2 2 2 8 2 4 5" xfId="12005"/>
    <cellStyle name="Heading 1 2 2 2 8 2 4 5 2" xfId="12006"/>
    <cellStyle name="Heading 1 2 2 2 8 2 4 5 2 2" xfId="12007"/>
    <cellStyle name="Heading 1 2 2 2 8 2 4 5 3" xfId="12008"/>
    <cellStyle name="Heading 1 2 2 2 8 2 4 6" xfId="12009"/>
    <cellStyle name="Heading 1 2 2 2 8 2 4 6 2" xfId="12010"/>
    <cellStyle name="Heading 1 2 2 2 8 2 4 6 2 2" xfId="12011"/>
    <cellStyle name="Heading 1 2 2 2 8 2 4 6 3" xfId="12012"/>
    <cellStyle name="Heading 1 2 2 2 8 2 4 7" xfId="12013"/>
    <cellStyle name="Heading 1 2 2 2 8 2 4 7 2" xfId="12014"/>
    <cellStyle name="Heading 1 2 2 2 8 2 4 7 2 2" xfId="12015"/>
    <cellStyle name="Heading 1 2 2 2 8 2 4 7 3" xfId="12016"/>
    <cellStyle name="Heading 1 2 2 2 8 2 4 8" xfId="12017"/>
    <cellStyle name="Heading 1 2 2 2 8 2 4 8 2" xfId="12018"/>
    <cellStyle name="Heading 1 2 2 2 8 2 4 9" xfId="12019"/>
    <cellStyle name="Heading 1 2 2 2 8 2 5" xfId="12020"/>
    <cellStyle name="Heading 1 2 2 2 8 2 5 2" xfId="12021"/>
    <cellStyle name="Heading 1 2 2 2 8 2 5 2 2" xfId="12022"/>
    <cellStyle name="Heading 1 2 2 2 8 2 5 2 2 2" xfId="12023"/>
    <cellStyle name="Heading 1 2 2 2 8 2 5 2 3" xfId="12024"/>
    <cellStyle name="Heading 1 2 2 2 8 2 5 3" xfId="12025"/>
    <cellStyle name="Heading 1 2 2 2 8 2 5 3 2" xfId="12026"/>
    <cellStyle name="Heading 1 2 2 2 8 2 5 3 2 2" xfId="12027"/>
    <cellStyle name="Heading 1 2 2 2 8 2 5 3 3" xfId="12028"/>
    <cellStyle name="Heading 1 2 2 2 8 2 5 4" xfId="12029"/>
    <cellStyle name="Heading 1 2 2 2 8 2 5 4 2" xfId="12030"/>
    <cellStyle name="Heading 1 2 2 2 8 2 5 4 2 2" xfId="12031"/>
    <cellStyle name="Heading 1 2 2 2 8 2 5 4 3" xfId="12032"/>
    <cellStyle name="Heading 1 2 2 2 8 2 5 5" xfId="12033"/>
    <cellStyle name="Heading 1 2 2 2 8 2 5 5 2" xfId="12034"/>
    <cellStyle name="Heading 1 2 2 2 8 2 5 5 2 2" xfId="12035"/>
    <cellStyle name="Heading 1 2 2 2 8 2 5 5 3" xfId="12036"/>
    <cellStyle name="Heading 1 2 2 2 8 2 5 6" xfId="12037"/>
    <cellStyle name="Heading 1 2 2 2 8 2 5 6 2" xfId="12038"/>
    <cellStyle name="Heading 1 2 2 2 8 2 5 6 2 2" xfId="12039"/>
    <cellStyle name="Heading 1 2 2 2 8 2 5 6 3" xfId="12040"/>
    <cellStyle name="Heading 1 2 2 2 8 2 5 7" xfId="12041"/>
    <cellStyle name="Heading 1 2 2 2 8 2 5 7 2" xfId="12042"/>
    <cellStyle name="Heading 1 2 2 2 8 2 5 7 2 2" xfId="12043"/>
    <cellStyle name="Heading 1 2 2 2 8 2 5 7 3" xfId="12044"/>
    <cellStyle name="Heading 1 2 2 2 8 2 5 8" xfId="12045"/>
    <cellStyle name="Heading 1 2 2 2 8 2 5 8 2" xfId="12046"/>
    <cellStyle name="Heading 1 2 2 2 8 2 5 9" xfId="12047"/>
    <cellStyle name="Heading 1 2 2 2 8 2 6" xfId="12048"/>
    <cellStyle name="Heading 1 2 2 2 8 2 6 2" xfId="12049"/>
    <cellStyle name="Heading 1 2 2 2 8 2 6 2 2" xfId="12050"/>
    <cellStyle name="Heading 1 2 2 2 8 2 6 2 2 2" xfId="12051"/>
    <cellStyle name="Heading 1 2 2 2 8 2 6 2 3" xfId="12052"/>
    <cellStyle name="Heading 1 2 2 2 8 2 6 3" xfId="12053"/>
    <cellStyle name="Heading 1 2 2 2 8 2 6 3 2" xfId="12054"/>
    <cellStyle name="Heading 1 2 2 2 8 2 6 3 2 2" xfId="12055"/>
    <cellStyle name="Heading 1 2 2 2 8 2 6 3 3" xfId="12056"/>
    <cellStyle name="Heading 1 2 2 2 8 2 6 4" xfId="12057"/>
    <cellStyle name="Heading 1 2 2 2 8 2 6 4 2" xfId="12058"/>
    <cellStyle name="Heading 1 2 2 2 8 2 6 4 2 2" xfId="12059"/>
    <cellStyle name="Heading 1 2 2 2 8 2 6 4 3" xfId="12060"/>
    <cellStyle name="Heading 1 2 2 2 8 2 6 5" xfId="12061"/>
    <cellStyle name="Heading 1 2 2 2 8 2 6 5 2" xfId="12062"/>
    <cellStyle name="Heading 1 2 2 2 8 2 6 5 2 2" xfId="12063"/>
    <cellStyle name="Heading 1 2 2 2 8 2 6 5 3" xfId="12064"/>
    <cellStyle name="Heading 1 2 2 2 8 2 6 6" xfId="12065"/>
    <cellStyle name="Heading 1 2 2 2 8 2 6 6 2" xfId="12066"/>
    <cellStyle name="Heading 1 2 2 2 8 2 6 6 2 2" xfId="12067"/>
    <cellStyle name="Heading 1 2 2 2 8 2 6 6 3" xfId="12068"/>
    <cellStyle name="Heading 1 2 2 2 8 2 6 7" xfId="12069"/>
    <cellStyle name="Heading 1 2 2 2 8 2 6 7 2" xfId="12070"/>
    <cellStyle name="Heading 1 2 2 2 8 2 6 7 2 2" xfId="12071"/>
    <cellStyle name="Heading 1 2 2 2 8 2 6 7 3" xfId="12072"/>
    <cellStyle name="Heading 1 2 2 2 8 2 6 8" xfId="12073"/>
    <cellStyle name="Heading 1 2 2 2 8 2 6 8 2" xfId="12074"/>
    <cellStyle name="Heading 1 2 2 2 8 2 6 9" xfId="12075"/>
    <cellStyle name="Heading 1 2 2 2 8 2 7" xfId="12076"/>
    <cellStyle name="Heading 1 2 2 2 8 2 7 2" xfId="12077"/>
    <cellStyle name="Heading 1 2 2 2 8 2 7 2 2" xfId="12078"/>
    <cellStyle name="Heading 1 2 2 2 8 2 7 2 2 2" xfId="12079"/>
    <cellStyle name="Heading 1 2 2 2 8 2 7 2 3" xfId="12080"/>
    <cellStyle name="Heading 1 2 2 2 8 2 7 3" xfId="12081"/>
    <cellStyle name="Heading 1 2 2 2 8 2 7 3 2" xfId="12082"/>
    <cellStyle name="Heading 1 2 2 2 8 2 7 3 2 2" xfId="12083"/>
    <cellStyle name="Heading 1 2 2 2 8 2 7 3 3" xfId="12084"/>
    <cellStyle name="Heading 1 2 2 2 8 2 7 4" xfId="12085"/>
    <cellStyle name="Heading 1 2 2 2 8 2 7 4 2" xfId="12086"/>
    <cellStyle name="Heading 1 2 2 2 8 2 7 4 2 2" xfId="12087"/>
    <cellStyle name="Heading 1 2 2 2 8 2 7 4 3" xfId="12088"/>
    <cellStyle name="Heading 1 2 2 2 8 2 7 5" xfId="12089"/>
    <cellStyle name="Heading 1 2 2 2 8 2 7 5 2" xfId="12090"/>
    <cellStyle name="Heading 1 2 2 2 8 2 7 5 2 2" xfId="12091"/>
    <cellStyle name="Heading 1 2 2 2 8 2 7 5 3" xfId="12092"/>
    <cellStyle name="Heading 1 2 2 2 8 2 7 6" xfId="12093"/>
    <cellStyle name="Heading 1 2 2 2 8 2 7 6 2" xfId="12094"/>
    <cellStyle name="Heading 1 2 2 2 8 2 7 6 2 2" xfId="12095"/>
    <cellStyle name="Heading 1 2 2 2 8 2 7 6 3" xfId="12096"/>
    <cellStyle name="Heading 1 2 2 2 8 2 7 7" xfId="12097"/>
    <cellStyle name="Heading 1 2 2 2 8 2 7 7 2" xfId="12098"/>
    <cellStyle name="Heading 1 2 2 2 8 2 7 7 2 2" xfId="12099"/>
    <cellStyle name="Heading 1 2 2 2 8 2 7 7 3" xfId="12100"/>
    <cellStyle name="Heading 1 2 2 2 8 2 7 8" xfId="12101"/>
    <cellStyle name="Heading 1 2 2 2 8 2 7 8 2" xfId="12102"/>
    <cellStyle name="Heading 1 2 2 2 8 2 7 9" xfId="12103"/>
    <cellStyle name="Heading 1 2 2 2 8 2 8" xfId="12104"/>
    <cellStyle name="Heading 1 2 2 2 8 2 8 2" xfId="12105"/>
    <cellStyle name="Heading 1 2 2 2 8 2 8 2 2" xfId="12106"/>
    <cellStyle name="Heading 1 2 2 2 8 2 8 2 2 2" xfId="12107"/>
    <cellStyle name="Heading 1 2 2 2 8 2 8 2 3" xfId="12108"/>
    <cellStyle name="Heading 1 2 2 2 8 2 8 3" xfId="12109"/>
    <cellStyle name="Heading 1 2 2 2 8 2 8 3 2" xfId="12110"/>
    <cellStyle name="Heading 1 2 2 2 8 2 8 3 2 2" xfId="12111"/>
    <cellStyle name="Heading 1 2 2 2 8 2 8 3 3" xfId="12112"/>
    <cellStyle name="Heading 1 2 2 2 8 2 8 4" xfId="12113"/>
    <cellStyle name="Heading 1 2 2 2 8 2 8 4 2" xfId="12114"/>
    <cellStyle name="Heading 1 2 2 2 8 2 8 4 2 2" xfId="12115"/>
    <cellStyle name="Heading 1 2 2 2 8 2 8 4 3" xfId="12116"/>
    <cellStyle name="Heading 1 2 2 2 8 2 8 5" xfId="12117"/>
    <cellStyle name="Heading 1 2 2 2 8 2 8 5 2" xfId="12118"/>
    <cellStyle name="Heading 1 2 2 2 8 2 8 5 2 2" xfId="12119"/>
    <cellStyle name="Heading 1 2 2 2 8 2 8 5 3" xfId="12120"/>
    <cellStyle name="Heading 1 2 2 2 8 2 8 6" xfId="12121"/>
    <cellStyle name="Heading 1 2 2 2 8 2 8 6 2" xfId="12122"/>
    <cellStyle name="Heading 1 2 2 2 8 2 8 6 2 2" xfId="12123"/>
    <cellStyle name="Heading 1 2 2 2 8 2 8 6 3" xfId="12124"/>
    <cellStyle name="Heading 1 2 2 2 8 2 8 7" xfId="12125"/>
    <cellStyle name="Heading 1 2 2 2 8 2 8 7 2" xfId="12126"/>
    <cellStyle name="Heading 1 2 2 2 8 2 8 7 2 2" xfId="12127"/>
    <cellStyle name="Heading 1 2 2 2 8 2 8 7 3" xfId="12128"/>
    <cellStyle name="Heading 1 2 2 2 8 2 8 8" xfId="12129"/>
    <cellStyle name="Heading 1 2 2 2 8 2 8 8 2" xfId="12130"/>
    <cellStyle name="Heading 1 2 2 2 8 2 8 9" xfId="12131"/>
    <cellStyle name="Heading 1 2 2 2 8 2 9" xfId="12132"/>
    <cellStyle name="Heading 1 2 2 2 8 2 9 2" xfId="12133"/>
    <cellStyle name="Heading 1 2 2 2 8 2 9 2 2" xfId="12134"/>
    <cellStyle name="Heading 1 2 2 2 8 2 9 3" xfId="12135"/>
    <cellStyle name="Heading 1 2 2 2 8 20" xfId="12136"/>
    <cellStyle name="Heading 1 2 2 2 8 20 2" xfId="12137"/>
    <cellStyle name="Heading 1 2 2 2 8 21" xfId="12138"/>
    <cellStyle name="Heading 1 2 2 2 8 21 2" xfId="12139"/>
    <cellStyle name="Heading 1 2 2 2 8 22" xfId="12140"/>
    <cellStyle name="Heading 1 2 2 2 8 22 2" xfId="12141"/>
    <cellStyle name="Heading 1 2 2 2 8 23" xfId="12142"/>
    <cellStyle name="Heading 1 2 2 2 8 3" xfId="12143"/>
    <cellStyle name="Heading 1 2 2 2 8 3 2" xfId="12144"/>
    <cellStyle name="Heading 1 2 2 2 8 3 2 2" xfId="12145"/>
    <cellStyle name="Heading 1 2 2 2 8 3 2 2 2" xfId="12146"/>
    <cellStyle name="Heading 1 2 2 2 8 3 2 3" xfId="12147"/>
    <cellStyle name="Heading 1 2 2 2 8 3 3" xfId="12148"/>
    <cellStyle name="Heading 1 2 2 2 8 3 3 2" xfId="12149"/>
    <cellStyle name="Heading 1 2 2 2 8 3 3 2 2" xfId="12150"/>
    <cellStyle name="Heading 1 2 2 2 8 3 3 3" xfId="12151"/>
    <cellStyle name="Heading 1 2 2 2 8 3 4" xfId="12152"/>
    <cellStyle name="Heading 1 2 2 2 8 3 4 2" xfId="12153"/>
    <cellStyle name="Heading 1 2 2 2 8 3 4 2 2" xfId="12154"/>
    <cellStyle name="Heading 1 2 2 2 8 3 4 3" xfId="12155"/>
    <cellStyle name="Heading 1 2 2 2 8 3 5" xfId="12156"/>
    <cellStyle name="Heading 1 2 2 2 8 3 5 2" xfId="12157"/>
    <cellStyle name="Heading 1 2 2 2 8 3 5 2 2" xfId="12158"/>
    <cellStyle name="Heading 1 2 2 2 8 3 5 3" xfId="12159"/>
    <cellStyle name="Heading 1 2 2 2 8 3 6" xfId="12160"/>
    <cellStyle name="Heading 1 2 2 2 8 3 6 2" xfId="12161"/>
    <cellStyle name="Heading 1 2 2 2 8 3 6 2 2" xfId="12162"/>
    <cellStyle name="Heading 1 2 2 2 8 3 6 3" xfId="12163"/>
    <cellStyle name="Heading 1 2 2 2 8 3 7" xfId="12164"/>
    <cellStyle name="Heading 1 2 2 2 8 3 7 2" xfId="12165"/>
    <cellStyle name="Heading 1 2 2 2 8 3 7 2 2" xfId="12166"/>
    <cellStyle name="Heading 1 2 2 2 8 3 7 3" xfId="12167"/>
    <cellStyle name="Heading 1 2 2 2 8 3 8" xfId="12168"/>
    <cellStyle name="Heading 1 2 2 2 8 3 8 2" xfId="12169"/>
    <cellStyle name="Heading 1 2 2 2 8 3 9" xfId="12170"/>
    <cellStyle name="Heading 1 2 2 2 8 4" xfId="12171"/>
    <cellStyle name="Heading 1 2 2 2 8 4 2" xfId="12172"/>
    <cellStyle name="Heading 1 2 2 2 8 4 2 2" xfId="12173"/>
    <cellStyle name="Heading 1 2 2 2 8 4 2 2 2" xfId="12174"/>
    <cellStyle name="Heading 1 2 2 2 8 4 2 3" xfId="12175"/>
    <cellStyle name="Heading 1 2 2 2 8 4 3" xfId="12176"/>
    <cellStyle name="Heading 1 2 2 2 8 4 3 2" xfId="12177"/>
    <cellStyle name="Heading 1 2 2 2 8 4 3 2 2" xfId="12178"/>
    <cellStyle name="Heading 1 2 2 2 8 4 3 3" xfId="12179"/>
    <cellStyle name="Heading 1 2 2 2 8 4 4" xfId="12180"/>
    <cellStyle name="Heading 1 2 2 2 8 4 4 2" xfId="12181"/>
    <cellStyle name="Heading 1 2 2 2 8 4 4 2 2" xfId="12182"/>
    <cellStyle name="Heading 1 2 2 2 8 4 4 3" xfId="12183"/>
    <cellStyle name="Heading 1 2 2 2 8 4 5" xfId="12184"/>
    <cellStyle name="Heading 1 2 2 2 8 4 5 2" xfId="12185"/>
    <cellStyle name="Heading 1 2 2 2 8 4 5 2 2" xfId="12186"/>
    <cellStyle name="Heading 1 2 2 2 8 4 5 3" xfId="12187"/>
    <cellStyle name="Heading 1 2 2 2 8 4 6" xfId="12188"/>
    <cellStyle name="Heading 1 2 2 2 8 4 6 2" xfId="12189"/>
    <cellStyle name="Heading 1 2 2 2 8 4 6 2 2" xfId="12190"/>
    <cellStyle name="Heading 1 2 2 2 8 4 6 3" xfId="12191"/>
    <cellStyle name="Heading 1 2 2 2 8 4 7" xfId="12192"/>
    <cellStyle name="Heading 1 2 2 2 8 4 7 2" xfId="12193"/>
    <cellStyle name="Heading 1 2 2 2 8 4 7 2 2" xfId="12194"/>
    <cellStyle name="Heading 1 2 2 2 8 4 7 3" xfId="12195"/>
    <cellStyle name="Heading 1 2 2 2 8 4 8" xfId="12196"/>
    <cellStyle name="Heading 1 2 2 2 8 4 8 2" xfId="12197"/>
    <cellStyle name="Heading 1 2 2 2 8 4 9" xfId="12198"/>
    <cellStyle name="Heading 1 2 2 2 8 5" xfId="12199"/>
    <cellStyle name="Heading 1 2 2 2 8 5 2" xfId="12200"/>
    <cellStyle name="Heading 1 2 2 2 8 5 2 2" xfId="12201"/>
    <cellStyle name="Heading 1 2 2 2 8 5 2 2 2" xfId="12202"/>
    <cellStyle name="Heading 1 2 2 2 8 5 2 3" xfId="12203"/>
    <cellStyle name="Heading 1 2 2 2 8 5 3" xfId="12204"/>
    <cellStyle name="Heading 1 2 2 2 8 5 3 2" xfId="12205"/>
    <cellStyle name="Heading 1 2 2 2 8 5 3 2 2" xfId="12206"/>
    <cellStyle name="Heading 1 2 2 2 8 5 3 3" xfId="12207"/>
    <cellStyle name="Heading 1 2 2 2 8 5 4" xfId="12208"/>
    <cellStyle name="Heading 1 2 2 2 8 5 4 2" xfId="12209"/>
    <cellStyle name="Heading 1 2 2 2 8 5 4 2 2" xfId="12210"/>
    <cellStyle name="Heading 1 2 2 2 8 5 4 3" xfId="12211"/>
    <cellStyle name="Heading 1 2 2 2 8 5 5" xfId="12212"/>
    <cellStyle name="Heading 1 2 2 2 8 5 5 2" xfId="12213"/>
    <cellStyle name="Heading 1 2 2 2 8 5 5 2 2" xfId="12214"/>
    <cellStyle name="Heading 1 2 2 2 8 5 5 3" xfId="12215"/>
    <cellStyle name="Heading 1 2 2 2 8 5 6" xfId="12216"/>
    <cellStyle name="Heading 1 2 2 2 8 5 6 2" xfId="12217"/>
    <cellStyle name="Heading 1 2 2 2 8 5 6 2 2" xfId="12218"/>
    <cellStyle name="Heading 1 2 2 2 8 5 6 3" xfId="12219"/>
    <cellStyle name="Heading 1 2 2 2 8 5 7" xfId="12220"/>
    <cellStyle name="Heading 1 2 2 2 8 5 7 2" xfId="12221"/>
    <cellStyle name="Heading 1 2 2 2 8 5 7 2 2" xfId="12222"/>
    <cellStyle name="Heading 1 2 2 2 8 5 7 3" xfId="12223"/>
    <cellStyle name="Heading 1 2 2 2 8 5 8" xfId="12224"/>
    <cellStyle name="Heading 1 2 2 2 8 5 8 2" xfId="12225"/>
    <cellStyle name="Heading 1 2 2 2 8 5 9" xfId="12226"/>
    <cellStyle name="Heading 1 2 2 2 8 6" xfId="12227"/>
    <cellStyle name="Heading 1 2 2 2 8 6 2" xfId="12228"/>
    <cellStyle name="Heading 1 2 2 2 8 6 2 2" xfId="12229"/>
    <cellStyle name="Heading 1 2 2 2 8 6 2 2 2" xfId="12230"/>
    <cellStyle name="Heading 1 2 2 2 8 6 2 3" xfId="12231"/>
    <cellStyle name="Heading 1 2 2 2 8 6 3" xfId="12232"/>
    <cellStyle name="Heading 1 2 2 2 8 6 3 2" xfId="12233"/>
    <cellStyle name="Heading 1 2 2 2 8 6 3 2 2" xfId="12234"/>
    <cellStyle name="Heading 1 2 2 2 8 6 3 3" xfId="12235"/>
    <cellStyle name="Heading 1 2 2 2 8 6 4" xfId="12236"/>
    <cellStyle name="Heading 1 2 2 2 8 6 4 2" xfId="12237"/>
    <cellStyle name="Heading 1 2 2 2 8 6 4 2 2" xfId="12238"/>
    <cellStyle name="Heading 1 2 2 2 8 6 4 3" xfId="12239"/>
    <cellStyle name="Heading 1 2 2 2 8 6 5" xfId="12240"/>
    <cellStyle name="Heading 1 2 2 2 8 6 5 2" xfId="12241"/>
    <cellStyle name="Heading 1 2 2 2 8 6 5 2 2" xfId="12242"/>
    <cellStyle name="Heading 1 2 2 2 8 6 5 3" xfId="12243"/>
    <cellStyle name="Heading 1 2 2 2 8 6 6" xfId="12244"/>
    <cellStyle name="Heading 1 2 2 2 8 6 6 2" xfId="12245"/>
    <cellStyle name="Heading 1 2 2 2 8 6 6 2 2" xfId="12246"/>
    <cellStyle name="Heading 1 2 2 2 8 6 6 3" xfId="12247"/>
    <cellStyle name="Heading 1 2 2 2 8 6 7" xfId="12248"/>
    <cellStyle name="Heading 1 2 2 2 8 6 7 2" xfId="12249"/>
    <cellStyle name="Heading 1 2 2 2 8 6 7 2 2" xfId="12250"/>
    <cellStyle name="Heading 1 2 2 2 8 6 7 3" xfId="12251"/>
    <cellStyle name="Heading 1 2 2 2 8 6 8" xfId="12252"/>
    <cellStyle name="Heading 1 2 2 2 8 6 8 2" xfId="12253"/>
    <cellStyle name="Heading 1 2 2 2 8 6 9" xfId="12254"/>
    <cellStyle name="Heading 1 2 2 2 8 7" xfId="12255"/>
    <cellStyle name="Heading 1 2 2 2 8 7 2" xfId="12256"/>
    <cellStyle name="Heading 1 2 2 2 8 7 2 2" xfId="12257"/>
    <cellStyle name="Heading 1 2 2 2 8 7 2 2 2" xfId="12258"/>
    <cellStyle name="Heading 1 2 2 2 8 7 2 3" xfId="12259"/>
    <cellStyle name="Heading 1 2 2 2 8 7 3" xfId="12260"/>
    <cellStyle name="Heading 1 2 2 2 8 7 3 2" xfId="12261"/>
    <cellStyle name="Heading 1 2 2 2 8 7 3 2 2" xfId="12262"/>
    <cellStyle name="Heading 1 2 2 2 8 7 3 3" xfId="12263"/>
    <cellStyle name="Heading 1 2 2 2 8 7 4" xfId="12264"/>
    <cellStyle name="Heading 1 2 2 2 8 7 4 2" xfId="12265"/>
    <cellStyle name="Heading 1 2 2 2 8 7 4 2 2" xfId="12266"/>
    <cellStyle name="Heading 1 2 2 2 8 7 4 3" xfId="12267"/>
    <cellStyle name="Heading 1 2 2 2 8 7 5" xfId="12268"/>
    <cellStyle name="Heading 1 2 2 2 8 7 5 2" xfId="12269"/>
    <cellStyle name="Heading 1 2 2 2 8 7 5 2 2" xfId="12270"/>
    <cellStyle name="Heading 1 2 2 2 8 7 5 3" xfId="12271"/>
    <cellStyle name="Heading 1 2 2 2 8 7 6" xfId="12272"/>
    <cellStyle name="Heading 1 2 2 2 8 7 6 2" xfId="12273"/>
    <cellStyle name="Heading 1 2 2 2 8 7 6 2 2" xfId="12274"/>
    <cellStyle name="Heading 1 2 2 2 8 7 6 3" xfId="12275"/>
    <cellStyle name="Heading 1 2 2 2 8 7 7" xfId="12276"/>
    <cellStyle name="Heading 1 2 2 2 8 7 7 2" xfId="12277"/>
    <cellStyle name="Heading 1 2 2 2 8 7 7 2 2" xfId="12278"/>
    <cellStyle name="Heading 1 2 2 2 8 7 7 3" xfId="12279"/>
    <cellStyle name="Heading 1 2 2 2 8 7 8" xfId="12280"/>
    <cellStyle name="Heading 1 2 2 2 8 7 8 2" xfId="12281"/>
    <cellStyle name="Heading 1 2 2 2 8 7 9" xfId="12282"/>
    <cellStyle name="Heading 1 2 2 2 8 8" xfId="12283"/>
    <cellStyle name="Heading 1 2 2 2 8 8 2" xfId="12284"/>
    <cellStyle name="Heading 1 2 2 2 8 8 2 2" xfId="12285"/>
    <cellStyle name="Heading 1 2 2 2 8 8 2 2 2" xfId="12286"/>
    <cellStyle name="Heading 1 2 2 2 8 8 2 3" xfId="12287"/>
    <cellStyle name="Heading 1 2 2 2 8 8 3" xfId="12288"/>
    <cellStyle name="Heading 1 2 2 2 8 8 3 2" xfId="12289"/>
    <cellStyle name="Heading 1 2 2 2 8 8 3 2 2" xfId="12290"/>
    <cellStyle name="Heading 1 2 2 2 8 8 3 3" xfId="12291"/>
    <cellStyle name="Heading 1 2 2 2 8 8 4" xfId="12292"/>
    <cellStyle name="Heading 1 2 2 2 8 8 4 2" xfId="12293"/>
    <cellStyle name="Heading 1 2 2 2 8 8 4 2 2" xfId="12294"/>
    <cellStyle name="Heading 1 2 2 2 8 8 4 3" xfId="12295"/>
    <cellStyle name="Heading 1 2 2 2 8 8 5" xfId="12296"/>
    <cellStyle name="Heading 1 2 2 2 8 8 5 2" xfId="12297"/>
    <cellStyle name="Heading 1 2 2 2 8 8 5 2 2" xfId="12298"/>
    <cellStyle name="Heading 1 2 2 2 8 8 5 3" xfId="12299"/>
    <cellStyle name="Heading 1 2 2 2 8 8 6" xfId="12300"/>
    <cellStyle name="Heading 1 2 2 2 8 8 6 2" xfId="12301"/>
    <cellStyle name="Heading 1 2 2 2 8 8 6 2 2" xfId="12302"/>
    <cellStyle name="Heading 1 2 2 2 8 8 6 3" xfId="12303"/>
    <cellStyle name="Heading 1 2 2 2 8 8 7" xfId="12304"/>
    <cellStyle name="Heading 1 2 2 2 8 8 7 2" xfId="12305"/>
    <cellStyle name="Heading 1 2 2 2 8 8 7 2 2" xfId="12306"/>
    <cellStyle name="Heading 1 2 2 2 8 8 7 3" xfId="12307"/>
    <cellStyle name="Heading 1 2 2 2 8 8 8" xfId="12308"/>
    <cellStyle name="Heading 1 2 2 2 8 8 8 2" xfId="12309"/>
    <cellStyle name="Heading 1 2 2 2 8 8 9" xfId="12310"/>
    <cellStyle name="Heading 1 2 2 2 8 9" xfId="12311"/>
    <cellStyle name="Heading 1 2 2 2 8 9 2" xfId="12312"/>
    <cellStyle name="Heading 1 2 2 2 8 9 2 2" xfId="12313"/>
    <cellStyle name="Heading 1 2 2 2 8 9 2 2 2" xfId="12314"/>
    <cellStyle name="Heading 1 2 2 2 8 9 2 3" xfId="12315"/>
    <cellStyle name="Heading 1 2 2 2 8 9 3" xfId="12316"/>
    <cellStyle name="Heading 1 2 2 2 8 9 3 2" xfId="12317"/>
    <cellStyle name="Heading 1 2 2 2 8 9 3 2 2" xfId="12318"/>
    <cellStyle name="Heading 1 2 2 2 8 9 3 3" xfId="12319"/>
    <cellStyle name="Heading 1 2 2 2 8 9 4" xfId="12320"/>
    <cellStyle name="Heading 1 2 2 2 8 9 4 2" xfId="12321"/>
    <cellStyle name="Heading 1 2 2 2 8 9 4 2 2" xfId="12322"/>
    <cellStyle name="Heading 1 2 2 2 8 9 4 3" xfId="12323"/>
    <cellStyle name="Heading 1 2 2 2 8 9 5" xfId="12324"/>
    <cellStyle name="Heading 1 2 2 2 8 9 5 2" xfId="12325"/>
    <cellStyle name="Heading 1 2 2 2 8 9 5 2 2" xfId="12326"/>
    <cellStyle name="Heading 1 2 2 2 8 9 5 3" xfId="12327"/>
    <cellStyle name="Heading 1 2 2 2 8 9 6" xfId="12328"/>
    <cellStyle name="Heading 1 2 2 2 8 9 6 2" xfId="12329"/>
    <cellStyle name="Heading 1 2 2 2 8 9 6 2 2" xfId="12330"/>
    <cellStyle name="Heading 1 2 2 2 8 9 6 3" xfId="12331"/>
    <cellStyle name="Heading 1 2 2 2 8 9 7" xfId="12332"/>
    <cellStyle name="Heading 1 2 2 2 8 9 7 2" xfId="12333"/>
    <cellStyle name="Heading 1 2 2 2 8 9 7 2 2" xfId="12334"/>
    <cellStyle name="Heading 1 2 2 2 8 9 7 3" xfId="12335"/>
    <cellStyle name="Heading 1 2 2 2 8 9 8" xfId="12336"/>
    <cellStyle name="Heading 1 2 2 2 8 9 8 2" xfId="12337"/>
    <cellStyle name="Heading 1 2 2 2 8 9 9" xfId="12338"/>
    <cellStyle name="Heading 1 2 2 2 9" xfId="12339"/>
    <cellStyle name="Heading 1 2 2 2 9 2" xfId="12340"/>
    <cellStyle name="Heading 1 2 2 2 9 2 2" xfId="12341"/>
    <cellStyle name="Heading 1 2 2 2 9 3" xfId="12342"/>
    <cellStyle name="Heading 1 2 2 2 9 3 2" xfId="12343"/>
    <cellStyle name="Heading 1 2 2 2 9 4" xfId="12344"/>
    <cellStyle name="Heading 1 2 2 2 9 4 2" xfId="12345"/>
    <cellStyle name="Heading 1 2 2 2 9 5" xfId="12346"/>
    <cellStyle name="Heading 1 2 2 3" xfId="12347"/>
    <cellStyle name="Heading 1 2 2 3 2" xfId="12348"/>
    <cellStyle name="Heading 1 2 2 3 2 10" xfId="12349"/>
    <cellStyle name="Heading 1 2 2 3 2 10 2" xfId="12350"/>
    <cellStyle name="Heading 1 2 2 3 2 10 2 2" xfId="12351"/>
    <cellStyle name="Heading 1 2 2 3 2 10 3" xfId="12352"/>
    <cellStyle name="Heading 1 2 2 3 2 11" xfId="12353"/>
    <cellStyle name="Heading 1 2 2 3 2 11 2" xfId="12354"/>
    <cellStyle name="Heading 1 2 2 3 2 11 2 2" xfId="12355"/>
    <cellStyle name="Heading 1 2 2 3 2 11 3" xfId="12356"/>
    <cellStyle name="Heading 1 2 2 3 2 12" xfId="12357"/>
    <cellStyle name="Heading 1 2 2 3 2 12 2" xfId="12358"/>
    <cellStyle name="Heading 1 2 2 3 2 12 2 2" xfId="12359"/>
    <cellStyle name="Heading 1 2 2 3 2 12 3" xfId="12360"/>
    <cellStyle name="Heading 1 2 2 3 2 13" xfId="12361"/>
    <cellStyle name="Heading 1 2 2 3 2 13 2" xfId="12362"/>
    <cellStyle name="Heading 1 2 2 3 2 13 2 2" xfId="12363"/>
    <cellStyle name="Heading 1 2 2 3 2 13 3" xfId="12364"/>
    <cellStyle name="Heading 1 2 2 3 2 14" xfId="12365"/>
    <cellStyle name="Heading 1 2 2 3 2 14 2" xfId="12366"/>
    <cellStyle name="Heading 1 2 2 3 2 14 2 2" xfId="12367"/>
    <cellStyle name="Heading 1 2 2 3 2 14 3" xfId="12368"/>
    <cellStyle name="Heading 1 2 2 3 2 15" xfId="12369"/>
    <cellStyle name="Heading 1 2 2 3 2 15 2" xfId="12370"/>
    <cellStyle name="Heading 1 2 2 3 2 15 2 2" xfId="12371"/>
    <cellStyle name="Heading 1 2 2 3 2 15 3" xfId="12372"/>
    <cellStyle name="Heading 1 2 2 3 2 16" xfId="12373"/>
    <cellStyle name="Heading 1 2 2 3 2 16 2" xfId="12374"/>
    <cellStyle name="Heading 1 2 2 3 2 16 2 2" xfId="12375"/>
    <cellStyle name="Heading 1 2 2 3 2 16 3" xfId="12376"/>
    <cellStyle name="Heading 1 2 2 3 2 17" xfId="12377"/>
    <cellStyle name="Heading 1 2 2 3 2 17 2" xfId="12378"/>
    <cellStyle name="Heading 1 2 2 3 2 17 2 2" xfId="12379"/>
    <cellStyle name="Heading 1 2 2 3 2 17 3" xfId="12380"/>
    <cellStyle name="Heading 1 2 2 3 2 18" xfId="12381"/>
    <cellStyle name="Heading 1 2 2 3 2 18 2" xfId="12382"/>
    <cellStyle name="Heading 1 2 2 3 2 18 2 2" xfId="12383"/>
    <cellStyle name="Heading 1 2 2 3 2 18 3" xfId="12384"/>
    <cellStyle name="Heading 1 2 2 3 2 19" xfId="12385"/>
    <cellStyle name="Heading 1 2 2 3 2 19 2" xfId="12386"/>
    <cellStyle name="Heading 1 2 2 3 2 19 2 2" xfId="12387"/>
    <cellStyle name="Heading 1 2 2 3 2 19 3" xfId="12388"/>
    <cellStyle name="Heading 1 2 2 3 2 2" xfId="12389"/>
    <cellStyle name="Heading 1 2 2 3 2 2 10" xfId="12390"/>
    <cellStyle name="Heading 1 2 2 3 2 2 10 2" xfId="12391"/>
    <cellStyle name="Heading 1 2 2 3 2 2 10 2 2" xfId="12392"/>
    <cellStyle name="Heading 1 2 2 3 2 2 10 3" xfId="12393"/>
    <cellStyle name="Heading 1 2 2 3 2 2 11" xfId="12394"/>
    <cellStyle name="Heading 1 2 2 3 2 2 11 2" xfId="12395"/>
    <cellStyle name="Heading 1 2 2 3 2 2 11 2 2" xfId="12396"/>
    <cellStyle name="Heading 1 2 2 3 2 2 11 3" xfId="12397"/>
    <cellStyle name="Heading 1 2 2 3 2 2 12" xfId="12398"/>
    <cellStyle name="Heading 1 2 2 3 2 2 12 2" xfId="12399"/>
    <cellStyle name="Heading 1 2 2 3 2 2 12 2 2" xfId="12400"/>
    <cellStyle name="Heading 1 2 2 3 2 2 12 3" xfId="12401"/>
    <cellStyle name="Heading 1 2 2 3 2 2 13" xfId="12402"/>
    <cellStyle name="Heading 1 2 2 3 2 2 13 2" xfId="12403"/>
    <cellStyle name="Heading 1 2 2 3 2 2 13 2 2" xfId="12404"/>
    <cellStyle name="Heading 1 2 2 3 2 2 13 3" xfId="12405"/>
    <cellStyle name="Heading 1 2 2 3 2 2 14" xfId="12406"/>
    <cellStyle name="Heading 1 2 2 3 2 2 14 2" xfId="12407"/>
    <cellStyle name="Heading 1 2 2 3 2 2 14 2 2" xfId="12408"/>
    <cellStyle name="Heading 1 2 2 3 2 2 14 3" xfId="12409"/>
    <cellStyle name="Heading 1 2 2 3 2 2 15" xfId="12410"/>
    <cellStyle name="Heading 1 2 2 3 2 2 15 2" xfId="12411"/>
    <cellStyle name="Heading 1 2 2 3 2 2 15 2 2" xfId="12412"/>
    <cellStyle name="Heading 1 2 2 3 2 2 15 3" xfId="12413"/>
    <cellStyle name="Heading 1 2 2 3 2 2 16" xfId="12414"/>
    <cellStyle name="Heading 1 2 2 3 2 2 16 2" xfId="12415"/>
    <cellStyle name="Heading 1 2 2 3 2 2 16 2 2" xfId="12416"/>
    <cellStyle name="Heading 1 2 2 3 2 2 16 3" xfId="12417"/>
    <cellStyle name="Heading 1 2 2 3 2 2 17" xfId="12418"/>
    <cellStyle name="Heading 1 2 2 3 2 2 17 2" xfId="12419"/>
    <cellStyle name="Heading 1 2 2 3 2 2 17 2 2" xfId="12420"/>
    <cellStyle name="Heading 1 2 2 3 2 2 17 3" xfId="12421"/>
    <cellStyle name="Heading 1 2 2 3 2 2 18" xfId="12422"/>
    <cellStyle name="Heading 1 2 2 3 2 2 18 2" xfId="12423"/>
    <cellStyle name="Heading 1 2 2 3 2 2 18 2 2" xfId="12424"/>
    <cellStyle name="Heading 1 2 2 3 2 2 18 3" xfId="12425"/>
    <cellStyle name="Heading 1 2 2 3 2 2 19" xfId="12426"/>
    <cellStyle name="Heading 1 2 2 3 2 2 19 2" xfId="12427"/>
    <cellStyle name="Heading 1 2 2 3 2 2 2" xfId="12428"/>
    <cellStyle name="Heading 1 2 2 3 2 2 2 2" xfId="12429"/>
    <cellStyle name="Heading 1 2 2 3 2 2 2 2 2" xfId="12430"/>
    <cellStyle name="Heading 1 2 2 3 2 2 2 2 2 2" xfId="12431"/>
    <cellStyle name="Heading 1 2 2 3 2 2 2 2 3" xfId="12432"/>
    <cellStyle name="Heading 1 2 2 3 2 2 2 3" xfId="12433"/>
    <cellStyle name="Heading 1 2 2 3 2 2 2 3 2" xfId="12434"/>
    <cellStyle name="Heading 1 2 2 3 2 2 2 3 2 2" xfId="12435"/>
    <cellStyle name="Heading 1 2 2 3 2 2 2 3 3" xfId="12436"/>
    <cellStyle name="Heading 1 2 2 3 2 2 2 4" xfId="12437"/>
    <cellStyle name="Heading 1 2 2 3 2 2 2 4 2" xfId="12438"/>
    <cellStyle name="Heading 1 2 2 3 2 2 2 4 2 2" xfId="12439"/>
    <cellStyle name="Heading 1 2 2 3 2 2 2 4 3" xfId="12440"/>
    <cellStyle name="Heading 1 2 2 3 2 2 2 5" xfId="12441"/>
    <cellStyle name="Heading 1 2 2 3 2 2 2 5 2" xfId="12442"/>
    <cellStyle name="Heading 1 2 2 3 2 2 2 5 2 2" xfId="12443"/>
    <cellStyle name="Heading 1 2 2 3 2 2 2 5 3" xfId="12444"/>
    <cellStyle name="Heading 1 2 2 3 2 2 2 6" xfId="12445"/>
    <cellStyle name="Heading 1 2 2 3 2 2 2 6 2" xfId="12446"/>
    <cellStyle name="Heading 1 2 2 3 2 2 2 6 2 2" xfId="12447"/>
    <cellStyle name="Heading 1 2 2 3 2 2 2 6 3" xfId="12448"/>
    <cellStyle name="Heading 1 2 2 3 2 2 2 7" xfId="12449"/>
    <cellStyle name="Heading 1 2 2 3 2 2 2 7 2" xfId="12450"/>
    <cellStyle name="Heading 1 2 2 3 2 2 2 7 2 2" xfId="12451"/>
    <cellStyle name="Heading 1 2 2 3 2 2 2 7 3" xfId="12452"/>
    <cellStyle name="Heading 1 2 2 3 2 2 2 8" xfId="12453"/>
    <cellStyle name="Heading 1 2 2 3 2 2 2 8 2" xfId="12454"/>
    <cellStyle name="Heading 1 2 2 3 2 2 2 9" xfId="12455"/>
    <cellStyle name="Heading 1 2 2 3 2 2 20" xfId="12456"/>
    <cellStyle name="Heading 1 2 2 3 2 2 20 2" xfId="12457"/>
    <cellStyle name="Heading 1 2 2 3 2 2 21" xfId="12458"/>
    <cellStyle name="Heading 1 2 2 3 2 2 21 2" xfId="12459"/>
    <cellStyle name="Heading 1 2 2 3 2 2 22" xfId="12460"/>
    <cellStyle name="Heading 1 2 2 3 2 2 3" xfId="12461"/>
    <cellStyle name="Heading 1 2 2 3 2 2 3 2" xfId="12462"/>
    <cellStyle name="Heading 1 2 2 3 2 2 3 2 2" xfId="12463"/>
    <cellStyle name="Heading 1 2 2 3 2 2 3 2 2 2" xfId="12464"/>
    <cellStyle name="Heading 1 2 2 3 2 2 3 2 3" xfId="12465"/>
    <cellStyle name="Heading 1 2 2 3 2 2 3 3" xfId="12466"/>
    <cellStyle name="Heading 1 2 2 3 2 2 3 3 2" xfId="12467"/>
    <cellStyle name="Heading 1 2 2 3 2 2 3 3 2 2" xfId="12468"/>
    <cellStyle name="Heading 1 2 2 3 2 2 3 3 3" xfId="12469"/>
    <cellStyle name="Heading 1 2 2 3 2 2 3 4" xfId="12470"/>
    <cellStyle name="Heading 1 2 2 3 2 2 3 4 2" xfId="12471"/>
    <cellStyle name="Heading 1 2 2 3 2 2 3 4 2 2" xfId="12472"/>
    <cellStyle name="Heading 1 2 2 3 2 2 3 4 3" xfId="12473"/>
    <cellStyle name="Heading 1 2 2 3 2 2 3 5" xfId="12474"/>
    <cellStyle name="Heading 1 2 2 3 2 2 3 5 2" xfId="12475"/>
    <cellStyle name="Heading 1 2 2 3 2 2 3 5 2 2" xfId="12476"/>
    <cellStyle name="Heading 1 2 2 3 2 2 3 5 3" xfId="12477"/>
    <cellStyle name="Heading 1 2 2 3 2 2 3 6" xfId="12478"/>
    <cellStyle name="Heading 1 2 2 3 2 2 3 6 2" xfId="12479"/>
    <cellStyle name="Heading 1 2 2 3 2 2 3 6 2 2" xfId="12480"/>
    <cellStyle name="Heading 1 2 2 3 2 2 3 6 3" xfId="12481"/>
    <cellStyle name="Heading 1 2 2 3 2 2 3 7" xfId="12482"/>
    <cellStyle name="Heading 1 2 2 3 2 2 3 7 2" xfId="12483"/>
    <cellStyle name="Heading 1 2 2 3 2 2 3 7 2 2" xfId="12484"/>
    <cellStyle name="Heading 1 2 2 3 2 2 3 7 3" xfId="12485"/>
    <cellStyle name="Heading 1 2 2 3 2 2 3 8" xfId="12486"/>
    <cellStyle name="Heading 1 2 2 3 2 2 3 8 2" xfId="12487"/>
    <cellStyle name="Heading 1 2 2 3 2 2 3 9" xfId="12488"/>
    <cellStyle name="Heading 1 2 2 3 2 2 4" xfId="12489"/>
    <cellStyle name="Heading 1 2 2 3 2 2 4 2" xfId="12490"/>
    <cellStyle name="Heading 1 2 2 3 2 2 4 2 2" xfId="12491"/>
    <cellStyle name="Heading 1 2 2 3 2 2 4 2 2 2" xfId="12492"/>
    <cellStyle name="Heading 1 2 2 3 2 2 4 2 3" xfId="12493"/>
    <cellStyle name="Heading 1 2 2 3 2 2 4 3" xfId="12494"/>
    <cellStyle name="Heading 1 2 2 3 2 2 4 3 2" xfId="12495"/>
    <cellStyle name="Heading 1 2 2 3 2 2 4 3 2 2" xfId="12496"/>
    <cellStyle name="Heading 1 2 2 3 2 2 4 3 3" xfId="12497"/>
    <cellStyle name="Heading 1 2 2 3 2 2 4 4" xfId="12498"/>
    <cellStyle name="Heading 1 2 2 3 2 2 4 4 2" xfId="12499"/>
    <cellStyle name="Heading 1 2 2 3 2 2 4 4 2 2" xfId="12500"/>
    <cellStyle name="Heading 1 2 2 3 2 2 4 4 3" xfId="12501"/>
    <cellStyle name="Heading 1 2 2 3 2 2 4 5" xfId="12502"/>
    <cellStyle name="Heading 1 2 2 3 2 2 4 5 2" xfId="12503"/>
    <cellStyle name="Heading 1 2 2 3 2 2 4 5 2 2" xfId="12504"/>
    <cellStyle name="Heading 1 2 2 3 2 2 4 5 3" xfId="12505"/>
    <cellStyle name="Heading 1 2 2 3 2 2 4 6" xfId="12506"/>
    <cellStyle name="Heading 1 2 2 3 2 2 4 6 2" xfId="12507"/>
    <cellStyle name="Heading 1 2 2 3 2 2 4 6 2 2" xfId="12508"/>
    <cellStyle name="Heading 1 2 2 3 2 2 4 6 3" xfId="12509"/>
    <cellStyle name="Heading 1 2 2 3 2 2 4 7" xfId="12510"/>
    <cellStyle name="Heading 1 2 2 3 2 2 4 7 2" xfId="12511"/>
    <cellStyle name="Heading 1 2 2 3 2 2 4 7 2 2" xfId="12512"/>
    <cellStyle name="Heading 1 2 2 3 2 2 4 7 3" xfId="12513"/>
    <cellStyle name="Heading 1 2 2 3 2 2 4 8" xfId="12514"/>
    <cellStyle name="Heading 1 2 2 3 2 2 4 8 2" xfId="12515"/>
    <cellStyle name="Heading 1 2 2 3 2 2 4 9" xfId="12516"/>
    <cellStyle name="Heading 1 2 2 3 2 2 5" xfId="12517"/>
    <cellStyle name="Heading 1 2 2 3 2 2 5 2" xfId="12518"/>
    <cellStyle name="Heading 1 2 2 3 2 2 5 2 2" xfId="12519"/>
    <cellStyle name="Heading 1 2 2 3 2 2 5 2 2 2" xfId="12520"/>
    <cellStyle name="Heading 1 2 2 3 2 2 5 2 3" xfId="12521"/>
    <cellStyle name="Heading 1 2 2 3 2 2 5 3" xfId="12522"/>
    <cellStyle name="Heading 1 2 2 3 2 2 5 3 2" xfId="12523"/>
    <cellStyle name="Heading 1 2 2 3 2 2 5 3 2 2" xfId="12524"/>
    <cellStyle name="Heading 1 2 2 3 2 2 5 3 3" xfId="12525"/>
    <cellStyle name="Heading 1 2 2 3 2 2 5 4" xfId="12526"/>
    <cellStyle name="Heading 1 2 2 3 2 2 5 4 2" xfId="12527"/>
    <cellStyle name="Heading 1 2 2 3 2 2 5 4 2 2" xfId="12528"/>
    <cellStyle name="Heading 1 2 2 3 2 2 5 4 3" xfId="12529"/>
    <cellStyle name="Heading 1 2 2 3 2 2 5 5" xfId="12530"/>
    <cellStyle name="Heading 1 2 2 3 2 2 5 5 2" xfId="12531"/>
    <cellStyle name="Heading 1 2 2 3 2 2 5 5 2 2" xfId="12532"/>
    <cellStyle name="Heading 1 2 2 3 2 2 5 5 3" xfId="12533"/>
    <cellStyle name="Heading 1 2 2 3 2 2 5 6" xfId="12534"/>
    <cellStyle name="Heading 1 2 2 3 2 2 5 6 2" xfId="12535"/>
    <cellStyle name="Heading 1 2 2 3 2 2 5 6 2 2" xfId="12536"/>
    <cellStyle name="Heading 1 2 2 3 2 2 5 6 3" xfId="12537"/>
    <cellStyle name="Heading 1 2 2 3 2 2 5 7" xfId="12538"/>
    <cellStyle name="Heading 1 2 2 3 2 2 5 7 2" xfId="12539"/>
    <cellStyle name="Heading 1 2 2 3 2 2 5 7 2 2" xfId="12540"/>
    <cellStyle name="Heading 1 2 2 3 2 2 5 7 3" xfId="12541"/>
    <cellStyle name="Heading 1 2 2 3 2 2 5 8" xfId="12542"/>
    <cellStyle name="Heading 1 2 2 3 2 2 5 8 2" xfId="12543"/>
    <cellStyle name="Heading 1 2 2 3 2 2 5 9" xfId="12544"/>
    <cellStyle name="Heading 1 2 2 3 2 2 6" xfId="12545"/>
    <cellStyle name="Heading 1 2 2 3 2 2 6 2" xfId="12546"/>
    <cellStyle name="Heading 1 2 2 3 2 2 6 2 2" xfId="12547"/>
    <cellStyle name="Heading 1 2 2 3 2 2 6 2 2 2" xfId="12548"/>
    <cellStyle name="Heading 1 2 2 3 2 2 6 2 3" xfId="12549"/>
    <cellStyle name="Heading 1 2 2 3 2 2 6 3" xfId="12550"/>
    <cellStyle name="Heading 1 2 2 3 2 2 6 3 2" xfId="12551"/>
    <cellStyle name="Heading 1 2 2 3 2 2 6 3 2 2" xfId="12552"/>
    <cellStyle name="Heading 1 2 2 3 2 2 6 3 3" xfId="12553"/>
    <cellStyle name="Heading 1 2 2 3 2 2 6 4" xfId="12554"/>
    <cellStyle name="Heading 1 2 2 3 2 2 6 4 2" xfId="12555"/>
    <cellStyle name="Heading 1 2 2 3 2 2 6 4 2 2" xfId="12556"/>
    <cellStyle name="Heading 1 2 2 3 2 2 6 4 3" xfId="12557"/>
    <cellStyle name="Heading 1 2 2 3 2 2 6 5" xfId="12558"/>
    <cellStyle name="Heading 1 2 2 3 2 2 6 5 2" xfId="12559"/>
    <cellStyle name="Heading 1 2 2 3 2 2 6 5 2 2" xfId="12560"/>
    <cellStyle name="Heading 1 2 2 3 2 2 6 5 3" xfId="12561"/>
    <cellStyle name="Heading 1 2 2 3 2 2 6 6" xfId="12562"/>
    <cellStyle name="Heading 1 2 2 3 2 2 6 6 2" xfId="12563"/>
    <cellStyle name="Heading 1 2 2 3 2 2 6 6 2 2" xfId="12564"/>
    <cellStyle name="Heading 1 2 2 3 2 2 6 6 3" xfId="12565"/>
    <cellStyle name="Heading 1 2 2 3 2 2 6 7" xfId="12566"/>
    <cellStyle name="Heading 1 2 2 3 2 2 6 7 2" xfId="12567"/>
    <cellStyle name="Heading 1 2 2 3 2 2 6 7 2 2" xfId="12568"/>
    <cellStyle name="Heading 1 2 2 3 2 2 6 7 3" xfId="12569"/>
    <cellStyle name="Heading 1 2 2 3 2 2 6 8" xfId="12570"/>
    <cellStyle name="Heading 1 2 2 3 2 2 6 8 2" xfId="12571"/>
    <cellStyle name="Heading 1 2 2 3 2 2 6 9" xfId="12572"/>
    <cellStyle name="Heading 1 2 2 3 2 2 7" xfId="12573"/>
    <cellStyle name="Heading 1 2 2 3 2 2 7 2" xfId="12574"/>
    <cellStyle name="Heading 1 2 2 3 2 2 7 2 2" xfId="12575"/>
    <cellStyle name="Heading 1 2 2 3 2 2 7 2 2 2" xfId="12576"/>
    <cellStyle name="Heading 1 2 2 3 2 2 7 2 3" xfId="12577"/>
    <cellStyle name="Heading 1 2 2 3 2 2 7 3" xfId="12578"/>
    <cellStyle name="Heading 1 2 2 3 2 2 7 3 2" xfId="12579"/>
    <cellStyle name="Heading 1 2 2 3 2 2 7 3 2 2" xfId="12580"/>
    <cellStyle name="Heading 1 2 2 3 2 2 7 3 3" xfId="12581"/>
    <cellStyle name="Heading 1 2 2 3 2 2 7 4" xfId="12582"/>
    <cellStyle name="Heading 1 2 2 3 2 2 7 4 2" xfId="12583"/>
    <cellStyle name="Heading 1 2 2 3 2 2 7 4 2 2" xfId="12584"/>
    <cellStyle name="Heading 1 2 2 3 2 2 7 4 3" xfId="12585"/>
    <cellStyle name="Heading 1 2 2 3 2 2 7 5" xfId="12586"/>
    <cellStyle name="Heading 1 2 2 3 2 2 7 5 2" xfId="12587"/>
    <cellStyle name="Heading 1 2 2 3 2 2 7 5 2 2" xfId="12588"/>
    <cellStyle name="Heading 1 2 2 3 2 2 7 5 3" xfId="12589"/>
    <cellStyle name="Heading 1 2 2 3 2 2 7 6" xfId="12590"/>
    <cellStyle name="Heading 1 2 2 3 2 2 7 6 2" xfId="12591"/>
    <cellStyle name="Heading 1 2 2 3 2 2 7 6 2 2" xfId="12592"/>
    <cellStyle name="Heading 1 2 2 3 2 2 7 6 3" xfId="12593"/>
    <cellStyle name="Heading 1 2 2 3 2 2 7 7" xfId="12594"/>
    <cellStyle name="Heading 1 2 2 3 2 2 7 7 2" xfId="12595"/>
    <cellStyle name="Heading 1 2 2 3 2 2 7 7 2 2" xfId="12596"/>
    <cellStyle name="Heading 1 2 2 3 2 2 7 7 3" xfId="12597"/>
    <cellStyle name="Heading 1 2 2 3 2 2 7 8" xfId="12598"/>
    <cellStyle name="Heading 1 2 2 3 2 2 7 8 2" xfId="12599"/>
    <cellStyle name="Heading 1 2 2 3 2 2 7 9" xfId="12600"/>
    <cellStyle name="Heading 1 2 2 3 2 2 8" xfId="12601"/>
    <cellStyle name="Heading 1 2 2 3 2 2 8 2" xfId="12602"/>
    <cellStyle name="Heading 1 2 2 3 2 2 8 2 2" xfId="12603"/>
    <cellStyle name="Heading 1 2 2 3 2 2 8 2 2 2" xfId="12604"/>
    <cellStyle name="Heading 1 2 2 3 2 2 8 2 3" xfId="12605"/>
    <cellStyle name="Heading 1 2 2 3 2 2 8 3" xfId="12606"/>
    <cellStyle name="Heading 1 2 2 3 2 2 8 3 2" xfId="12607"/>
    <cellStyle name="Heading 1 2 2 3 2 2 8 3 2 2" xfId="12608"/>
    <cellStyle name="Heading 1 2 2 3 2 2 8 3 3" xfId="12609"/>
    <cellStyle name="Heading 1 2 2 3 2 2 8 4" xfId="12610"/>
    <cellStyle name="Heading 1 2 2 3 2 2 8 4 2" xfId="12611"/>
    <cellStyle name="Heading 1 2 2 3 2 2 8 4 2 2" xfId="12612"/>
    <cellStyle name="Heading 1 2 2 3 2 2 8 4 3" xfId="12613"/>
    <cellStyle name="Heading 1 2 2 3 2 2 8 5" xfId="12614"/>
    <cellStyle name="Heading 1 2 2 3 2 2 8 5 2" xfId="12615"/>
    <cellStyle name="Heading 1 2 2 3 2 2 8 5 2 2" xfId="12616"/>
    <cellStyle name="Heading 1 2 2 3 2 2 8 5 3" xfId="12617"/>
    <cellStyle name="Heading 1 2 2 3 2 2 8 6" xfId="12618"/>
    <cellStyle name="Heading 1 2 2 3 2 2 8 6 2" xfId="12619"/>
    <cellStyle name="Heading 1 2 2 3 2 2 8 6 2 2" xfId="12620"/>
    <cellStyle name="Heading 1 2 2 3 2 2 8 6 3" xfId="12621"/>
    <cellStyle name="Heading 1 2 2 3 2 2 8 7" xfId="12622"/>
    <cellStyle name="Heading 1 2 2 3 2 2 8 7 2" xfId="12623"/>
    <cellStyle name="Heading 1 2 2 3 2 2 8 7 2 2" xfId="12624"/>
    <cellStyle name="Heading 1 2 2 3 2 2 8 7 3" xfId="12625"/>
    <cellStyle name="Heading 1 2 2 3 2 2 8 8" xfId="12626"/>
    <cellStyle name="Heading 1 2 2 3 2 2 8 8 2" xfId="12627"/>
    <cellStyle name="Heading 1 2 2 3 2 2 8 9" xfId="12628"/>
    <cellStyle name="Heading 1 2 2 3 2 2 9" xfId="12629"/>
    <cellStyle name="Heading 1 2 2 3 2 2 9 2" xfId="12630"/>
    <cellStyle name="Heading 1 2 2 3 2 2 9 2 2" xfId="12631"/>
    <cellStyle name="Heading 1 2 2 3 2 2 9 3" xfId="12632"/>
    <cellStyle name="Heading 1 2 2 3 2 20" xfId="12633"/>
    <cellStyle name="Heading 1 2 2 3 2 20 2" xfId="12634"/>
    <cellStyle name="Heading 1 2 2 3 2 21" xfId="12635"/>
    <cellStyle name="Heading 1 2 2 3 2 21 2" xfId="12636"/>
    <cellStyle name="Heading 1 2 2 3 2 22" xfId="12637"/>
    <cellStyle name="Heading 1 2 2 3 2 22 2" xfId="12638"/>
    <cellStyle name="Heading 1 2 2 3 2 23" xfId="12639"/>
    <cellStyle name="Heading 1 2 2 3 2 3" xfId="12640"/>
    <cellStyle name="Heading 1 2 2 3 2 3 2" xfId="12641"/>
    <cellStyle name="Heading 1 2 2 3 2 3 2 2" xfId="12642"/>
    <cellStyle name="Heading 1 2 2 3 2 3 2 2 2" xfId="12643"/>
    <cellStyle name="Heading 1 2 2 3 2 3 2 3" xfId="12644"/>
    <cellStyle name="Heading 1 2 2 3 2 3 3" xfId="12645"/>
    <cellStyle name="Heading 1 2 2 3 2 3 3 2" xfId="12646"/>
    <cellStyle name="Heading 1 2 2 3 2 3 3 2 2" xfId="12647"/>
    <cellStyle name="Heading 1 2 2 3 2 3 3 3" xfId="12648"/>
    <cellStyle name="Heading 1 2 2 3 2 3 4" xfId="12649"/>
    <cellStyle name="Heading 1 2 2 3 2 3 4 2" xfId="12650"/>
    <cellStyle name="Heading 1 2 2 3 2 3 4 2 2" xfId="12651"/>
    <cellStyle name="Heading 1 2 2 3 2 3 4 3" xfId="12652"/>
    <cellStyle name="Heading 1 2 2 3 2 3 5" xfId="12653"/>
    <cellStyle name="Heading 1 2 2 3 2 3 5 2" xfId="12654"/>
    <cellStyle name="Heading 1 2 2 3 2 3 5 2 2" xfId="12655"/>
    <cellStyle name="Heading 1 2 2 3 2 3 5 3" xfId="12656"/>
    <cellStyle name="Heading 1 2 2 3 2 3 6" xfId="12657"/>
    <cellStyle name="Heading 1 2 2 3 2 3 6 2" xfId="12658"/>
    <cellStyle name="Heading 1 2 2 3 2 3 6 2 2" xfId="12659"/>
    <cellStyle name="Heading 1 2 2 3 2 3 6 3" xfId="12660"/>
    <cellStyle name="Heading 1 2 2 3 2 3 7" xfId="12661"/>
    <cellStyle name="Heading 1 2 2 3 2 3 7 2" xfId="12662"/>
    <cellStyle name="Heading 1 2 2 3 2 3 7 2 2" xfId="12663"/>
    <cellStyle name="Heading 1 2 2 3 2 3 7 3" xfId="12664"/>
    <cellStyle name="Heading 1 2 2 3 2 3 8" xfId="12665"/>
    <cellStyle name="Heading 1 2 2 3 2 3 8 2" xfId="12666"/>
    <cellStyle name="Heading 1 2 2 3 2 3 9" xfId="12667"/>
    <cellStyle name="Heading 1 2 2 3 2 4" xfId="12668"/>
    <cellStyle name="Heading 1 2 2 3 2 4 2" xfId="12669"/>
    <cellStyle name="Heading 1 2 2 3 2 4 2 2" xfId="12670"/>
    <cellStyle name="Heading 1 2 2 3 2 4 2 2 2" xfId="12671"/>
    <cellStyle name="Heading 1 2 2 3 2 4 2 3" xfId="12672"/>
    <cellStyle name="Heading 1 2 2 3 2 4 3" xfId="12673"/>
    <cellStyle name="Heading 1 2 2 3 2 4 3 2" xfId="12674"/>
    <cellStyle name="Heading 1 2 2 3 2 4 3 2 2" xfId="12675"/>
    <cellStyle name="Heading 1 2 2 3 2 4 3 3" xfId="12676"/>
    <cellStyle name="Heading 1 2 2 3 2 4 4" xfId="12677"/>
    <cellStyle name="Heading 1 2 2 3 2 4 4 2" xfId="12678"/>
    <cellStyle name="Heading 1 2 2 3 2 4 4 2 2" xfId="12679"/>
    <cellStyle name="Heading 1 2 2 3 2 4 4 3" xfId="12680"/>
    <cellStyle name="Heading 1 2 2 3 2 4 5" xfId="12681"/>
    <cellStyle name="Heading 1 2 2 3 2 4 5 2" xfId="12682"/>
    <cellStyle name="Heading 1 2 2 3 2 4 5 2 2" xfId="12683"/>
    <cellStyle name="Heading 1 2 2 3 2 4 5 3" xfId="12684"/>
    <cellStyle name="Heading 1 2 2 3 2 4 6" xfId="12685"/>
    <cellStyle name="Heading 1 2 2 3 2 4 6 2" xfId="12686"/>
    <cellStyle name="Heading 1 2 2 3 2 4 6 2 2" xfId="12687"/>
    <cellStyle name="Heading 1 2 2 3 2 4 6 3" xfId="12688"/>
    <cellStyle name="Heading 1 2 2 3 2 4 7" xfId="12689"/>
    <cellStyle name="Heading 1 2 2 3 2 4 7 2" xfId="12690"/>
    <cellStyle name="Heading 1 2 2 3 2 4 7 2 2" xfId="12691"/>
    <cellStyle name="Heading 1 2 2 3 2 4 7 3" xfId="12692"/>
    <cellStyle name="Heading 1 2 2 3 2 4 8" xfId="12693"/>
    <cellStyle name="Heading 1 2 2 3 2 4 8 2" xfId="12694"/>
    <cellStyle name="Heading 1 2 2 3 2 4 9" xfId="12695"/>
    <cellStyle name="Heading 1 2 2 3 2 5" xfId="12696"/>
    <cellStyle name="Heading 1 2 2 3 2 5 2" xfId="12697"/>
    <cellStyle name="Heading 1 2 2 3 2 5 2 2" xfId="12698"/>
    <cellStyle name="Heading 1 2 2 3 2 5 2 2 2" xfId="12699"/>
    <cellStyle name="Heading 1 2 2 3 2 5 2 3" xfId="12700"/>
    <cellStyle name="Heading 1 2 2 3 2 5 3" xfId="12701"/>
    <cellStyle name="Heading 1 2 2 3 2 5 3 2" xfId="12702"/>
    <cellStyle name="Heading 1 2 2 3 2 5 3 2 2" xfId="12703"/>
    <cellStyle name="Heading 1 2 2 3 2 5 3 3" xfId="12704"/>
    <cellStyle name="Heading 1 2 2 3 2 5 4" xfId="12705"/>
    <cellStyle name="Heading 1 2 2 3 2 5 4 2" xfId="12706"/>
    <cellStyle name="Heading 1 2 2 3 2 5 4 2 2" xfId="12707"/>
    <cellStyle name="Heading 1 2 2 3 2 5 4 3" xfId="12708"/>
    <cellStyle name="Heading 1 2 2 3 2 5 5" xfId="12709"/>
    <cellStyle name="Heading 1 2 2 3 2 5 5 2" xfId="12710"/>
    <cellStyle name="Heading 1 2 2 3 2 5 5 2 2" xfId="12711"/>
    <cellStyle name="Heading 1 2 2 3 2 5 5 3" xfId="12712"/>
    <cellStyle name="Heading 1 2 2 3 2 5 6" xfId="12713"/>
    <cellStyle name="Heading 1 2 2 3 2 5 6 2" xfId="12714"/>
    <cellStyle name="Heading 1 2 2 3 2 5 6 2 2" xfId="12715"/>
    <cellStyle name="Heading 1 2 2 3 2 5 6 3" xfId="12716"/>
    <cellStyle name="Heading 1 2 2 3 2 5 7" xfId="12717"/>
    <cellStyle name="Heading 1 2 2 3 2 5 7 2" xfId="12718"/>
    <cellStyle name="Heading 1 2 2 3 2 5 7 2 2" xfId="12719"/>
    <cellStyle name="Heading 1 2 2 3 2 5 7 3" xfId="12720"/>
    <cellStyle name="Heading 1 2 2 3 2 5 8" xfId="12721"/>
    <cellStyle name="Heading 1 2 2 3 2 5 8 2" xfId="12722"/>
    <cellStyle name="Heading 1 2 2 3 2 5 9" xfId="12723"/>
    <cellStyle name="Heading 1 2 2 3 2 6" xfId="12724"/>
    <cellStyle name="Heading 1 2 2 3 2 6 2" xfId="12725"/>
    <cellStyle name="Heading 1 2 2 3 2 6 2 2" xfId="12726"/>
    <cellStyle name="Heading 1 2 2 3 2 6 2 2 2" xfId="12727"/>
    <cellStyle name="Heading 1 2 2 3 2 6 2 3" xfId="12728"/>
    <cellStyle name="Heading 1 2 2 3 2 6 3" xfId="12729"/>
    <cellStyle name="Heading 1 2 2 3 2 6 3 2" xfId="12730"/>
    <cellStyle name="Heading 1 2 2 3 2 6 3 2 2" xfId="12731"/>
    <cellStyle name="Heading 1 2 2 3 2 6 3 3" xfId="12732"/>
    <cellStyle name="Heading 1 2 2 3 2 6 4" xfId="12733"/>
    <cellStyle name="Heading 1 2 2 3 2 6 4 2" xfId="12734"/>
    <cellStyle name="Heading 1 2 2 3 2 6 4 2 2" xfId="12735"/>
    <cellStyle name="Heading 1 2 2 3 2 6 4 3" xfId="12736"/>
    <cellStyle name="Heading 1 2 2 3 2 6 5" xfId="12737"/>
    <cellStyle name="Heading 1 2 2 3 2 6 5 2" xfId="12738"/>
    <cellStyle name="Heading 1 2 2 3 2 6 5 2 2" xfId="12739"/>
    <cellStyle name="Heading 1 2 2 3 2 6 5 3" xfId="12740"/>
    <cellStyle name="Heading 1 2 2 3 2 6 6" xfId="12741"/>
    <cellStyle name="Heading 1 2 2 3 2 6 6 2" xfId="12742"/>
    <cellStyle name="Heading 1 2 2 3 2 6 6 2 2" xfId="12743"/>
    <cellStyle name="Heading 1 2 2 3 2 6 6 3" xfId="12744"/>
    <cellStyle name="Heading 1 2 2 3 2 6 7" xfId="12745"/>
    <cellStyle name="Heading 1 2 2 3 2 6 7 2" xfId="12746"/>
    <cellStyle name="Heading 1 2 2 3 2 6 7 2 2" xfId="12747"/>
    <cellStyle name="Heading 1 2 2 3 2 6 7 3" xfId="12748"/>
    <cellStyle name="Heading 1 2 2 3 2 6 8" xfId="12749"/>
    <cellStyle name="Heading 1 2 2 3 2 6 8 2" xfId="12750"/>
    <cellStyle name="Heading 1 2 2 3 2 6 9" xfId="12751"/>
    <cellStyle name="Heading 1 2 2 3 2 7" xfId="12752"/>
    <cellStyle name="Heading 1 2 2 3 2 7 2" xfId="12753"/>
    <cellStyle name="Heading 1 2 2 3 2 7 2 2" xfId="12754"/>
    <cellStyle name="Heading 1 2 2 3 2 7 2 2 2" xfId="12755"/>
    <cellStyle name="Heading 1 2 2 3 2 7 2 3" xfId="12756"/>
    <cellStyle name="Heading 1 2 2 3 2 7 3" xfId="12757"/>
    <cellStyle name="Heading 1 2 2 3 2 7 3 2" xfId="12758"/>
    <cellStyle name="Heading 1 2 2 3 2 7 3 2 2" xfId="12759"/>
    <cellStyle name="Heading 1 2 2 3 2 7 3 3" xfId="12760"/>
    <cellStyle name="Heading 1 2 2 3 2 7 4" xfId="12761"/>
    <cellStyle name="Heading 1 2 2 3 2 7 4 2" xfId="12762"/>
    <cellStyle name="Heading 1 2 2 3 2 7 4 2 2" xfId="12763"/>
    <cellStyle name="Heading 1 2 2 3 2 7 4 3" xfId="12764"/>
    <cellStyle name="Heading 1 2 2 3 2 7 5" xfId="12765"/>
    <cellStyle name="Heading 1 2 2 3 2 7 5 2" xfId="12766"/>
    <cellStyle name="Heading 1 2 2 3 2 7 5 2 2" xfId="12767"/>
    <cellStyle name="Heading 1 2 2 3 2 7 5 3" xfId="12768"/>
    <cellStyle name="Heading 1 2 2 3 2 7 6" xfId="12769"/>
    <cellStyle name="Heading 1 2 2 3 2 7 6 2" xfId="12770"/>
    <cellStyle name="Heading 1 2 2 3 2 7 6 2 2" xfId="12771"/>
    <cellStyle name="Heading 1 2 2 3 2 7 6 3" xfId="12772"/>
    <cellStyle name="Heading 1 2 2 3 2 7 7" xfId="12773"/>
    <cellStyle name="Heading 1 2 2 3 2 7 7 2" xfId="12774"/>
    <cellStyle name="Heading 1 2 2 3 2 7 7 2 2" xfId="12775"/>
    <cellStyle name="Heading 1 2 2 3 2 7 7 3" xfId="12776"/>
    <cellStyle name="Heading 1 2 2 3 2 7 8" xfId="12777"/>
    <cellStyle name="Heading 1 2 2 3 2 7 8 2" xfId="12778"/>
    <cellStyle name="Heading 1 2 2 3 2 7 9" xfId="12779"/>
    <cellStyle name="Heading 1 2 2 3 2 8" xfId="12780"/>
    <cellStyle name="Heading 1 2 2 3 2 8 2" xfId="12781"/>
    <cellStyle name="Heading 1 2 2 3 2 8 2 2" xfId="12782"/>
    <cellStyle name="Heading 1 2 2 3 2 8 2 2 2" xfId="12783"/>
    <cellStyle name="Heading 1 2 2 3 2 8 2 3" xfId="12784"/>
    <cellStyle name="Heading 1 2 2 3 2 8 3" xfId="12785"/>
    <cellStyle name="Heading 1 2 2 3 2 8 3 2" xfId="12786"/>
    <cellStyle name="Heading 1 2 2 3 2 8 3 2 2" xfId="12787"/>
    <cellStyle name="Heading 1 2 2 3 2 8 3 3" xfId="12788"/>
    <cellStyle name="Heading 1 2 2 3 2 8 4" xfId="12789"/>
    <cellStyle name="Heading 1 2 2 3 2 8 4 2" xfId="12790"/>
    <cellStyle name="Heading 1 2 2 3 2 8 4 2 2" xfId="12791"/>
    <cellStyle name="Heading 1 2 2 3 2 8 4 3" xfId="12792"/>
    <cellStyle name="Heading 1 2 2 3 2 8 5" xfId="12793"/>
    <cellStyle name="Heading 1 2 2 3 2 8 5 2" xfId="12794"/>
    <cellStyle name="Heading 1 2 2 3 2 8 5 2 2" xfId="12795"/>
    <cellStyle name="Heading 1 2 2 3 2 8 5 3" xfId="12796"/>
    <cellStyle name="Heading 1 2 2 3 2 8 6" xfId="12797"/>
    <cellStyle name="Heading 1 2 2 3 2 8 6 2" xfId="12798"/>
    <cellStyle name="Heading 1 2 2 3 2 8 6 2 2" xfId="12799"/>
    <cellStyle name="Heading 1 2 2 3 2 8 6 3" xfId="12800"/>
    <cellStyle name="Heading 1 2 2 3 2 8 7" xfId="12801"/>
    <cellStyle name="Heading 1 2 2 3 2 8 7 2" xfId="12802"/>
    <cellStyle name="Heading 1 2 2 3 2 8 7 2 2" xfId="12803"/>
    <cellStyle name="Heading 1 2 2 3 2 8 7 3" xfId="12804"/>
    <cellStyle name="Heading 1 2 2 3 2 8 8" xfId="12805"/>
    <cellStyle name="Heading 1 2 2 3 2 8 8 2" xfId="12806"/>
    <cellStyle name="Heading 1 2 2 3 2 8 9" xfId="12807"/>
    <cellStyle name="Heading 1 2 2 3 2 9" xfId="12808"/>
    <cellStyle name="Heading 1 2 2 3 2 9 2" xfId="12809"/>
    <cellStyle name="Heading 1 2 2 3 2 9 2 2" xfId="12810"/>
    <cellStyle name="Heading 1 2 2 3 2 9 2 2 2" xfId="12811"/>
    <cellStyle name="Heading 1 2 2 3 2 9 2 3" xfId="12812"/>
    <cellStyle name="Heading 1 2 2 3 2 9 3" xfId="12813"/>
    <cellStyle name="Heading 1 2 2 3 2 9 3 2" xfId="12814"/>
    <cellStyle name="Heading 1 2 2 3 2 9 3 2 2" xfId="12815"/>
    <cellStyle name="Heading 1 2 2 3 2 9 3 3" xfId="12816"/>
    <cellStyle name="Heading 1 2 2 3 2 9 4" xfId="12817"/>
    <cellStyle name="Heading 1 2 2 3 2 9 4 2" xfId="12818"/>
    <cellStyle name="Heading 1 2 2 3 2 9 4 2 2" xfId="12819"/>
    <cellStyle name="Heading 1 2 2 3 2 9 4 3" xfId="12820"/>
    <cellStyle name="Heading 1 2 2 3 2 9 5" xfId="12821"/>
    <cellStyle name="Heading 1 2 2 3 2 9 5 2" xfId="12822"/>
    <cellStyle name="Heading 1 2 2 3 2 9 5 2 2" xfId="12823"/>
    <cellStyle name="Heading 1 2 2 3 2 9 5 3" xfId="12824"/>
    <cellStyle name="Heading 1 2 2 3 2 9 6" xfId="12825"/>
    <cellStyle name="Heading 1 2 2 3 2 9 6 2" xfId="12826"/>
    <cellStyle name="Heading 1 2 2 3 2 9 6 2 2" xfId="12827"/>
    <cellStyle name="Heading 1 2 2 3 2 9 6 3" xfId="12828"/>
    <cellStyle name="Heading 1 2 2 3 2 9 7" xfId="12829"/>
    <cellStyle name="Heading 1 2 2 3 2 9 7 2" xfId="12830"/>
    <cellStyle name="Heading 1 2 2 3 2 9 7 2 2" xfId="12831"/>
    <cellStyle name="Heading 1 2 2 3 2 9 7 3" xfId="12832"/>
    <cellStyle name="Heading 1 2 2 3 2 9 8" xfId="12833"/>
    <cellStyle name="Heading 1 2 2 3 2 9 8 2" xfId="12834"/>
    <cellStyle name="Heading 1 2 2 3 2 9 9" xfId="12835"/>
    <cellStyle name="Heading 1 2 2 3 3" xfId="12836"/>
    <cellStyle name="Heading 1 2 2 3 3 10" xfId="12837"/>
    <cellStyle name="Heading 1 2 2 3 3 10 2" xfId="12838"/>
    <cellStyle name="Heading 1 2 2 3 3 10 2 2" xfId="12839"/>
    <cellStyle name="Heading 1 2 2 3 3 10 3" xfId="12840"/>
    <cellStyle name="Heading 1 2 2 3 3 11" xfId="12841"/>
    <cellStyle name="Heading 1 2 2 3 3 11 2" xfId="12842"/>
    <cellStyle name="Heading 1 2 2 3 3 11 2 2" xfId="12843"/>
    <cellStyle name="Heading 1 2 2 3 3 11 3" xfId="12844"/>
    <cellStyle name="Heading 1 2 2 3 3 12" xfId="12845"/>
    <cellStyle name="Heading 1 2 2 3 3 12 2" xfId="12846"/>
    <cellStyle name="Heading 1 2 2 3 3 12 2 2" xfId="12847"/>
    <cellStyle name="Heading 1 2 2 3 3 12 3" xfId="12848"/>
    <cellStyle name="Heading 1 2 2 3 3 13" xfId="12849"/>
    <cellStyle name="Heading 1 2 2 3 3 13 2" xfId="12850"/>
    <cellStyle name="Heading 1 2 2 3 3 13 2 2" xfId="12851"/>
    <cellStyle name="Heading 1 2 2 3 3 13 3" xfId="12852"/>
    <cellStyle name="Heading 1 2 2 3 3 14" xfId="12853"/>
    <cellStyle name="Heading 1 2 2 3 3 14 2" xfId="12854"/>
    <cellStyle name="Heading 1 2 2 3 3 14 2 2" xfId="12855"/>
    <cellStyle name="Heading 1 2 2 3 3 14 3" xfId="12856"/>
    <cellStyle name="Heading 1 2 2 3 3 15" xfId="12857"/>
    <cellStyle name="Heading 1 2 2 3 3 15 2" xfId="12858"/>
    <cellStyle name="Heading 1 2 2 3 3 15 2 2" xfId="12859"/>
    <cellStyle name="Heading 1 2 2 3 3 15 3" xfId="12860"/>
    <cellStyle name="Heading 1 2 2 3 3 16" xfId="12861"/>
    <cellStyle name="Heading 1 2 2 3 3 16 2" xfId="12862"/>
    <cellStyle name="Heading 1 2 2 3 3 16 2 2" xfId="12863"/>
    <cellStyle name="Heading 1 2 2 3 3 16 3" xfId="12864"/>
    <cellStyle name="Heading 1 2 2 3 3 17" xfId="12865"/>
    <cellStyle name="Heading 1 2 2 3 3 17 2" xfId="12866"/>
    <cellStyle name="Heading 1 2 2 3 3 17 2 2" xfId="12867"/>
    <cellStyle name="Heading 1 2 2 3 3 17 3" xfId="12868"/>
    <cellStyle name="Heading 1 2 2 3 3 18" xfId="12869"/>
    <cellStyle name="Heading 1 2 2 3 3 18 2" xfId="12870"/>
    <cellStyle name="Heading 1 2 2 3 3 18 2 2" xfId="12871"/>
    <cellStyle name="Heading 1 2 2 3 3 18 3" xfId="12872"/>
    <cellStyle name="Heading 1 2 2 3 3 19" xfId="12873"/>
    <cellStyle name="Heading 1 2 2 3 3 19 2" xfId="12874"/>
    <cellStyle name="Heading 1 2 2 3 3 2" xfId="12875"/>
    <cellStyle name="Heading 1 2 2 3 3 2 2" xfId="12876"/>
    <cellStyle name="Heading 1 2 2 3 3 2 2 2" xfId="12877"/>
    <cellStyle name="Heading 1 2 2 3 3 2 2 2 2" xfId="12878"/>
    <cellStyle name="Heading 1 2 2 3 3 2 2 3" xfId="12879"/>
    <cellStyle name="Heading 1 2 2 3 3 2 3" xfId="12880"/>
    <cellStyle name="Heading 1 2 2 3 3 2 3 2" xfId="12881"/>
    <cellStyle name="Heading 1 2 2 3 3 2 3 2 2" xfId="12882"/>
    <cellStyle name="Heading 1 2 2 3 3 2 3 3" xfId="12883"/>
    <cellStyle name="Heading 1 2 2 3 3 2 4" xfId="12884"/>
    <cellStyle name="Heading 1 2 2 3 3 2 4 2" xfId="12885"/>
    <cellStyle name="Heading 1 2 2 3 3 2 4 2 2" xfId="12886"/>
    <cellStyle name="Heading 1 2 2 3 3 2 4 3" xfId="12887"/>
    <cellStyle name="Heading 1 2 2 3 3 2 5" xfId="12888"/>
    <cellStyle name="Heading 1 2 2 3 3 2 5 2" xfId="12889"/>
    <cellStyle name="Heading 1 2 2 3 3 2 5 2 2" xfId="12890"/>
    <cellStyle name="Heading 1 2 2 3 3 2 5 3" xfId="12891"/>
    <cellStyle name="Heading 1 2 2 3 3 2 6" xfId="12892"/>
    <cellStyle name="Heading 1 2 2 3 3 2 6 2" xfId="12893"/>
    <cellStyle name="Heading 1 2 2 3 3 2 6 2 2" xfId="12894"/>
    <cellStyle name="Heading 1 2 2 3 3 2 6 3" xfId="12895"/>
    <cellStyle name="Heading 1 2 2 3 3 2 7" xfId="12896"/>
    <cellStyle name="Heading 1 2 2 3 3 2 7 2" xfId="12897"/>
    <cellStyle name="Heading 1 2 2 3 3 2 7 2 2" xfId="12898"/>
    <cellStyle name="Heading 1 2 2 3 3 2 7 3" xfId="12899"/>
    <cellStyle name="Heading 1 2 2 3 3 2 8" xfId="12900"/>
    <cellStyle name="Heading 1 2 2 3 3 2 8 2" xfId="12901"/>
    <cellStyle name="Heading 1 2 2 3 3 2 9" xfId="12902"/>
    <cellStyle name="Heading 1 2 2 3 3 20" xfId="12903"/>
    <cellStyle name="Heading 1 2 2 3 3 20 2" xfId="12904"/>
    <cellStyle name="Heading 1 2 2 3 3 21" xfId="12905"/>
    <cellStyle name="Heading 1 2 2 3 3 21 2" xfId="12906"/>
    <cellStyle name="Heading 1 2 2 3 3 22" xfId="12907"/>
    <cellStyle name="Heading 1 2 2 3 3 3" xfId="12908"/>
    <cellStyle name="Heading 1 2 2 3 3 3 2" xfId="12909"/>
    <cellStyle name="Heading 1 2 2 3 3 3 2 2" xfId="12910"/>
    <cellStyle name="Heading 1 2 2 3 3 3 2 2 2" xfId="12911"/>
    <cellStyle name="Heading 1 2 2 3 3 3 2 3" xfId="12912"/>
    <cellStyle name="Heading 1 2 2 3 3 3 3" xfId="12913"/>
    <cellStyle name="Heading 1 2 2 3 3 3 3 2" xfId="12914"/>
    <cellStyle name="Heading 1 2 2 3 3 3 3 2 2" xfId="12915"/>
    <cellStyle name="Heading 1 2 2 3 3 3 3 3" xfId="12916"/>
    <cellStyle name="Heading 1 2 2 3 3 3 4" xfId="12917"/>
    <cellStyle name="Heading 1 2 2 3 3 3 4 2" xfId="12918"/>
    <cellStyle name="Heading 1 2 2 3 3 3 4 2 2" xfId="12919"/>
    <cellStyle name="Heading 1 2 2 3 3 3 4 3" xfId="12920"/>
    <cellStyle name="Heading 1 2 2 3 3 3 5" xfId="12921"/>
    <cellStyle name="Heading 1 2 2 3 3 3 5 2" xfId="12922"/>
    <cellStyle name="Heading 1 2 2 3 3 3 5 2 2" xfId="12923"/>
    <cellStyle name="Heading 1 2 2 3 3 3 5 3" xfId="12924"/>
    <cellStyle name="Heading 1 2 2 3 3 3 6" xfId="12925"/>
    <cellStyle name="Heading 1 2 2 3 3 3 6 2" xfId="12926"/>
    <cellStyle name="Heading 1 2 2 3 3 3 6 2 2" xfId="12927"/>
    <cellStyle name="Heading 1 2 2 3 3 3 6 3" xfId="12928"/>
    <cellStyle name="Heading 1 2 2 3 3 3 7" xfId="12929"/>
    <cellStyle name="Heading 1 2 2 3 3 3 7 2" xfId="12930"/>
    <cellStyle name="Heading 1 2 2 3 3 3 7 2 2" xfId="12931"/>
    <cellStyle name="Heading 1 2 2 3 3 3 7 3" xfId="12932"/>
    <cellStyle name="Heading 1 2 2 3 3 3 8" xfId="12933"/>
    <cellStyle name="Heading 1 2 2 3 3 3 8 2" xfId="12934"/>
    <cellStyle name="Heading 1 2 2 3 3 3 9" xfId="12935"/>
    <cellStyle name="Heading 1 2 2 3 3 4" xfId="12936"/>
    <cellStyle name="Heading 1 2 2 3 3 4 2" xfId="12937"/>
    <cellStyle name="Heading 1 2 2 3 3 4 2 2" xfId="12938"/>
    <cellStyle name="Heading 1 2 2 3 3 4 2 2 2" xfId="12939"/>
    <cellStyle name="Heading 1 2 2 3 3 4 2 3" xfId="12940"/>
    <cellStyle name="Heading 1 2 2 3 3 4 3" xfId="12941"/>
    <cellStyle name="Heading 1 2 2 3 3 4 3 2" xfId="12942"/>
    <cellStyle name="Heading 1 2 2 3 3 4 3 2 2" xfId="12943"/>
    <cellStyle name="Heading 1 2 2 3 3 4 3 3" xfId="12944"/>
    <cellStyle name="Heading 1 2 2 3 3 4 4" xfId="12945"/>
    <cellStyle name="Heading 1 2 2 3 3 4 4 2" xfId="12946"/>
    <cellStyle name="Heading 1 2 2 3 3 4 4 2 2" xfId="12947"/>
    <cellStyle name="Heading 1 2 2 3 3 4 4 3" xfId="12948"/>
    <cellStyle name="Heading 1 2 2 3 3 4 5" xfId="12949"/>
    <cellStyle name="Heading 1 2 2 3 3 4 5 2" xfId="12950"/>
    <cellStyle name="Heading 1 2 2 3 3 4 5 2 2" xfId="12951"/>
    <cellStyle name="Heading 1 2 2 3 3 4 5 3" xfId="12952"/>
    <cellStyle name="Heading 1 2 2 3 3 4 6" xfId="12953"/>
    <cellStyle name="Heading 1 2 2 3 3 4 6 2" xfId="12954"/>
    <cellStyle name="Heading 1 2 2 3 3 4 6 2 2" xfId="12955"/>
    <cellStyle name="Heading 1 2 2 3 3 4 6 3" xfId="12956"/>
    <cellStyle name="Heading 1 2 2 3 3 4 7" xfId="12957"/>
    <cellStyle name="Heading 1 2 2 3 3 4 7 2" xfId="12958"/>
    <cellStyle name="Heading 1 2 2 3 3 4 7 2 2" xfId="12959"/>
    <cellStyle name="Heading 1 2 2 3 3 4 7 3" xfId="12960"/>
    <cellStyle name="Heading 1 2 2 3 3 4 8" xfId="12961"/>
    <cellStyle name="Heading 1 2 2 3 3 4 8 2" xfId="12962"/>
    <cellStyle name="Heading 1 2 2 3 3 4 9" xfId="12963"/>
    <cellStyle name="Heading 1 2 2 3 3 5" xfId="12964"/>
    <cellStyle name="Heading 1 2 2 3 3 5 2" xfId="12965"/>
    <cellStyle name="Heading 1 2 2 3 3 5 2 2" xfId="12966"/>
    <cellStyle name="Heading 1 2 2 3 3 5 2 2 2" xfId="12967"/>
    <cellStyle name="Heading 1 2 2 3 3 5 2 3" xfId="12968"/>
    <cellStyle name="Heading 1 2 2 3 3 5 3" xfId="12969"/>
    <cellStyle name="Heading 1 2 2 3 3 5 3 2" xfId="12970"/>
    <cellStyle name="Heading 1 2 2 3 3 5 3 2 2" xfId="12971"/>
    <cellStyle name="Heading 1 2 2 3 3 5 3 3" xfId="12972"/>
    <cellStyle name="Heading 1 2 2 3 3 5 4" xfId="12973"/>
    <cellStyle name="Heading 1 2 2 3 3 5 4 2" xfId="12974"/>
    <cellStyle name="Heading 1 2 2 3 3 5 4 2 2" xfId="12975"/>
    <cellStyle name="Heading 1 2 2 3 3 5 4 3" xfId="12976"/>
    <cellStyle name="Heading 1 2 2 3 3 5 5" xfId="12977"/>
    <cellStyle name="Heading 1 2 2 3 3 5 5 2" xfId="12978"/>
    <cellStyle name="Heading 1 2 2 3 3 5 5 2 2" xfId="12979"/>
    <cellStyle name="Heading 1 2 2 3 3 5 5 3" xfId="12980"/>
    <cellStyle name="Heading 1 2 2 3 3 5 6" xfId="12981"/>
    <cellStyle name="Heading 1 2 2 3 3 5 6 2" xfId="12982"/>
    <cellStyle name="Heading 1 2 2 3 3 5 6 2 2" xfId="12983"/>
    <cellStyle name="Heading 1 2 2 3 3 5 6 3" xfId="12984"/>
    <cellStyle name="Heading 1 2 2 3 3 5 7" xfId="12985"/>
    <cellStyle name="Heading 1 2 2 3 3 5 7 2" xfId="12986"/>
    <cellStyle name="Heading 1 2 2 3 3 5 7 2 2" xfId="12987"/>
    <cellStyle name="Heading 1 2 2 3 3 5 7 3" xfId="12988"/>
    <cellStyle name="Heading 1 2 2 3 3 5 8" xfId="12989"/>
    <cellStyle name="Heading 1 2 2 3 3 5 8 2" xfId="12990"/>
    <cellStyle name="Heading 1 2 2 3 3 5 9" xfId="12991"/>
    <cellStyle name="Heading 1 2 2 3 3 6" xfId="12992"/>
    <cellStyle name="Heading 1 2 2 3 3 6 2" xfId="12993"/>
    <cellStyle name="Heading 1 2 2 3 3 6 2 2" xfId="12994"/>
    <cellStyle name="Heading 1 2 2 3 3 6 2 2 2" xfId="12995"/>
    <cellStyle name="Heading 1 2 2 3 3 6 2 3" xfId="12996"/>
    <cellStyle name="Heading 1 2 2 3 3 6 3" xfId="12997"/>
    <cellStyle name="Heading 1 2 2 3 3 6 3 2" xfId="12998"/>
    <cellStyle name="Heading 1 2 2 3 3 6 3 2 2" xfId="12999"/>
    <cellStyle name="Heading 1 2 2 3 3 6 3 3" xfId="13000"/>
    <cellStyle name="Heading 1 2 2 3 3 6 4" xfId="13001"/>
    <cellStyle name="Heading 1 2 2 3 3 6 4 2" xfId="13002"/>
    <cellStyle name="Heading 1 2 2 3 3 6 4 2 2" xfId="13003"/>
    <cellStyle name="Heading 1 2 2 3 3 6 4 3" xfId="13004"/>
    <cellStyle name="Heading 1 2 2 3 3 6 5" xfId="13005"/>
    <cellStyle name="Heading 1 2 2 3 3 6 5 2" xfId="13006"/>
    <cellStyle name="Heading 1 2 2 3 3 6 5 2 2" xfId="13007"/>
    <cellStyle name="Heading 1 2 2 3 3 6 5 3" xfId="13008"/>
    <cellStyle name="Heading 1 2 2 3 3 6 6" xfId="13009"/>
    <cellStyle name="Heading 1 2 2 3 3 6 6 2" xfId="13010"/>
    <cellStyle name="Heading 1 2 2 3 3 6 6 2 2" xfId="13011"/>
    <cellStyle name="Heading 1 2 2 3 3 6 6 3" xfId="13012"/>
    <cellStyle name="Heading 1 2 2 3 3 6 7" xfId="13013"/>
    <cellStyle name="Heading 1 2 2 3 3 6 7 2" xfId="13014"/>
    <cellStyle name="Heading 1 2 2 3 3 6 7 2 2" xfId="13015"/>
    <cellStyle name="Heading 1 2 2 3 3 6 7 3" xfId="13016"/>
    <cellStyle name="Heading 1 2 2 3 3 6 8" xfId="13017"/>
    <cellStyle name="Heading 1 2 2 3 3 6 8 2" xfId="13018"/>
    <cellStyle name="Heading 1 2 2 3 3 6 9" xfId="13019"/>
    <cellStyle name="Heading 1 2 2 3 3 7" xfId="13020"/>
    <cellStyle name="Heading 1 2 2 3 3 7 2" xfId="13021"/>
    <cellStyle name="Heading 1 2 2 3 3 7 2 2" xfId="13022"/>
    <cellStyle name="Heading 1 2 2 3 3 7 2 2 2" xfId="13023"/>
    <cellStyle name="Heading 1 2 2 3 3 7 2 3" xfId="13024"/>
    <cellStyle name="Heading 1 2 2 3 3 7 3" xfId="13025"/>
    <cellStyle name="Heading 1 2 2 3 3 7 3 2" xfId="13026"/>
    <cellStyle name="Heading 1 2 2 3 3 7 3 2 2" xfId="13027"/>
    <cellStyle name="Heading 1 2 2 3 3 7 3 3" xfId="13028"/>
    <cellStyle name="Heading 1 2 2 3 3 7 4" xfId="13029"/>
    <cellStyle name="Heading 1 2 2 3 3 7 4 2" xfId="13030"/>
    <cellStyle name="Heading 1 2 2 3 3 7 4 2 2" xfId="13031"/>
    <cellStyle name="Heading 1 2 2 3 3 7 4 3" xfId="13032"/>
    <cellStyle name="Heading 1 2 2 3 3 7 5" xfId="13033"/>
    <cellStyle name="Heading 1 2 2 3 3 7 5 2" xfId="13034"/>
    <cellStyle name="Heading 1 2 2 3 3 7 5 2 2" xfId="13035"/>
    <cellStyle name="Heading 1 2 2 3 3 7 5 3" xfId="13036"/>
    <cellStyle name="Heading 1 2 2 3 3 7 6" xfId="13037"/>
    <cellStyle name="Heading 1 2 2 3 3 7 6 2" xfId="13038"/>
    <cellStyle name="Heading 1 2 2 3 3 7 6 2 2" xfId="13039"/>
    <cellStyle name="Heading 1 2 2 3 3 7 6 3" xfId="13040"/>
    <cellStyle name="Heading 1 2 2 3 3 7 7" xfId="13041"/>
    <cellStyle name="Heading 1 2 2 3 3 7 7 2" xfId="13042"/>
    <cellStyle name="Heading 1 2 2 3 3 7 7 2 2" xfId="13043"/>
    <cellStyle name="Heading 1 2 2 3 3 7 7 3" xfId="13044"/>
    <cellStyle name="Heading 1 2 2 3 3 7 8" xfId="13045"/>
    <cellStyle name="Heading 1 2 2 3 3 7 8 2" xfId="13046"/>
    <cellStyle name="Heading 1 2 2 3 3 7 9" xfId="13047"/>
    <cellStyle name="Heading 1 2 2 3 3 8" xfId="13048"/>
    <cellStyle name="Heading 1 2 2 3 3 8 2" xfId="13049"/>
    <cellStyle name="Heading 1 2 2 3 3 8 2 2" xfId="13050"/>
    <cellStyle name="Heading 1 2 2 3 3 8 2 2 2" xfId="13051"/>
    <cellStyle name="Heading 1 2 2 3 3 8 2 3" xfId="13052"/>
    <cellStyle name="Heading 1 2 2 3 3 8 3" xfId="13053"/>
    <cellStyle name="Heading 1 2 2 3 3 8 3 2" xfId="13054"/>
    <cellStyle name="Heading 1 2 2 3 3 8 3 2 2" xfId="13055"/>
    <cellStyle name="Heading 1 2 2 3 3 8 3 3" xfId="13056"/>
    <cellStyle name="Heading 1 2 2 3 3 8 4" xfId="13057"/>
    <cellStyle name="Heading 1 2 2 3 3 8 4 2" xfId="13058"/>
    <cellStyle name="Heading 1 2 2 3 3 8 4 2 2" xfId="13059"/>
    <cellStyle name="Heading 1 2 2 3 3 8 4 3" xfId="13060"/>
    <cellStyle name="Heading 1 2 2 3 3 8 5" xfId="13061"/>
    <cellStyle name="Heading 1 2 2 3 3 8 5 2" xfId="13062"/>
    <cellStyle name="Heading 1 2 2 3 3 8 5 2 2" xfId="13063"/>
    <cellStyle name="Heading 1 2 2 3 3 8 5 3" xfId="13064"/>
    <cellStyle name="Heading 1 2 2 3 3 8 6" xfId="13065"/>
    <cellStyle name="Heading 1 2 2 3 3 8 6 2" xfId="13066"/>
    <cellStyle name="Heading 1 2 2 3 3 8 6 2 2" xfId="13067"/>
    <cellStyle name="Heading 1 2 2 3 3 8 6 3" xfId="13068"/>
    <cellStyle name="Heading 1 2 2 3 3 8 7" xfId="13069"/>
    <cellStyle name="Heading 1 2 2 3 3 8 7 2" xfId="13070"/>
    <cellStyle name="Heading 1 2 2 3 3 8 7 2 2" xfId="13071"/>
    <cellStyle name="Heading 1 2 2 3 3 8 7 3" xfId="13072"/>
    <cellStyle name="Heading 1 2 2 3 3 8 8" xfId="13073"/>
    <cellStyle name="Heading 1 2 2 3 3 8 8 2" xfId="13074"/>
    <cellStyle name="Heading 1 2 2 3 3 8 9" xfId="13075"/>
    <cellStyle name="Heading 1 2 2 3 3 9" xfId="13076"/>
    <cellStyle name="Heading 1 2 2 3 3 9 2" xfId="13077"/>
    <cellStyle name="Heading 1 2 2 3 3 9 2 2" xfId="13078"/>
    <cellStyle name="Heading 1 2 2 3 3 9 3" xfId="13079"/>
    <cellStyle name="Heading 1 2 2 3 4" xfId="13080"/>
    <cellStyle name="Heading 1 2 2 3 4 2" xfId="13081"/>
    <cellStyle name="Heading 1 2 2 3 4 2 2" xfId="13082"/>
    <cellStyle name="Heading 1 2 2 3 4 3" xfId="13083"/>
    <cellStyle name="Heading 1 2 2 3 5" xfId="13084"/>
    <cellStyle name="Heading 1 2 2 3 5 2" xfId="13085"/>
    <cellStyle name="Heading 1 2 2 3 6" xfId="13086"/>
    <cellStyle name="Heading 1 2 2 4" xfId="13087"/>
    <cellStyle name="Heading 1 2 2 4 2" xfId="13088"/>
    <cellStyle name="Heading 1 2 2 4 2 10" xfId="13089"/>
    <cellStyle name="Heading 1 2 2 4 2 10 2" xfId="13090"/>
    <cellStyle name="Heading 1 2 2 4 2 10 2 2" xfId="13091"/>
    <cellStyle name="Heading 1 2 2 4 2 10 3" xfId="13092"/>
    <cellStyle name="Heading 1 2 2 4 2 11" xfId="13093"/>
    <cellStyle name="Heading 1 2 2 4 2 11 2" xfId="13094"/>
    <cellStyle name="Heading 1 2 2 4 2 11 2 2" xfId="13095"/>
    <cellStyle name="Heading 1 2 2 4 2 11 3" xfId="13096"/>
    <cellStyle name="Heading 1 2 2 4 2 12" xfId="13097"/>
    <cellStyle name="Heading 1 2 2 4 2 12 2" xfId="13098"/>
    <cellStyle name="Heading 1 2 2 4 2 12 2 2" xfId="13099"/>
    <cellStyle name="Heading 1 2 2 4 2 12 3" xfId="13100"/>
    <cellStyle name="Heading 1 2 2 4 2 13" xfId="13101"/>
    <cellStyle name="Heading 1 2 2 4 2 13 2" xfId="13102"/>
    <cellStyle name="Heading 1 2 2 4 2 13 2 2" xfId="13103"/>
    <cellStyle name="Heading 1 2 2 4 2 13 3" xfId="13104"/>
    <cellStyle name="Heading 1 2 2 4 2 14" xfId="13105"/>
    <cellStyle name="Heading 1 2 2 4 2 14 2" xfId="13106"/>
    <cellStyle name="Heading 1 2 2 4 2 14 2 2" xfId="13107"/>
    <cellStyle name="Heading 1 2 2 4 2 14 3" xfId="13108"/>
    <cellStyle name="Heading 1 2 2 4 2 15" xfId="13109"/>
    <cellStyle name="Heading 1 2 2 4 2 15 2" xfId="13110"/>
    <cellStyle name="Heading 1 2 2 4 2 15 2 2" xfId="13111"/>
    <cellStyle name="Heading 1 2 2 4 2 15 3" xfId="13112"/>
    <cellStyle name="Heading 1 2 2 4 2 16" xfId="13113"/>
    <cellStyle name="Heading 1 2 2 4 2 16 2" xfId="13114"/>
    <cellStyle name="Heading 1 2 2 4 2 16 2 2" xfId="13115"/>
    <cellStyle name="Heading 1 2 2 4 2 16 3" xfId="13116"/>
    <cellStyle name="Heading 1 2 2 4 2 17" xfId="13117"/>
    <cellStyle name="Heading 1 2 2 4 2 17 2" xfId="13118"/>
    <cellStyle name="Heading 1 2 2 4 2 17 2 2" xfId="13119"/>
    <cellStyle name="Heading 1 2 2 4 2 17 3" xfId="13120"/>
    <cellStyle name="Heading 1 2 2 4 2 18" xfId="13121"/>
    <cellStyle name="Heading 1 2 2 4 2 18 2" xfId="13122"/>
    <cellStyle name="Heading 1 2 2 4 2 18 2 2" xfId="13123"/>
    <cellStyle name="Heading 1 2 2 4 2 18 3" xfId="13124"/>
    <cellStyle name="Heading 1 2 2 4 2 19" xfId="13125"/>
    <cellStyle name="Heading 1 2 2 4 2 19 2" xfId="13126"/>
    <cellStyle name="Heading 1 2 2 4 2 19 2 2" xfId="13127"/>
    <cellStyle name="Heading 1 2 2 4 2 19 3" xfId="13128"/>
    <cellStyle name="Heading 1 2 2 4 2 2" xfId="13129"/>
    <cellStyle name="Heading 1 2 2 4 2 2 10" xfId="13130"/>
    <cellStyle name="Heading 1 2 2 4 2 2 10 2" xfId="13131"/>
    <cellStyle name="Heading 1 2 2 4 2 2 10 2 2" xfId="13132"/>
    <cellStyle name="Heading 1 2 2 4 2 2 10 3" xfId="13133"/>
    <cellStyle name="Heading 1 2 2 4 2 2 11" xfId="13134"/>
    <cellStyle name="Heading 1 2 2 4 2 2 11 2" xfId="13135"/>
    <cellStyle name="Heading 1 2 2 4 2 2 11 2 2" xfId="13136"/>
    <cellStyle name="Heading 1 2 2 4 2 2 11 3" xfId="13137"/>
    <cellStyle name="Heading 1 2 2 4 2 2 12" xfId="13138"/>
    <cellStyle name="Heading 1 2 2 4 2 2 12 2" xfId="13139"/>
    <cellStyle name="Heading 1 2 2 4 2 2 12 2 2" xfId="13140"/>
    <cellStyle name="Heading 1 2 2 4 2 2 12 3" xfId="13141"/>
    <cellStyle name="Heading 1 2 2 4 2 2 13" xfId="13142"/>
    <cellStyle name="Heading 1 2 2 4 2 2 13 2" xfId="13143"/>
    <cellStyle name="Heading 1 2 2 4 2 2 13 2 2" xfId="13144"/>
    <cellStyle name="Heading 1 2 2 4 2 2 13 3" xfId="13145"/>
    <cellStyle name="Heading 1 2 2 4 2 2 14" xfId="13146"/>
    <cellStyle name="Heading 1 2 2 4 2 2 14 2" xfId="13147"/>
    <cellStyle name="Heading 1 2 2 4 2 2 14 2 2" xfId="13148"/>
    <cellStyle name="Heading 1 2 2 4 2 2 14 3" xfId="13149"/>
    <cellStyle name="Heading 1 2 2 4 2 2 15" xfId="13150"/>
    <cellStyle name="Heading 1 2 2 4 2 2 15 2" xfId="13151"/>
    <cellStyle name="Heading 1 2 2 4 2 2 15 2 2" xfId="13152"/>
    <cellStyle name="Heading 1 2 2 4 2 2 15 3" xfId="13153"/>
    <cellStyle name="Heading 1 2 2 4 2 2 16" xfId="13154"/>
    <cellStyle name="Heading 1 2 2 4 2 2 16 2" xfId="13155"/>
    <cellStyle name="Heading 1 2 2 4 2 2 16 2 2" xfId="13156"/>
    <cellStyle name="Heading 1 2 2 4 2 2 16 3" xfId="13157"/>
    <cellStyle name="Heading 1 2 2 4 2 2 17" xfId="13158"/>
    <cellStyle name="Heading 1 2 2 4 2 2 17 2" xfId="13159"/>
    <cellStyle name="Heading 1 2 2 4 2 2 17 2 2" xfId="13160"/>
    <cellStyle name="Heading 1 2 2 4 2 2 17 3" xfId="13161"/>
    <cellStyle name="Heading 1 2 2 4 2 2 18" xfId="13162"/>
    <cellStyle name="Heading 1 2 2 4 2 2 18 2" xfId="13163"/>
    <cellStyle name="Heading 1 2 2 4 2 2 18 2 2" xfId="13164"/>
    <cellStyle name="Heading 1 2 2 4 2 2 18 3" xfId="13165"/>
    <cellStyle name="Heading 1 2 2 4 2 2 19" xfId="13166"/>
    <cellStyle name="Heading 1 2 2 4 2 2 19 2" xfId="13167"/>
    <cellStyle name="Heading 1 2 2 4 2 2 2" xfId="13168"/>
    <cellStyle name="Heading 1 2 2 4 2 2 2 2" xfId="13169"/>
    <cellStyle name="Heading 1 2 2 4 2 2 2 2 2" xfId="13170"/>
    <cellStyle name="Heading 1 2 2 4 2 2 2 2 2 2" xfId="13171"/>
    <cellStyle name="Heading 1 2 2 4 2 2 2 2 3" xfId="13172"/>
    <cellStyle name="Heading 1 2 2 4 2 2 2 3" xfId="13173"/>
    <cellStyle name="Heading 1 2 2 4 2 2 2 3 2" xfId="13174"/>
    <cellStyle name="Heading 1 2 2 4 2 2 2 3 2 2" xfId="13175"/>
    <cellStyle name="Heading 1 2 2 4 2 2 2 3 3" xfId="13176"/>
    <cellStyle name="Heading 1 2 2 4 2 2 2 4" xfId="13177"/>
    <cellStyle name="Heading 1 2 2 4 2 2 2 4 2" xfId="13178"/>
    <cellStyle name="Heading 1 2 2 4 2 2 2 4 2 2" xfId="13179"/>
    <cellStyle name="Heading 1 2 2 4 2 2 2 4 3" xfId="13180"/>
    <cellStyle name="Heading 1 2 2 4 2 2 2 5" xfId="13181"/>
    <cellStyle name="Heading 1 2 2 4 2 2 2 5 2" xfId="13182"/>
    <cellStyle name="Heading 1 2 2 4 2 2 2 5 2 2" xfId="13183"/>
    <cellStyle name="Heading 1 2 2 4 2 2 2 5 3" xfId="13184"/>
    <cellStyle name="Heading 1 2 2 4 2 2 2 6" xfId="13185"/>
    <cellStyle name="Heading 1 2 2 4 2 2 2 6 2" xfId="13186"/>
    <cellStyle name="Heading 1 2 2 4 2 2 2 6 2 2" xfId="13187"/>
    <cellStyle name="Heading 1 2 2 4 2 2 2 6 3" xfId="13188"/>
    <cellStyle name="Heading 1 2 2 4 2 2 2 7" xfId="13189"/>
    <cellStyle name="Heading 1 2 2 4 2 2 2 7 2" xfId="13190"/>
    <cellStyle name="Heading 1 2 2 4 2 2 2 7 2 2" xfId="13191"/>
    <cellStyle name="Heading 1 2 2 4 2 2 2 7 3" xfId="13192"/>
    <cellStyle name="Heading 1 2 2 4 2 2 2 8" xfId="13193"/>
    <cellStyle name="Heading 1 2 2 4 2 2 2 8 2" xfId="13194"/>
    <cellStyle name="Heading 1 2 2 4 2 2 2 9" xfId="13195"/>
    <cellStyle name="Heading 1 2 2 4 2 2 20" xfId="13196"/>
    <cellStyle name="Heading 1 2 2 4 2 2 20 2" xfId="13197"/>
    <cellStyle name="Heading 1 2 2 4 2 2 21" xfId="13198"/>
    <cellStyle name="Heading 1 2 2 4 2 2 21 2" xfId="13199"/>
    <cellStyle name="Heading 1 2 2 4 2 2 22" xfId="13200"/>
    <cellStyle name="Heading 1 2 2 4 2 2 3" xfId="13201"/>
    <cellStyle name="Heading 1 2 2 4 2 2 3 2" xfId="13202"/>
    <cellStyle name="Heading 1 2 2 4 2 2 3 2 2" xfId="13203"/>
    <cellStyle name="Heading 1 2 2 4 2 2 3 2 2 2" xfId="13204"/>
    <cellStyle name="Heading 1 2 2 4 2 2 3 2 3" xfId="13205"/>
    <cellStyle name="Heading 1 2 2 4 2 2 3 3" xfId="13206"/>
    <cellStyle name="Heading 1 2 2 4 2 2 3 3 2" xfId="13207"/>
    <cellStyle name="Heading 1 2 2 4 2 2 3 3 2 2" xfId="13208"/>
    <cellStyle name="Heading 1 2 2 4 2 2 3 3 3" xfId="13209"/>
    <cellStyle name="Heading 1 2 2 4 2 2 3 4" xfId="13210"/>
    <cellStyle name="Heading 1 2 2 4 2 2 3 4 2" xfId="13211"/>
    <cellStyle name="Heading 1 2 2 4 2 2 3 4 2 2" xfId="13212"/>
    <cellStyle name="Heading 1 2 2 4 2 2 3 4 3" xfId="13213"/>
    <cellStyle name="Heading 1 2 2 4 2 2 3 5" xfId="13214"/>
    <cellStyle name="Heading 1 2 2 4 2 2 3 5 2" xfId="13215"/>
    <cellStyle name="Heading 1 2 2 4 2 2 3 5 2 2" xfId="13216"/>
    <cellStyle name="Heading 1 2 2 4 2 2 3 5 3" xfId="13217"/>
    <cellStyle name="Heading 1 2 2 4 2 2 3 6" xfId="13218"/>
    <cellStyle name="Heading 1 2 2 4 2 2 3 6 2" xfId="13219"/>
    <cellStyle name="Heading 1 2 2 4 2 2 3 6 2 2" xfId="13220"/>
    <cellStyle name="Heading 1 2 2 4 2 2 3 6 3" xfId="13221"/>
    <cellStyle name="Heading 1 2 2 4 2 2 3 7" xfId="13222"/>
    <cellStyle name="Heading 1 2 2 4 2 2 3 7 2" xfId="13223"/>
    <cellStyle name="Heading 1 2 2 4 2 2 3 7 2 2" xfId="13224"/>
    <cellStyle name="Heading 1 2 2 4 2 2 3 7 3" xfId="13225"/>
    <cellStyle name="Heading 1 2 2 4 2 2 3 8" xfId="13226"/>
    <cellStyle name="Heading 1 2 2 4 2 2 3 8 2" xfId="13227"/>
    <cellStyle name="Heading 1 2 2 4 2 2 3 9" xfId="13228"/>
    <cellStyle name="Heading 1 2 2 4 2 2 4" xfId="13229"/>
    <cellStyle name="Heading 1 2 2 4 2 2 4 2" xfId="13230"/>
    <cellStyle name="Heading 1 2 2 4 2 2 4 2 2" xfId="13231"/>
    <cellStyle name="Heading 1 2 2 4 2 2 4 2 2 2" xfId="13232"/>
    <cellStyle name="Heading 1 2 2 4 2 2 4 2 3" xfId="13233"/>
    <cellStyle name="Heading 1 2 2 4 2 2 4 3" xfId="13234"/>
    <cellStyle name="Heading 1 2 2 4 2 2 4 3 2" xfId="13235"/>
    <cellStyle name="Heading 1 2 2 4 2 2 4 3 2 2" xfId="13236"/>
    <cellStyle name="Heading 1 2 2 4 2 2 4 3 3" xfId="13237"/>
    <cellStyle name="Heading 1 2 2 4 2 2 4 4" xfId="13238"/>
    <cellStyle name="Heading 1 2 2 4 2 2 4 4 2" xfId="13239"/>
    <cellStyle name="Heading 1 2 2 4 2 2 4 4 2 2" xfId="13240"/>
    <cellStyle name="Heading 1 2 2 4 2 2 4 4 3" xfId="13241"/>
    <cellStyle name="Heading 1 2 2 4 2 2 4 5" xfId="13242"/>
    <cellStyle name="Heading 1 2 2 4 2 2 4 5 2" xfId="13243"/>
    <cellStyle name="Heading 1 2 2 4 2 2 4 5 2 2" xfId="13244"/>
    <cellStyle name="Heading 1 2 2 4 2 2 4 5 3" xfId="13245"/>
    <cellStyle name="Heading 1 2 2 4 2 2 4 6" xfId="13246"/>
    <cellStyle name="Heading 1 2 2 4 2 2 4 6 2" xfId="13247"/>
    <cellStyle name="Heading 1 2 2 4 2 2 4 6 2 2" xfId="13248"/>
    <cellStyle name="Heading 1 2 2 4 2 2 4 6 3" xfId="13249"/>
    <cellStyle name="Heading 1 2 2 4 2 2 4 7" xfId="13250"/>
    <cellStyle name="Heading 1 2 2 4 2 2 4 7 2" xfId="13251"/>
    <cellStyle name="Heading 1 2 2 4 2 2 4 7 2 2" xfId="13252"/>
    <cellStyle name="Heading 1 2 2 4 2 2 4 7 3" xfId="13253"/>
    <cellStyle name="Heading 1 2 2 4 2 2 4 8" xfId="13254"/>
    <cellStyle name="Heading 1 2 2 4 2 2 4 8 2" xfId="13255"/>
    <cellStyle name="Heading 1 2 2 4 2 2 4 9" xfId="13256"/>
    <cellStyle name="Heading 1 2 2 4 2 2 5" xfId="13257"/>
    <cellStyle name="Heading 1 2 2 4 2 2 5 2" xfId="13258"/>
    <cellStyle name="Heading 1 2 2 4 2 2 5 2 2" xfId="13259"/>
    <cellStyle name="Heading 1 2 2 4 2 2 5 2 2 2" xfId="13260"/>
    <cellStyle name="Heading 1 2 2 4 2 2 5 2 3" xfId="13261"/>
    <cellStyle name="Heading 1 2 2 4 2 2 5 3" xfId="13262"/>
    <cellStyle name="Heading 1 2 2 4 2 2 5 3 2" xfId="13263"/>
    <cellStyle name="Heading 1 2 2 4 2 2 5 3 2 2" xfId="13264"/>
    <cellStyle name="Heading 1 2 2 4 2 2 5 3 3" xfId="13265"/>
    <cellStyle name="Heading 1 2 2 4 2 2 5 4" xfId="13266"/>
    <cellStyle name="Heading 1 2 2 4 2 2 5 4 2" xfId="13267"/>
    <cellStyle name="Heading 1 2 2 4 2 2 5 4 2 2" xfId="13268"/>
    <cellStyle name="Heading 1 2 2 4 2 2 5 4 3" xfId="13269"/>
    <cellStyle name="Heading 1 2 2 4 2 2 5 5" xfId="13270"/>
    <cellStyle name="Heading 1 2 2 4 2 2 5 5 2" xfId="13271"/>
    <cellStyle name="Heading 1 2 2 4 2 2 5 5 2 2" xfId="13272"/>
    <cellStyle name="Heading 1 2 2 4 2 2 5 5 3" xfId="13273"/>
    <cellStyle name="Heading 1 2 2 4 2 2 5 6" xfId="13274"/>
    <cellStyle name="Heading 1 2 2 4 2 2 5 6 2" xfId="13275"/>
    <cellStyle name="Heading 1 2 2 4 2 2 5 6 2 2" xfId="13276"/>
    <cellStyle name="Heading 1 2 2 4 2 2 5 6 3" xfId="13277"/>
    <cellStyle name="Heading 1 2 2 4 2 2 5 7" xfId="13278"/>
    <cellStyle name="Heading 1 2 2 4 2 2 5 7 2" xfId="13279"/>
    <cellStyle name="Heading 1 2 2 4 2 2 5 7 2 2" xfId="13280"/>
    <cellStyle name="Heading 1 2 2 4 2 2 5 7 3" xfId="13281"/>
    <cellStyle name="Heading 1 2 2 4 2 2 5 8" xfId="13282"/>
    <cellStyle name="Heading 1 2 2 4 2 2 5 8 2" xfId="13283"/>
    <cellStyle name="Heading 1 2 2 4 2 2 5 9" xfId="13284"/>
    <cellStyle name="Heading 1 2 2 4 2 2 6" xfId="13285"/>
    <cellStyle name="Heading 1 2 2 4 2 2 6 2" xfId="13286"/>
    <cellStyle name="Heading 1 2 2 4 2 2 6 2 2" xfId="13287"/>
    <cellStyle name="Heading 1 2 2 4 2 2 6 2 2 2" xfId="13288"/>
    <cellStyle name="Heading 1 2 2 4 2 2 6 2 3" xfId="13289"/>
    <cellStyle name="Heading 1 2 2 4 2 2 6 3" xfId="13290"/>
    <cellStyle name="Heading 1 2 2 4 2 2 6 3 2" xfId="13291"/>
    <cellStyle name="Heading 1 2 2 4 2 2 6 3 2 2" xfId="13292"/>
    <cellStyle name="Heading 1 2 2 4 2 2 6 3 3" xfId="13293"/>
    <cellStyle name="Heading 1 2 2 4 2 2 6 4" xfId="13294"/>
    <cellStyle name="Heading 1 2 2 4 2 2 6 4 2" xfId="13295"/>
    <cellStyle name="Heading 1 2 2 4 2 2 6 4 2 2" xfId="13296"/>
    <cellStyle name="Heading 1 2 2 4 2 2 6 4 3" xfId="13297"/>
    <cellStyle name="Heading 1 2 2 4 2 2 6 5" xfId="13298"/>
    <cellStyle name="Heading 1 2 2 4 2 2 6 5 2" xfId="13299"/>
    <cellStyle name="Heading 1 2 2 4 2 2 6 5 2 2" xfId="13300"/>
    <cellStyle name="Heading 1 2 2 4 2 2 6 5 3" xfId="13301"/>
    <cellStyle name="Heading 1 2 2 4 2 2 6 6" xfId="13302"/>
    <cellStyle name="Heading 1 2 2 4 2 2 6 6 2" xfId="13303"/>
    <cellStyle name="Heading 1 2 2 4 2 2 6 6 2 2" xfId="13304"/>
    <cellStyle name="Heading 1 2 2 4 2 2 6 6 3" xfId="13305"/>
    <cellStyle name="Heading 1 2 2 4 2 2 6 7" xfId="13306"/>
    <cellStyle name="Heading 1 2 2 4 2 2 6 7 2" xfId="13307"/>
    <cellStyle name="Heading 1 2 2 4 2 2 6 7 2 2" xfId="13308"/>
    <cellStyle name="Heading 1 2 2 4 2 2 6 7 3" xfId="13309"/>
    <cellStyle name="Heading 1 2 2 4 2 2 6 8" xfId="13310"/>
    <cellStyle name="Heading 1 2 2 4 2 2 6 8 2" xfId="13311"/>
    <cellStyle name="Heading 1 2 2 4 2 2 6 9" xfId="13312"/>
    <cellStyle name="Heading 1 2 2 4 2 2 7" xfId="13313"/>
    <cellStyle name="Heading 1 2 2 4 2 2 7 2" xfId="13314"/>
    <cellStyle name="Heading 1 2 2 4 2 2 7 2 2" xfId="13315"/>
    <cellStyle name="Heading 1 2 2 4 2 2 7 2 2 2" xfId="13316"/>
    <cellStyle name="Heading 1 2 2 4 2 2 7 2 3" xfId="13317"/>
    <cellStyle name="Heading 1 2 2 4 2 2 7 3" xfId="13318"/>
    <cellStyle name="Heading 1 2 2 4 2 2 7 3 2" xfId="13319"/>
    <cellStyle name="Heading 1 2 2 4 2 2 7 3 2 2" xfId="13320"/>
    <cellStyle name="Heading 1 2 2 4 2 2 7 3 3" xfId="13321"/>
    <cellStyle name="Heading 1 2 2 4 2 2 7 4" xfId="13322"/>
    <cellStyle name="Heading 1 2 2 4 2 2 7 4 2" xfId="13323"/>
    <cellStyle name="Heading 1 2 2 4 2 2 7 4 2 2" xfId="13324"/>
    <cellStyle name="Heading 1 2 2 4 2 2 7 4 3" xfId="13325"/>
    <cellStyle name="Heading 1 2 2 4 2 2 7 5" xfId="13326"/>
    <cellStyle name="Heading 1 2 2 4 2 2 7 5 2" xfId="13327"/>
    <cellStyle name="Heading 1 2 2 4 2 2 7 5 2 2" xfId="13328"/>
    <cellStyle name="Heading 1 2 2 4 2 2 7 5 3" xfId="13329"/>
    <cellStyle name="Heading 1 2 2 4 2 2 7 6" xfId="13330"/>
    <cellStyle name="Heading 1 2 2 4 2 2 7 6 2" xfId="13331"/>
    <cellStyle name="Heading 1 2 2 4 2 2 7 6 2 2" xfId="13332"/>
    <cellStyle name="Heading 1 2 2 4 2 2 7 6 3" xfId="13333"/>
    <cellStyle name="Heading 1 2 2 4 2 2 7 7" xfId="13334"/>
    <cellStyle name="Heading 1 2 2 4 2 2 7 7 2" xfId="13335"/>
    <cellStyle name="Heading 1 2 2 4 2 2 7 7 2 2" xfId="13336"/>
    <cellStyle name="Heading 1 2 2 4 2 2 7 7 3" xfId="13337"/>
    <cellStyle name="Heading 1 2 2 4 2 2 7 8" xfId="13338"/>
    <cellStyle name="Heading 1 2 2 4 2 2 7 8 2" xfId="13339"/>
    <cellStyle name="Heading 1 2 2 4 2 2 7 9" xfId="13340"/>
    <cellStyle name="Heading 1 2 2 4 2 2 8" xfId="13341"/>
    <cellStyle name="Heading 1 2 2 4 2 2 8 2" xfId="13342"/>
    <cellStyle name="Heading 1 2 2 4 2 2 8 2 2" xfId="13343"/>
    <cellStyle name="Heading 1 2 2 4 2 2 8 2 2 2" xfId="13344"/>
    <cellStyle name="Heading 1 2 2 4 2 2 8 2 3" xfId="13345"/>
    <cellStyle name="Heading 1 2 2 4 2 2 8 3" xfId="13346"/>
    <cellStyle name="Heading 1 2 2 4 2 2 8 3 2" xfId="13347"/>
    <cellStyle name="Heading 1 2 2 4 2 2 8 3 2 2" xfId="13348"/>
    <cellStyle name="Heading 1 2 2 4 2 2 8 3 3" xfId="13349"/>
    <cellStyle name="Heading 1 2 2 4 2 2 8 4" xfId="13350"/>
    <cellStyle name="Heading 1 2 2 4 2 2 8 4 2" xfId="13351"/>
    <cellStyle name="Heading 1 2 2 4 2 2 8 4 2 2" xfId="13352"/>
    <cellStyle name="Heading 1 2 2 4 2 2 8 4 3" xfId="13353"/>
    <cellStyle name="Heading 1 2 2 4 2 2 8 5" xfId="13354"/>
    <cellStyle name="Heading 1 2 2 4 2 2 8 5 2" xfId="13355"/>
    <cellStyle name="Heading 1 2 2 4 2 2 8 5 2 2" xfId="13356"/>
    <cellStyle name="Heading 1 2 2 4 2 2 8 5 3" xfId="13357"/>
    <cellStyle name="Heading 1 2 2 4 2 2 8 6" xfId="13358"/>
    <cellStyle name="Heading 1 2 2 4 2 2 8 6 2" xfId="13359"/>
    <cellStyle name="Heading 1 2 2 4 2 2 8 6 2 2" xfId="13360"/>
    <cellStyle name="Heading 1 2 2 4 2 2 8 6 3" xfId="13361"/>
    <cellStyle name="Heading 1 2 2 4 2 2 8 7" xfId="13362"/>
    <cellStyle name="Heading 1 2 2 4 2 2 8 7 2" xfId="13363"/>
    <cellStyle name="Heading 1 2 2 4 2 2 8 7 2 2" xfId="13364"/>
    <cellStyle name="Heading 1 2 2 4 2 2 8 7 3" xfId="13365"/>
    <cellStyle name="Heading 1 2 2 4 2 2 8 8" xfId="13366"/>
    <cellStyle name="Heading 1 2 2 4 2 2 8 8 2" xfId="13367"/>
    <cellStyle name="Heading 1 2 2 4 2 2 8 9" xfId="13368"/>
    <cellStyle name="Heading 1 2 2 4 2 2 9" xfId="13369"/>
    <cellStyle name="Heading 1 2 2 4 2 2 9 2" xfId="13370"/>
    <cellStyle name="Heading 1 2 2 4 2 2 9 2 2" xfId="13371"/>
    <cellStyle name="Heading 1 2 2 4 2 2 9 3" xfId="13372"/>
    <cellStyle name="Heading 1 2 2 4 2 20" xfId="13373"/>
    <cellStyle name="Heading 1 2 2 4 2 20 2" xfId="13374"/>
    <cellStyle name="Heading 1 2 2 4 2 21" xfId="13375"/>
    <cellStyle name="Heading 1 2 2 4 2 21 2" xfId="13376"/>
    <cellStyle name="Heading 1 2 2 4 2 22" xfId="13377"/>
    <cellStyle name="Heading 1 2 2 4 2 22 2" xfId="13378"/>
    <cellStyle name="Heading 1 2 2 4 2 23" xfId="13379"/>
    <cellStyle name="Heading 1 2 2 4 2 3" xfId="13380"/>
    <cellStyle name="Heading 1 2 2 4 2 3 2" xfId="13381"/>
    <cellStyle name="Heading 1 2 2 4 2 3 2 2" xfId="13382"/>
    <cellStyle name="Heading 1 2 2 4 2 3 2 2 2" xfId="13383"/>
    <cellStyle name="Heading 1 2 2 4 2 3 2 3" xfId="13384"/>
    <cellStyle name="Heading 1 2 2 4 2 3 3" xfId="13385"/>
    <cellStyle name="Heading 1 2 2 4 2 3 3 2" xfId="13386"/>
    <cellStyle name="Heading 1 2 2 4 2 3 3 2 2" xfId="13387"/>
    <cellStyle name="Heading 1 2 2 4 2 3 3 3" xfId="13388"/>
    <cellStyle name="Heading 1 2 2 4 2 3 4" xfId="13389"/>
    <cellStyle name="Heading 1 2 2 4 2 3 4 2" xfId="13390"/>
    <cellStyle name="Heading 1 2 2 4 2 3 4 2 2" xfId="13391"/>
    <cellStyle name="Heading 1 2 2 4 2 3 4 3" xfId="13392"/>
    <cellStyle name="Heading 1 2 2 4 2 3 5" xfId="13393"/>
    <cellStyle name="Heading 1 2 2 4 2 3 5 2" xfId="13394"/>
    <cellStyle name="Heading 1 2 2 4 2 3 5 2 2" xfId="13395"/>
    <cellStyle name="Heading 1 2 2 4 2 3 5 3" xfId="13396"/>
    <cellStyle name="Heading 1 2 2 4 2 3 6" xfId="13397"/>
    <cellStyle name="Heading 1 2 2 4 2 3 6 2" xfId="13398"/>
    <cellStyle name="Heading 1 2 2 4 2 3 6 2 2" xfId="13399"/>
    <cellStyle name="Heading 1 2 2 4 2 3 6 3" xfId="13400"/>
    <cellStyle name="Heading 1 2 2 4 2 3 7" xfId="13401"/>
    <cellStyle name="Heading 1 2 2 4 2 3 7 2" xfId="13402"/>
    <cellStyle name="Heading 1 2 2 4 2 3 7 2 2" xfId="13403"/>
    <cellStyle name="Heading 1 2 2 4 2 3 7 3" xfId="13404"/>
    <cellStyle name="Heading 1 2 2 4 2 3 8" xfId="13405"/>
    <cellStyle name="Heading 1 2 2 4 2 3 8 2" xfId="13406"/>
    <cellStyle name="Heading 1 2 2 4 2 3 9" xfId="13407"/>
    <cellStyle name="Heading 1 2 2 4 2 4" xfId="13408"/>
    <cellStyle name="Heading 1 2 2 4 2 4 2" xfId="13409"/>
    <cellStyle name="Heading 1 2 2 4 2 4 2 2" xfId="13410"/>
    <cellStyle name="Heading 1 2 2 4 2 4 2 2 2" xfId="13411"/>
    <cellStyle name="Heading 1 2 2 4 2 4 2 3" xfId="13412"/>
    <cellStyle name="Heading 1 2 2 4 2 4 3" xfId="13413"/>
    <cellStyle name="Heading 1 2 2 4 2 4 3 2" xfId="13414"/>
    <cellStyle name="Heading 1 2 2 4 2 4 3 2 2" xfId="13415"/>
    <cellStyle name="Heading 1 2 2 4 2 4 3 3" xfId="13416"/>
    <cellStyle name="Heading 1 2 2 4 2 4 4" xfId="13417"/>
    <cellStyle name="Heading 1 2 2 4 2 4 4 2" xfId="13418"/>
    <cellStyle name="Heading 1 2 2 4 2 4 4 2 2" xfId="13419"/>
    <cellStyle name="Heading 1 2 2 4 2 4 4 3" xfId="13420"/>
    <cellStyle name="Heading 1 2 2 4 2 4 5" xfId="13421"/>
    <cellStyle name="Heading 1 2 2 4 2 4 5 2" xfId="13422"/>
    <cellStyle name="Heading 1 2 2 4 2 4 5 2 2" xfId="13423"/>
    <cellStyle name="Heading 1 2 2 4 2 4 5 3" xfId="13424"/>
    <cellStyle name="Heading 1 2 2 4 2 4 6" xfId="13425"/>
    <cellStyle name="Heading 1 2 2 4 2 4 6 2" xfId="13426"/>
    <cellStyle name="Heading 1 2 2 4 2 4 6 2 2" xfId="13427"/>
    <cellStyle name="Heading 1 2 2 4 2 4 6 3" xfId="13428"/>
    <cellStyle name="Heading 1 2 2 4 2 4 7" xfId="13429"/>
    <cellStyle name="Heading 1 2 2 4 2 4 7 2" xfId="13430"/>
    <cellStyle name="Heading 1 2 2 4 2 4 7 2 2" xfId="13431"/>
    <cellStyle name="Heading 1 2 2 4 2 4 7 3" xfId="13432"/>
    <cellStyle name="Heading 1 2 2 4 2 4 8" xfId="13433"/>
    <cellStyle name="Heading 1 2 2 4 2 4 8 2" xfId="13434"/>
    <cellStyle name="Heading 1 2 2 4 2 4 9" xfId="13435"/>
    <cellStyle name="Heading 1 2 2 4 2 5" xfId="13436"/>
    <cellStyle name="Heading 1 2 2 4 2 5 2" xfId="13437"/>
    <cellStyle name="Heading 1 2 2 4 2 5 2 2" xfId="13438"/>
    <cellStyle name="Heading 1 2 2 4 2 5 2 2 2" xfId="13439"/>
    <cellStyle name="Heading 1 2 2 4 2 5 2 3" xfId="13440"/>
    <cellStyle name="Heading 1 2 2 4 2 5 3" xfId="13441"/>
    <cellStyle name="Heading 1 2 2 4 2 5 3 2" xfId="13442"/>
    <cellStyle name="Heading 1 2 2 4 2 5 3 2 2" xfId="13443"/>
    <cellStyle name="Heading 1 2 2 4 2 5 3 3" xfId="13444"/>
    <cellStyle name="Heading 1 2 2 4 2 5 4" xfId="13445"/>
    <cellStyle name="Heading 1 2 2 4 2 5 4 2" xfId="13446"/>
    <cellStyle name="Heading 1 2 2 4 2 5 4 2 2" xfId="13447"/>
    <cellStyle name="Heading 1 2 2 4 2 5 4 3" xfId="13448"/>
    <cellStyle name="Heading 1 2 2 4 2 5 5" xfId="13449"/>
    <cellStyle name="Heading 1 2 2 4 2 5 5 2" xfId="13450"/>
    <cellStyle name="Heading 1 2 2 4 2 5 5 2 2" xfId="13451"/>
    <cellStyle name="Heading 1 2 2 4 2 5 5 3" xfId="13452"/>
    <cellStyle name="Heading 1 2 2 4 2 5 6" xfId="13453"/>
    <cellStyle name="Heading 1 2 2 4 2 5 6 2" xfId="13454"/>
    <cellStyle name="Heading 1 2 2 4 2 5 6 2 2" xfId="13455"/>
    <cellStyle name="Heading 1 2 2 4 2 5 6 3" xfId="13456"/>
    <cellStyle name="Heading 1 2 2 4 2 5 7" xfId="13457"/>
    <cellStyle name="Heading 1 2 2 4 2 5 7 2" xfId="13458"/>
    <cellStyle name="Heading 1 2 2 4 2 5 7 2 2" xfId="13459"/>
    <cellStyle name="Heading 1 2 2 4 2 5 7 3" xfId="13460"/>
    <cellStyle name="Heading 1 2 2 4 2 5 8" xfId="13461"/>
    <cellStyle name="Heading 1 2 2 4 2 5 8 2" xfId="13462"/>
    <cellStyle name="Heading 1 2 2 4 2 5 9" xfId="13463"/>
    <cellStyle name="Heading 1 2 2 4 2 6" xfId="13464"/>
    <cellStyle name="Heading 1 2 2 4 2 6 2" xfId="13465"/>
    <cellStyle name="Heading 1 2 2 4 2 6 2 2" xfId="13466"/>
    <cellStyle name="Heading 1 2 2 4 2 6 2 2 2" xfId="13467"/>
    <cellStyle name="Heading 1 2 2 4 2 6 2 3" xfId="13468"/>
    <cellStyle name="Heading 1 2 2 4 2 6 3" xfId="13469"/>
    <cellStyle name="Heading 1 2 2 4 2 6 3 2" xfId="13470"/>
    <cellStyle name="Heading 1 2 2 4 2 6 3 2 2" xfId="13471"/>
    <cellStyle name="Heading 1 2 2 4 2 6 3 3" xfId="13472"/>
    <cellStyle name="Heading 1 2 2 4 2 6 4" xfId="13473"/>
    <cellStyle name="Heading 1 2 2 4 2 6 4 2" xfId="13474"/>
    <cellStyle name="Heading 1 2 2 4 2 6 4 2 2" xfId="13475"/>
    <cellStyle name="Heading 1 2 2 4 2 6 4 3" xfId="13476"/>
    <cellStyle name="Heading 1 2 2 4 2 6 5" xfId="13477"/>
    <cellStyle name="Heading 1 2 2 4 2 6 5 2" xfId="13478"/>
    <cellStyle name="Heading 1 2 2 4 2 6 5 2 2" xfId="13479"/>
    <cellStyle name="Heading 1 2 2 4 2 6 5 3" xfId="13480"/>
    <cellStyle name="Heading 1 2 2 4 2 6 6" xfId="13481"/>
    <cellStyle name="Heading 1 2 2 4 2 6 6 2" xfId="13482"/>
    <cellStyle name="Heading 1 2 2 4 2 6 6 2 2" xfId="13483"/>
    <cellStyle name="Heading 1 2 2 4 2 6 6 3" xfId="13484"/>
    <cellStyle name="Heading 1 2 2 4 2 6 7" xfId="13485"/>
    <cellStyle name="Heading 1 2 2 4 2 6 7 2" xfId="13486"/>
    <cellStyle name="Heading 1 2 2 4 2 6 7 2 2" xfId="13487"/>
    <cellStyle name="Heading 1 2 2 4 2 6 7 3" xfId="13488"/>
    <cellStyle name="Heading 1 2 2 4 2 6 8" xfId="13489"/>
    <cellStyle name="Heading 1 2 2 4 2 6 8 2" xfId="13490"/>
    <cellStyle name="Heading 1 2 2 4 2 6 9" xfId="13491"/>
    <cellStyle name="Heading 1 2 2 4 2 7" xfId="13492"/>
    <cellStyle name="Heading 1 2 2 4 2 7 2" xfId="13493"/>
    <cellStyle name="Heading 1 2 2 4 2 7 2 2" xfId="13494"/>
    <cellStyle name="Heading 1 2 2 4 2 7 2 2 2" xfId="13495"/>
    <cellStyle name="Heading 1 2 2 4 2 7 2 3" xfId="13496"/>
    <cellStyle name="Heading 1 2 2 4 2 7 3" xfId="13497"/>
    <cellStyle name="Heading 1 2 2 4 2 7 3 2" xfId="13498"/>
    <cellStyle name="Heading 1 2 2 4 2 7 3 2 2" xfId="13499"/>
    <cellStyle name="Heading 1 2 2 4 2 7 3 3" xfId="13500"/>
    <cellStyle name="Heading 1 2 2 4 2 7 4" xfId="13501"/>
    <cellStyle name="Heading 1 2 2 4 2 7 4 2" xfId="13502"/>
    <cellStyle name="Heading 1 2 2 4 2 7 4 2 2" xfId="13503"/>
    <cellStyle name="Heading 1 2 2 4 2 7 4 3" xfId="13504"/>
    <cellStyle name="Heading 1 2 2 4 2 7 5" xfId="13505"/>
    <cellStyle name="Heading 1 2 2 4 2 7 5 2" xfId="13506"/>
    <cellStyle name="Heading 1 2 2 4 2 7 5 2 2" xfId="13507"/>
    <cellStyle name="Heading 1 2 2 4 2 7 5 3" xfId="13508"/>
    <cellStyle name="Heading 1 2 2 4 2 7 6" xfId="13509"/>
    <cellStyle name="Heading 1 2 2 4 2 7 6 2" xfId="13510"/>
    <cellStyle name="Heading 1 2 2 4 2 7 6 2 2" xfId="13511"/>
    <cellStyle name="Heading 1 2 2 4 2 7 6 3" xfId="13512"/>
    <cellStyle name="Heading 1 2 2 4 2 7 7" xfId="13513"/>
    <cellStyle name="Heading 1 2 2 4 2 7 7 2" xfId="13514"/>
    <cellStyle name="Heading 1 2 2 4 2 7 7 2 2" xfId="13515"/>
    <cellStyle name="Heading 1 2 2 4 2 7 7 3" xfId="13516"/>
    <cellStyle name="Heading 1 2 2 4 2 7 8" xfId="13517"/>
    <cellStyle name="Heading 1 2 2 4 2 7 8 2" xfId="13518"/>
    <cellStyle name="Heading 1 2 2 4 2 7 9" xfId="13519"/>
    <cellStyle name="Heading 1 2 2 4 2 8" xfId="13520"/>
    <cellStyle name="Heading 1 2 2 4 2 8 2" xfId="13521"/>
    <cellStyle name="Heading 1 2 2 4 2 8 2 2" xfId="13522"/>
    <cellStyle name="Heading 1 2 2 4 2 8 2 2 2" xfId="13523"/>
    <cellStyle name="Heading 1 2 2 4 2 8 2 3" xfId="13524"/>
    <cellStyle name="Heading 1 2 2 4 2 8 3" xfId="13525"/>
    <cellStyle name="Heading 1 2 2 4 2 8 3 2" xfId="13526"/>
    <cellStyle name="Heading 1 2 2 4 2 8 3 2 2" xfId="13527"/>
    <cellStyle name="Heading 1 2 2 4 2 8 3 3" xfId="13528"/>
    <cellStyle name="Heading 1 2 2 4 2 8 4" xfId="13529"/>
    <cellStyle name="Heading 1 2 2 4 2 8 4 2" xfId="13530"/>
    <cellStyle name="Heading 1 2 2 4 2 8 4 2 2" xfId="13531"/>
    <cellStyle name="Heading 1 2 2 4 2 8 4 3" xfId="13532"/>
    <cellStyle name="Heading 1 2 2 4 2 8 5" xfId="13533"/>
    <cellStyle name="Heading 1 2 2 4 2 8 5 2" xfId="13534"/>
    <cellStyle name="Heading 1 2 2 4 2 8 5 2 2" xfId="13535"/>
    <cellStyle name="Heading 1 2 2 4 2 8 5 3" xfId="13536"/>
    <cellStyle name="Heading 1 2 2 4 2 8 6" xfId="13537"/>
    <cellStyle name="Heading 1 2 2 4 2 8 6 2" xfId="13538"/>
    <cellStyle name="Heading 1 2 2 4 2 8 6 2 2" xfId="13539"/>
    <cellStyle name="Heading 1 2 2 4 2 8 6 3" xfId="13540"/>
    <cellStyle name="Heading 1 2 2 4 2 8 7" xfId="13541"/>
    <cellStyle name="Heading 1 2 2 4 2 8 7 2" xfId="13542"/>
    <cellStyle name="Heading 1 2 2 4 2 8 7 2 2" xfId="13543"/>
    <cellStyle name="Heading 1 2 2 4 2 8 7 3" xfId="13544"/>
    <cellStyle name="Heading 1 2 2 4 2 8 8" xfId="13545"/>
    <cellStyle name="Heading 1 2 2 4 2 8 8 2" xfId="13546"/>
    <cellStyle name="Heading 1 2 2 4 2 8 9" xfId="13547"/>
    <cellStyle name="Heading 1 2 2 4 2 9" xfId="13548"/>
    <cellStyle name="Heading 1 2 2 4 2 9 2" xfId="13549"/>
    <cellStyle name="Heading 1 2 2 4 2 9 2 2" xfId="13550"/>
    <cellStyle name="Heading 1 2 2 4 2 9 2 2 2" xfId="13551"/>
    <cellStyle name="Heading 1 2 2 4 2 9 2 3" xfId="13552"/>
    <cellStyle name="Heading 1 2 2 4 2 9 3" xfId="13553"/>
    <cellStyle name="Heading 1 2 2 4 2 9 3 2" xfId="13554"/>
    <cellStyle name="Heading 1 2 2 4 2 9 3 2 2" xfId="13555"/>
    <cellStyle name="Heading 1 2 2 4 2 9 3 3" xfId="13556"/>
    <cellStyle name="Heading 1 2 2 4 2 9 4" xfId="13557"/>
    <cellStyle name="Heading 1 2 2 4 2 9 4 2" xfId="13558"/>
    <cellStyle name="Heading 1 2 2 4 2 9 4 2 2" xfId="13559"/>
    <cellStyle name="Heading 1 2 2 4 2 9 4 3" xfId="13560"/>
    <cellStyle name="Heading 1 2 2 4 2 9 5" xfId="13561"/>
    <cellStyle name="Heading 1 2 2 4 2 9 5 2" xfId="13562"/>
    <cellStyle name="Heading 1 2 2 4 2 9 5 2 2" xfId="13563"/>
    <cellStyle name="Heading 1 2 2 4 2 9 5 3" xfId="13564"/>
    <cellStyle name="Heading 1 2 2 4 2 9 6" xfId="13565"/>
    <cellStyle name="Heading 1 2 2 4 2 9 6 2" xfId="13566"/>
    <cellStyle name="Heading 1 2 2 4 2 9 6 2 2" xfId="13567"/>
    <cellStyle name="Heading 1 2 2 4 2 9 6 3" xfId="13568"/>
    <cellStyle name="Heading 1 2 2 4 2 9 7" xfId="13569"/>
    <cellStyle name="Heading 1 2 2 4 2 9 7 2" xfId="13570"/>
    <cellStyle name="Heading 1 2 2 4 2 9 7 2 2" xfId="13571"/>
    <cellStyle name="Heading 1 2 2 4 2 9 7 3" xfId="13572"/>
    <cellStyle name="Heading 1 2 2 4 2 9 8" xfId="13573"/>
    <cellStyle name="Heading 1 2 2 4 2 9 8 2" xfId="13574"/>
    <cellStyle name="Heading 1 2 2 4 2 9 9" xfId="13575"/>
    <cellStyle name="Heading 1 2 2 4 3" xfId="13576"/>
    <cellStyle name="Heading 1 2 2 4 3 10" xfId="13577"/>
    <cellStyle name="Heading 1 2 2 4 3 10 2" xfId="13578"/>
    <cellStyle name="Heading 1 2 2 4 3 10 2 2" xfId="13579"/>
    <cellStyle name="Heading 1 2 2 4 3 10 3" xfId="13580"/>
    <cellStyle name="Heading 1 2 2 4 3 11" xfId="13581"/>
    <cellStyle name="Heading 1 2 2 4 3 11 2" xfId="13582"/>
    <cellStyle name="Heading 1 2 2 4 3 11 2 2" xfId="13583"/>
    <cellStyle name="Heading 1 2 2 4 3 11 3" xfId="13584"/>
    <cellStyle name="Heading 1 2 2 4 3 12" xfId="13585"/>
    <cellStyle name="Heading 1 2 2 4 3 12 2" xfId="13586"/>
    <cellStyle name="Heading 1 2 2 4 3 12 2 2" xfId="13587"/>
    <cellStyle name="Heading 1 2 2 4 3 12 3" xfId="13588"/>
    <cellStyle name="Heading 1 2 2 4 3 13" xfId="13589"/>
    <cellStyle name="Heading 1 2 2 4 3 13 2" xfId="13590"/>
    <cellStyle name="Heading 1 2 2 4 3 13 2 2" xfId="13591"/>
    <cellStyle name="Heading 1 2 2 4 3 13 3" xfId="13592"/>
    <cellStyle name="Heading 1 2 2 4 3 14" xfId="13593"/>
    <cellStyle name="Heading 1 2 2 4 3 14 2" xfId="13594"/>
    <cellStyle name="Heading 1 2 2 4 3 14 2 2" xfId="13595"/>
    <cellStyle name="Heading 1 2 2 4 3 14 3" xfId="13596"/>
    <cellStyle name="Heading 1 2 2 4 3 15" xfId="13597"/>
    <cellStyle name="Heading 1 2 2 4 3 15 2" xfId="13598"/>
    <cellStyle name="Heading 1 2 2 4 3 15 2 2" xfId="13599"/>
    <cellStyle name="Heading 1 2 2 4 3 15 3" xfId="13600"/>
    <cellStyle name="Heading 1 2 2 4 3 16" xfId="13601"/>
    <cellStyle name="Heading 1 2 2 4 3 16 2" xfId="13602"/>
    <cellStyle name="Heading 1 2 2 4 3 16 2 2" xfId="13603"/>
    <cellStyle name="Heading 1 2 2 4 3 16 3" xfId="13604"/>
    <cellStyle name="Heading 1 2 2 4 3 17" xfId="13605"/>
    <cellStyle name="Heading 1 2 2 4 3 17 2" xfId="13606"/>
    <cellStyle name="Heading 1 2 2 4 3 17 2 2" xfId="13607"/>
    <cellStyle name="Heading 1 2 2 4 3 17 3" xfId="13608"/>
    <cellStyle name="Heading 1 2 2 4 3 18" xfId="13609"/>
    <cellStyle name="Heading 1 2 2 4 3 18 2" xfId="13610"/>
    <cellStyle name="Heading 1 2 2 4 3 18 2 2" xfId="13611"/>
    <cellStyle name="Heading 1 2 2 4 3 18 3" xfId="13612"/>
    <cellStyle name="Heading 1 2 2 4 3 19" xfId="13613"/>
    <cellStyle name="Heading 1 2 2 4 3 19 2" xfId="13614"/>
    <cellStyle name="Heading 1 2 2 4 3 2" xfId="13615"/>
    <cellStyle name="Heading 1 2 2 4 3 2 2" xfId="13616"/>
    <cellStyle name="Heading 1 2 2 4 3 2 2 2" xfId="13617"/>
    <cellStyle name="Heading 1 2 2 4 3 2 2 2 2" xfId="13618"/>
    <cellStyle name="Heading 1 2 2 4 3 2 2 3" xfId="13619"/>
    <cellStyle name="Heading 1 2 2 4 3 2 3" xfId="13620"/>
    <cellStyle name="Heading 1 2 2 4 3 2 3 2" xfId="13621"/>
    <cellStyle name="Heading 1 2 2 4 3 2 3 2 2" xfId="13622"/>
    <cellStyle name="Heading 1 2 2 4 3 2 3 3" xfId="13623"/>
    <cellStyle name="Heading 1 2 2 4 3 2 4" xfId="13624"/>
    <cellStyle name="Heading 1 2 2 4 3 2 4 2" xfId="13625"/>
    <cellStyle name="Heading 1 2 2 4 3 2 4 2 2" xfId="13626"/>
    <cellStyle name="Heading 1 2 2 4 3 2 4 3" xfId="13627"/>
    <cellStyle name="Heading 1 2 2 4 3 2 5" xfId="13628"/>
    <cellStyle name="Heading 1 2 2 4 3 2 5 2" xfId="13629"/>
    <cellStyle name="Heading 1 2 2 4 3 2 5 2 2" xfId="13630"/>
    <cellStyle name="Heading 1 2 2 4 3 2 5 3" xfId="13631"/>
    <cellStyle name="Heading 1 2 2 4 3 2 6" xfId="13632"/>
    <cellStyle name="Heading 1 2 2 4 3 2 6 2" xfId="13633"/>
    <cellStyle name="Heading 1 2 2 4 3 2 6 2 2" xfId="13634"/>
    <cellStyle name="Heading 1 2 2 4 3 2 6 3" xfId="13635"/>
    <cellStyle name="Heading 1 2 2 4 3 2 7" xfId="13636"/>
    <cellStyle name="Heading 1 2 2 4 3 2 7 2" xfId="13637"/>
    <cellStyle name="Heading 1 2 2 4 3 2 7 2 2" xfId="13638"/>
    <cellStyle name="Heading 1 2 2 4 3 2 7 3" xfId="13639"/>
    <cellStyle name="Heading 1 2 2 4 3 2 8" xfId="13640"/>
    <cellStyle name="Heading 1 2 2 4 3 2 8 2" xfId="13641"/>
    <cellStyle name="Heading 1 2 2 4 3 2 9" xfId="13642"/>
    <cellStyle name="Heading 1 2 2 4 3 20" xfId="13643"/>
    <cellStyle name="Heading 1 2 2 4 3 20 2" xfId="13644"/>
    <cellStyle name="Heading 1 2 2 4 3 21" xfId="13645"/>
    <cellStyle name="Heading 1 2 2 4 3 21 2" xfId="13646"/>
    <cellStyle name="Heading 1 2 2 4 3 22" xfId="13647"/>
    <cellStyle name="Heading 1 2 2 4 3 3" xfId="13648"/>
    <cellStyle name="Heading 1 2 2 4 3 3 2" xfId="13649"/>
    <cellStyle name="Heading 1 2 2 4 3 3 2 2" xfId="13650"/>
    <cellStyle name="Heading 1 2 2 4 3 3 2 2 2" xfId="13651"/>
    <cellStyle name="Heading 1 2 2 4 3 3 2 3" xfId="13652"/>
    <cellStyle name="Heading 1 2 2 4 3 3 3" xfId="13653"/>
    <cellStyle name="Heading 1 2 2 4 3 3 3 2" xfId="13654"/>
    <cellStyle name="Heading 1 2 2 4 3 3 3 2 2" xfId="13655"/>
    <cellStyle name="Heading 1 2 2 4 3 3 3 3" xfId="13656"/>
    <cellStyle name="Heading 1 2 2 4 3 3 4" xfId="13657"/>
    <cellStyle name="Heading 1 2 2 4 3 3 4 2" xfId="13658"/>
    <cellStyle name="Heading 1 2 2 4 3 3 4 2 2" xfId="13659"/>
    <cellStyle name="Heading 1 2 2 4 3 3 4 3" xfId="13660"/>
    <cellStyle name="Heading 1 2 2 4 3 3 5" xfId="13661"/>
    <cellStyle name="Heading 1 2 2 4 3 3 5 2" xfId="13662"/>
    <cellStyle name="Heading 1 2 2 4 3 3 5 2 2" xfId="13663"/>
    <cellStyle name="Heading 1 2 2 4 3 3 5 3" xfId="13664"/>
    <cellStyle name="Heading 1 2 2 4 3 3 6" xfId="13665"/>
    <cellStyle name="Heading 1 2 2 4 3 3 6 2" xfId="13666"/>
    <cellStyle name="Heading 1 2 2 4 3 3 6 2 2" xfId="13667"/>
    <cellStyle name="Heading 1 2 2 4 3 3 6 3" xfId="13668"/>
    <cellStyle name="Heading 1 2 2 4 3 3 7" xfId="13669"/>
    <cellStyle name="Heading 1 2 2 4 3 3 7 2" xfId="13670"/>
    <cellStyle name="Heading 1 2 2 4 3 3 7 2 2" xfId="13671"/>
    <cellStyle name="Heading 1 2 2 4 3 3 7 3" xfId="13672"/>
    <cellStyle name="Heading 1 2 2 4 3 3 8" xfId="13673"/>
    <cellStyle name="Heading 1 2 2 4 3 3 8 2" xfId="13674"/>
    <cellStyle name="Heading 1 2 2 4 3 3 9" xfId="13675"/>
    <cellStyle name="Heading 1 2 2 4 3 4" xfId="13676"/>
    <cellStyle name="Heading 1 2 2 4 3 4 2" xfId="13677"/>
    <cellStyle name="Heading 1 2 2 4 3 4 2 2" xfId="13678"/>
    <cellStyle name="Heading 1 2 2 4 3 4 2 2 2" xfId="13679"/>
    <cellStyle name="Heading 1 2 2 4 3 4 2 3" xfId="13680"/>
    <cellStyle name="Heading 1 2 2 4 3 4 3" xfId="13681"/>
    <cellStyle name="Heading 1 2 2 4 3 4 3 2" xfId="13682"/>
    <cellStyle name="Heading 1 2 2 4 3 4 3 2 2" xfId="13683"/>
    <cellStyle name="Heading 1 2 2 4 3 4 3 3" xfId="13684"/>
    <cellStyle name="Heading 1 2 2 4 3 4 4" xfId="13685"/>
    <cellStyle name="Heading 1 2 2 4 3 4 4 2" xfId="13686"/>
    <cellStyle name="Heading 1 2 2 4 3 4 4 2 2" xfId="13687"/>
    <cellStyle name="Heading 1 2 2 4 3 4 4 3" xfId="13688"/>
    <cellStyle name="Heading 1 2 2 4 3 4 5" xfId="13689"/>
    <cellStyle name="Heading 1 2 2 4 3 4 5 2" xfId="13690"/>
    <cellStyle name="Heading 1 2 2 4 3 4 5 2 2" xfId="13691"/>
    <cellStyle name="Heading 1 2 2 4 3 4 5 3" xfId="13692"/>
    <cellStyle name="Heading 1 2 2 4 3 4 6" xfId="13693"/>
    <cellStyle name="Heading 1 2 2 4 3 4 6 2" xfId="13694"/>
    <cellStyle name="Heading 1 2 2 4 3 4 6 2 2" xfId="13695"/>
    <cellStyle name="Heading 1 2 2 4 3 4 6 3" xfId="13696"/>
    <cellStyle name="Heading 1 2 2 4 3 4 7" xfId="13697"/>
    <cellStyle name="Heading 1 2 2 4 3 4 7 2" xfId="13698"/>
    <cellStyle name="Heading 1 2 2 4 3 4 7 2 2" xfId="13699"/>
    <cellStyle name="Heading 1 2 2 4 3 4 7 3" xfId="13700"/>
    <cellStyle name="Heading 1 2 2 4 3 4 8" xfId="13701"/>
    <cellStyle name="Heading 1 2 2 4 3 4 8 2" xfId="13702"/>
    <cellStyle name="Heading 1 2 2 4 3 4 9" xfId="13703"/>
    <cellStyle name="Heading 1 2 2 4 3 5" xfId="13704"/>
    <cellStyle name="Heading 1 2 2 4 3 5 2" xfId="13705"/>
    <cellStyle name="Heading 1 2 2 4 3 5 2 2" xfId="13706"/>
    <cellStyle name="Heading 1 2 2 4 3 5 2 2 2" xfId="13707"/>
    <cellStyle name="Heading 1 2 2 4 3 5 2 3" xfId="13708"/>
    <cellStyle name="Heading 1 2 2 4 3 5 3" xfId="13709"/>
    <cellStyle name="Heading 1 2 2 4 3 5 3 2" xfId="13710"/>
    <cellStyle name="Heading 1 2 2 4 3 5 3 2 2" xfId="13711"/>
    <cellStyle name="Heading 1 2 2 4 3 5 3 3" xfId="13712"/>
    <cellStyle name="Heading 1 2 2 4 3 5 4" xfId="13713"/>
    <cellStyle name="Heading 1 2 2 4 3 5 4 2" xfId="13714"/>
    <cellStyle name="Heading 1 2 2 4 3 5 4 2 2" xfId="13715"/>
    <cellStyle name="Heading 1 2 2 4 3 5 4 3" xfId="13716"/>
    <cellStyle name="Heading 1 2 2 4 3 5 5" xfId="13717"/>
    <cellStyle name="Heading 1 2 2 4 3 5 5 2" xfId="13718"/>
    <cellStyle name="Heading 1 2 2 4 3 5 5 2 2" xfId="13719"/>
    <cellStyle name="Heading 1 2 2 4 3 5 5 3" xfId="13720"/>
    <cellStyle name="Heading 1 2 2 4 3 5 6" xfId="13721"/>
    <cellStyle name="Heading 1 2 2 4 3 5 6 2" xfId="13722"/>
    <cellStyle name="Heading 1 2 2 4 3 5 6 2 2" xfId="13723"/>
    <cellStyle name="Heading 1 2 2 4 3 5 6 3" xfId="13724"/>
    <cellStyle name="Heading 1 2 2 4 3 5 7" xfId="13725"/>
    <cellStyle name="Heading 1 2 2 4 3 5 7 2" xfId="13726"/>
    <cellStyle name="Heading 1 2 2 4 3 5 7 2 2" xfId="13727"/>
    <cellStyle name="Heading 1 2 2 4 3 5 7 3" xfId="13728"/>
    <cellStyle name="Heading 1 2 2 4 3 5 8" xfId="13729"/>
    <cellStyle name="Heading 1 2 2 4 3 5 8 2" xfId="13730"/>
    <cellStyle name="Heading 1 2 2 4 3 5 9" xfId="13731"/>
    <cellStyle name="Heading 1 2 2 4 3 6" xfId="13732"/>
    <cellStyle name="Heading 1 2 2 4 3 6 2" xfId="13733"/>
    <cellStyle name="Heading 1 2 2 4 3 6 2 2" xfId="13734"/>
    <cellStyle name="Heading 1 2 2 4 3 6 2 2 2" xfId="13735"/>
    <cellStyle name="Heading 1 2 2 4 3 6 2 3" xfId="13736"/>
    <cellStyle name="Heading 1 2 2 4 3 6 3" xfId="13737"/>
    <cellStyle name="Heading 1 2 2 4 3 6 3 2" xfId="13738"/>
    <cellStyle name="Heading 1 2 2 4 3 6 3 2 2" xfId="13739"/>
    <cellStyle name="Heading 1 2 2 4 3 6 3 3" xfId="13740"/>
    <cellStyle name="Heading 1 2 2 4 3 6 4" xfId="13741"/>
    <cellStyle name="Heading 1 2 2 4 3 6 4 2" xfId="13742"/>
    <cellStyle name="Heading 1 2 2 4 3 6 4 2 2" xfId="13743"/>
    <cellStyle name="Heading 1 2 2 4 3 6 4 3" xfId="13744"/>
    <cellStyle name="Heading 1 2 2 4 3 6 5" xfId="13745"/>
    <cellStyle name="Heading 1 2 2 4 3 6 5 2" xfId="13746"/>
    <cellStyle name="Heading 1 2 2 4 3 6 5 2 2" xfId="13747"/>
    <cellStyle name="Heading 1 2 2 4 3 6 5 3" xfId="13748"/>
    <cellStyle name="Heading 1 2 2 4 3 6 6" xfId="13749"/>
    <cellStyle name="Heading 1 2 2 4 3 6 6 2" xfId="13750"/>
    <cellStyle name="Heading 1 2 2 4 3 6 6 2 2" xfId="13751"/>
    <cellStyle name="Heading 1 2 2 4 3 6 6 3" xfId="13752"/>
    <cellStyle name="Heading 1 2 2 4 3 6 7" xfId="13753"/>
    <cellStyle name="Heading 1 2 2 4 3 6 7 2" xfId="13754"/>
    <cellStyle name="Heading 1 2 2 4 3 6 7 2 2" xfId="13755"/>
    <cellStyle name="Heading 1 2 2 4 3 6 7 3" xfId="13756"/>
    <cellStyle name="Heading 1 2 2 4 3 6 8" xfId="13757"/>
    <cellStyle name="Heading 1 2 2 4 3 6 8 2" xfId="13758"/>
    <cellStyle name="Heading 1 2 2 4 3 6 9" xfId="13759"/>
    <cellStyle name="Heading 1 2 2 4 3 7" xfId="13760"/>
    <cellStyle name="Heading 1 2 2 4 3 7 2" xfId="13761"/>
    <cellStyle name="Heading 1 2 2 4 3 7 2 2" xfId="13762"/>
    <cellStyle name="Heading 1 2 2 4 3 7 2 2 2" xfId="13763"/>
    <cellStyle name="Heading 1 2 2 4 3 7 2 3" xfId="13764"/>
    <cellStyle name="Heading 1 2 2 4 3 7 3" xfId="13765"/>
    <cellStyle name="Heading 1 2 2 4 3 7 3 2" xfId="13766"/>
    <cellStyle name="Heading 1 2 2 4 3 7 3 2 2" xfId="13767"/>
    <cellStyle name="Heading 1 2 2 4 3 7 3 3" xfId="13768"/>
    <cellStyle name="Heading 1 2 2 4 3 7 4" xfId="13769"/>
    <cellStyle name="Heading 1 2 2 4 3 7 4 2" xfId="13770"/>
    <cellStyle name="Heading 1 2 2 4 3 7 4 2 2" xfId="13771"/>
    <cellStyle name="Heading 1 2 2 4 3 7 4 3" xfId="13772"/>
    <cellStyle name="Heading 1 2 2 4 3 7 5" xfId="13773"/>
    <cellStyle name="Heading 1 2 2 4 3 7 5 2" xfId="13774"/>
    <cellStyle name="Heading 1 2 2 4 3 7 5 2 2" xfId="13775"/>
    <cellStyle name="Heading 1 2 2 4 3 7 5 3" xfId="13776"/>
    <cellStyle name="Heading 1 2 2 4 3 7 6" xfId="13777"/>
    <cellStyle name="Heading 1 2 2 4 3 7 6 2" xfId="13778"/>
    <cellStyle name="Heading 1 2 2 4 3 7 6 2 2" xfId="13779"/>
    <cellStyle name="Heading 1 2 2 4 3 7 6 3" xfId="13780"/>
    <cellStyle name="Heading 1 2 2 4 3 7 7" xfId="13781"/>
    <cellStyle name="Heading 1 2 2 4 3 7 7 2" xfId="13782"/>
    <cellStyle name="Heading 1 2 2 4 3 7 7 2 2" xfId="13783"/>
    <cellStyle name="Heading 1 2 2 4 3 7 7 3" xfId="13784"/>
    <cellStyle name="Heading 1 2 2 4 3 7 8" xfId="13785"/>
    <cellStyle name="Heading 1 2 2 4 3 7 8 2" xfId="13786"/>
    <cellStyle name="Heading 1 2 2 4 3 7 9" xfId="13787"/>
    <cellStyle name="Heading 1 2 2 4 3 8" xfId="13788"/>
    <cellStyle name="Heading 1 2 2 4 3 8 2" xfId="13789"/>
    <cellStyle name="Heading 1 2 2 4 3 8 2 2" xfId="13790"/>
    <cellStyle name="Heading 1 2 2 4 3 8 2 2 2" xfId="13791"/>
    <cellStyle name="Heading 1 2 2 4 3 8 2 3" xfId="13792"/>
    <cellStyle name="Heading 1 2 2 4 3 8 3" xfId="13793"/>
    <cellStyle name="Heading 1 2 2 4 3 8 3 2" xfId="13794"/>
    <cellStyle name="Heading 1 2 2 4 3 8 3 2 2" xfId="13795"/>
    <cellStyle name="Heading 1 2 2 4 3 8 3 3" xfId="13796"/>
    <cellStyle name="Heading 1 2 2 4 3 8 4" xfId="13797"/>
    <cellStyle name="Heading 1 2 2 4 3 8 4 2" xfId="13798"/>
    <cellStyle name="Heading 1 2 2 4 3 8 4 2 2" xfId="13799"/>
    <cellStyle name="Heading 1 2 2 4 3 8 4 3" xfId="13800"/>
    <cellStyle name="Heading 1 2 2 4 3 8 5" xfId="13801"/>
    <cellStyle name="Heading 1 2 2 4 3 8 5 2" xfId="13802"/>
    <cellStyle name="Heading 1 2 2 4 3 8 5 2 2" xfId="13803"/>
    <cellStyle name="Heading 1 2 2 4 3 8 5 3" xfId="13804"/>
    <cellStyle name="Heading 1 2 2 4 3 8 6" xfId="13805"/>
    <cellStyle name="Heading 1 2 2 4 3 8 6 2" xfId="13806"/>
    <cellStyle name="Heading 1 2 2 4 3 8 6 2 2" xfId="13807"/>
    <cellStyle name="Heading 1 2 2 4 3 8 6 3" xfId="13808"/>
    <cellStyle name="Heading 1 2 2 4 3 8 7" xfId="13809"/>
    <cellStyle name="Heading 1 2 2 4 3 8 7 2" xfId="13810"/>
    <cellStyle name="Heading 1 2 2 4 3 8 7 2 2" xfId="13811"/>
    <cellStyle name="Heading 1 2 2 4 3 8 7 3" xfId="13812"/>
    <cellStyle name="Heading 1 2 2 4 3 8 8" xfId="13813"/>
    <cellStyle name="Heading 1 2 2 4 3 8 8 2" xfId="13814"/>
    <cellStyle name="Heading 1 2 2 4 3 8 9" xfId="13815"/>
    <cellStyle name="Heading 1 2 2 4 3 9" xfId="13816"/>
    <cellStyle name="Heading 1 2 2 4 3 9 2" xfId="13817"/>
    <cellStyle name="Heading 1 2 2 4 3 9 2 2" xfId="13818"/>
    <cellStyle name="Heading 1 2 2 4 3 9 3" xfId="13819"/>
    <cellStyle name="Heading 1 2 2 4 4" xfId="13820"/>
    <cellStyle name="Heading 1 2 2 4 4 2" xfId="13821"/>
    <cellStyle name="Heading 1 2 2 4 4 2 2" xfId="13822"/>
    <cellStyle name="Heading 1 2 2 4 4 3" xfId="13823"/>
    <cellStyle name="Heading 1 2 2 4 5" xfId="13824"/>
    <cellStyle name="Heading 1 2 2 4 5 2" xfId="13825"/>
    <cellStyle name="Heading 1 2 2 4 6" xfId="13826"/>
    <cellStyle name="Heading 1 2 2 5" xfId="13827"/>
    <cellStyle name="Heading 1 2 2 5 2" xfId="13828"/>
    <cellStyle name="Heading 1 2 2 5 2 10" xfId="13829"/>
    <cellStyle name="Heading 1 2 2 5 2 10 2" xfId="13830"/>
    <cellStyle name="Heading 1 2 2 5 2 10 2 2" xfId="13831"/>
    <cellStyle name="Heading 1 2 2 5 2 10 3" xfId="13832"/>
    <cellStyle name="Heading 1 2 2 5 2 11" xfId="13833"/>
    <cellStyle name="Heading 1 2 2 5 2 11 2" xfId="13834"/>
    <cellStyle name="Heading 1 2 2 5 2 11 2 2" xfId="13835"/>
    <cellStyle name="Heading 1 2 2 5 2 11 3" xfId="13836"/>
    <cellStyle name="Heading 1 2 2 5 2 12" xfId="13837"/>
    <cellStyle name="Heading 1 2 2 5 2 12 2" xfId="13838"/>
    <cellStyle name="Heading 1 2 2 5 2 12 2 2" xfId="13839"/>
    <cellStyle name="Heading 1 2 2 5 2 12 3" xfId="13840"/>
    <cellStyle name="Heading 1 2 2 5 2 13" xfId="13841"/>
    <cellStyle name="Heading 1 2 2 5 2 13 2" xfId="13842"/>
    <cellStyle name="Heading 1 2 2 5 2 13 2 2" xfId="13843"/>
    <cellStyle name="Heading 1 2 2 5 2 13 3" xfId="13844"/>
    <cellStyle name="Heading 1 2 2 5 2 14" xfId="13845"/>
    <cellStyle name="Heading 1 2 2 5 2 14 2" xfId="13846"/>
    <cellStyle name="Heading 1 2 2 5 2 14 2 2" xfId="13847"/>
    <cellStyle name="Heading 1 2 2 5 2 14 3" xfId="13848"/>
    <cellStyle name="Heading 1 2 2 5 2 15" xfId="13849"/>
    <cellStyle name="Heading 1 2 2 5 2 15 2" xfId="13850"/>
    <cellStyle name="Heading 1 2 2 5 2 15 2 2" xfId="13851"/>
    <cellStyle name="Heading 1 2 2 5 2 15 3" xfId="13852"/>
    <cellStyle name="Heading 1 2 2 5 2 16" xfId="13853"/>
    <cellStyle name="Heading 1 2 2 5 2 16 2" xfId="13854"/>
    <cellStyle name="Heading 1 2 2 5 2 16 2 2" xfId="13855"/>
    <cellStyle name="Heading 1 2 2 5 2 16 3" xfId="13856"/>
    <cellStyle name="Heading 1 2 2 5 2 17" xfId="13857"/>
    <cellStyle name="Heading 1 2 2 5 2 17 2" xfId="13858"/>
    <cellStyle name="Heading 1 2 2 5 2 17 2 2" xfId="13859"/>
    <cellStyle name="Heading 1 2 2 5 2 17 3" xfId="13860"/>
    <cellStyle name="Heading 1 2 2 5 2 18" xfId="13861"/>
    <cellStyle name="Heading 1 2 2 5 2 18 2" xfId="13862"/>
    <cellStyle name="Heading 1 2 2 5 2 18 2 2" xfId="13863"/>
    <cellStyle name="Heading 1 2 2 5 2 18 3" xfId="13864"/>
    <cellStyle name="Heading 1 2 2 5 2 19" xfId="13865"/>
    <cellStyle name="Heading 1 2 2 5 2 19 2" xfId="13866"/>
    <cellStyle name="Heading 1 2 2 5 2 19 2 2" xfId="13867"/>
    <cellStyle name="Heading 1 2 2 5 2 19 3" xfId="13868"/>
    <cellStyle name="Heading 1 2 2 5 2 2" xfId="13869"/>
    <cellStyle name="Heading 1 2 2 5 2 2 10" xfId="13870"/>
    <cellStyle name="Heading 1 2 2 5 2 2 10 2" xfId="13871"/>
    <cellStyle name="Heading 1 2 2 5 2 2 10 2 2" xfId="13872"/>
    <cellStyle name="Heading 1 2 2 5 2 2 10 3" xfId="13873"/>
    <cellStyle name="Heading 1 2 2 5 2 2 11" xfId="13874"/>
    <cellStyle name="Heading 1 2 2 5 2 2 11 2" xfId="13875"/>
    <cellStyle name="Heading 1 2 2 5 2 2 11 2 2" xfId="13876"/>
    <cellStyle name="Heading 1 2 2 5 2 2 11 3" xfId="13877"/>
    <cellStyle name="Heading 1 2 2 5 2 2 12" xfId="13878"/>
    <cellStyle name="Heading 1 2 2 5 2 2 12 2" xfId="13879"/>
    <cellStyle name="Heading 1 2 2 5 2 2 12 2 2" xfId="13880"/>
    <cellStyle name="Heading 1 2 2 5 2 2 12 3" xfId="13881"/>
    <cellStyle name="Heading 1 2 2 5 2 2 13" xfId="13882"/>
    <cellStyle name="Heading 1 2 2 5 2 2 13 2" xfId="13883"/>
    <cellStyle name="Heading 1 2 2 5 2 2 13 2 2" xfId="13884"/>
    <cellStyle name="Heading 1 2 2 5 2 2 13 3" xfId="13885"/>
    <cellStyle name="Heading 1 2 2 5 2 2 14" xfId="13886"/>
    <cellStyle name="Heading 1 2 2 5 2 2 14 2" xfId="13887"/>
    <cellStyle name="Heading 1 2 2 5 2 2 14 2 2" xfId="13888"/>
    <cellStyle name="Heading 1 2 2 5 2 2 14 3" xfId="13889"/>
    <cellStyle name="Heading 1 2 2 5 2 2 15" xfId="13890"/>
    <cellStyle name="Heading 1 2 2 5 2 2 15 2" xfId="13891"/>
    <cellStyle name="Heading 1 2 2 5 2 2 15 2 2" xfId="13892"/>
    <cellStyle name="Heading 1 2 2 5 2 2 15 3" xfId="13893"/>
    <cellStyle name="Heading 1 2 2 5 2 2 16" xfId="13894"/>
    <cellStyle name="Heading 1 2 2 5 2 2 16 2" xfId="13895"/>
    <cellStyle name="Heading 1 2 2 5 2 2 16 2 2" xfId="13896"/>
    <cellStyle name="Heading 1 2 2 5 2 2 16 3" xfId="13897"/>
    <cellStyle name="Heading 1 2 2 5 2 2 17" xfId="13898"/>
    <cellStyle name="Heading 1 2 2 5 2 2 17 2" xfId="13899"/>
    <cellStyle name="Heading 1 2 2 5 2 2 17 2 2" xfId="13900"/>
    <cellStyle name="Heading 1 2 2 5 2 2 17 3" xfId="13901"/>
    <cellStyle name="Heading 1 2 2 5 2 2 18" xfId="13902"/>
    <cellStyle name="Heading 1 2 2 5 2 2 18 2" xfId="13903"/>
    <cellStyle name="Heading 1 2 2 5 2 2 18 2 2" xfId="13904"/>
    <cellStyle name="Heading 1 2 2 5 2 2 18 3" xfId="13905"/>
    <cellStyle name="Heading 1 2 2 5 2 2 19" xfId="13906"/>
    <cellStyle name="Heading 1 2 2 5 2 2 19 2" xfId="13907"/>
    <cellStyle name="Heading 1 2 2 5 2 2 2" xfId="13908"/>
    <cellStyle name="Heading 1 2 2 5 2 2 2 2" xfId="13909"/>
    <cellStyle name="Heading 1 2 2 5 2 2 2 2 2" xfId="13910"/>
    <cellStyle name="Heading 1 2 2 5 2 2 2 2 2 2" xfId="13911"/>
    <cellStyle name="Heading 1 2 2 5 2 2 2 2 3" xfId="13912"/>
    <cellStyle name="Heading 1 2 2 5 2 2 2 3" xfId="13913"/>
    <cellStyle name="Heading 1 2 2 5 2 2 2 3 2" xfId="13914"/>
    <cellStyle name="Heading 1 2 2 5 2 2 2 3 2 2" xfId="13915"/>
    <cellStyle name="Heading 1 2 2 5 2 2 2 3 3" xfId="13916"/>
    <cellStyle name="Heading 1 2 2 5 2 2 2 4" xfId="13917"/>
    <cellStyle name="Heading 1 2 2 5 2 2 2 4 2" xfId="13918"/>
    <cellStyle name="Heading 1 2 2 5 2 2 2 4 2 2" xfId="13919"/>
    <cellStyle name="Heading 1 2 2 5 2 2 2 4 3" xfId="13920"/>
    <cellStyle name="Heading 1 2 2 5 2 2 2 5" xfId="13921"/>
    <cellStyle name="Heading 1 2 2 5 2 2 2 5 2" xfId="13922"/>
    <cellStyle name="Heading 1 2 2 5 2 2 2 5 2 2" xfId="13923"/>
    <cellStyle name="Heading 1 2 2 5 2 2 2 5 3" xfId="13924"/>
    <cellStyle name="Heading 1 2 2 5 2 2 2 6" xfId="13925"/>
    <cellStyle name="Heading 1 2 2 5 2 2 2 6 2" xfId="13926"/>
    <cellStyle name="Heading 1 2 2 5 2 2 2 6 2 2" xfId="13927"/>
    <cellStyle name="Heading 1 2 2 5 2 2 2 6 3" xfId="13928"/>
    <cellStyle name="Heading 1 2 2 5 2 2 2 7" xfId="13929"/>
    <cellStyle name="Heading 1 2 2 5 2 2 2 7 2" xfId="13930"/>
    <cellStyle name="Heading 1 2 2 5 2 2 2 7 2 2" xfId="13931"/>
    <cellStyle name="Heading 1 2 2 5 2 2 2 7 3" xfId="13932"/>
    <cellStyle name="Heading 1 2 2 5 2 2 2 8" xfId="13933"/>
    <cellStyle name="Heading 1 2 2 5 2 2 2 8 2" xfId="13934"/>
    <cellStyle name="Heading 1 2 2 5 2 2 2 9" xfId="13935"/>
    <cellStyle name="Heading 1 2 2 5 2 2 20" xfId="13936"/>
    <cellStyle name="Heading 1 2 2 5 2 2 20 2" xfId="13937"/>
    <cellStyle name="Heading 1 2 2 5 2 2 21" xfId="13938"/>
    <cellStyle name="Heading 1 2 2 5 2 2 21 2" xfId="13939"/>
    <cellStyle name="Heading 1 2 2 5 2 2 22" xfId="13940"/>
    <cellStyle name="Heading 1 2 2 5 2 2 3" xfId="13941"/>
    <cellStyle name="Heading 1 2 2 5 2 2 3 2" xfId="13942"/>
    <cellStyle name="Heading 1 2 2 5 2 2 3 2 2" xfId="13943"/>
    <cellStyle name="Heading 1 2 2 5 2 2 3 2 2 2" xfId="13944"/>
    <cellStyle name="Heading 1 2 2 5 2 2 3 2 3" xfId="13945"/>
    <cellStyle name="Heading 1 2 2 5 2 2 3 3" xfId="13946"/>
    <cellStyle name="Heading 1 2 2 5 2 2 3 3 2" xfId="13947"/>
    <cellStyle name="Heading 1 2 2 5 2 2 3 3 2 2" xfId="13948"/>
    <cellStyle name="Heading 1 2 2 5 2 2 3 3 3" xfId="13949"/>
    <cellStyle name="Heading 1 2 2 5 2 2 3 4" xfId="13950"/>
    <cellStyle name="Heading 1 2 2 5 2 2 3 4 2" xfId="13951"/>
    <cellStyle name="Heading 1 2 2 5 2 2 3 4 2 2" xfId="13952"/>
    <cellStyle name="Heading 1 2 2 5 2 2 3 4 3" xfId="13953"/>
    <cellStyle name="Heading 1 2 2 5 2 2 3 5" xfId="13954"/>
    <cellStyle name="Heading 1 2 2 5 2 2 3 5 2" xfId="13955"/>
    <cellStyle name="Heading 1 2 2 5 2 2 3 5 2 2" xfId="13956"/>
    <cellStyle name="Heading 1 2 2 5 2 2 3 5 3" xfId="13957"/>
    <cellStyle name="Heading 1 2 2 5 2 2 3 6" xfId="13958"/>
    <cellStyle name="Heading 1 2 2 5 2 2 3 6 2" xfId="13959"/>
    <cellStyle name="Heading 1 2 2 5 2 2 3 6 2 2" xfId="13960"/>
    <cellStyle name="Heading 1 2 2 5 2 2 3 6 3" xfId="13961"/>
    <cellStyle name="Heading 1 2 2 5 2 2 3 7" xfId="13962"/>
    <cellStyle name="Heading 1 2 2 5 2 2 3 7 2" xfId="13963"/>
    <cellStyle name="Heading 1 2 2 5 2 2 3 7 2 2" xfId="13964"/>
    <cellStyle name="Heading 1 2 2 5 2 2 3 7 3" xfId="13965"/>
    <cellStyle name="Heading 1 2 2 5 2 2 3 8" xfId="13966"/>
    <cellStyle name="Heading 1 2 2 5 2 2 3 8 2" xfId="13967"/>
    <cellStyle name="Heading 1 2 2 5 2 2 3 9" xfId="13968"/>
    <cellStyle name="Heading 1 2 2 5 2 2 4" xfId="13969"/>
    <cellStyle name="Heading 1 2 2 5 2 2 4 2" xfId="13970"/>
    <cellStyle name="Heading 1 2 2 5 2 2 4 2 2" xfId="13971"/>
    <cellStyle name="Heading 1 2 2 5 2 2 4 2 2 2" xfId="13972"/>
    <cellStyle name="Heading 1 2 2 5 2 2 4 2 3" xfId="13973"/>
    <cellStyle name="Heading 1 2 2 5 2 2 4 3" xfId="13974"/>
    <cellStyle name="Heading 1 2 2 5 2 2 4 3 2" xfId="13975"/>
    <cellStyle name="Heading 1 2 2 5 2 2 4 3 2 2" xfId="13976"/>
    <cellStyle name="Heading 1 2 2 5 2 2 4 3 3" xfId="13977"/>
    <cellStyle name="Heading 1 2 2 5 2 2 4 4" xfId="13978"/>
    <cellStyle name="Heading 1 2 2 5 2 2 4 4 2" xfId="13979"/>
    <cellStyle name="Heading 1 2 2 5 2 2 4 4 2 2" xfId="13980"/>
    <cellStyle name="Heading 1 2 2 5 2 2 4 4 3" xfId="13981"/>
    <cellStyle name="Heading 1 2 2 5 2 2 4 5" xfId="13982"/>
    <cellStyle name="Heading 1 2 2 5 2 2 4 5 2" xfId="13983"/>
    <cellStyle name="Heading 1 2 2 5 2 2 4 5 2 2" xfId="13984"/>
    <cellStyle name="Heading 1 2 2 5 2 2 4 5 3" xfId="13985"/>
    <cellStyle name="Heading 1 2 2 5 2 2 4 6" xfId="13986"/>
    <cellStyle name="Heading 1 2 2 5 2 2 4 6 2" xfId="13987"/>
    <cellStyle name="Heading 1 2 2 5 2 2 4 6 2 2" xfId="13988"/>
    <cellStyle name="Heading 1 2 2 5 2 2 4 6 3" xfId="13989"/>
    <cellStyle name="Heading 1 2 2 5 2 2 4 7" xfId="13990"/>
    <cellStyle name="Heading 1 2 2 5 2 2 4 7 2" xfId="13991"/>
    <cellStyle name="Heading 1 2 2 5 2 2 4 7 2 2" xfId="13992"/>
    <cellStyle name="Heading 1 2 2 5 2 2 4 7 3" xfId="13993"/>
    <cellStyle name="Heading 1 2 2 5 2 2 4 8" xfId="13994"/>
    <cellStyle name="Heading 1 2 2 5 2 2 4 8 2" xfId="13995"/>
    <cellStyle name="Heading 1 2 2 5 2 2 4 9" xfId="13996"/>
    <cellStyle name="Heading 1 2 2 5 2 2 5" xfId="13997"/>
    <cellStyle name="Heading 1 2 2 5 2 2 5 2" xfId="13998"/>
    <cellStyle name="Heading 1 2 2 5 2 2 5 2 2" xfId="13999"/>
    <cellStyle name="Heading 1 2 2 5 2 2 5 2 2 2" xfId="14000"/>
    <cellStyle name="Heading 1 2 2 5 2 2 5 2 3" xfId="14001"/>
    <cellStyle name="Heading 1 2 2 5 2 2 5 3" xfId="14002"/>
    <cellStyle name="Heading 1 2 2 5 2 2 5 3 2" xfId="14003"/>
    <cellStyle name="Heading 1 2 2 5 2 2 5 3 2 2" xfId="14004"/>
    <cellStyle name="Heading 1 2 2 5 2 2 5 3 3" xfId="14005"/>
    <cellStyle name="Heading 1 2 2 5 2 2 5 4" xfId="14006"/>
    <cellStyle name="Heading 1 2 2 5 2 2 5 4 2" xfId="14007"/>
    <cellStyle name="Heading 1 2 2 5 2 2 5 4 2 2" xfId="14008"/>
    <cellStyle name="Heading 1 2 2 5 2 2 5 4 3" xfId="14009"/>
    <cellStyle name="Heading 1 2 2 5 2 2 5 5" xfId="14010"/>
    <cellStyle name="Heading 1 2 2 5 2 2 5 5 2" xfId="14011"/>
    <cellStyle name="Heading 1 2 2 5 2 2 5 5 2 2" xfId="14012"/>
    <cellStyle name="Heading 1 2 2 5 2 2 5 5 3" xfId="14013"/>
    <cellStyle name="Heading 1 2 2 5 2 2 5 6" xfId="14014"/>
    <cellStyle name="Heading 1 2 2 5 2 2 5 6 2" xfId="14015"/>
    <cellStyle name="Heading 1 2 2 5 2 2 5 6 2 2" xfId="14016"/>
    <cellStyle name="Heading 1 2 2 5 2 2 5 6 3" xfId="14017"/>
    <cellStyle name="Heading 1 2 2 5 2 2 5 7" xfId="14018"/>
    <cellStyle name="Heading 1 2 2 5 2 2 5 7 2" xfId="14019"/>
    <cellStyle name="Heading 1 2 2 5 2 2 5 7 2 2" xfId="14020"/>
    <cellStyle name="Heading 1 2 2 5 2 2 5 7 3" xfId="14021"/>
    <cellStyle name="Heading 1 2 2 5 2 2 5 8" xfId="14022"/>
    <cellStyle name="Heading 1 2 2 5 2 2 5 8 2" xfId="14023"/>
    <cellStyle name="Heading 1 2 2 5 2 2 5 9" xfId="14024"/>
    <cellStyle name="Heading 1 2 2 5 2 2 6" xfId="14025"/>
    <cellStyle name="Heading 1 2 2 5 2 2 6 2" xfId="14026"/>
    <cellStyle name="Heading 1 2 2 5 2 2 6 2 2" xfId="14027"/>
    <cellStyle name="Heading 1 2 2 5 2 2 6 2 2 2" xfId="14028"/>
    <cellStyle name="Heading 1 2 2 5 2 2 6 2 3" xfId="14029"/>
    <cellStyle name="Heading 1 2 2 5 2 2 6 3" xfId="14030"/>
    <cellStyle name="Heading 1 2 2 5 2 2 6 3 2" xfId="14031"/>
    <cellStyle name="Heading 1 2 2 5 2 2 6 3 2 2" xfId="14032"/>
    <cellStyle name="Heading 1 2 2 5 2 2 6 3 3" xfId="14033"/>
    <cellStyle name="Heading 1 2 2 5 2 2 6 4" xfId="14034"/>
    <cellStyle name="Heading 1 2 2 5 2 2 6 4 2" xfId="14035"/>
    <cellStyle name="Heading 1 2 2 5 2 2 6 4 2 2" xfId="14036"/>
    <cellStyle name="Heading 1 2 2 5 2 2 6 4 3" xfId="14037"/>
    <cellStyle name="Heading 1 2 2 5 2 2 6 5" xfId="14038"/>
    <cellStyle name="Heading 1 2 2 5 2 2 6 5 2" xfId="14039"/>
    <cellStyle name="Heading 1 2 2 5 2 2 6 5 2 2" xfId="14040"/>
    <cellStyle name="Heading 1 2 2 5 2 2 6 5 3" xfId="14041"/>
    <cellStyle name="Heading 1 2 2 5 2 2 6 6" xfId="14042"/>
    <cellStyle name="Heading 1 2 2 5 2 2 6 6 2" xfId="14043"/>
    <cellStyle name="Heading 1 2 2 5 2 2 6 6 2 2" xfId="14044"/>
    <cellStyle name="Heading 1 2 2 5 2 2 6 6 3" xfId="14045"/>
    <cellStyle name="Heading 1 2 2 5 2 2 6 7" xfId="14046"/>
    <cellStyle name="Heading 1 2 2 5 2 2 6 7 2" xfId="14047"/>
    <cellStyle name="Heading 1 2 2 5 2 2 6 7 2 2" xfId="14048"/>
    <cellStyle name="Heading 1 2 2 5 2 2 6 7 3" xfId="14049"/>
    <cellStyle name="Heading 1 2 2 5 2 2 6 8" xfId="14050"/>
    <cellStyle name="Heading 1 2 2 5 2 2 6 8 2" xfId="14051"/>
    <cellStyle name="Heading 1 2 2 5 2 2 6 9" xfId="14052"/>
    <cellStyle name="Heading 1 2 2 5 2 2 7" xfId="14053"/>
    <cellStyle name="Heading 1 2 2 5 2 2 7 2" xfId="14054"/>
    <cellStyle name="Heading 1 2 2 5 2 2 7 2 2" xfId="14055"/>
    <cellStyle name="Heading 1 2 2 5 2 2 7 2 2 2" xfId="14056"/>
    <cellStyle name="Heading 1 2 2 5 2 2 7 2 3" xfId="14057"/>
    <cellStyle name="Heading 1 2 2 5 2 2 7 3" xfId="14058"/>
    <cellStyle name="Heading 1 2 2 5 2 2 7 3 2" xfId="14059"/>
    <cellStyle name="Heading 1 2 2 5 2 2 7 3 2 2" xfId="14060"/>
    <cellStyle name="Heading 1 2 2 5 2 2 7 3 3" xfId="14061"/>
    <cellStyle name="Heading 1 2 2 5 2 2 7 4" xfId="14062"/>
    <cellStyle name="Heading 1 2 2 5 2 2 7 4 2" xfId="14063"/>
    <cellStyle name="Heading 1 2 2 5 2 2 7 4 2 2" xfId="14064"/>
    <cellStyle name="Heading 1 2 2 5 2 2 7 4 3" xfId="14065"/>
    <cellStyle name="Heading 1 2 2 5 2 2 7 5" xfId="14066"/>
    <cellStyle name="Heading 1 2 2 5 2 2 7 5 2" xfId="14067"/>
    <cellStyle name="Heading 1 2 2 5 2 2 7 5 2 2" xfId="14068"/>
    <cellStyle name="Heading 1 2 2 5 2 2 7 5 3" xfId="14069"/>
    <cellStyle name="Heading 1 2 2 5 2 2 7 6" xfId="14070"/>
    <cellStyle name="Heading 1 2 2 5 2 2 7 6 2" xfId="14071"/>
    <cellStyle name="Heading 1 2 2 5 2 2 7 6 2 2" xfId="14072"/>
    <cellStyle name="Heading 1 2 2 5 2 2 7 6 3" xfId="14073"/>
    <cellStyle name="Heading 1 2 2 5 2 2 7 7" xfId="14074"/>
    <cellStyle name="Heading 1 2 2 5 2 2 7 7 2" xfId="14075"/>
    <cellStyle name="Heading 1 2 2 5 2 2 7 7 2 2" xfId="14076"/>
    <cellStyle name="Heading 1 2 2 5 2 2 7 7 3" xfId="14077"/>
    <cellStyle name="Heading 1 2 2 5 2 2 7 8" xfId="14078"/>
    <cellStyle name="Heading 1 2 2 5 2 2 7 8 2" xfId="14079"/>
    <cellStyle name="Heading 1 2 2 5 2 2 7 9" xfId="14080"/>
    <cellStyle name="Heading 1 2 2 5 2 2 8" xfId="14081"/>
    <cellStyle name="Heading 1 2 2 5 2 2 8 2" xfId="14082"/>
    <cellStyle name="Heading 1 2 2 5 2 2 8 2 2" xfId="14083"/>
    <cellStyle name="Heading 1 2 2 5 2 2 8 2 2 2" xfId="14084"/>
    <cellStyle name="Heading 1 2 2 5 2 2 8 2 3" xfId="14085"/>
    <cellStyle name="Heading 1 2 2 5 2 2 8 3" xfId="14086"/>
    <cellStyle name="Heading 1 2 2 5 2 2 8 3 2" xfId="14087"/>
    <cellStyle name="Heading 1 2 2 5 2 2 8 3 2 2" xfId="14088"/>
    <cellStyle name="Heading 1 2 2 5 2 2 8 3 3" xfId="14089"/>
    <cellStyle name="Heading 1 2 2 5 2 2 8 4" xfId="14090"/>
    <cellStyle name="Heading 1 2 2 5 2 2 8 4 2" xfId="14091"/>
    <cellStyle name="Heading 1 2 2 5 2 2 8 4 2 2" xfId="14092"/>
    <cellStyle name="Heading 1 2 2 5 2 2 8 4 3" xfId="14093"/>
    <cellStyle name="Heading 1 2 2 5 2 2 8 5" xfId="14094"/>
    <cellStyle name="Heading 1 2 2 5 2 2 8 5 2" xfId="14095"/>
    <cellStyle name="Heading 1 2 2 5 2 2 8 5 2 2" xfId="14096"/>
    <cellStyle name="Heading 1 2 2 5 2 2 8 5 3" xfId="14097"/>
    <cellStyle name="Heading 1 2 2 5 2 2 8 6" xfId="14098"/>
    <cellStyle name="Heading 1 2 2 5 2 2 8 6 2" xfId="14099"/>
    <cellStyle name="Heading 1 2 2 5 2 2 8 6 2 2" xfId="14100"/>
    <cellStyle name="Heading 1 2 2 5 2 2 8 6 3" xfId="14101"/>
    <cellStyle name="Heading 1 2 2 5 2 2 8 7" xfId="14102"/>
    <cellStyle name="Heading 1 2 2 5 2 2 8 7 2" xfId="14103"/>
    <cellStyle name="Heading 1 2 2 5 2 2 8 7 2 2" xfId="14104"/>
    <cellStyle name="Heading 1 2 2 5 2 2 8 7 3" xfId="14105"/>
    <cellStyle name="Heading 1 2 2 5 2 2 8 8" xfId="14106"/>
    <cellStyle name="Heading 1 2 2 5 2 2 8 8 2" xfId="14107"/>
    <cellStyle name="Heading 1 2 2 5 2 2 8 9" xfId="14108"/>
    <cellStyle name="Heading 1 2 2 5 2 2 9" xfId="14109"/>
    <cellStyle name="Heading 1 2 2 5 2 2 9 2" xfId="14110"/>
    <cellStyle name="Heading 1 2 2 5 2 2 9 2 2" xfId="14111"/>
    <cellStyle name="Heading 1 2 2 5 2 2 9 3" xfId="14112"/>
    <cellStyle name="Heading 1 2 2 5 2 20" xfId="14113"/>
    <cellStyle name="Heading 1 2 2 5 2 20 2" xfId="14114"/>
    <cellStyle name="Heading 1 2 2 5 2 21" xfId="14115"/>
    <cellStyle name="Heading 1 2 2 5 2 21 2" xfId="14116"/>
    <cellStyle name="Heading 1 2 2 5 2 22" xfId="14117"/>
    <cellStyle name="Heading 1 2 2 5 2 22 2" xfId="14118"/>
    <cellStyle name="Heading 1 2 2 5 2 23" xfId="14119"/>
    <cellStyle name="Heading 1 2 2 5 2 3" xfId="14120"/>
    <cellStyle name="Heading 1 2 2 5 2 3 2" xfId="14121"/>
    <cellStyle name="Heading 1 2 2 5 2 3 2 2" xfId="14122"/>
    <cellStyle name="Heading 1 2 2 5 2 3 2 2 2" xfId="14123"/>
    <cellStyle name="Heading 1 2 2 5 2 3 2 3" xfId="14124"/>
    <cellStyle name="Heading 1 2 2 5 2 3 3" xfId="14125"/>
    <cellStyle name="Heading 1 2 2 5 2 3 3 2" xfId="14126"/>
    <cellStyle name="Heading 1 2 2 5 2 3 3 2 2" xfId="14127"/>
    <cellStyle name="Heading 1 2 2 5 2 3 3 3" xfId="14128"/>
    <cellStyle name="Heading 1 2 2 5 2 3 4" xfId="14129"/>
    <cellStyle name="Heading 1 2 2 5 2 3 4 2" xfId="14130"/>
    <cellStyle name="Heading 1 2 2 5 2 3 4 2 2" xfId="14131"/>
    <cellStyle name="Heading 1 2 2 5 2 3 4 3" xfId="14132"/>
    <cellStyle name="Heading 1 2 2 5 2 3 5" xfId="14133"/>
    <cellStyle name="Heading 1 2 2 5 2 3 5 2" xfId="14134"/>
    <cellStyle name="Heading 1 2 2 5 2 3 5 2 2" xfId="14135"/>
    <cellStyle name="Heading 1 2 2 5 2 3 5 3" xfId="14136"/>
    <cellStyle name="Heading 1 2 2 5 2 3 6" xfId="14137"/>
    <cellStyle name="Heading 1 2 2 5 2 3 6 2" xfId="14138"/>
    <cellStyle name="Heading 1 2 2 5 2 3 6 2 2" xfId="14139"/>
    <cellStyle name="Heading 1 2 2 5 2 3 6 3" xfId="14140"/>
    <cellStyle name="Heading 1 2 2 5 2 3 7" xfId="14141"/>
    <cellStyle name="Heading 1 2 2 5 2 3 7 2" xfId="14142"/>
    <cellStyle name="Heading 1 2 2 5 2 3 7 2 2" xfId="14143"/>
    <cellStyle name="Heading 1 2 2 5 2 3 7 3" xfId="14144"/>
    <cellStyle name="Heading 1 2 2 5 2 3 8" xfId="14145"/>
    <cellStyle name="Heading 1 2 2 5 2 3 8 2" xfId="14146"/>
    <cellStyle name="Heading 1 2 2 5 2 3 9" xfId="14147"/>
    <cellStyle name="Heading 1 2 2 5 2 4" xfId="14148"/>
    <cellStyle name="Heading 1 2 2 5 2 4 2" xfId="14149"/>
    <cellStyle name="Heading 1 2 2 5 2 4 2 2" xfId="14150"/>
    <cellStyle name="Heading 1 2 2 5 2 4 2 2 2" xfId="14151"/>
    <cellStyle name="Heading 1 2 2 5 2 4 2 3" xfId="14152"/>
    <cellStyle name="Heading 1 2 2 5 2 4 3" xfId="14153"/>
    <cellStyle name="Heading 1 2 2 5 2 4 3 2" xfId="14154"/>
    <cellStyle name="Heading 1 2 2 5 2 4 3 2 2" xfId="14155"/>
    <cellStyle name="Heading 1 2 2 5 2 4 3 3" xfId="14156"/>
    <cellStyle name="Heading 1 2 2 5 2 4 4" xfId="14157"/>
    <cellStyle name="Heading 1 2 2 5 2 4 4 2" xfId="14158"/>
    <cellStyle name="Heading 1 2 2 5 2 4 4 2 2" xfId="14159"/>
    <cellStyle name="Heading 1 2 2 5 2 4 4 3" xfId="14160"/>
    <cellStyle name="Heading 1 2 2 5 2 4 5" xfId="14161"/>
    <cellStyle name="Heading 1 2 2 5 2 4 5 2" xfId="14162"/>
    <cellStyle name="Heading 1 2 2 5 2 4 5 2 2" xfId="14163"/>
    <cellStyle name="Heading 1 2 2 5 2 4 5 3" xfId="14164"/>
    <cellStyle name="Heading 1 2 2 5 2 4 6" xfId="14165"/>
    <cellStyle name="Heading 1 2 2 5 2 4 6 2" xfId="14166"/>
    <cellStyle name="Heading 1 2 2 5 2 4 6 2 2" xfId="14167"/>
    <cellStyle name="Heading 1 2 2 5 2 4 6 3" xfId="14168"/>
    <cellStyle name="Heading 1 2 2 5 2 4 7" xfId="14169"/>
    <cellStyle name="Heading 1 2 2 5 2 4 7 2" xfId="14170"/>
    <cellStyle name="Heading 1 2 2 5 2 4 7 2 2" xfId="14171"/>
    <cellStyle name="Heading 1 2 2 5 2 4 7 3" xfId="14172"/>
    <cellStyle name="Heading 1 2 2 5 2 4 8" xfId="14173"/>
    <cellStyle name="Heading 1 2 2 5 2 4 8 2" xfId="14174"/>
    <cellStyle name="Heading 1 2 2 5 2 4 9" xfId="14175"/>
    <cellStyle name="Heading 1 2 2 5 2 5" xfId="14176"/>
    <cellStyle name="Heading 1 2 2 5 2 5 2" xfId="14177"/>
    <cellStyle name="Heading 1 2 2 5 2 5 2 2" xfId="14178"/>
    <cellStyle name="Heading 1 2 2 5 2 5 2 2 2" xfId="14179"/>
    <cellStyle name="Heading 1 2 2 5 2 5 2 3" xfId="14180"/>
    <cellStyle name="Heading 1 2 2 5 2 5 3" xfId="14181"/>
    <cellStyle name="Heading 1 2 2 5 2 5 3 2" xfId="14182"/>
    <cellStyle name="Heading 1 2 2 5 2 5 3 2 2" xfId="14183"/>
    <cellStyle name="Heading 1 2 2 5 2 5 3 3" xfId="14184"/>
    <cellStyle name="Heading 1 2 2 5 2 5 4" xfId="14185"/>
    <cellStyle name="Heading 1 2 2 5 2 5 4 2" xfId="14186"/>
    <cellStyle name="Heading 1 2 2 5 2 5 4 2 2" xfId="14187"/>
    <cellStyle name="Heading 1 2 2 5 2 5 4 3" xfId="14188"/>
    <cellStyle name="Heading 1 2 2 5 2 5 5" xfId="14189"/>
    <cellStyle name="Heading 1 2 2 5 2 5 5 2" xfId="14190"/>
    <cellStyle name="Heading 1 2 2 5 2 5 5 2 2" xfId="14191"/>
    <cellStyle name="Heading 1 2 2 5 2 5 5 3" xfId="14192"/>
    <cellStyle name="Heading 1 2 2 5 2 5 6" xfId="14193"/>
    <cellStyle name="Heading 1 2 2 5 2 5 6 2" xfId="14194"/>
    <cellStyle name="Heading 1 2 2 5 2 5 6 2 2" xfId="14195"/>
    <cellStyle name="Heading 1 2 2 5 2 5 6 3" xfId="14196"/>
    <cellStyle name="Heading 1 2 2 5 2 5 7" xfId="14197"/>
    <cellStyle name="Heading 1 2 2 5 2 5 7 2" xfId="14198"/>
    <cellStyle name="Heading 1 2 2 5 2 5 7 2 2" xfId="14199"/>
    <cellStyle name="Heading 1 2 2 5 2 5 7 3" xfId="14200"/>
    <cellStyle name="Heading 1 2 2 5 2 5 8" xfId="14201"/>
    <cellStyle name="Heading 1 2 2 5 2 5 8 2" xfId="14202"/>
    <cellStyle name="Heading 1 2 2 5 2 5 9" xfId="14203"/>
    <cellStyle name="Heading 1 2 2 5 2 6" xfId="14204"/>
    <cellStyle name="Heading 1 2 2 5 2 6 2" xfId="14205"/>
    <cellStyle name="Heading 1 2 2 5 2 6 2 2" xfId="14206"/>
    <cellStyle name="Heading 1 2 2 5 2 6 2 2 2" xfId="14207"/>
    <cellStyle name="Heading 1 2 2 5 2 6 2 3" xfId="14208"/>
    <cellStyle name="Heading 1 2 2 5 2 6 3" xfId="14209"/>
    <cellStyle name="Heading 1 2 2 5 2 6 3 2" xfId="14210"/>
    <cellStyle name="Heading 1 2 2 5 2 6 3 2 2" xfId="14211"/>
    <cellStyle name="Heading 1 2 2 5 2 6 3 3" xfId="14212"/>
    <cellStyle name="Heading 1 2 2 5 2 6 4" xfId="14213"/>
    <cellStyle name="Heading 1 2 2 5 2 6 4 2" xfId="14214"/>
    <cellStyle name="Heading 1 2 2 5 2 6 4 2 2" xfId="14215"/>
    <cellStyle name="Heading 1 2 2 5 2 6 4 3" xfId="14216"/>
    <cellStyle name="Heading 1 2 2 5 2 6 5" xfId="14217"/>
    <cellStyle name="Heading 1 2 2 5 2 6 5 2" xfId="14218"/>
    <cellStyle name="Heading 1 2 2 5 2 6 5 2 2" xfId="14219"/>
    <cellStyle name="Heading 1 2 2 5 2 6 5 3" xfId="14220"/>
    <cellStyle name="Heading 1 2 2 5 2 6 6" xfId="14221"/>
    <cellStyle name="Heading 1 2 2 5 2 6 6 2" xfId="14222"/>
    <cellStyle name="Heading 1 2 2 5 2 6 6 2 2" xfId="14223"/>
    <cellStyle name="Heading 1 2 2 5 2 6 6 3" xfId="14224"/>
    <cellStyle name="Heading 1 2 2 5 2 6 7" xfId="14225"/>
    <cellStyle name="Heading 1 2 2 5 2 6 7 2" xfId="14226"/>
    <cellStyle name="Heading 1 2 2 5 2 6 7 2 2" xfId="14227"/>
    <cellStyle name="Heading 1 2 2 5 2 6 7 3" xfId="14228"/>
    <cellStyle name="Heading 1 2 2 5 2 6 8" xfId="14229"/>
    <cellStyle name="Heading 1 2 2 5 2 6 8 2" xfId="14230"/>
    <cellStyle name="Heading 1 2 2 5 2 6 9" xfId="14231"/>
    <cellStyle name="Heading 1 2 2 5 2 7" xfId="14232"/>
    <cellStyle name="Heading 1 2 2 5 2 7 2" xfId="14233"/>
    <cellStyle name="Heading 1 2 2 5 2 7 2 2" xfId="14234"/>
    <cellStyle name="Heading 1 2 2 5 2 7 2 2 2" xfId="14235"/>
    <cellStyle name="Heading 1 2 2 5 2 7 2 3" xfId="14236"/>
    <cellStyle name="Heading 1 2 2 5 2 7 3" xfId="14237"/>
    <cellStyle name="Heading 1 2 2 5 2 7 3 2" xfId="14238"/>
    <cellStyle name="Heading 1 2 2 5 2 7 3 2 2" xfId="14239"/>
    <cellStyle name="Heading 1 2 2 5 2 7 3 3" xfId="14240"/>
    <cellStyle name="Heading 1 2 2 5 2 7 4" xfId="14241"/>
    <cellStyle name="Heading 1 2 2 5 2 7 4 2" xfId="14242"/>
    <cellStyle name="Heading 1 2 2 5 2 7 4 2 2" xfId="14243"/>
    <cellStyle name="Heading 1 2 2 5 2 7 4 3" xfId="14244"/>
    <cellStyle name="Heading 1 2 2 5 2 7 5" xfId="14245"/>
    <cellStyle name="Heading 1 2 2 5 2 7 5 2" xfId="14246"/>
    <cellStyle name="Heading 1 2 2 5 2 7 5 2 2" xfId="14247"/>
    <cellStyle name="Heading 1 2 2 5 2 7 5 3" xfId="14248"/>
    <cellStyle name="Heading 1 2 2 5 2 7 6" xfId="14249"/>
    <cellStyle name="Heading 1 2 2 5 2 7 6 2" xfId="14250"/>
    <cellStyle name="Heading 1 2 2 5 2 7 6 2 2" xfId="14251"/>
    <cellStyle name="Heading 1 2 2 5 2 7 6 3" xfId="14252"/>
    <cellStyle name="Heading 1 2 2 5 2 7 7" xfId="14253"/>
    <cellStyle name="Heading 1 2 2 5 2 7 7 2" xfId="14254"/>
    <cellStyle name="Heading 1 2 2 5 2 7 7 2 2" xfId="14255"/>
    <cellStyle name="Heading 1 2 2 5 2 7 7 3" xfId="14256"/>
    <cellStyle name="Heading 1 2 2 5 2 7 8" xfId="14257"/>
    <cellStyle name="Heading 1 2 2 5 2 7 8 2" xfId="14258"/>
    <cellStyle name="Heading 1 2 2 5 2 7 9" xfId="14259"/>
    <cellStyle name="Heading 1 2 2 5 2 8" xfId="14260"/>
    <cellStyle name="Heading 1 2 2 5 2 8 2" xfId="14261"/>
    <cellStyle name="Heading 1 2 2 5 2 8 2 2" xfId="14262"/>
    <cellStyle name="Heading 1 2 2 5 2 8 2 2 2" xfId="14263"/>
    <cellStyle name="Heading 1 2 2 5 2 8 2 3" xfId="14264"/>
    <cellStyle name="Heading 1 2 2 5 2 8 3" xfId="14265"/>
    <cellStyle name="Heading 1 2 2 5 2 8 3 2" xfId="14266"/>
    <cellStyle name="Heading 1 2 2 5 2 8 3 2 2" xfId="14267"/>
    <cellStyle name="Heading 1 2 2 5 2 8 3 3" xfId="14268"/>
    <cellStyle name="Heading 1 2 2 5 2 8 4" xfId="14269"/>
    <cellStyle name="Heading 1 2 2 5 2 8 4 2" xfId="14270"/>
    <cellStyle name="Heading 1 2 2 5 2 8 4 2 2" xfId="14271"/>
    <cellStyle name="Heading 1 2 2 5 2 8 4 3" xfId="14272"/>
    <cellStyle name="Heading 1 2 2 5 2 8 5" xfId="14273"/>
    <cellStyle name="Heading 1 2 2 5 2 8 5 2" xfId="14274"/>
    <cellStyle name="Heading 1 2 2 5 2 8 5 2 2" xfId="14275"/>
    <cellStyle name="Heading 1 2 2 5 2 8 5 3" xfId="14276"/>
    <cellStyle name="Heading 1 2 2 5 2 8 6" xfId="14277"/>
    <cellStyle name="Heading 1 2 2 5 2 8 6 2" xfId="14278"/>
    <cellStyle name="Heading 1 2 2 5 2 8 6 2 2" xfId="14279"/>
    <cellStyle name="Heading 1 2 2 5 2 8 6 3" xfId="14280"/>
    <cellStyle name="Heading 1 2 2 5 2 8 7" xfId="14281"/>
    <cellStyle name="Heading 1 2 2 5 2 8 7 2" xfId="14282"/>
    <cellStyle name="Heading 1 2 2 5 2 8 7 2 2" xfId="14283"/>
    <cellStyle name="Heading 1 2 2 5 2 8 7 3" xfId="14284"/>
    <cellStyle name="Heading 1 2 2 5 2 8 8" xfId="14285"/>
    <cellStyle name="Heading 1 2 2 5 2 8 8 2" xfId="14286"/>
    <cellStyle name="Heading 1 2 2 5 2 8 9" xfId="14287"/>
    <cellStyle name="Heading 1 2 2 5 2 9" xfId="14288"/>
    <cellStyle name="Heading 1 2 2 5 2 9 2" xfId="14289"/>
    <cellStyle name="Heading 1 2 2 5 2 9 2 2" xfId="14290"/>
    <cellStyle name="Heading 1 2 2 5 2 9 2 2 2" xfId="14291"/>
    <cellStyle name="Heading 1 2 2 5 2 9 2 3" xfId="14292"/>
    <cellStyle name="Heading 1 2 2 5 2 9 3" xfId="14293"/>
    <cellStyle name="Heading 1 2 2 5 2 9 3 2" xfId="14294"/>
    <cellStyle name="Heading 1 2 2 5 2 9 3 2 2" xfId="14295"/>
    <cellStyle name="Heading 1 2 2 5 2 9 3 3" xfId="14296"/>
    <cellStyle name="Heading 1 2 2 5 2 9 4" xfId="14297"/>
    <cellStyle name="Heading 1 2 2 5 2 9 4 2" xfId="14298"/>
    <cellStyle name="Heading 1 2 2 5 2 9 4 2 2" xfId="14299"/>
    <cellStyle name="Heading 1 2 2 5 2 9 4 3" xfId="14300"/>
    <cellStyle name="Heading 1 2 2 5 2 9 5" xfId="14301"/>
    <cellStyle name="Heading 1 2 2 5 2 9 5 2" xfId="14302"/>
    <cellStyle name="Heading 1 2 2 5 2 9 5 2 2" xfId="14303"/>
    <cellStyle name="Heading 1 2 2 5 2 9 5 3" xfId="14304"/>
    <cellStyle name="Heading 1 2 2 5 2 9 6" xfId="14305"/>
    <cellStyle name="Heading 1 2 2 5 2 9 6 2" xfId="14306"/>
    <cellStyle name="Heading 1 2 2 5 2 9 6 2 2" xfId="14307"/>
    <cellStyle name="Heading 1 2 2 5 2 9 6 3" xfId="14308"/>
    <cellStyle name="Heading 1 2 2 5 2 9 7" xfId="14309"/>
    <cellStyle name="Heading 1 2 2 5 2 9 7 2" xfId="14310"/>
    <cellStyle name="Heading 1 2 2 5 2 9 7 2 2" xfId="14311"/>
    <cellStyle name="Heading 1 2 2 5 2 9 7 3" xfId="14312"/>
    <cellStyle name="Heading 1 2 2 5 2 9 8" xfId="14313"/>
    <cellStyle name="Heading 1 2 2 5 2 9 8 2" xfId="14314"/>
    <cellStyle name="Heading 1 2 2 5 2 9 9" xfId="14315"/>
    <cellStyle name="Heading 1 2 2 5 3" xfId="14316"/>
    <cellStyle name="Heading 1 2 2 5 3 10" xfId="14317"/>
    <cellStyle name="Heading 1 2 2 5 3 10 2" xfId="14318"/>
    <cellStyle name="Heading 1 2 2 5 3 10 2 2" xfId="14319"/>
    <cellStyle name="Heading 1 2 2 5 3 10 3" xfId="14320"/>
    <cellStyle name="Heading 1 2 2 5 3 11" xfId="14321"/>
    <cellStyle name="Heading 1 2 2 5 3 11 2" xfId="14322"/>
    <cellStyle name="Heading 1 2 2 5 3 11 2 2" xfId="14323"/>
    <cellStyle name="Heading 1 2 2 5 3 11 3" xfId="14324"/>
    <cellStyle name="Heading 1 2 2 5 3 12" xfId="14325"/>
    <cellStyle name="Heading 1 2 2 5 3 12 2" xfId="14326"/>
    <cellStyle name="Heading 1 2 2 5 3 12 2 2" xfId="14327"/>
    <cellStyle name="Heading 1 2 2 5 3 12 3" xfId="14328"/>
    <cellStyle name="Heading 1 2 2 5 3 13" xfId="14329"/>
    <cellStyle name="Heading 1 2 2 5 3 13 2" xfId="14330"/>
    <cellStyle name="Heading 1 2 2 5 3 13 2 2" xfId="14331"/>
    <cellStyle name="Heading 1 2 2 5 3 13 3" xfId="14332"/>
    <cellStyle name="Heading 1 2 2 5 3 14" xfId="14333"/>
    <cellStyle name="Heading 1 2 2 5 3 14 2" xfId="14334"/>
    <cellStyle name="Heading 1 2 2 5 3 14 2 2" xfId="14335"/>
    <cellStyle name="Heading 1 2 2 5 3 14 3" xfId="14336"/>
    <cellStyle name="Heading 1 2 2 5 3 15" xfId="14337"/>
    <cellStyle name="Heading 1 2 2 5 3 15 2" xfId="14338"/>
    <cellStyle name="Heading 1 2 2 5 3 15 2 2" xfId="14339"/>
    <cellStyle name="Heading 1 2 2 5 3 15 3" xfId="14340"/>
    <cellStyle name="Heading 1 2 2 5 3 16" xfId="14341"/>
    <cellStyle name="Heading 1 2 2 5 3 16 2" xfId="14342"/>
    <cellStyle name="Heading 1 2 2 5 3 16 2 2" xfId="14343"/>
    <cellStyle name="Heading 1 2 2 5 3 16 3" xfId="14344"/>
    <cellStyle name="Heading 1 2 2 5 3 17" xfId="14345"/>
    <cellStyle name="Heading 1 2 2 5 3 17 2" xfId="14346"/>
    <cellStyle name="Heading 1 2 2 5 3 17 2 2" xfId="14347"/>
    <cellStyle name="Heading 1 2 2 5 3 17 3" xfId="14348"/>
    <cellStyle name="Heading 1 2 2 5 3 18" xfId="14349"/>
    <cellStyle name="Heading 1 2 2 5 3 18 2" xfId="14350"/>
    <cellStyle name="Heading 1 2 2 5 3 18 2 2" xfId="14351"/>
    <cellStyle name="Heading 1 2 2 5 3 18 3" xfId="14352"/>
    <cellStyle name="Heading 1 2 2 5 3 19" xfId="14353"/>
    <cellStyle name="Heading 1 2 2 5 3 19 2" xfId="14354"/>
    <cellStyle name="Heading 1 2 2 5 3 2" xfId="14355"/>
    <cellStyle name="Heading 1 2 2 5 3 2 2" xfId="14356"/>
    <cellStyle name="Heading 1 2 2 5 3 2 2 2" xfId="14357"/>
    <cellStyle name="Heading 1 2 2 5 3 2 2 2 2" xfId="14358"/>
    <cellStyle name="Heading 1 2 2 5 3 2 2 3" xfId="14359"/>
    <cellStyle name="Heading 1 2 2 5 3 2 3" xfId="14360"/>
    <cellStyle name="Heading 1 2 2 5 3 2 3 2" xfId="14361"/>
    <cellStyle name="Heading 1 2 2 5 3 2 3 2 2" xfId="14362"/>
    <cellStyle name="Heading 1 2 2 5 3 2 3 3" xfId="14363"/>
    <cellStyle name="Heading 1 2 2 5 3 2 4" xfId="14364"/>
    <cellStyle name="Heading 1 2 2 5 3 2 4 2" xfId="14365"/>
    <cellStyle name="Heading 1 2 2 5 3 2 4 2 2" xfId="14366"/>
    <cellStyle name="Heading 1 2 2 5 3 2 4 3" xfId="14367"/>
    <cellStyle name="Heading 1 2 2 5 3 2 5" xfId="14368"/>
    <cellStyle name="Heading 1 2 2 5 3 2 5 2" xfId="14369"/>
    <cellStyle name="Heading 1 2 2 5 3 2 5 2 2" xfId="14370"/>
    <cellStyle name="Heading 1 2 2 5 3 2 5 3" xfId="14371"/>
    <cellStyle name="Heading 1 2 2 5 3 2 6" xfId="14372"/>
    <cellStyle name="Heading 1 2 2 5 3 2 6 2" xfId="14373"/>
    <cellStyle name="Heading 1 2 2 5 3 2 6 2 2" xfId="14374"/>
    <cellStyle name="Heading 1 2 2 5 3 2 6 3" xfId="14375"/>
    <cellStyle name="Heading 1 2 2 5 3 2 7" xfId="14376"/>
    <cellStyle name="Heading 1 2 2 5 3 2 7 2" xfId="14377"/>
    <cellStyle name="Heading 1 2 2 5 3 2 7 2 2" xfId="14378"/>
    <cellStyle name="Heading 1 2 2 5 3 2 7 3" xfId="14379"/>
    <cellStyle name="Heading 1 2 2 5 3 2 8" xfId="14380"/>
    <cellStyle name="Heading 1 2 2 5 3 2 8 2" xfId="14381"/>
    <cellStyle name="Heading 1 2 2 5 3 2 9" xfId="14382"/>
    <cellStyle name="Heading 1 2 2 5 3 20" xfId="14383"/>
    <cellStyle name="Heading 1 2 2 5 3 20 2" xfId="14384"/>
    <cellStyle name="Heading 1 2 2 5 3 21" xfId="14385"/>
    <cellStyle name="Heading 1 2 2 5 3 21 2" xfId="14386"/>
    <cellStyle name="Heading 1 2 2 5 3 22" xfId="14387"/>
    <cellStyle name="Heading 1 2 2 5 3 3" xfId="14388"/>
    <cellStyle name="Heading 1 2 2 5 3 3 2" xfId="14389"/>
    <cellStyle name="Heading 1 2 2 5 3 3 2 2" xfId="14390"/>
    <cellStyle name="Heading 1 2 2 5 3 3 2 2 2" xfId="14391"/>
    <cellStyle name="Heading 1 2 2 5 3 3 2 3" xfId="14392"/>
    <cellStyle name="Heading 1 2 2 5 3 3 3" xfId="14393"/>
    <cellStyle name="Heading 1 2 2 5 3 3 3 2" xfId="14394"/>
    <cellStyle name="Heading 1 2 2 5 3 3 3 2 2" xfId="14395"/>
    <cellStyle name="Heading 1 2 2 5 3 3 3 3" xfId="14396"/>
    <cellStyle name="Heading 1 2 2 5 3 3 4" xfId="14397"/>
    <cellStyle name="Heading 1 2 2 5 3 3 4 2" xfId="14398"/>
    <cellStyle name="Heading 1 2 2 5 3 3 4 2 2" xfId="14399"/>
    <cellStyle name="Heading 1 2 2 5 3 3 4 3" xfId="14400"/>
    <cellStyle name="Heading 1 2 2 5 3 3 5" xfId="14401"/>
    <cellStyle name="Heading 1 2 2 5 3 3 5 2" xfId="14402"/>
    <cellStyle name="Heading 1 2 2 5 3 3 5 2 2" xfId="14403"/>
    <cellStyle name="Heading 1 2 2 5 3 3 5 3" xfId="14404"/>
    <cellStyle name="Heading 1 2 2 5 3 3 6" xfId="14405"/>
    <cellStyle name="Heading 1 2 2 5 3 3 6 2" xfId="14406"/>
    <cellStyle name="Heading 1 2 2 5 3 3 6 2 2" xfId="14407"/>
    <cellStyle name="Heading 1 2 2 5 3 3 6 3" xfId="14408"/>
    <cellStyle name="Heading 1 2 2 5 3 3 7" xfId="14409"/>
    <cellStyle name="Heading 1 2 2 5 3 3 7 2" xfId="14410"/>
    <cellStyle name="Heading 1 2 2 5 3 3 7 2 2" xfId="14411"/>
    <cellStyle name="Heading 1 2 2 5 3 3 7 3" xfId="14412"/>
    <cellStyle name="Heading 1 2 2 5 3 3 8" xfId="14413"/>
    <cellStyle name="Heading 1 2 2 5 3 3 8 2" xfId="14414"/>
    <cellStyle name="Heading 1 2 2 5 3 3 9" xfId="14415"/>
    <cellStyle name="Heading 1 2 2 5 3 4" xfId="14416"/>
    <cellStyle name="Heading 1 2 2 5 3 4 2" xfId="14417"/>
    <cellStyle name="Heading 1 2 2 5 3 4 2 2" xfId="14418"/>
    <cellStyle name="Heading 1 2 2 5 3 4 2 2 2" xfId="14419"/>
    <cellStyle name="Heading 1 2 2 5 3 4 2 3" xfId="14420"/>
    <cellStyle name="Heading 1 2 2 5 3 4 3" xfId="14421"/>
    <cellStyle name="Heading 1 2 2 5 3 4 3 2" xfId="14422"/>
    <cellStyle name="Heading 1 2 2 5 3 4 3 2 2" xfId="14423"/>
    <cellStyle name="Heading 1 2 2 5 3 4 3 3" xfId="14424"/>
    <cellStyle name="Heading 1 2 2 5 3 4 4" xfId="14425"/>
    <cellStyle name="Heading 1 2 2 5 3 4 4 2" xfId="14426"/>
    <cellStyle name="Heading 1 2 2 5 3 4 4 2 2" xfId="14427"/>
    <cellStyle name="Heading 1 2 2 5 3 4 4 3" xfId="14428"/>
    <cellStyle name="Heading 1 2 2 5 3 4 5" xfId="14429"/>
    <cellStyle name="Heading 1 2 2 5 3 4 5 2" xfId="14430"/>
    <cellStyle name="Heading 1 2 2 5 3 4 5 2 2" xfId="14431"/>
    <cellStyle name="Heading 1 2 2 5 3 4 5 3" xfId="14432"/>
    <cellStyle name="Heading 1 2 2 5 3 4 6" xfId="14433"/>
    <cellStyle name="Heading 1 2 2 5 3 4 6 2" xfId="14434"/>
    <cellStyle name="Heading 1 2 2 5 3 4 6 2 2" xfId="14435"/>
    <cellStyle name="Heading 1 2 2 5 3 4 6 3" xfId="14436"/>
    <cellStyle name="Heading 1 2 2 5 3 4 7" xfId="14437"/>
    <cellStyle name="Heading 1 2 2 5 3 4 7 2" xfId="14438"/>
    <cellStyle name="Heading 1 2 2 5 3 4 7 2 2" xfId="14439"/>
    <cellStyle name="Heading 1 2 2 5 3 4 7 3" xfId="14440"/>
    <cellStyle name="Heading 1 2 2 5 3 4 8" xfId="14441"/>
    <cellStyle name="Heading 1 2 2 5 3 4 8 2" xfId="14442"/>
    <cellStyle name="Heading 1 2 2 5 3 4 9" xfId="14443"/>
    <cellStyle name="Heading 1 2 2 5 3 5" xfId="14444"/>
    <cellStyle name="Heading 1 2 2 5 3 5 2" xfId="14445"/>
    <cellStyle name="Heading 1 2 2 5 3 5 2 2" xfId="14446"/>
    <cellStyle name="Heading 1 2 2 5 3 5 2 2 2" xfId="14447"/>
    <cellStyle name="Heading 1 2 2 5 3 5 2 3" xfId="14448"/>
    <cellStyle name="Heading 1 2 2 5 3 5 3" xfId="14449"/>
    <cellStyle name="Heading 1 2 2 5 3 5 3 2" xfId="14450"/>
    <cellStyle name="Heading 1 2 2 5 3 5 3 2 2" xfId="14451"/>
    <cellStyle name="Heading 1 2 2 5 3 5 3 3" xfId="14452"/>
    <cellStyle name="Heading 1 2 2 5 3 5 4" xfId="14453"/>
    <cellStyle name="Heading 1 2 2 5 3 5 4 2" xfId="14454"/>
    <cellStyle name="Heading 1 2 2 5 3 5 4 2 2" xfId="14455"/>
    <cellStyle name="Heading 1 2 2 5 3 5 4 3" xfId="14456"/>
    <cellStyle name="Heading 1 2 2 5 3 5 5" xfId="14457"/>
    <cellStyle name="Heading 1 2 2 5 3 5 5 2" xfId="14458"/>
    <cellStyle name="Heading 1 2 2 5 3 5 5 2 2" xfId="14459"/>
    <cellStyle name="Heading 1 2 2 5 3 5 5 3" xfId="14460"/>
    <cellStyle name="Heading 1 2 2 5 3 5 6" xfId="14461"/>
    <cellStyle name="Heading 1 2 2 5 3 5 6 2" xfId="14462"/>
    <cellStyle name="Heading 1 2 2 5 3 5 6 2 2" xfId="14463"/>
    <cellStyle name="Heading 1 2 2 5 3 5 6 3" xfId="14464"/>
    <cellStyle name="Heading 1 2 2 5 3 5 7" xfId="14465"/>
    <cellStyle name="Heading 1 2 2 5 3 5 7 2" xfId="14466"/>
    <cellStyle name="Heading 1 2 2 5 3 5 7 2 2" xfId="14467"/>
    <cellStyle name="Heading 1 2 2 5 3 5 7 3" xfId="14468"/>
    <cellStyle name="Heading 1 2 2 5 3 5 8" xfId="14469"/>
    <cellStyle name="Heading 1 2 2 5 3 5 8 2" xfId="14470"/>
    <cellStyle name="Heading 1 2 2 5 3 5 9" xfId="14471"/>
    <cellStyle name="Heading 1 2 2 5 3 6" xfId="14472"/>
    <cellStyle name="Heading 1 2 2 5 3 6 2" xfId="14473"/>
    <cellStyle name="Heading 1 2 2 5 3 6 2 2" xfId="14474"/>
    <cellStyle name="Heading 1 2 2 5 3 6 2 2 2" xfId="14475"/>
    <cellStyle name="Heading 1 2 2 5 3 6 2 3" xfId="14476"/>
    <cellStyle name="Heading 1 2 2 5 3 6 3" xfId="14477"/>
    <cellStyle name="Heading 1 2 2 5 3 6 3 2" xfId="14478"/>
    <cellStyle name="Heading 1 2 2 5 3 6 3 2 2" xfId="14479"/>
    <cellStyle name="Heading 1 2 2 5 3 6 3 3" xfId="14480"/>
    <cellStyle name="Heading 1 2 2 5 3 6 4" xfId="14481"/>
    <cellStyle name="Heading 1 2 2 5 3 6 4 2" xfId="14482"/>
    <cellStyle name="Heading 1 2 2 5 3 6 4 2 2" xfId="14483"/>
    <cellStyle name="Heading 1 2 2 5 3 6 4 3" xfId="14484"/>
    <cellStyle name="Heading 1 2 2 5 3 6 5" xfId="14485"/>
    <cellStyle name="Heading 1 2 2 5 3 6 5 2" xfId="14486"/>
    <cellStyle name="Heading 1 2 2 5 3 6 5 2 2" xfId="14487"/>
    <cellStyle name="Heading 1 2 2 5 3 6 5 3" xfId="14488"/>
    <cellStyle name="Heading 1 2 2 5 3 6 6" xfId="14489"/>
    <cellStyle name="Heading 1 2 2 5 3 6 6 2" xfId="14490"/>
    <cellStyle name="Heading 1 2 2 5 3 6 6 2 2" xfId="14491"/>
    <cellStyle name="Heading 1 2 2 5 3 6 6 3" xfId="14492"/>
    <cellStyle name="Heading 1 2 2 5 3 6 7" xfId="14493"/>
    <cellStyle name="Heading 1 2 2 5 3 6 7 2" xfId="14494"/>
    <cellStyle name="Heading 1 2 2 5 3 6 7 2 2" xfId="14495"/>
    <cellStyle name="Heading 1 2 2 5 3 6 7 3" xfId="14496"/>
    <cellStyle name="Heading 1 2 2 5 3 6 8" xfId="14497"/>
    <cellStyle name="Heading 1 2 2 5 3 6 8 2" xfId="14498"/>
    <cellStyle name="Heading 1 2 2 5 3 6 9" xfId="14499"/>
    <cellStyle name="Heading 1 2 2 5 3 7" xfId="14500"/>
    <cellStyle name="Heading 1 2 2 5 3 7 2" xfId="14501"/>
    <cellStyle name="Heading 1 2 2 5 3 7 2 2" xfId="14502"/>
    <cellStyle name="Heading 1 2 2 5 3 7 2 2 2" xfId="14503"/>
    <cellStyle name="Heading 1 2 2 5 3 7 2 3" xfId="14504"/>
    <cellStyle name="Heading 1 2 2 5 3 7 3" xfId="14505"/>
    <cellStyle name="Heading 1 2 2 5 3 7 3 2" xfId="14506"/>
    <cellStyle name="Heading 1 2 2 5 3 7 3 2 2" xfId="14507"/>
    <cellStyle name="Heading 1 2 2 5 3 7 3 3" xfId="14508"/>
    <cellStyle name="Heading 1 2 2 5 3 7 4" xfId="14509"/>
    <cellStyle name="Heading 1 2 2 5 3 7 4 2" xfId="14510"/>
    <cellStyle name="Heading 1 2 2 5 3 7 4 2 2" xfId="14511"/>
    <cellStyle name="Heading 1 2 2 5 3 7 4 3" xfId="14512"/>
    <cellStyle name="Heading 1 2 2 5 3 7 5" xfId="14513"/>
    <cellStyle name="Heading 1 2 2 5 3 7 5 2" xfId="14514"/>
    <cellStyle name="Heading 1 2 2 5 3 7 5 2 2" xfId="14515"/>
    <cellStyle name="Heading 1 2 2 5 3 7 5 3" xfId="14516"/>
    <cellStyle name="Heading 1 2 2 5 3 7 6" xfId="14517"/>
    <cellStyle name="Heading 1 2 2 5 3 7 6 2" xfId="14518"/>
    <cellStyle name="Heading 1 2 2 5 3 7 6 2 2" xfId="14519"/>
    <cellStyle name="Heading 1 2 2 5 3 7 6 3" xfId="14520"/>
    <cellStyle name="Heading 1 2 2 5 3 7 7" xfId="14521"/>
    <cellStyle name="Heading 1 2 2 5 3 7 7 2" xfId="14522"/>
    <cellStyle name="Heading 1 2 2 5 3 7 7 2 2" xfId="14523"/>
    <cellStyle name="Heading 1 2 2 5 3 7 7 3" xfId="14524"/>
    <cellStyle name="Heading 1 2 2 5 3 7 8" xfId="14525"/>
    <cellStyle name="Heading 1 2 2 5 3 7 8 2" xfId="14526"/>
    <cellStyle name="Heading 1 2 2 5 3 7 9" xfId="14527"/>
    <cellStyle name="Heading 1 2 2 5 3 8" xfId="14528"/>
    <cellStyle name="Heading 1 2 2 5 3 8 2" xfId="14529"/>
    <cellStyle name="Heading 1 2 2 5 3 8 2 2" xfId="14530"/>
    <cellStyle name="Heading 1 2 2 5 3 8 2 2 2" xfId="14531"/>
    <cellStyle name="Heading 1 2 2 5 3 8 2 3" xfId="14532"/>
    <cellStyle name="Heading 1 2 2 5 3 8 3" xfId="14533"/>
    <cellStyle name="Heading 1 2 2 5 3 8 3 2" xfId="14534"/>
    <cellStyle name="Heading 1 2 2 5 3 8 3 2 2" xfId="14535"/>
    <cellStyle name="Heading 1 2 2 5 3 8 3 3" xfId="14536"/>
    <cellStyle name="Heading 1 2 2 5 3 8 4" xfId="14537"/>
    <cellStyle name="Heading 1 2 2 5 3 8 4 2" xfId="14538"/>
    <cellStyle name="Heading 1 2 2 5 3 8 4 2 2" xfId="14539"/>
    <cellStyle name="Heading 1 2 2 5 3 8 4 3" xfId="14540"/>
    <cellStyle name="Heading 1 2 2 5 3 8 5" xfId="14541"/>
    <cellStyle name="Heading 1 2 2 5 3 8 5 2" xfId="14542"/>
    <cellStyle name="Heading 1 2 2 5 3 8 5 2 2" xfId="14543"/>
    <cellStyle name="Heading 1 2 2 5 3 8 5 3" xfId="14544"/>
    <cellStyle name="Heading 1 2 2 5 3 8 6" xfId="14545"/>
    <cellStyle name="Heading 1 2 2 5 3 8 6 2" xfId="14546"/>
    <cellStyle name="Heading 1 2 2 5 3 8 6 2 2" xfId="14547"/>
    <cellStyle name="Heading 1 2 2 5 3 8 6 3" xfId="14548"/>
    <cellStyle name="Heading 1 2 2 5 3 8 7" xfId="14549"/>
    <cellStyle name="Heading 1 2 2 5 3 8 7 2" xfId="14550"/>
    <cellStyle name="Heading 1 2 2 5 3 8 7 2 2" xfId="14551"/>
    <cellStyle name="Heading 1 2 2 5 3 8 7 3" xfId="14552"/>
    <cellStyle name="Heading 1 2 2 5 3 8 8" xfId="14553"/>
    <cellStyle name="Heading 1 2 2 5 3 8 8 2" xfId="14554"/>
    <cellStyle name="Heading 1 2 2 5 3 8 9" xfId="14555"/>
    <cellStyle name="Heading 1 2 2 5 3 9" xfId="14556"/>
    <cellStyle name="Heading 1 2 2 5 3 9 2" xfId="14557"/>
    <cellStyle name="Heading 1 2 2 5 3 9 2 2" xfId="14558"/>
    <cellStyle name="Heading 1 2 2 5 3 9 3" xfId="14559"/>
    <cellStyle name="Heading 1 2 2 5 4" xfId="14560"/>
    <cellStyle name="Heading 1 2 2 5 4 2" xfId="14561"/>
    <cellStyle name="Heading 1 2 2 5 4 2 2" xfId="14562"/>
    <cellStyle name="Heading 1 2 2 5 4 3" xfId="14563"/>
    <cellStyle name="Heading 1 2 2 5 5" xfId="14564"/>
    <cellStyle name="Heading 1 2 2 5 5 2" xfId="14565"/>
    <cellStyle name="Heading 1 2 2 5 6" xfId="14566"/>
    <cellStyle name="Heading 1 2 2 6" xfId="14567"/>
    <cellStyle name="Heading 1 2 2 6 2" xfId="14568"/>
    <cellStyle name="Heading 1 2 2 6 2 10" xfId="14569"/>
    <cellStyle name="Heading 1 2 2 6 2 10 2" xfId="14570"/>
    <cellStyle name="Heading 1 2 2 6 2 10 2 2" xfId="14571"/>
    <cellStyle name="Heading 1 2 2 6 2 10 3" xfId="14572"/>
    <cellStyle name="Heading 1 2 2 6 2 11" xfId="14573"/>
    <cellStyle name="Heading 1 2 2 6 2 11 2" xfId="14574"/>
    <cellStyle name="Heading 1 2 2 6 2 11 2 2" xfId="14575"/>
    <cellStyle name="Heading 1 2 2 6 2 11 3" xfId="14576"/>
    <cellStyle name="Heading 1 2 2 6 2 12" xfId="14577"/>
    <cellStyle name="Heading 1 2 2 6 2 12 2" xfId="14578"/>
    <cellStyle name="Heading 1 2 2 6 2 12 2 2" xfId="14579"/>
    <cellStyle name="Heading 1 2 2 6 2 12 3" xfId="14580"/>
    <cellStyle name="Heading 1 2 2 6 2 13" xfId="14581"/>
    <cellStyle name="Heading 1 2 2 6 2 13 2" xfId="14582"/>
    <cellStyle name="Heading 1 2 2 6 2 13 2 2" xfId="14583"/>
    <cellStyle name="Heading 1 2 2 6 2 13 3" xfId="14584"/>
    <cellStyle name="Heading 1 2 2 6 2 14" xfId="14585"/>
    <cellStyle name="Heading 1 2 2 6 2 14 2" xfId="14586"/>
    <cellStyle name="Heading 1 2 2 6 2 14 2 2" xfId="14587"/>
    <cellStyle name="Heading 1 2 2 6 2 14 3" xfId="14588"/>
    <cellStyle name="Heading 1 2 2 6 2 15" xfId="14589"/>
    <cellStyle name="Heading 1 2 2 6 2 15 2" xfId="14590"/>
    <cellStyle name="Heading 1 2 2 6 2 15 2 2" xfId="14591"/>
    <cellStyle name="Heading 1 2 2 6 2 15 3" xfId="14592"/>
    <cellStyle name="Heading 1 2 2 6 2 16" xfId="14593"/>
    <cellStyle name="Heading 1 2 2 6 2 16 2" xfId="14594"/>
    <cellStyle name="Heading 1 2 2 6 2 16 2 2" xfId="14595"/>
    <cellStyle name="Heading 1 2 2 6 2 16 3" xfId="14596"/>
    <cellStyle name="Heading 1 2 2 6 2 17" xfId="14597"/>
    <cellStyle name="Heading 1 2 2 6 2 17 2" xfId="14598"/>
    <cellStyle name="Heading 1 2 2 6 2 17 2 2" xfId="14599"/>
    <cellStyle name="Heading 1 2 2 6 2 17 3" xfId="14600"/>
    <cellStyle name="Heading 1 2 2 6 2 18" xfId="14601"/>
    <cellStyle name="Heading 1 2 2 6 2 18 2" xfId="14602"/>
    <cellStyle name="Heading 1 2 2 6 2 18 2 2" xfId="14603"/>
    <cellStyle name="Heading 1 2 2 6 2 18 3" xfId="14604"/>
    <cellStyle name="Heading 1 2 2 6 2 19" xfId="14605"/>
    <cellStyle name="Heading 1 2 2 6 2 19 2" xfId="14606"/>
    <cellStyle name="Heading 1 2 2 6 2 19 2 2" xfId="14607"/>
    <cellStyle name="Heading 1 2 2 6 2 19 3" xfId="14608"/>
    <cellStyle name="Heading 1 2 2 6 2 2" xfId="14609"/>
    <cellStyle name="Heading 1 2 2 6 2 2 10" xfId="14610"/>
    <cellStyle name="Heading 1 2 2 6 2 2 10 2" xfId="14611"/>
    <cellStyle name="Heading 1 2 2 6 2 2 10 2 2" xfId="14612"/>
    <cellStyle name="Heading 1 2 2 6 2 2 10 3" xfId="14613"/>
    <cellStyle name="Heading 1 2 2 6 2 2 11" xfId="14614"/>
    <cellStyle name="Heading 1 2 2 6 2 2 11 2" xfId="14615"/>
    <cellStyle name="Heading 1 2 2 6 2 2 11 2 2" xfId="14616"/>
    <cellStyle name="Heading 1 2 2 6 2 2 11 3" xfId="14617"/>
    <cellStyle name="Heading 1 2 2 6 2 2 12" xfId="14618"/>
    <cellStyle name="Heading 1 2 2 6 2 2 12 2" xfId="14619"/>
    <cellStyle name="Heading 1 2 2 6 2 2 12 2 2" xfId="14620"/>
    <cellStyle name="Heading 1 2 2 6 2 2 12 3" xfId="14621"/>
    <cellStyle name="Heading 1 2 2 6 2 2 13" xfId="14622"/>
    <cellStyle name="Heading 1 2 2 6 2 2 13 2" xfId="14623"/>
    <cellStyle name="Heading 1 2 2 6 2 2 13 2 2" xfId="14624"/>
    <cellStyle name="Heading 1 2 2 6 2 2 13 3" xfId="14625"/>
    <cellStyle name="Heading 1 2 2 6 2 2 14" xfId="14626"/>
    <cellStyle name="Heading 1 2 2 6 2 2 14 2" xfId="14627"/>
    <cellStyle name="Heading 1 2 2 6 2 2 14 2 2" xfId="14628"/>
    <cellStyle name="Heading 1 2 2 6 2 2 14 3" xfId="14629"/>
    <cellStyle name="Heading 1 2 2 6 2 2 15" xfId="14630"/>
    <cellStyle name="Heading 1 2 2 6 2 2 15 2" xfId="14631"/>
    <cellStyle name="Heading 1 2 2 6 2 2 15 2 2" xfId="14632"/>
    <cellStyle name="Heading 1 2 2 6 2 2 15 3" xfId="14633"/>
    <cellStyle name="Heading 1 2 2 6 2 2 16" xfId="14634"/>
    <cellStyle name="Heading 1 2 2 6 2 2 16 2" xfId="14635"/>
    <cellStyle name="Heading 1 2 2 6 2 2 16 2 2" xfId="14636"/>
    <cellStyle name="Heading 1 2 2 6 2 2 16 3" xfId="14637"/>
    <cellStyle name="Heading 1 2 2 6 2 2 17" xfId="14638"/>
    <cellStyle name="Heading 1 2 2 6 2 2 17 2" xfId="14639"/>
    <cellStyle name="Heading 1 2 2 6 2 2 17 2 2" xfId="14640"/>
    <cellStyle name="Heading 1 2 2 6 2 2 17 3" xfId="14641"/>
    <cellStyle name="Heading 1 2 2 6 2 2 18" xfId="14642"/>
    <cellStyle name="Heading 1 2 2 6 2 2 18 2" xfId="14643"/>
    <cellStyle name="Heading 1 2 2 6 2 2 18 2 2" xfId="14644"/>
    <cellStyle name="Heading 1 2 2 6 2 2 18 3" xfId="14645"/>
    <cellStyle name="Heading 1 2 2 6 2 2 19" xfId="14646"/>
    <cellStyle name="Heading 1 2 2 6 2 2 19 2" xfId="14647"/>
    <cellStyle name="Heading 1 2 2 6 2 2 2" xfId="14648"/>
    <cellStyle name="Heading 1 2 2 6 2 2 2 2" xfId="14649"/>
    <cellStyle name="Heading 1 2 2 6 2 2 2 2 2" xfId="14650"/>
    <cellStyle name="Heading 1 2 2 6 2 2 2 2 2 2" xfId="14651"/>
    <cellStyle name="Heading 1 2 2 6 2 2 2 2 3" xfId="14652"/>
    <cellStyle name="Heading 1 2 2 6 2 2 2 3" xfId="14653"/>
    <cellStyle name="Heading 1 2 2 6 2 2 2 3 2" xfId="14654"/>
    <cellStyle name="Heading 1 2 2 6 2 2 2 3 2 2" xfId="14655"/>
    <cellStyle name="Heading 1 2 2 6 2 2 2 3 3" xfId="14656"/>
    <cellStyle name="Heading 1 2 2 6 2 2 2 4" xfId="14657"/>
    <cellStyle name="Heading 1 2 2 6 2 2 2 4 2" xfId="14658"/>
    <cellStyle name="Heading 1 2 2 6 2 2 2 4 2 2" xfId="14659"/>
    <cellStyle name="Heading 1 2 2 6 2 2 2 4 3" xfId="14660"/>
    <cellStyle name="Heading 1 2 2 6 2 2 2 5" xfId="14661"/>
    <cellStyle name="Heading 1 2 2 6 2 2 2 5 2" xfId="14662"/>
    <cellStyle name="Heading 1 2 2 6 2 2 2 5 2 2" xfId="14663"/>
    <cellStyle name="Heading 1 2 2 6 2 2 2 5 3" xfId="14664"/>
    <cellStyle name="Heading 1 2 2 6 2 2 2 6" xfId="14665"/>
    <cellStyle name="Heading 1 2 2 6 2 2 2 6 2" xfId="14666"/>
    <cellStyle name="Heading 1 2 2 6 2 2 2 6 2 2" xfId="14667"/>
    <cellStyle name="Heading 1 2 2 6 2 2 2 6 3" xfId="14668"/>
    <cellStyle name="Heading 1 2 2 6 2 2 2 7" xfId="14669"/>
    <cellStyle name="Heading 1 2 2 6 2 2 2 7 2" xfId="14670"/>
    <cellStyle name="Heading 1 2 2 6 2 2 2 7 2 2" xfId="14671"/>
    <cellStyle name="Heading 1 2 2 6 2 2 2 7 3" xfId="14672"/>
    <cellStyle name="Heading 1 2 2 6 2 2 2 8" xfId="14673"/>
    <cellStyle name="Heading 1 2 2 6 2 2 2 8 2" xfId="14674"/>
    <cellStyle name="Heading 1 2 2 6 2 2 2 9" xfId="14675"/>
    <cellStyle name="Heading 1 2 2 6 2 2 20" xfId="14676"/>
    <cellStyle name="Heading 1 2 2 6 2 2 20 2" xfId="14677"/>
    <cellStyle name="Heading 1 2 2 6 2 2 21" xfId="14678"/>
    <cellStyle name="Heading 1 2 2 6 2 2 21 2" xfId="14679"/>
    <cellStyle name="Heading 1 2 2 6 2 2 22" xfId="14680"/>
    <cellStyle name="Heading 1 2 2 6 2 2 3" xfId="14681"/>
    <cellStyle name="Heading 1 2 2 6 2 2 3 2" xfId="14682"/>
    <cellStyle name="Heading 1 2 2 6 2 2 3 2 2" xfId="14683"/>
    <cellStyle name="Heading 1 2 2 6 2 2 3 2 2 2" xfId="14684"/>
    <cellStyle name="Heading 1 2 2 6 2 2 3 2 3" xfId="14685"/>
    <cellStyle name="Heading 1 2 2 6 2 2 3 3" xfId="14686"/>
    <cellStyle name="Heading 1 2 2 6 2 2 3 3 2" xfId="14687"/>
    <cellStyle name="Heading 1 2 2 6 2 2 3 3 2 2" xfId="14688"/>
    <cellStyle name="Heading 1 2 2 6 2 2 3 3 3" xfId="14689"/>
    <cellStyle name="Heading 1 2 2 6 2 2 3 4" xfId="14690"/>
    <cellStyle name="Heading 1 2 2 6 2 2 3 4 2" xfId="14691"/>
    <cellStyle name="Heading 1 2 2 6 2 2 3 4 2 2" xfId="14692"/>
    <cellStyle name="Heading 1 2 2 6 2 2 3 4 3" xfId="14693"/>
    <cellStyle name="Heading 1 2 2 6 2 2 3 5" xfId="14694"/>
    <cellStyle name="Heading 1 2 2 6 2 2 3 5 2" xfId="14695"/>
    <cellStyle name="Heading 1 2 2 6 2 2 3 5 2 2" xfId="14696"/>
    <cellStyle name="Heading 1 2 2 6 2 2 3 5 3" xfId="14697"/>
    <cellStyle name="Heading 1 2 2 6 2 2 3 6" xfId="14698"/>
    <cellStyle name="Heading 1 2 2 6 2 2 3 6 2" xfId="14699"/>
    <cellStyle name="Heading 1 2 2 6 2 2 3 6 2 2" xfId="14700"/>
    <cellStyle name="Heading 1 2 2 6 2 2 3 6 3" xfId="14701"/>
    <cellStyle name="Heading 1 2 2 6 2 2 3 7" xfId="14702"/>
    <cellStyle name="Heading 1 2 2 6 2 2 3 7 2" xfId="14703"/>
    <cellStyle name="Heading 1 2 2 6 2 2 3 7 2 2" xfId="14704"/>
    <cellStyle name="Heading 1 2 2 6 2 2 3 7 3" xfId="14705"/>
    <cellStyle name="Heading 1 2 2 6 2 2 3 8" xfId="14706"/>
    <cellStyle name="Heading 1 2 2 6 2 2 3 8 2" xfId="14707"/>
    <cellStyle name="Heading 1 2 2 6 2 2 3 9" xfId="14708"/>
    <cellStyle name="Heading 1 2 2 6 2 2 4" xfId="14709"/>
    <cellStyle name="Heading 1 2 2 6 2 2 4 2" xfId="14710"/>
    <cellStyle name="Heading 1 2 2 6 2 2 4 2 2" xfId="14711"/>
    <cellStyle name="Heading 1 2 2 6 2 2 4 2 2 2" xfId="14712"/>
    <cellStyle name="Heading 1 2 2 6 2 2 4 2 3" xfId="14713"/>
    <cellStyle name="Heading 1 2 2 6 2 2 4 3" xfId="14714"/>
    <cellStyle name="Heading 1 2 2 6 2 2 4 3 2" xfId="14715"/>
    <cellStyle name="Heading 1 2 2 6 2 2 4 3 2 2" xfId="14716"/>
    <cellStyle name="Heading 1 2 2 6 2 2 4 3 3" xfId="14717"/>
    <cellStyle name="Heading 1 2 2 6 2 2 4 4" xfId="14718"/>
    <cellStyle name="Heading 1 2 2 6 2 2 4 4 2" xfId="14719"/>
    <cellStyle name="Heading 1 2 2 6 2 2 4 4 2 2" xfId="14720"/>
    <cellStyle name="Heading 1 2 2 6 2 2 4 4 3" xfId="14721"/>
    <cellStyle name="Heading 1 2 2 6 2 2 4 5" xfId="14722"/>
    <cellStyle name="Heading 1 2 2 6 2 2 4 5 2" xfId="14723"/>
    <cellStyle name="Heading 1 2 2 6 2 2 4 5 2 2" xfId="14724"/>
    <cellStyle name="Heading 1 2 2 6 2 2 4 5 3" xfId="14725"/>
    <cellStyle name="Heading 1 2 2 6 2 2 4 6" xfId="14726"/>
    <cellStyle name="Heading 1 2 2 6 2 2 4 6 2" xfId="14727"/>
    <cellStyle name="Heading 1 2 2 6 2 2 4 6 2 2" xfId="14728"/>
    <cellStyle name="Heading 1 2 2 6 2 2 4 6 3" xfId="14729"/>
    <cellStyle name="Heading 1 2 2 6 2 2 4 7" xfId="14730"/>
    <cellStyle name="Heading 1 2 2 6 2 2 4 7 2" xfId="14731"/>
    <cellStyle name="Heading 1 2 2 6 2 2 4 7 2 2" xfId="14732"/>
    <cellStyle name="Heading 1 2 2 6 2 2 4 7 3" xfId="14733"/>
    <cellStyle name="Heading 1 2 2 6 2 2 4 8" xfId="14734"/>
    <cellStyle name="Heading 1 2 2 6 2 2 4 8 2" xfId="14735"/>
    <cellStyle name="Heading 1 2 2 6 2 2 4 9" xfId="14736"/>
    <cellStyle name="Heading 1 2 2 6 2 2 5" xfId="14737"/>
    <cellStyle name="Heading 1 2 2 6 2 2 5 2" xfId="14738"/>
    <cellStyle name="Heading 1 2 2 6 2 2 5 2 2" xfId="14739"/>
    <cellStyle name="Heading 1 2 2 6 2 2 5 2 2 2" xfId="14740"/>
    <cellStyle name="Heading 1 2 2 6 2 2 5 2 3" xfId="14741"/>
    <cellStyle name="Heading 1 2 2 6 2 2 5 3" xfId="14742"/>
    <cellStyle name="Heading 1 2 2 6 2 2 5 3 2" xfId="14743"/>
    <cellStyle name="Heading 1 2 2 6 2 2 5 3 2 2" xfId="14744"/>
    <cellStyle name="Heading 1 2 2 6 2 2 5 3 3" xfId="14745"/>
    <cellStyle name="Heading 1 2 2 6 2 2 5 4" xfId="14746"/>
    <cellStyle name="Heading 1 2 2 6 2 2 5 4 2" xfId="14747"/>
    <cellStyle name="Heading 1 2 2 6 2 2 5 4 2 2" xfId="14748"/>
    <cellStyle name="Heading 1 2 2 6 2 2 5 4 3" xfId="14749"/>
    <cellStyle name="Heading 1 2 2 6 2 2 5 5" xfId="14750"/>
    <cellStyle name="Heading 1 2 2 6 2 2 5 5 2" xfId="14751"/>
    <cellStyle name="Heading 1 2 2 6 2 2 5 5 2 2" xfId="14752"/>
    <cellStyle name="Heading 1 2 2 6 2 2 5 5 3" xfId="14753"/>
    <cellStyle name="Heading 1 2 2 6 2 2 5 6" xfId="14754"/>
    <cellStyle name="Heading 1 2 2 6 2 2 5 6 2" xfId="14755"/>
    <cellStyle name="Heading 1 2 2 6 2 2 5 6 2 2" xfId="14756"/>
    <cellStyle name="Heading 1 2 2 6 2 2 5 6 3" xfId="14757"/>
    <cellStyle name="Heading 1 2 2 6 2 2 5 7" xfId="14758"/>
    <cellStyle name="Heading 1 2 2 6 2 2 5 7 2" xfId="14759"/>
    <cellStyle name="Heading 1 2 2 6 2 2 5 7 2 2" xfId="14760"/>
    <cellStyle name="Heading 1 2 2 6 2 2 5 7 3" xfId="14761"/>
    <cellStyle name="Heading 1 2 2 6 2 2 5 8" xfId="14762"/>
    <cellStyle name="Heading 1 2 2 6 2 2 5 8 2" xfId="14763"/>
    <cellStyle name="Heading 1 2 2 6 2 2 5 9" xfId="14764"/>
    <cellStyle name="Heading 1 2 2 6 2 2 6" xfId="14765"/>
    <cellStyle name="Heading 1 2 2 6 2 2 6 2" xfId="14766"/>
    <cellStyle name="Heading 1 2 2 6 2 2 6 2 2" xfId="14767"/>
    <cellStyle name="Heading 1 2 2 6 2 2 6 2 2 2" xfId="14768"/>
    <cellStyle name="Heading 1 2 2 6 2 2 6 2 3" xfId="14769"/>
    <cellStyle name="Heading 1 2 2 6 2 2 6 3" xfId="14770"/>
    <cellStyle name="Heading 1 2 2 6 2 2 6 3 2" xfId="14771"/>
    <cellStyle name="Heading 1 2 2 6 2 2 6 3 2 2" xfId="14772"/>
    <cellStyle name="Heading 1 2 2 6 2 2 6 3 3" xfId="14773"/>
    <cellStyle name="Heading 1 2 2 6 2 2 6 4" xfId="14774"/>
    <cellStyle name="Heading 1 2 2 6 2 2 6 4 2" xfId="14775"/>
    <cellStyle name="Heading 1 2 2 6 2 2 6 4 2 2" xfId="14776"/>
    <cellStyle name="Heading 1 2 2 6 2 2 6 4 3" xfId="14777"/>
    <cellStyle name="Heading 1 2 2 6 2 2 6 5" xfId="14778"/>
    <cellStyle name="Heading 1 2 2 6 2 2 6 5 2" xfId="14779"/>
    <cellStyle name="Heading 1 2 2 6 2 2 6 5 2 2" xfId="14780"/>
    <cellStyle name="Heading 1 2 2 6 2 2 6 5 3" xfId="14781"/>
    <cellStyle name="Heading 1 2 2 6 2 2 6 6" xfId="14782"/>
    <cellStyle name="Heading 1 2 2 6 2 2 6 6 2" xfId="14783"/>
    <cellStyle name="Heading 1 2 2 6 2 2 6 6 2 2" xfId="14784"/>
    <cellStyle name="Heading 1 2 2 6 2 2 6 6 3" xfId="14785"/>
    <cellStyle name="Heading 1 2 2 6 2 2 6 7" xfId="14786"/>
    <cellStyle name="Heading 1 2 2 6 2 2 6 7 2" xfId="14787"/>
    <cellStyle name="Heading 1 2 2 6 2 2 6 7 2 2" xfId="14788"/>
    <cellStyle name="Heading 1 2 2 6 2 2 6 7 3" xfId="14789"/>
    <cellStyle name="Heading 1 2 2 6 2 2 6 8" xfId="14790"/>
    <cellStyle name="Heading 1 2 2 6 2 2 6 8 2" xfId="14791"/>
    <cellStyle name="Heading 1 2 2 6 2 2 6 9" xfId="14792"/>
    <cellStyle name="Heading 1 2 2 6 2 2 7" xfId="14793"/>
    <cellStyle name="Heading 1 2 2 6 2 2 7 2" xfId="14794"/>
    <cellStyle name="Heading 1 2 2 6 2 2 7 2 2" xfId="14795"/>
    <cellStyle name="Heading 1 2 2 6 2 2 7 2 2 2" xfId="14796"/>
    <cellStyle name="Heading 1 2 2 6 2 2 7 2 3" xfId="14797"/>
    <cellStyle name="Heading 1 2 2 6 2 2 7 3" xfId="14798"/>
    <cellStyle name="Heading 1 2 2 6 2 2 7 3 2" xfId="14799"/>
    <cellStyle name="Heading 1 2 2 6 2 2 7 3 2 2" xfId="14800"/>
    <cellStyle name="Heading 1 2 2 6 2 2 7 3 3" xfId="14801"/>
    <cellStyle name="Heading 1 2 2 6 2 2 7 4" xfId="14802"/>
    <cellStyle name="Heading 1 2 2 6 2 2 7 4 2" xfId="14803"/>
    <cellStyle name="Heading 1 2 2 6 2 2 7 4 2 2" xfId="14804"/>
    <cellStyle name="Heading 1 2 2 6 2 2 7 4 3" xfId="14805"/>
    <cellStyle name="Heading 1 2 2 6 2 2 7 5" xfId="14806"/>
    <cellStyle name="Heading 1 2 2 6 2 2 7 5 2" xfId="14807"/>
    <cellStyle name="Heading 1 2 2 6 2 2 7 5 2 2" xfId="14808"/>
    <cellStyle name="Heading 1 2 2 6 2 2 7 5 3" xfId="14809"/>
    <cellStyle name="Heading 1 2 2 6 2 2 7 6" xfId="14810"/>
    <cellStyle name="Heading 1 2 2 6 2 2 7 6 2" xfId="14811"/>
    <cellStyle name="Heading 1 2 2 6 2 2 7 6 2 2" xfId="14812"/>
    <cellStyle name="Heading 1 2 2 6 2 2 7 6 3" xfId="14813"/>
    <cellStyle name="Heading 1 2 2 6 2 2 7 7" xfId="14814"/>
    <cellStyle name="Heading 1 2 2 6 2 2 7 7 2" xfId="14815"/>
    <cellStyle name="Heading 1 2 2 6 2 2 7 7 2 2" xfId="14816"/>
    <cellStyle name="Heading 1 2 2 6 2 2 7 7 3" xfId="14817"/>
    <cellStyle name="Heading 1 2 2 6 2 2 7 8" xfId="14818"/>
    <cellStyle name="Heading 1 2 2 6 2 2 7 8 2" xfId="14819"/>
    <cellStyle name="Heading 1 2 2 6 2 2 7 9" xfId="14820"/>
    <cellStyle name="Heading 1 2 2 6 2 2 8" xfId="14821"/>
    <cellStyle name="Heading 1 2 2 6 2 2 8 2" xfId="14822"/>
    <cellStyle name="Heading 1 2 2 6 2 2 8 2 2" xfId="14823"/>
    <cellStyle name="Heading 1 2 2 6 2 2 8 2 2 2" xfId="14824"/>
    <cellStyle name="Heading 1 2 2 6 2 2 8 2 3" xfId="14825"/>
    <cellStyle name="Heading 1 2 2 6 2 2 8 3" xfId="14826"/>
    <cellStyle name="Heading 1 2 2 6 2 2 8 3 2" xfId="14827"/>
    <cellStyle name="Heading 1 2 2 6 2 2 8 3 2 2" xfId="14828"/>
    <cellStyle name="Heading 1 2 2 6 2 2 8 3 3" xfId="14829"/>
    <cellStyle name="Heading 1 2 2 6 2 2 8 4" xfId="14830"/>
    <cellStyle name="Heading 1 2 2 6 2 2 8 4 2" xfId="14831"/>
    <cellStyle name="Heading 1 2 2 6 2 2 8 4 2 2" xfId="14832"/>
    <cellStyle name="Heading 1 2 2 6 2 2 8 4 3" xfId="14833"/>
    <cellStyle name="Heading 1 2 2 6 2 2 8 5" xfId="14834"/>
    <cellStyle name="Heading 1 2 2 6 2 2 8 5 2" xfId="14835"/>
    <cellStyle name="Heading 1 2 2 6 2 2 8 5 2 2" xfId="14836"/>
    <cellStyle name="Heading 1 2 2 6 2 2 8 5 3" xfId="14837"/>
    <cellStyle name="Heading 1 2 2 6 2 2 8 6" xfId="14838"/>
    <cellStyle name="Heading 1 2 2 6 2 2 8 6 2" xfId="14839"/>
    <cellStyle name="Heading 1 2 2 6 2 2 8 6 2 2" xfId="14840"/>
    <cellStyle name="Heading 1 2 2 6 2 2 8 6 3" xfId="14841"/>
    <cellStyle name="Heading 1 2 2 6 2 2 8 7" xfId="14842"/>
    <cellStyle name="Heading 1 2 2 6 2 2 8 7 2" xfId="14843"/>
    <cellStyle name="Heading 1 2 2 6 2 2 8 7 2 2" xfId="14844"/>
    <cellStyle name="Heading 1 2 2 6 2 2 8 7 3" xfId="14845"/>
    <cellStyle name="Heading 1 2 2 6 2 2 8 8" xfId="14846"/>
    <cellStyle name="Heading 1 2 2 6 2 2 8 8 2" xfId="14847"/>
    <cellStyle name="Heading 1 2 2 6 2 2 8 9" xfId="14848"/>
    <cellStyle name="Heading 1 2 2 6 2 2 9" xfId="14849"/>
    <cellStyle name="Heading 1 2 2 6 2 2 9 2" xfId="14850"/>
    <cellStyle name="Heading 1 2 2 6 2 2 9 2 2" xfId="14851"/>
    <cellStyle name="Heading 1 2 2 6 2 2 9 3" xfId="14852"/>
    <cellStyle name="Heading 1 2 2 6 2 20" xfId="14853"/>
    <cellStyle name="Heading 1 2 2 6 2 20 2" xfId="14854"/>
    <cellStyle name="Heading 1 2 2 6 2 21" xfId="14855"/>
    <cellStyle name="Heading 1 2 2 6 2 21 2" xfId="14856"/>
    <cellStyle name="Heading 1 2 2 6 2 22" xfId="14857"/>
    <cellStyle name="Heading 1 2 2 6 2 22 2" xfId="14858"/>
    <cellStyle name="Heading 1 2 2 6 2 23" xfId="14859"/>
    <cellStyle name="Heading 1 2 2 6 2 3" xfId="14860"/>
    <cellStyle name="Heading 1 2 2 6 2 3 2" xfId="14861"/>
    <cellStyle name="Heading 1 2 2 6 2 3 2 2" xfId="14862"/>
    <cellStyle name="Heading 1 2 2 6 2 3 2 2 2" xfId="14863"/>
    <cellStyle name="Heading 1 2 2 6 2 3 2 3" xfId="14864"/>
    <cellStyle name="Heading 1 2 2 6 2 3 3" xfId="14865"/>
    <cellStyle name="Heading 1 2 2 6 2 3 3 2" xfId="14866"/>
    <cellStyle name="Heading 1 2 2 6 2 3 3 2 2" xfId="14867"/>
    <cellStyle name="Heading 1 2 2 6 2 3 3 3" xfId="14868"/>
    <cellStyle name="Heading 1 2 2 6 2 3 4" xfId="14869"/>
    <cellStyle name="Heading 1 2 2 6 2 3 4 2" xfId="14870"/>
    <cellStyle name="Heading 1 2 2 6 2 3 4 2 2" xfId="14871"/>
    <cellStyle name="Heading 1 2 2 6 2 3 4 3" xfId="14872"/>
    <cellStyle name="Heading 1 2 2 6 2 3 5" xfId="14873"/>
    <cellStyle name="Heading 1 2 2 6 2 3 5 2" xfId="14874"/>
    <cellStyle name="Heading 1 2 2 6 2 3 5 2 2" xfId="14875"/>
    <cellStyle name="Heading 1 2 2 6 2 3 5 3" xfId="14876"/>
    <cellStyle name="Heading 1 2 2 6 2 3 6" xfId="14877"/>
    <cellStyle name="Heading 1 2 2 6 2 3 6 2" xfId="14878"/>
    <cellStyle name="Heading 1 2 2 6 2 3 6 2 2" xfId="14879"/>
    <cellStyle name="Heading 1 2 2 6 2 3 6 3" xfId="14880"/>
    <cellStyle name="Heading 1 2 2 6 2 3 7" xfId="14881"/>
    <cellStyle name="Heading 1 2 2 6 2 3 7 2" xfId="14882"/>
    <cellStyle name="Heading 1 2 2 6 2 3 7 2 2" xfId="14883"/>
    <cellStyle name="Heading 1 2 2 6 2 3 7 3" xfId="14884"/>
    <cellStyle name="Heading 1 2 2 6 2 3 8" xfId="14885"/>
    <cellStyle name="Heading 1 2 2 6 2 3 8 2" xfId="14886"/>
    <cellStyle name="Heading 1 2 2 6 2 3 9" xfId="14887"/>
    <cellStyle name="Heading 1 2 2 6 2 4" xfId="14888"/>
    <cellStyle name="Heading 1 2 2 6 2 4 2" xfId="14889"/>
    <cellStyle name="Heading 1 2 2 6 2 4 2 2" xfId="14890"/>
    <cellStyle name="Heading 1 2 2 6 2 4 2 2 2" xfId="14891"/>
    <cellStyle name="Heading 1 2 2 6 2 4 2 3" xfId="14892"/>
    <cellStyle name="Heading 1 2 2 6 2 4 3" xfId="14893"/>
    <cellStyle name="Heading 1 2 2 6 2 4 3 2" xfId="14894"/>
    <cellStyle name="Heading 1 2 2 6 2 4 3 2 2" xfId="14895"/>
    <cellStyle name="Heading 1 2 2 6 2 4 3 3" xfId="14896"/>
    <cellStyle name="Heading 1 2 2 6 2 4 4" xfId="14897"/>
    <cellStyle name="Heading 1 2 2 6 2 4 4 2" xfId="14898"/>
    <cellStyle name="Heading 1 2 2 6 2 4 4 2 2" xfId="14899"/>
    <cellStyle name="Heading 1 2 2 6 2 4 4 3" xfId="14900"/>
    <cellStyle name="Heading 1 2 2 6 2 4 5" xfId="14901"/>
    <cellStyle name="Heading 1 2 2 6 2 4 5 2" xfId="14902"/>
    <cellStyle name="Heading 1 2 2 6 2 4 5 2 2" xfId="14903"/>
    <cellStyle name="Heading 1 2 2 6 2 4 5 3" xfId="14904"/>
    <cellStyle name="Heading 1 2 2 6 2 4 6" xfId="14905"/>
    <cellStyle name="Heading 1 2 2 6 2 4 6 2" xfId="14906"/>
    <cellStyle name="Heading 1 2 2 6 2 4 6 2 2" xfId="14907"/>
    <cellStyle name="Heading 1 2 2 6 2 4 6 3" xfId="14908"/>
    <cellStyle name="Heading 1 2 2 6 2 4 7" xfId="14909"/>
    <cellStyle name="Heading 1 2 2 6 2 4 7 2" xfId="14910"/>
    <cellStyle name="Heading 1 2 2 6 2 4 7 2 2" xfId="14911"/>
    <cellStyle name="Heading 1 2 2 6 2 4 7 3" xfId="14912"/>
    <cellStyle name="Heading 1 2 2 6 2 4 8" xfId="14913"/>
    <cellStyle name="Heading 1 2 2 6 2 4 8 2" xfId="14914"/>
    <cellStyle name="Heading 1 2 2 6 2 4 9" xfId="14915"/>
    <cellStyle name="Heading 1 2 2 6 2 5" xfId="14916"/>
    <cellStyle name="Heading 1 2 2 6 2 5 2" xfId="14917"/>
    <cellStyle name="Heading 1 2 2 6 2 5 2 2" xfId="14918"/>
    <cellStyle name="Heading 1 2 2 6 2 5 2 2 2" xfId="14919"/>
    <cellStyle name="Heading 1 2 2 6 2 5 2 3" xfId="14920"/>
    <cellStyle name="Heading 1 2 2 6 2 5 3" xfId="14921"/>
    <cellStyle name="Heading 1 2 2 6 2 5 3 2" xfId="14922"/>
    <cellStyle name="Heading 1 2 2 6 2 5 3 2 2" xfId="14923"/>
    <cellStyle name="Heading 1 2 2 6 2 5 3 3" xfId="14924"/>
    <cellStyle name="Heading 1 2 2 6 2 5 4" xfId="14925"/>
    <cellStyle name="Heading 1 2 2 6 2 5 4 2" xfId="14926"/>
    <cellStyle name="Heading 1 2 2 6 2 5 4 2 2" xfId="14927"/>
    <cellStyle name="Heading 1 2 2 6 2 5 4 3" xfId="14928"/>
    <cellStyle name="Heading 1 2 2 6 2 5 5" xfId="14929"/>
    <cellStyle name="Heading 1 2 2 6 2 5 5 2" xfId="14930"/>
    <cellStyle name="Heading 1 2 2 6 2 5 5 2 2" xfId="14931"/>
    <cellStyle name="Heading 1 2 2 6 2 5 5 3" xfId="14932"/>
    <cellStyle name="Heading 1 2 2 6 2 5 6" xfId="14933"/>
    <cellStyle name="Heading 1 2 2 6 2 5 6 2" xfId="14934"/>
    <cellStyle name="Heading 1 2 2 6 2 5 6 2 2" xfId="14935"/>
    <cellStyle name="Heading 1 2 2 6 2 5 6 3" xfId="14936"/>
    <cellStyle name="Heading 1 2 2 6 2 5 7" xfId="14937"/>
    <cellStyle name="Heading 1 2 2 6 2 5 7 2" xfId="14938"/>
    <cellStyle name="Heading 1 2 2 6 2 5 7 2 2" xfId="14939"/>
    <cellStyle name="Heading 1 2 2 6 2 5 7 3" xfId="14940"/>
    <cellStyle name="Heading 1 2 2 6 2 5 8" xfId="14941"/>
    <cellStyle name="Heading 1 2 2 6 2 5 8 2" xfId="14942"/>
    <cellStyle name="Heading 1 2 2 6 2 5 9" xfId="14943"/>
    <cellStyle name="Heading 1 2 2 6 2 6" xfId="14944"/>
    <cellStyle name="Heading 1 2 2 6 2 6 2" xfId="14945"/>
    <cellStyle name="Heading 1 2 2 6 2 6 2 2" xfId="14946"/>
    <cellStyle name="Heading 1 2 2 6 2 6 2 2 2" xfId="14947"/>
    <cellStyle name="Heading 1 2 2 6 2 6 2 3" xfId="14948"/>
    <cellStyle name="Heading 1 2 2 6 2 6 3" xfId="14949"/>
    <cellStyle name="Heading 1 2 2 6 2 6 3 2" xfId="14950"/>
    <cellStyle name="Heading 1 2 2 6 2 6 3 2 2" xfId="14951"/>
    <cellStyle name="Heading 1 2 2 6 2 6 3 3" xfId="14952"/>
    <cellStyle name="Heading 1 2 2 6 2 6 4" xfId="14953"/>
    <cellStyle name="Heading 1 2 2 6 2 6 4 2" xfId="14954"/>
    <cellStyle name="Heading 1 2 2 6 2 6 4 2 2" xfId="14955"/>
    <cellStyle name="Heading 1 2 2 6 2 6 4 3" xfId="14956"/>
    <cellStyle name="Heading 1 2 2 6 2 6 5" xfId="14957"/>
    <cellStyle name="Heading 1 2 2 6 2 6 5 2" xfId="14958"/>
    <cellStyle name="Heading 1 2 2 6 2 6 5 2 2" xfId="14959"/>
    <cellStyle name="Heading 1 2 2 6 2 6 5 3" xfId="14960"/>
    <cellStyle name="Heading 1 2 2 6 2 6 6" xfId="14961"/>
    <cellStyle name="Heading 1 2 2 6 2 6 6 2" xfId="14962"/>
    <cellStyle name="Heading 1 2 2 6 2 6 6 2 2" xfId="14963"/>
    <cellStyle name="Heading 1 2 2 6 2 6 6 3" xfId="14964"/>
    <cellStyle name="Heading 1 2 2 6 2 6 7" xfId="14965"/>
    <cellStyle name="Heading 1 2 2 6 2 6 7 2" xfId="14966"/>
    <cellStyle name="Heading 1 2 2 6 2 6 7 2 2" xfId="14967"/>
    <cellStyle name="Heading 1 2 2 6 2 6 7 3" xfId="14968"/>
    <cellStyle name="Heading 1 2 2 6 2 6 8" xfId="14969"/>
    <cellStyle name="Heading 1 2 2 6 2 6 8 2" xfId="14970"/>
    <cellStyle name="Heading 1 2 2 6 2 6 9" xfId="14971"/>
    <cellStyle name="Heading 1 2 2 6 2 7" xfId="14972"/>
    <cellStyle name="Heading 1 2 2 6 2 7 2" xfId="14973"/>
    <cellStyle name="Heading 1 2 2 6 2 7 2 2" xfId="14974"/>
    <cellStyle name="Heading 1 2 2 6 2 7 2 2 2" xfId="14975"/>
    <cellStyle name="Heading 1 2 2 6 2 7 2 3" xfId="14976"/>
    <cellStyle name="Heading 1 2 2 6 2 7 3" xfId="14977"/>
    <cellStyle name="Heading 1 2 2 6 2 7 3 2" xfId="14978"/>
    <cellStyle name="Heading 1 2 2 6 2 7 3 2 2" xfId="14979"/>
    <cellStyle name="Heading 1 2 2 6 2 7 3 3" xfId="14980"/>
    <cellStyle name="Heading 1 2 2 6 2 7 4" xfId="14981"/>
    <cellStyle name="Heading 1 2 2 6 2 7 4 2" xfId="14982"/>
    <cellStyle name="Heading 1 2 2 6 2 7 4 2 2" xfId="14983"/>
    <cellStyle name="Heading 1 2 2 6 2 7 4 3" xfId="14984"/>
    <cellStyle name="Heading 1 2 2 6 2 7 5" xfId="14985"/>
    <cellStyle name="Heading 1 2 2 6 2 7 5 2" xfId="14986"/>
    <cellStyle name="Heading 1 2 2 6 2 7 5 2 2" xfId="14987"/>
    <cellStyle name="Heading 1 2 2 6 2 7 5 3" xfId="14988"/>
    <cellStyle name="Heading 1 2 2 6 2 7 6" xfId="14989"/>
    <cellStyle name="Heading 1 2 2 6 2 7 6 2" xfId="14990"/>
    <cellStyle name="Heading 1 2 2 6 2 7 6 2 2" xfId="14991"/>
    <cellStyle name="Heading 1 2 2 6 2 7 6 3" xfId="14992"/>
    <cellStyle name="Heading 1 2 2 6 2 7 7" xfId="14993"/>
    <cellStyle name="Heading 1 2 2 6 2 7 7 2" xfId="14994"/>
    <cellStyle name="Heading 1 2 2 6 2 7 7 2 2" xfId="14995"/>
    <cellStyle name="Heading 1 2 2 6 2 7 7 3" xfId="14996"/>
    <cellStyle name="Heading 1 2 2 6 2 7 8" xfId="14997"/>
    <cellStyle name="Heading 1 2 2 6 2 7 8 2" xfId="14998"/>
    <cellStyle name="Heading 1 2 2 6 2 7 9" xfId="14999"/>
    <cellStyle name="Heading 1 2 2 6 2 8" xfId="15000"/>
    <cellStyle name="Heading 1 2 2 6 2 8 2" xfId="15001"/>
    <cellStyle name="Heading 1 2 2 6 2 8 2 2" xfId="15002"/>
    <cellStyle name="Heading 1 2 2 6 2 8 2 2 2" xfId="15003"/>
    <cellStyle name="Heading 1 2 2 6 2 8 2 3" xfId="15004"/>
    <cellStyle name="Heading 1 2 2 6 2 8 3" xfId="15005"/>
    <cellStyle name="Heading 1 2 2 6 2 8 3 2" xfId="15006"/>
    <cellStyle name="Heading 1 2 2 6 2 8 3 2 2" xfId="15007"/>
    <cellStyle name="Heading 1 2 2 6 2 8 3 3" xfId="15008"/>
    <cellStyle name="Heading 1 2 2 6 2 8 4" xfId="15009"/>
    <cellStyle name="Heading 1 2 2 6 2 8 4 2" xfId="15010"/>
    <cellStyle name="Heading 1 2 2 6 2 8 4 2 2" xfId="15011"/>
    <cellStyle name="Heading 1 2 2 6 2 8 4 3" xfId="15012"/>
    <cellStyle name="Heading 1 2 2 6 2 8 5" xfId="15013"/>
    <cellStyle name="Heading 1 2 2 6 2 8 5 2" xfId="15014"/>
    <cellStyle name="Heading 1 2 2 6 2 8 5 2 2" xfId="15015"/>
    <cellStyle name="Heading 1 2 2 6 2 8 5 3" xfId="15016"/>
    <cellStyle name="Heading 1 2 2 6 2 8 6" xfId="15017"/>
    <cellStyle name="Heading 1 2 2 6 2 8 6 2" xfId="15018"/>
    <cellStyle name="Heading 1 2 2 6 2 8 6 2 2" xfId="15019"/>
    <cellStyle name="Heading 1 2 2 6 2 8 6 3" xfId="15020"/>
    <cellStyle name="Heading 1 2 2 6 2 8 7" xfId="15021"/>
    <cellStyle name="Heading 1 2 2 6 2 8 7 2" xfId="15022"/>
    <cellStyle name="Heading 1 2 2 6 2 8 7 2 2" xfId="15023"/>
    <cellStyle name="Heading 1 2 2 6 2 8 7 3" xfId="15024"/>
    <cellStyle name="Heading 1 2 2 6 2 8 8" xfId="15025"/>
    <cellStyle name="Heading 1 2 2 6 2 8 8 2" xfId="15026"/>
    <cellStyle name="Heading 1 2 2 6 2 8 9" xfId="15027"/>
    <cellStyle name="Heading 1 2 2 6 2 9" xfId="15028"/>
    <cellStyle name="Heading 1 2 2 6 2 9 2" xfId="15029"/>
    <cellStyle name="Heading 1 2 2 6 2 9 2 2" xfId="15030"/>
    <cellStyle name="Heading 1 2 2 6 2 9 2 2 2" xfId="15031"/>
    <cellStyle name="Heading 1 2 2 6 2 9 2 3" xfId="15032"/>
    <cellStyle name="Heading 1 2 2 6 2 9 3" xfId="15033"/>
    <cellStyle name="Heading 1 2 2 6 2 9 3 2" xfId="15034"/>
    <cellStyle name="Heading 1 2 2 6 2 9 3 2 2" xfId="15035"/>
    <cellStyle name="Heading 1 2 2 6 2 9 3 3" xfId="15036"/>
    <cellStyle name="Heading 1 2 2 6 2 9 4" xfId="15037"/>
    <cellStyle name="Heading 1 2 2 6 2 9 4 2" xfId="15038"/>
    <cellStyle name="Heading 1 2 2 6 2 9 4 2 2" xfId="15039"/>
    <cellStyle name="Heading 1 2 2 6 2 9 4 3" xfId="15040"/>
    <cellStyle name="Heading 1 2 2 6 2 9 5" xfId="15041"/>
    <cellStyle name="Heading 1 2 2 6 2 9 5 2" xfId="15042"/>
    <cellStyle name="Heading 1 2 2 6 2 9 5 2 2" xfId="15043"/>
    <cellStyle name="Heading 1 2 2 6 2 9 5 3" xfId="15044"/>
    <cellStyle name="Heading 1 2 2 6 2 9 6" xfId="15045"/>
    <cellStyle name="Heading 1 2 2 6 2 9 6 2" xfId="15046"/>
    <cellStyle name="Heading 1 2 2 6 2 9 6 2 2" xfId="15047"/>
    <cellStyle name="Heading 1 2 2 6 2 9 6 3" xfId="15048"/>
    <cellStyle name="Heading 1 2 2 6 2 9 7" xfId="15049"/>
    <cellStyle name="Heading 1 2 2 6 2 9 7 2" xfId="15050"/>
    <cellStyle name="Heading 1 2 2 6 2 9 7 2 2" xfId="15051"/>
    <cellStyle name="Heading 1 2 2 6 2 9 7 3" xfId="15052"/>
    <cellStyle name="Heading 1 2 2 6 2 9 8" xfId="15053"/>
    <cellStyle name="Heading 1 2 2 6 2 9 8 2" xfId="15054"/>
    <cellStyle name="Heading 1 2 2 6 2 9 9" xfId="15055"/>
    <cellStyle name="Heading 1 2 2 6 3" xfId="15056"/>
    <cellStyle name="Heading 1 2 2 6 3 10" xfId="15057"/>
    <cellStyle name="Heading 1 2 2 6 3 10 2" xfId="15058"/>
    <cellStyle name="Heading 1 2 2 6 3 10 2 2" xfId="15059"/>
    <cellStyle name="Heading 1 2 2 6 3 10 3" xfId="15060"/>
    <cellStyle name="Heading 1 2 2 6 3 11" xfId="15061"/>
    <cellStyle name="Heading 1 2 2 6 3 11 2" xfId="15062"/>
    <cellStyle name="Heading 1 2 2 6 3 11 2 2" xfId="15063"/>
    <cellStyle name="Heading 1 2 2 6 3 11 3" xfId="15064"/>
    <cellStyle name="Heading 1 2 2 6 3 12" xfId="15065"/>
    <cellStyle name="Heading 1 2 2 6 3 12 2" xfId="15066"/>
    <cellStyle name="Heading 1 2 2 6 3 12 2 2" xfId="15067"/>
    <cellStyle name="Heading 1 2 2 6 3 12 3" xfId="15068"/>
    <cellStyle name="Heading 1 2 2 6 3 13" xfId="15069"/>
    <cellStyle name="Heading 1 2 2 6 3 13 2" xfId="15070"/>
    <cellStyle name="Heading 1 2 2 6 3 13 2 2" xfId="15071"/>
    <cellStyle name="Heading 1 2 2 6 3 13 3" xfId="15072"/>
    <cellStyle name="Heading 1 2 2 6 3 14" xfId="15073"/>
    <cellStyle name="Heading 1 2 2 6 3 14 2" xfId="15074"/>
    <cellStyle name="Heading 1 2 2 6 3 14 2 2" xfId="15075"/>
    <cellStyle name="Heading 1 2 2 6 3 14 3" xfId="15076"/>
    <cellStyle name="Heading 1 2 2 6 3 15" xfId="15077"/>
    <cellStyle name="Heading 1 2 2 6 3 15 2" xfId="15078"/>
    <cellStyle name="Heading 1 2 2 6 3 15 2 2" xfId="15079"/>
    <cellStyle name="Heading 1 2 2 6 3 15 3" xfId="15080"/>
    <cellStyle name="Heading 1 2 2 6 3 16" xfId="15081"/>
    <cellStyle name="Heading 1 2 2 6 3 16 2" xfId="15082"/>
    <cellStyle name="Heading 1 2 2 6 3 16 2 2" xfId="15083"/>
    <cellStyle name="Heading 1 2 2 6 3 16 3" xfId="15084"/>
    <cellStyle name="Heading 1 2 2 6 3 17" xfId="15085"/>
    <cellStyle name="Heading 1 2 2 6 3 17 2" xfId="15086"/>
    <cellStyle name="Heading 1 2 2 6 3 17 2 2" xfId="15087"/>
    <cellStyle name="Heading 1 2 2 6 3 17 3" xfId="15088"/>
    <cellStyle name="Heading 1 2 2 6 3 18" xfId="15089"/>
    <cellStyle name="Heading 1 2 2 6 3 18 2" xfId="15090"/>
    <cellStyle name="Heading 1 2 2 6 3 18 2 2" xfId="15091"/>
    <cellStyle name="Heading 1 2 2 6 3 18 3" xfId="15092"/>
    <cellStyle name="Heading 1 2 2 6 3 19" xfId="15093"/>
    <cellStyle name="Heading 1 2 2 6 3 19 2" xfId="15094"/>
    <cellStyle name="Heading 1 2 2 6 3 2" xfId="15095"/>
    <cellStyle name="Heading 1 2 2 6 3 2 2" xfId="15096"/>
    <cellStyle name="Heading 1 2 2 6 3 2 2 2" xfId="15097"/>
    <cellStyle name="Heading 1 2 2 6 3 2 2 2 2" xfId="15098"/>
    <cellStyle name="Heading 1 2 2 6 3 2 2 3" xfId="15099"/>
    <cellStyle name="Heading 1 2 2 6 3 2 3" xfId="15100"/>
    <cellStyle name="Heading 1 2 2 6 3 2 3 2" xfId="15101"/>
    <cellStyle name="Heading 1 2 2 6 3 2 3 2 2" xfId="15102"/>
    <cellStyle name="Heading 1 2 2 6 3 2 3 3" xfId="15103"/>
    <cellStyle name="Heading 1 2 2 6 3 2 4" xfId="15104"/>
    <cellStyle name="Heading 1 2 2 6 3 2 4 2" xfId="15105"/>
    <cellStyle name="Heading 1 2 2 6 3 2 4 2 2" xfId="15106"/>
    <cellStyle name="Heading 1 2 2 6 3 2 4 3" xfId="15107"/>
    <cellStyle name="Heading 1 2 2 6 3 2 5" xfId="15108"/>
    <cellStyle name="Heading 1 2 2 6 3 2 5 2" xfId="15109"/>
    <cellStyle name="Heading 1 2 2 6 3 2 5 2 2" xfId="15110"/>
    <cellStyle name="Heading 1 2 2 6 3 2 5 3" xfId="15111"/>
    <cellStyle name="Heading 1 2 2 6 3 2 6" xfId="15112"/>
    <cellStyle name="Heading 1 2 2 6 3 2 6 2" xfId="15113"/>
    <cellStyle name="Heading 1 2 2 6 3 2 6 2 2" xfId="15114"/>
    <cellStyle name="Heading 1 2 2 6 3 2 6 3" xfId="15115"/>
    <cellStyle name="Heading 1 2 2 6 3 2 7" xfId="15116"/>
    <cellStyle name="Heading 1 2 2 6 3 2 7 2" xfId="15117"/>
    <cellStyle name="Heading 1 2 2 6 3 2 7 2 2" xfId="15118"/>
    <cellStyle name="Heading 1 2 2 6 3 2 7 3" xfId="15119"/>
    <cellStyle name="Heading 1 2 2 6 3 2 8" xfId="15120"/>
    <cellStyle name="Heading 1 2 2 6 3 2 8 2" xfId="15121"/>
    <cellStyle name="Heading 1 2 2 6 3 2 9" xfId="15122"/>
    <cellStyle name="Heading 1 2 2 6 3 20" xfId="15123"/>
    <cellStyle name="Heading 1 2 2 6 3 20 2" xfId="15124"/>
    <cellStyle name="Heading 1 2 2 6 3 21" xfId="15125"/>
    <cellStyle name="Heading 1 2 2 6 3 21 2" xfId="15126"/>
    <cellStyle name="Heading 1 2 2 6 3 22" xfId="15127"/>
    <cellStyle name="Heading 1 2 2 6 3 3" xfId="15128"/>
    <cellStyle name="Heading 1 2 2 6 3 3 2" xfId="15129"/>
    <cellStyle name="Heading 1 2 2 6 3 3 2 2" xfId="15130"/>
    <cellStyle name="Heading 1 2 2 6 3 3 2 2 2" xfId="15131"/>
    <cellStyle name="Heading 1 2 2 6 3 3 2 3" xfId="15132"/>
    <cellStyle name="Heading 1 2 2 6 3 3 3" xfId="15133"/>
    <cellStyle name="Heading 1 2 2 6 3 3 3 2" xfId="15134"/>
    <cellStyle name="Heading 1 2 2 6 3 3 3 2 2" xfId="15135"/>
    <cellStyle name="Heading 1 2 2 6 3 3 3 3" xfId="15136"/>
    <cellStyle name="Heading 1 2 2 6 3 3 4" xfId="15137"/>
    <cellStyle name="Heading 1 2 2 6 3 3 4 2" xfId="15138"/>
    <cellStyle name="Heading 1 2 2 6 3 3 4 2 2" xfId="15139"/>
    <cellStyle name="Heading 1 2 2 6 3 3 4 3" xfId="15140"/>
    <cellStyle name="Heading 1 2 2 6 3 3 5" xfId="15141"/>
    <cellStyle name="Heading 1 2 2 6 3 3 5 2" xfId="15142"/>
    <cellStyle name="Heading 1 2 2 6 3 3 5 2 2" xfId="15143"/>
    <cellStyle name="Heading 1 2 2 6 3 3 5 3" xfId="15144"/>
    <cellStyle name="Heading 1 2 2 6 3 3 6" xfId="15145"/>
    <cellStyle name="Heading 1 2 2 6 3 3 6 2" xfId="15146"/>
    <cellStyle name="Heading 1 2 2 6 3 3 6 2 2" xfId="15147"/>
    <cellStyle name="Heading 1 2 2 6 3 3 6 3" xfId="15148"/>
    <cellStyle name="Heading 1 2 2 6 3 3 7" xfId="15149"/>
    <cellStyle name="Heading 1 2 2 6 3 3 7 2" xfId="15150"/>
    <cellStyle name="Heading 1 2 2 6 3 3 7 2 2" xfId="15151"/>
    <cellStyle name="Heading 1 2 2 6 3 3 7 3" xfId="15152"/>
    <cellStyle name="Heading 1 2 2 6 3 3 8" xfId="15153"/>
    <cellStyle name="Heading 1 2 2 6 3 3 8 2" xfId="15154"/>
    <cellStyle name="Heading 1 2 2 6 3 3 9" xfId="15155"/>
    <cellStyle name="Heading 1 2 2 6 3 4" xfId="15156"/>
    <cellStyle name="Heading 1 2 2 6 3 4 2" xfId="15157"/>
    <cellStyle name="Heading 1 2 2 6 3 4 2 2" xfId="15158"/>
    <cellStyle name="Heading 1 2 2 6 3 4 2 2 2" xfId="15159"/>
    <cellStyle name="Heading 1 2 2 6 3 4 2 3" xfId="15160"/>
    <cellStyle name="Heading 1 2 2 6 3 4 3" xfId="15161"/>
    <cellStyle name="Heading 1 2 2 6 3 4 3 2" xfId="15162"/>
    <cellStyle name="Heading 1 2 2 6 3 4 3 2 2" xfId="15163"/>
    <cellStyle name="Heading 1 2 2 6 3 4 3 3" xfId="15164"/>
    <cellStyle name="Heading 1 2 2 6 3 4 4" xfId="15165"/>
    <cellStyle name="Heading 1 2 2 6 3 4 4 2" xfId="15166"/>
    <cellStyle name="Heading 1 2 2 6 3 4 4 2 2" xfId="15167"/>
    <cellStyle name="Heading 1 2 2 6 3 4 4 3" xfId="15168"/>
    <cellStyle name="Heading 1 2 2 6 3 4 5" xfId="15169"/>
    <cellStyle name="Heading 1 2 2 6 3 4 5 2" xfId="15170"/>
    <cellStyle name="Heading 1 2 2 6 3 4 5 2 2" xfId="15171"/>
    <cellStyle name="Heading 1 2 2 6 3 4 5 3" xfId="15172"/>
    <cellStyle name="Heading 1 2 2 6 3 4 6" xfId="15173"/>
    <cellStyle name="Heading 1 2 2 6 3 4 6 2" xfId="15174"/>
    <cellStyle name="Heading 1 2 2 6 3 4 6 2 2" xfId="15175"/>
    <cellStyle name="Heading 1 2 2 6 3 4 6 3" xfId="15176"/>
    <cellStyle name="Heading 1 2 2 6 3 4 7" xfId="15177"/>
    <cellStyle name="Heading 1 2 2 6 3 4 7 2" xfId="15178"/>
    <cellStyle name="Heading 1 2 2 6 3 4 7 2 2" xfId="15179"/>
    <cellStyle name="Heading 1 2 2 6 3 4 7 3" xfId="15180"/>
    <cellStyle name="Heading 1 2 2 6 3 4 8" xfId="15181"/>
    <cellStyle name="Heading 1 2 2 6 3 4 8 2" xfId="15182"/>
    <cellStyle name="Heading 1 2 2 6 3 4 9" xfId="15183"/>
    <cellStyle name="Heading 1 2 2 6 3 5" xfId="15184"/>
    <cellStyle name="Heading 1 2 2 6 3 5 2" xfId="15185"/>
    <cellStyle name="Heading 1 2 2 6 3 5 2 2" xfId="15186"/>
    <cellStyle name="Heading 1 2 2 6 3 5 2 2 2" xfId="15187"/>
    <cellStyle name="Heading 1 2 2 6 3 5 2 3" xfId="15188"/>
    <cellStyle name="Heading 1 2 2 6 3 5 3" xfId="15189"/>
    <cellStyle name="Heading 1 2 2 6 3 5 3 2" xfId="15190"/>
    <cellStyle name="Heading 1 2 2 6 3 5 3 2 2" xfId="15191"/>
    <cellStyle name="Heading 1 2 2 6 3 5 3 3" xfId="15192"/>
    <cellStyle name="Heading 1 2 2 6 3 5 4" xfId="15193"/>
    <cellStyle name="Heading 1 2 2 6 3 5 4 2" xfId="15194"/>
    <cellStyle name="Heading 1 2 2 6 3 5 4 2 2" xfId="15195"/>
    <cellStyle name="Heading 1 2 2 6 3 5 4 3" xfId="15196"/>
    <cellStyle name="Heading 1 2 2 6 3 5 5" xfId="15197"/>
    <cellStyle name="Heading 1 2 2 6 3 5 5 2" xfId="15198"/>
    <cellStyle name="Heading 1 2 2 6 3 5 5 2 2" xfId="15199"/>
    <cellStyle name="Heading 1 2 2 6 3 5 5 3" xfId="15200"/>
    <cellStyle name="Heading 1 2 2 6 3 5 6" xfId="15201"/>
    <cellStyle name="Heading 1 2 2 6 3 5 6 2" xfId="15202"/>
    <cellStyle name="Heading 1 2 2 6 3 5 6 2 2" xfId="15203"/>
    <cellStyle name="Heading 1 2 2 6 3 5 6 3" xfId="15204"/>
    <cellStyle name="Heading 1 2 2 6 3 5 7" xfId="15205"/>
    <cellStyle name="Heading 1 2 2 6 3 5 7 2" xfId="15206"/>
    <cellStyle name="Heading 1 2 2 6 3 5 7 2 2" xfId="15207"/>
    <cellStyle name="Heading 1 2 2 6 3 5 7 3" xfId="15208"/>
    <cellStyle name="Heading 1 2 2 6 3 5 8" xfId="15209"/>
    <cellStyle name="Heading 1 2 2 6 3 5 8 2" xfId="15210"/>
    <cellStyle name="Heading 1 2 2 6 3 5 9" xfId="15211"/>
    <cellStyle name="Heading 1 2 2 6 3 6" xfId="15212"/>
    <cellStyle name="Heading 1 2 2 6 3 6 2" xfId="15213"/>
    <cellStyle name="Heading 1 2 2 6 3 6 2 2" xfId="15214"/>
    <cellStyle name="Heading 1 2 2 6 3 6 2 2 2" xfId="15215"/>
    <cellStyle name="Heading 1 2 2 6 3 6 2 3" xfId="15216"/>
    <cellStyle name="Heading 1 2 2 6 3 6 3" xfId="15217"/>
    <cellStyle name="Heading 1 2 2 6 3 6 3 2" xfId="15218"/>
    <cellStyle name="Heading 1 2 2 6 3 6 3 2 2" xfId="15219"/>
    <cellStyle name="Heading 1 2 2 6 3 6 3 3" xfId="15220"/>
    <cellStyle name="Heading 1 2 2 6 3 6 4" xfId="15221"/>
    <cellStyle name="Heading 1 2 2 6 3 6 4 2" xfId="15222"/>
    <cellStyle name="Heading 1 2 2 6 3 6 4 2 2" xfId="15223"/>
    <cellStyle name="Heading 1 2 2 6 3 6 4 3" xfId="15224"/>
    <cellStyle name="Heading 1 2 2 6 3 6 5" xfId="15225"/>
    <cellStyle name="Heading 1 2 2 6 3 6 5 2" xfId="15226"/>
    <cellStyle name="Heading 1 2 2 6 3 6 5 2 2" xfId="15227"/>
    <cellStyle name="Heading 1 2 2 6 3 6 5 3" xfId="15228"/>
    <cellStyle name="Heading 1 2 2 6 3 6 6" xfId="15229"/>
    <cellStyle name="Heading 1 2 2 6 3 6 6 2" xfId="15230"/>
    <cellStyle name="Heading 1 2 2 6 3 6 6 2 2" xfId="15231"/>
    <cellStyle name="Heading 1 2 2 6 3 6 6 3" xfId="15232"/>
    <cellStyle name="Heading 1 2 2 6 3 6 7" xfId="15233"/>
    <cellStyle name="Heading 1 2 2 6 3 6 7 2" xfId="15234"/>
    <cellStyle name="Heading 1 2 2 6 3 6 7 2 2" xfId="15235"/>
    <cellStyle name="Heading 1 2 2 6 3 6 7 3" xfId="15236"/>
    <cellStyle name="Heading 1 2 2 6 3 6 8" xfId="15237"/>
    <cellStyle name="Heading 1 2 2 6 3 6 8 2" xfId="15238"/>
    <cellStyle name="Heading 1 2 2 6 3 6 9" xfId="15239"/>
    <cellStyle name="Heading 1 2 2 6 3 7" xfId="15240"/>
    <cellStyle name="Heading 1 2 2 6 3 7 2" xfId="15241"/>
    <cellStyle name="Heading 1 2 2 6 3 7 2 2" xfId="15242"/>
    <cellStyle name="Heading 1 2 2 6 3 7 2 2 2" xfId="15243"/>
    <cellStyle name="Heading 1 2 2 6 3 7 2 3" xfId="15244"/>
    <cellStyle name="Heading 1 2 2 6 3 7 3" xfId="15245"/>
    <cellStyle name="Heading 1 2 2 6 3 7 3 2" xfId="15246"/>
    <cellStyle name="Heading 1 2 2 6 3 7 3 2 2" xfId="15247"/>
    <cellStyle name="Heading 1 2 2 6 3 7 3 3" xfId="15248"/>
    <cellStyle name="Heading 1 2 2 6 3 7 4" xfId="15249"/>
    <cellStyle name="Heading 1 2 2 6 3 7 4 2" xfId="15250"/>
    <cellStyle name="Heading 1 2 2 6 3 7 4 2 2" xfId="15251"/>
    <cellStyle name="Heading 1 2 2 6 3 7 4 3" xfId="15252"/>
    <cellStyle name="Heading 1 2 2 6 3 7 5" xfId="15253"/>
    <cellStyle name="Heading 1 2 2 6 3 7 5 2" xfId="15254"/>
    <cellStyle name="Heading 1 2 2 6 3 7 5 2 2" xfId="15255"/>
    <cellStyle name="Heading 1 2 2 6 3 7 5 3" xfId="15256"/>
    <cellStyle name="Heading 1 2 2 6 3 7 6" xfId="15257"/>
    <cellStyle name="Heading 1 2 2 6 3 7 6 2" xfId="15258"/>
    <cellStyle name="Heading 1 2 2 6 3 7 6 2 2" xfId="15259"/>
    <cellStyle name="Heading 1 2 2 6 3 7 6 3" xfId="15260"/>
    <cellStyle name="Heading 1 2 2 6 3 7 7" xfId="15261"/>
    <cellStyle name="Heading 1 2 2 6 3 7 7 2" xfId="15262"/>
    <cellStyle name="Heading 1 2 2 6 3 7 7 2 2" xfId="15263"/>
    <cellStyle name="Heading 1 2 2 6 3 7 7 3" xfId="15264"/>
    <cellStyle name="Heading 1 2 2 6 3 7 8" xfId="15265"/>
    <cellStyle name="Heading 1 2 2 6 3 7 8 2" xfId="15266"/>
    <cellStyle name="Heading 1 2 2 6 3 7 9" xfId="15267"/>
    <cellStyle name="Heading 1 2 2 6 3 8" xfId="15268"/>
    <cellStyle name="Heading 1 2 2 6 3 8 2" xfId="15269"/>
    <cellStyle name="Heading 1 2 2 6 3 8 2 2" xfId="15270"/>
    <cellStyle name="Heading 1 2 2 6 3 8 2 2 2" xfId="15271"/>
    <cellStyle name="Heading 1 2 2 6 3 8 2 3" xfId="15272"/>
    <cellStyle name="Heading 1 2 2 6 3 8 3" xfId="15273"/>
    <cellStyle name="Heading 1 2 2 6 3 8 3 2" xfId="15274"/>
    <cellStyle name="Heading 1 2 2 6 3 8 3 2 2" xfId="15275"/>
    <cellStyle name="Heading 1 2 2 6 3 8 3 3" xfId="15276"/>
    <cellStyle name="Heading 1 2 2 6 3 8 4" xfId="15277"/>
    <cellStyle name="Heading 1 2 2 6 3 8 4 2" xfId="15278"/>
    <cellStyle name="Heading 1 2 2 6 3 8 4 2 2" xfId="15279"/>
    <cellStyle name="Heading 1 2 2 6 3 8 4 3" xfId="15280"/>
    <cellStyle name="Heading 1 2 2 6 3 8 5" xfId="15281"/>
    <cellStyle name="Heading 1 2 2 6 3 8 5 2" xfId="15282"/>
    <cellStyle name="Heading 1 2 2 6 3 8 5 2 2" xfId="15283"/>
    <cellStyle name="Heading 1 2 2 6 3 8 5 3" xfId="15284"/>
    <cellStyle name="Heading 1 2 2 6 3 8 6" xfId="15285"/>
    <cellStyle name="Heading 1 2 2 6 3 8 6 2" xfId="15286"/>
    <cellStyle name="Heading 1 2 2 6 3 8 6 2 2" xfId="15287"/>
    <cellStyle name="Heading 1 2 2 6 3 8 6 3" xfId="15288"/>
    <cellStyle name="Heading 1 2 2 6 3 8 7" xfId="15289"/>
    <cellStyle name="Heading 1 2 2 6 3 8 7 2" xfId="15290"/>
    <cellStyle name="Heading 1 2 2 6 3 8 7 2 2" xfId="15291"/>
    <cellStyle name="Heading 1 2 2 6 3 8 7 3" xfId="15292"/>
    <cellStyle name="Heading 1 2 2 6 3 8 8" xfId="15293"/>
    <cellStyle name="Heading 1 2 2 6 3 8 8 2" xfId="15294"/>
    <cellStyle name="Heading 1 2 2 6 3 8 9" xfId="15295"/>
    <cellStyle name="Heading 1 2 2 6 3 9" xfId="15296"/>
    <cellStyle name="Heading 1 2 2 6 3 9 2" xfId="15297"/>
    <cellStyle name="Heading 1 2 2 6 3 9 2 2" xfId="15298"/>
    <cellStyle name="Heading 1 2 2 6 3 9 3" xfId="15299"/>
    <cellStyle name="Heading 1 2 2 6 4" xfId="15300"/>
    <cellStyle name="Heading 1 2 2 6 4 2" xfId="15301"/>
    <cellStyle name="Heading 1 2 2 6 4 2 2" xfId="15302"/>
    <cellStyle name="Heading 1 2 2 6 4 3" xfId="15303"/>
    <cellStyle name="Heading 1 2 2 6 5" xfId="15304"/>
    <cellStyle name="Heading 1 2 2 6 5 2" xfId="15305"/>
    <cellStyle name="Heading 1 2 2 6 6" xfId="15306"/>
    <cellStyle name="Heading 1 2 2 7" xfId="15307"/>
    <cellStyle name="Heading 1 2 2 7 2" xfId="15308"/>
    <cellStyle name="Heading 1 2 2 7 2 10" xfId="15309"/>
    <cellStyle name="Heading 1 2 2 7 2 10 2" xfId="15310"/>
    <cellStyle name="Heading 1 2 2 7 2 10 2 2" xfId="15311"/>
    <cellStyle name="Heading 1 2 2 7 2 10 3" xfId="15312"/>
    <cellStyle name="Heading 1 2 2 7 2 11" xfId="15313"/>
    <cellStyle name="Heading 1 2 2 7 2 11 2" xfId="15314"/>
    <cellStyle name="Heading 1 2 2 7 2 11 2 2" xfId="15315"/>
    <cellStyle name="Heading 1 2 2 7 2 11 3" xfId="15316"/>
    <cellStyle name="Heading 1 2 2 7 2 12" xfId="15317"/>
    <cellStyle name="Heading 1 2 2 7 2 12 2" xfId="15318"/>
    <cellStyle name="Heading 1 2 2 7 2 12 2 2" xfId="15319"/>
    <cellStyle name="Heading 1 2 2 7 2 12 3" xfId="15320"/>
    <cellStyle name="Heading 1 2 2 7 2 13" xfId="15321"/>
    <cellStyle name="Heading 1 2 2 7 2 13 2" xfId="15322"/>
    <cellStyle name="Heading 1 2 2 7 2 13 2 2" xfId="15323"/>
    <cellStyle name="Heading 1 2 2 7 2 13 3" xfId="15324"/>
    <cellStyle name="Heading 1 2 2 7 2 14" xfId="15325"/>
    <cellStyle name="Heading 1 2 2 7 2 14 2" xfId="15326"/>
    <cellStyle name="Heading 1 2 2 7 2 14 2 2" xfId="15327"/>
    <cellStyle name="Heading 1 2 2 7 2 14 3" xfId="15328"/>
    <cellStyle name="Heading 1 2 2 7 2 15" xfId="15329"/>
    <cellStyle name="Heading 1 2 2 7 2 15 2" xfId="15330"/>
    <cellStyle name="Heading 1 2 2 7 2 15 2 2" xfId="15331"/>
    <cellStyle name="Heading 1 2 2 7 2 15 3" xfId="15332"/>
    <cellStyle name="Heading 1 2 2 7 2 16" xfId="15333"/>
    <cellStyle name="Heading 1 2 2 7 2 16 2" xfId="15334"/>
    <cellStyle name="Heading 1 2 2 7 2 16 2 2" xfId="15335"/>
    <cellStyle name="Heading 1 2 2 7 2 16 3" xfId="15336"/>
    <cellStyle name="Heading 1 2 2 7 2 17" xfId="15337"/>
    <cellStyle name="Heading 1 2 2 7 2 17 2" xfId="15338"/>
    <cellStyle name="Heading 1 2 2 7 2 17 2 2" xfId="15339"/>
    <cellStyle name="Heading 1 2 2 7 2 17 3" xfId="15340"/>
    <cellStyle name="Heading 1 2 2 7 2 18" xfId="15341"/>
    <cellStyle name="Heading 1 2 2 7 2 18 2" xfId="15342"/>
    <cellStyle name="Heading 1 2 2 7 2 18 2 2" xfId="15343"/>
    <cellStyle name="Heading 1 2 2 7 2 18 3" xfId="15344"/>
    <cellStyle name="Heading 1 2 2 7 2 19" xfId="15345"/>
    <cellStyle name="Heading 1 2 2 7 2 19 2" xfId="15346"/>
    <cellStyle name="Heading 1 2 2 7 2 19 2 2" xfId="15347"/>
    <cellStyle name="Heading 1 2 2 7 2 19 3" xfId="15348"/>
    <cellStyle name="Heading 1 2 2 7 2 2" xfId="15349"/>
    <cellStyle name="Heading 1 2 2 7 2 2 10" xfId="15350"/>
    <cellStyle name="Heading 1 2 2 7 2 2 10 2" xfId="15351"/>
    <cellStyle name="Heading 1 2 2 7 2 2 10 2 2" xfId="15352"/>
    <cellStyle name="Heading 1 2 2 7 2 2 10 3" xfId="15353"/>
    <cellStyle name="Heading 1 2 2 7 2 2 11" xfId="15354"/>
    <cellStyle name="Heading 1 2 2 7 2 2 11 2" xfId="15355"/>
    <cellStyle name="Heading 1 2 2 7 2 2 11 2 2" xfId="15356"/>
    <cellStyle name="Heading 1 2 2 7 2 2 11 3" xfId="15357"/>
    <cellStyle name="Heading 1 2 2 7 2 2 12" xfId="15358"/>
    <cellStyle name="Heading 1 2 2 7 2 2 12 2" xfId="15359"/>
    <cellStyle name="Heading 1 2 2 7 2 2 12 2 2" xfId="15360"/>
    <cellStyle name="Heading 1 2 2 7 2 2 12 3" xfId="15361"/>
    <cellStyle name="Heading 1 2 2 7 2 2 13" xfId="15362"/>
    <cellStyle name="Heading 1 2 2 7 2 2 13 2" xfId="15363"/>
    <cellStyle name="Heading 1 2 2 7 2 2 13 2 2" xfId="15364"/>
    <cellStyle name="Heading 1 2 2 7 2 2 13 3" xfId="15365"/>
    <cellStyle name="Heading 1 2 2 7 2 2 14" xfId="15366"/>
    <cellStyle name="Heading 1 2 2 7 2 2 14 2" xfId="15367"/>
    <cellStyle name="Heading 1 2 2 7 2 2 14 2 2" xfId="15368"/>
    <cellStyle name="Heading 1 2 2 7 2 2 14 3" xfId="15369"/>
    <cellStyle name="Heading 1 2 2 7 2 2 15" xfId="15370"/>
    <cellStyle name="Heading 1 2 2 7 2 2 15 2" xfId="15371"/>
    <cellStyle name="Heading 1 2 2 7 2 2 15 2 2" xfId="15372"/>
    <cellStyle name="Heading 1 2 2 7 2 2 15 3" xfId="15373"/>
    <cellStyle name="Heading 1 2 2 7 2 2 16" xfId="15374"/>
    <cellStyle name="Heading 1 2 2 7 2 2 16 2" xfId="15375"/>
    <cellStyle name="Heading 1 2 2 7 2 2 16 2 2" xfId="15376"/>
    <cellStyle name="Heading 1 2 2 7 2 2 16 3" xfId="15377"/>
    <cellStyle name="Heading 1 2 2 7 2 2 17" xfId="15378"/>
    <cellStyle name="Heading 1 2 2 7 2 2 17 2" xfId="15379"/>
    <cellStyle name="Heading 1 2 2 7 2 2 17 2 2" xfId="15380"/>
    <cellStyle name="Heading 1 2 2 7 2 2 17 3" xfId="15381"/>
    <cellStyle name="Heading 1 2 2 7 2 2 18" xfId="15382"/>
    <cellStyle name="Heading 1 2 2 7 2 2 18 2" xfId="15383"/>
    <cellStyle name="Heading 1 2 2 7 2 2 18 2 2" xfId="15384"/>
    <cellStyle name="Heading 1 2 2 7 2 2 18 3" xfId="15385"/>
    <cellStyle name="Heading 1 2 2 7 2 2 19" xfId="15386"/>
    <cellStyle name="Heading 1 2 2 7 2 2 19 2" xfId="15387"/>
    <cellStyle name="Heading 1 2 2 7 2 2 2" xfId="15388"/>
    <cellStyle name="Heading 1 2 2 7 2 2 2 2" xfId="15389"/>
    <cellStyle name="Heading 1 2 2 7 2 2 2 2 2" xfId="15390"/>
    <cellStyle name="Heading 1 2 2 7 2 2 2 2 2 2" xfId="15391"/>
    <cellStyle name="Heading 1 2 2 7 2 2 2 2 3" xfId="15392"/>
    <cellStyle name="Heading 1 2 2 7 2 2 2 3" xfId="15393"/>
    <cellStyle name="Heading 1 2 2 7 2 2 2 3 2" xfId="15394"/>
    <cellStyle name="Heading 1 2 2 7 2 2 2 3 2 2" xfId="15395"/>
    <cellStyle name="Heading 1 2 2 7 2 2 2 3 3" xfId="15396"/>
    <cellStyle name="Heading 1 2 2 7 2 2 2 4" xfId="15397"/>
    <cellStyle name="Heading 1 2 2 7 2 2 2 4 2" xfId="15398"/>
    <cellStyle name="Heading 1 2 2 7 2 2 2 4 2 2" xfId="15399"/>
    <cellStyle name="Heading 1 2 2 7 2 2 2 4 3" xfId="15400"/>
    <cellStyle name="Heading 1 2 2 7 2 2 2 5" xfId="15401"/>
    <cellStyle name="Heading 1 2 2 7 2 2 2 5 2" xfId="15402"/>
    <cellStyle name="Heading 1 2 2 7 2 2 2 5 2 2" xfId="15403"/>
    <cellStyle name="Heading 1 2 2 7 2 2 2 5 3" xfId="15404"/>
    <cellStyle name="Heading 1 2 2 7 2 2 2 6" xfId="15405"/>
    <cellStyle name="Heading 1 2 2 7 2 2 2 6 2" xfId="15406"/>
    <cellStyle name="Heading 1 2 2 7 2 2 2 6 2 2" xfId="15407"/>
    <cellStyle name="Heading 1 2 2 7 2 2 2 6 3" xfId="15408"/>
    <cellStyle name="Heading 1 2 2 7 2 2 2 7" xfId="15409"/>
    <cellStyle name="Heading 1 2 2 7 2 2 2 7 2" xfId="15410"/>
    <cellStyle name="Heading 1 2 2 7 2 2 2 7 2 2" xfId="15411"/>
    <cellStyle name="Heading 1 2 2 7 2 2 2 7 3" xfId="15412"/>
    <cellStyle name="Heading 1 2 2 7 2 2 2 8" xfId="15413"/>
    <cellStyle name="Heading 1 2 2 7 2 2 2 8 2" xfId="15414"/>
    <cellStyle name="Heading 1 2 2 7 2 2 2 9" xfId="15415"/>
    <cellStyle name="Heading 1 2 2 7 2 2 20" xfId="15416"/>
    <cellStyle name="Heading 1 2 2 7 2 2 20 2" xfId="15417"/>
    <cellStyle name="Heading 1 2 2 7 2 2 21" xfId="15418"/>
    <cellStyle name="Heading 1 2 2 7 2 2 21 2" xfId="15419"/>
    <cellStyle name="Heading 1 2 2 7 2 2 22" xfId="15420"/>
    <cellStyle name="Heading 1 2 2 7 2 2 3" xfId="15421"/>
    <cellStyle name="Heading 1 2 2 7 2 2 3 2" xfId="15422"/>
    <cellStyle name="Heading 1 2 2 7 2 2 3 2 2" xfId="15423"/>
    <cellStyle name="Heading 1 2 2 7 2 2 3 2 2 2" xfId="15424"/>
    <cellStyle name="Heading 1 2 2 7 2 2 3 2 3" xfId="15425"/>
    <cellStyle name="Heading 1 2 2 7 2 2 3 3" xfId="15426"/>
    <cellStyle name="Heading 1 2 2 7 2 2 3 3 2" xfId="15427"/>
    <cellStyle name="Heading 1 2 2 7 2 2 3 3 2 2" xfId="15428"/>
    <cellStyle name="Heading 1 2 2 7 2 2 3 3 3" xfId="15429"/>
    <cellStyle name="Heading 1 2 2 7 2 2 3 4" xfId="15430"/>
    <cellStyle name="Heading 1 2 2 7 2 2 3 4 2" xfId="15431"/>
    <cellStyle name="Heading 1 2 2 7 2 2 3 4 2 2" xfId="15432"/>
    <cellStyle name="Heading 1 2 2 7 2 2 3 4 3" xfId="15433"/>
    <cellStyle name="Heading 1 2 2 7 2 2 3 5" xfId="15434"/>
    <cellStyle name="Heading 1 2 2 7 2 2 3 5 2" xfId="15435"/>
    <cellStyle name="Heading 1 2 2 7 2 2 3 5 2 2" xfId="15436"/>
    <cellStyle name="Heading 1 2 2 7 2 2 3 5 3" xfId="15437"/>
    <cellStyle name="Heading 1 2 2 7 2 2 3 6" xfId="15438"/>
    <cellStyle name="Heading 1 2 2 7 2 2 3 6 2" xfId="15439"/>
    <cellStyle name="Heading 1 2 2 7 2 2 3 6 2 2" xfId="15440"/>
    <cellStyle name="Heading 1 2 2 7 2 2 3 6 3" xfId="15441"/>
    <cellStyle name="Heading 1 2 2 7 2 2 3 7" xfId="15442"/>
    <cellStyle name="Heading 1 2 2 7 2 2 3 7 2" xfId="15443"/>
    <cellStyle name="Heading 1 2 2 7 2 2 3 7 2 2" xfId="15444"/>
    <cellStyle name="Heading 1 2 2 7 2 2 3 7 3" xfId="15445"/>
    <cellStyle name="Heading 1 2 2 7 2 2 3 8" xfId="15446"/>
    <cellStyle name="Heading 1 2 2 7 2 2 3 8 2" xfId="15447"/>
    <cellStyle name="Heading 1 2 2 7 2 2 3 9" xfId="15448"/>
    <cellStyle name="Heading 1 2 2 7 2 2 4" xfId="15449"/>
    <cellStyle name="Heading 1 2 2 7 2 2 4 2" xfId="15450"/>
    <cellStyle name="Heading 1 2 2 7 2 2 4 2 2" xfId="15451"/>
    <cellStyle name="Heading 1 2 2 7 2 2 4 2 2 2" xfId="15452"/>
    <cellStyle name="Heading 1 2 2 7 2 2 4 2 3" xfId="15453"/>
    <cellStyle name="Heading 1 2 2 7 2 2 4 3" xfId="15454"/>
    <cellStyle name="Heading 1 2 2 7 2 2 4 3 2" xfId="15455"/>
    <cellStyle name="Heading 1 2 2 7 2 2 4 3 2 2" xfId="15456"/>
    <cellStyle name="Heading 1 2 2 7 2 2 4 3 3" xfId="15457"/>
    <cellStyle name="Heading 1 2 2 7 2 2 4 4" xfId="15458"/>
    <cellStyle name="Heading 1 2 2 7 2 2 4 4 2" xfId="15459"/>
    <cellStyle name="Heading 1 2 2 7 2 2 4 4 2 2" xfId="15460"/>
    <cellStyle name="Heading 1 2 2 7 2 2 4 4 3" xfId="15461"/>
    <cellStyle name="Heading 1 2 2 7 2 2 4 5" xfId="15462"/>
    <cellStyle name="Heading 1 2 2 7 2 2 4 5 2" xfId="15463"/>
    <cellStyle name="Heading 1 2 2 7 2 2 4 5 2 2" xfId="15464"/>
    <cellStyle name="Heading 1 2 2 7 2 2 4 5 3" xfId="15465"/>
    <cellStyle name="Heading 1 2 2 7 2 2 4 6" xfId="15466"/>
    <cellStyle name="Heading 1 2 2 7 2 2 4 6 2" xfId="15467"/>
    <cellStyle name="Heading 1 2 2 7 2 2 4 6 2 2" xfId="15468"/>
    <cellStyle name="Heading 1 2 2 7 2 2 4 6 3" xfId="15469"/>
    <cellStyle name="Heading 1 2 2 7 2 2 4 7" xfId="15470"/>
    <cellStyle name="Heading 1 2 2 7 2 2 4 7 2" xfId="15471"/>
    <cellStyle name="Heading 1 2 2 7 2 2 4 7 2 2" xfId="15472"/>
    <cellStyle name="Heading 1 2 2 7 2 2 4 7 3" xfId="15473"/>
    <cellStyle name="Heading 1 2 2 7 2 2 4 8" xfId="15474"/>
    <cellStyle name="Heading 1 2 2 7 2 2 4 8 2" xfId="15475"/>
    <cellStyle name="Heading 1 2 2 7 2 2 4 9" xfId="15476"/>
    <cellStyle name="Heading 1 2 2 7 2 2 5" xfId="15477"/>
    <cellStyle name="Heading 1 2 2 7 2 2 5 2" xfId="15478"/>
    <cellStyle name="Heading 1 2 2 7 2 2 5 2 2" xfId="15479"/>
    <cellStyle name="Heading 1 2 2 7 2 2 5 2 2 2" xfId="15480"/>
    <cellStyle name="Heading 1 2 2 7 2 2 5 2 3" xfId="15481"/>
    <cellStyle name="Heading 1 2 2 7 2 2 5 3" xfId="15482"/>
    <cellStyle name="Heading 1 2 2 7 2 2 5 3 2" xfId="15483"/>
    <cellStyle name="Heading 1 2 2 7 2 2 5 3 2 2" xfId="15484"/>
    <cellStyle name="Heading 1 2 2 7 2 2 5 3 3" xfId="15485"/>
    <cellStyle name="Heading 1 2 2 7 2 2 5 4" xfId="15486"/>
    <cellStyle name="Heading 1 2 2 7 2 2 5 4 2" xfId="15487"/>
    <cellStyle name="Heading 1 2 2 7 2 2 5 4 2 2" xfId="15488"/>
    <cellStyle name="Heading 1 2 2 7 2 2 5 4 3" xfId="15489"/>
    <cellStyle name="Heading 1 2 2 7 2 2 5 5" xfId="15490"/>
    <cellStyle name="Heading 1 2 2 7 2 2 5 5 2" xfId="15491"/>
    <cellStyle name="Heading 1 2 2 7 2 2 5 5 2 2" xfId="15492"/>
    <cellStyle name="Heading 1 2 2 7 2 2 5 5 3" xfId="15493"/>
    <cellStyle name="Heading 1 2 2 7 2 2 5 6" xfId="15494"/>
    <cellStyle name="Heading 1 2 2 7 2 2 5 6 2" xfId="15495"/>
    <cellStyle name="Heading 1 2 2 7 2 2 5 6 2 2" xfId="15496"/>
    <cellStyle name="Heading 1 2 2 7 2 2 5 6 3" xfId="15497"/>
    <cellStyle name="Heading 1 2 2 7 2 2 5 7" xfId="15498"/>
    <cellStyle name="Heading 1 2 2 7 2 2 5 7 2" xfId="15499"/>
    <cellStyle name="Heading 1 2 2 7 2 2 5 7 2 2" xfId="15500"/>
    <cellStyle name="Heading 1 2 2 7 2 2 5 7 3" xfId="15501"/>
    <cellStyle name="Heading 1 2 2 7 2 2 5 8" xfId="15502"/>
    <cellStyle name="Heading 1 2 2 7 2 2 5 8 2" xfId="15503"/>
    <cellStyle name="Heading 1 2 2 7 2 2 5 9" xfId="15504"/>
    <cellStyle name="Heading 1 2 2 7 2 2 6" xfId="15505"/>
    <cellStyle name="Heading 1 2 2 7 2 2 6 2" xfId="15506"/>
    <cellStyle name="Heading 1 2 2 7 2 2 6 2 2" xfId="15507"/>
    <cellStyle name="Heading 1 2 2 7 2 2 6 2 2 2" xfId="15508"/>
    <cellStyle name="Heading 1 2 2 7 2 2 6 2 3" xfId="15509"/>
    <cellStyle name="Heading 1 2 2 7 2 2 6 3" xfId="15510"/>
    <cellStyle name="Heading 1 2 2 7 2 2 6 3 2" xfId="15511"/>
    <cellStyle name="Heading 1 2 2 7 2 2 6 3 2 2" xfId="15512"/>
    <cellStyle name="Heading 1 2 2 7 2 2 6 3 3" xfId="15513"/>
    <cellStyle name="Heading 1 2 2 7 2 2 6 4" xfId="15514"/>
    <cellStyle name="Heading 1 2 2 7 2 2 6 4 2" xfId="15515"/>
    <cellStyle name="Heading 1 2 2 7 2 2 6 4 2 2" xfId="15516"/>
    <cellStyle name="Heading 1 2 2 7 2 2 6 4 3" xfId="15517"/>
    <cellStyle name="Heading 1 2 2 7 2 2 6 5" xfId="15518"/>
    <cellStyle name="Heading 1 2 2 7 2 2 6 5 2" xfId="15519"/>
    <cellStyle name="Heading 1 2 2 7 2 2 6 5 2 2" xfId="15520"/>
    <cellStyle name="Heading 1 2 2 7 2 2 6 5 3" xfId="15521"/>
    <cellStyle name="Heading 1 2 2 7 2 2 6 6" xfId="15522"/>
    <cellStyle name="Heading 1 2 2 7 2 2 6 6 2" xfId="15523"/>
    <cellStyle name="Heading 1 2 2 7 2 2 6 6 2 2" xfId="15524"/>
    <cellStyle name="Heading 1 2 2 7 2 2 6 6 3" xfId="15525"/>
    <cellStyle name="Heading 1 2 2 7 2 2 6 7" xfId="15526"/>
    <cellStyle name="Heading 1 2 2 7 2 2 6 7 2" xfId="15527"/>
    <cellStyle name="Heading 1 2 2 7 2 2 6 7 2 2" xfId="15528"/>
    <cellStyle name="Heading 1 2 2 7 2 2 6 7 3" xfId="15529"/>
    <cellStyle name="Heading 1 2 2 7 2 2 6 8" xfId="15530"/>
    <cellStyle name="Heading 1 2 2 7 2 2 6 8 2" xfId="15531"/>
    <cellStyle name="Heading 1 2 2 7 2 2 6 9" xfId="15532"/>
    <cellStyle name="Heading 1 2 2 7 2 2 7" xfId="15533"/>
    <cellStyle name="Heading 1 2 2 7 2 2 7 2" xfId="15534"/>
    <cellStyle name="Heading 1 2 2 7 2 2 7 2 2" xfId="15535"/>
    <cellStyle name="Heading 1 2 2 7 2 2 7 2 2 2" xfId="15536"/>
    <cellStyle name="Heading 1 2 2 7 2 2 7 2 3" xfId="15537"/>
    <cellStyle name="Heading 1 2 2 7 2 2 7 3" xfId="15538"/>
    <cellStyle name="Heading 1 2 2 7 2 2 7 3 2" xfId="15539"/>
    <cellStyle name="Heading 1 2 2 7 2 2 7 3 2 2" xfId="15540"/>
    <cellStyle name="Heading 1 2 2 7 2 2 7 3 3" xfId="15541"/>
    <cellStyle name="Heading 1 2 2 7 2 2 7 4" xfId="15542"/>
    <cellStyle name="Heading 1 2 2 7 2 2 7 4 2" xfId="15543"/>
    <cellStyle name="Heading 1 2 2 7 2 2 7 4 2 2" xfId="15544"/>
    <cellStyle name="Heading 1 2 2 7 2 2 7 4 3" xfId="15545"/>
    <cellStyle name="Heading 1 2 2 7 2 2 7 5" xfId="15546"/>
    <cellStyle name="Heading 1 2 2 7 2 2 7 5 2" xfId="15547"/>
    <cellStyle name="Heading 1 2 2 7 2 2 7 5 2 2" xfId="15548"/>
    <cellStyle name="Heading 1 2 2 7 2 2 7 5 3" xfId="15549"/>
    <cellStyle name="Heading 1 2 2 7 2 2 7 6" xfId="15550"/>
    <cellStyle name="Heading 1 2 2 7 2 2 7 6 2" xfId="15551"/>
    <cellStyle name="Heading 1 2 2 7 2 2 7 6 2 2" xfId="15552"/>
    <cellStyle name="Heading 1 2 2 7 2 2 7 6 3" xfId="15553"/>
    <cellStyle name="Heading 1 2 2 7 2 2 7 7" xfId="15554"/>
    <cellStyle name="Heading 1 2 2 7 2 2 7 7 2" xfId="15555"/>
    <cellStyle name="Heading 1 2 2 7 2 2 7 7 2 2" xfId="15556"/>
    <cellStyle name="Heading 1 2 2 7 2 2 7 7 3" xfId="15557"/>
    <cellStyle name="Heading 1 2 2 7 2 2 7 8" xfId="15558"/>
    <cellStyle name="Heading 1 2 2 7 2 2 7 8 2" xfId="15559"/>
    <cellStyle name="Heading 1 2 2 7 2 2 7 9" xfId="15560"/>
    <cellStyle name="Heading 1 2 2 7 2 2 8" xfId="15561"/>
    <cellStyle name="Heading 1 2 2 7 2 2 8 2" xfId="15562"/>
    <cellStyle name="Heading 1 2 2 7 2 2 8 2 2" xfId="15563"/>
    <cellStyle name="Heading 1 2 2 7 2 2 8 2 2 2" xfId="15564"/>
    <cellStyle name="Heading 1 2 2 7 2 2 8 2 3" xfId="15565"/>
    <cellStyle name="Heading 1 2 2 7 2 2 8 3" xfId="15566"/>
    <cellStyle name="Heading 1 2 2 7 2 2 8 3 2" xfId="15567"/>
    <cellStyle name="Heading 1 2 2 7 2 2 8 3 2 2" xfId="15568"/>
    <cellStyle name="Heading 1 2 2 7 2 2 8 3 3" xfId="15569"/>
    <cellStyle name="Heading 1 2 2 7 2 2 8 4" xfId="15570"/>
    <cellStyle name="Heading 1 2 2 7 2 2 8 4 2" xfId="15571"/>
    <cellStyle name="Heading 1 2 2 7 2 2 8 4 2 2" xfId="15572"/>
    <cellStyle name="Heading 1 2 2 7 2 2 8 4 3" xfId="15573"/>
    <cellStyle name="Heading 1 2 2 7 2 2 8 5" xfId="15574"/>
    <cellStyle name="Heading 1 2 2 7 2 2 8 5 2" xfId="15575"/>
    <cellStyle name="Heading 1 2 2 7 2 2 8 5 2 2" xfId="15576"/>
    <cellStyle name="Heading 1 2 2 7 2 2 8 5 3" xfId="15577"/>
    <cellStyle name="Heading 1 2 2 7 2 2 8 6" xfId="15578"/>
    <cellStyle name="Heading 1 2 2 7 2 2 8 6 2" xfId="15579"/>
    <cellStyle name="Heading 1 2 2 7 2 2 8 6 2 2" xfId="15580"/>
    <cellStyle name="Heading 1 2 2 7 2 2 8 6 3" xfId="15581"/>
    <cellStyle name="Heading 1 2 2 7 2 2 8 7" xfId="15582"/>
    <cellStyle name="Heading 1 2 2 7 2 2 8 7 2" xfId="15583"/>
    <cellStyle name="Heading 1 2 2 7 2 2 8 7 2 2" xfId="15584"/>
    <cellStyle name="Heading 1 2 2 7 2 2 8 7 3" xfId="15585"/>
    <cellStyle name="Heading 1 2 2 7 2 2 8 8" xfId="15586"/>
    <cellStyle name="Heading 1 2 2 7 2 2 8 8 2" xfId="15587"/>
    <cellStyle name="Heading 1 2 2 7 2 2 8 9" xfId="15588"/>
    <cellStyle name="Heading 1 2 2 7 2 2 9" xfId="15589"/>
    <cellStyle name="Heading 1 2 2 7 2 2 9 2" xfId="15590"/>
    <cellStyle name="Heading 1 2 2 7 2 2 9 2 2" xfId="15591"/>
    <cellStyle name="Heading 1 2 2 7 2 2 9 3" xfId="15592"/>
    <cellStyle name="Heading 1 2 2 7 2 20" xfId="15593"/>
    <cellStyle name="Heading 1 2 2 7 2 20 2" xfId="15594"/>
    <cellStyle name="Heading 1 2 2 7 2 21" xfId="15595"/>
    <cellStyle name="Heading 1 2 2 7 2 21 2" xfId="15596"/>
    <cellStyle name="Heading 1 2 2 7 2 22" xfId="15597"/>
    <cellStyle name="Heading 1 2 2 7 2 22 2" xfId="15598"/>
    <cellStyle name="Heading 1 2 2 7 2 23" xfId="15599"/>
    <cellStyle name="Heading 1 2 2 7 2 3" xfId="15600"/>
    <cellStyle name="Heading 1 2 2 7 2 3 2" xfId="15601"/>
    <cellStyle name="Heading 1 2 2 7 2 3 2 2" xfId="15602"/>
    <cellStyle name="Heading 1 2 2 7 2 3 2 2 2" xfId="15603"/>
    <cellStyle name="Heading 1 2 2 7 2 3 2 3" xfId="15604"/>
    <cellStyle name="Heading 1 2 2 7 2 3 3" xfId="15605"/>
    <cellStyle name="Heading 1 2 2 7 2 3 3 2" xfId="15606"/>
    <cellStyle name="Heading 1 2 2 7 2 3 3 2 2" xfId="15607"/>
    <cellStyle name="Heading 1 2 2 7 2 3 3 3" xfId="15608"/>
    <cellStyle name="Heading 1 2 2 7 2 3 4" xfId="15609"/>
    <cellStyle name="Heading 1 2 2 7 2 3 4 2" xfId="15610"/>
    <cellStyle name="Heading 1 2 2 7 2 3 4 2 2" xfId="15611"/>
    <cellStyle name="Heading 1 2 2 7 2 3 4 3" xfId="15612"/>
    <cellStyle name="Heading 1 2 2 7 2 3 5" xfId="15613"/>
    <cellStyle name="Heading 1 2 2 7 2 3 5 2" xfId="15614"/>
    <cellStyle name="Heading 1 2 2 7 2 3 5 2 2" xfId="15615"/>
    <cellStyle name="Heading 1 2 2 7 2 3 5 3" xfId="15616"/>
    <cellStyle name="Heading 1 2 2 7 2 3 6" xfId="15617"/>
    <cellStyle name="Heading 1 2 2 7 2 3 6 2" xfId="15618"/>
    <cellStyle name="Heading 1 2 2 7 2 3 6 2 2" xfId="15619"/>
    <cellStyle name="Heading 1 2 2 7 2 3 6 3" xfId="15620"/>
    <cellStyle name="Heading 1 2 2 7 2 3 7" xfId="15621"/>
    <cellStyle name="Heading 1 2 2 7 2 3 7 2" xfId="15622"/>
    <cellStyle name="Heading 1 2 2 7 2 3 7 2 2" xfId="15623"/>
    <cellStyle name="Heading 1 2 2 7 2 3 7 3" xfId="15624"/>
    <cellStyle name="Heading 1 2 2 7 2 3 8" xfId="15625"/>
    <cellStyle name="Heading 1 2 2 7 2 3 8 2" xfId="15626"/>
    <cellStyle name="Heading 1 2 2 7 2 3 9" xfId="15627"/>
    <cellStyle name="Heading 1 2 2 7 2 4" xfId="15628"/>
    <cellStyle name="Heading 1 2 2 7 2 4 2" xfId="15629"/>
    <cellStyle name="Heading 1 2 2 7 2 4 2 2" xfId="15630"/>
    <cellStyle name="Heading 1 2 2 7 2 4 2 2 2" xfId="15631"/>
    <cellStyle name="Heading 1 2 2 7 2 4 2 3" xfId="15632"/>
    <cellStyle name="Heading 1 2 2 7 2 4 3" xfId="15633"/>
    <cellStyle name="Heading 1 2 2 7 2 4 3 2" xfId="15634"/>
    <cellStyle name="Heading 1 2 2 7 2 4 3 2 2" xfId="15635"/>
    <cellStyle name="Heading 1 2 2 7 2 4 3 3" xfId="15636"/>
    <cellStyle name="Heading 1 2 2 7 2 4 4" xfId="15637"/>
    <cellStyle name="Heading 1 2 2 7 2 4 4 2" xfId="15638"/>
    <cellStyle name="Heading 1 2 2 7 2 4 4 2 2" xfId="15639"/>
    <cellStyle name="Heading 1 2 2 7 2 4 4 3" xfId="15640"/>
    <cellStyle name="Heading 1 2 2 7 2 4 5" xfId="15641"/>
    <cellStyle name="Heading 1 2 2 7 2 4 5 2" xfId="15642"/>
    <cellStyle name="Heading 1 2 2 7 2 4 5 2 2" xfId="15643"/>
    <cellStyle name="Heading 1 2 2 7 2 4 5 3" xfId="15644"/>
    <cellStyle name="Heading 1 2 2 7 2 4 6" xfId="15645"/>
    <cellStyle name="Heading 1 2 2 7 2 4 6 2" xfId="15646"/>
    <cellStyle name="Heading 1 2 2 7 2 4 6 2 2" xfId="15647"/>
    <cellStyle name="Heading 1 2 2 7 2 4 6 3" xfId="15648"/>
    <cellStyle name="Heading 1 2 2 7 2 4 7" xfId="15649"/>
    <cellStyle name="Heading 1 2 2 7 2 4 7 2" xfId="15650"/>
    <cellStyle name="Heading 1 2 2 7 2 4 7 2 2" xfId="15651"/>
    <cellStyle name="Heading 1 2 2 7 2 4 7 3" xfId="15652"/>
    <cellStyle name="Heading 1 2 2 7 2 4 8" xfId="15653"/>
    <cellStyle name="Heading 1 2 2 7 2 4 8 2" xfId="15654"/>
    <cellStyle name="Heading 1 2 2 7 2 4 9" xfId="15655"/>
    <cellStyle name="Heading 1 2 2 7 2 5" xfId="15656"/>
    <cellStyle name="Heading 1 2 2 7 2 5 2" xfId="15657"/>
    <cellStyle name="Heading 1 2 2 7 2 5 2 2" xfId="15658"/>
    <cellStyle name="Heading 1 2 2 7 2 5 2 2 2" xfId="15659"/>
    <cellStyle name="Heading 1 2 2 7 2 5 2 3" xfId="15660"/>
    <cellStyle name="Heading 1 2 2 7 2 5 3" xfId="15661"/>
    <cellStyle name="Heading 1 2 2 7 2 5 3 2" xfId="15662"/>
    <cellStyle name="Heading 1 2 2 7 2 5 3 2 2" xfId="15663"/>
    <cellStyle name="Heading 1 2 2 7 2 5 3 3" xfId="15664"/>
    <cellStyle name="Heading 1 2 2 7 2 5 4" xfId="15665"/>
    <cellStyle name="Heading 1 2 2 7 2 5 4 2" xfId="15666"/>
    <cellStyle name="Heading 1 2 2 7 2 5 4 2 2" xfId="15667"/>
    <cellStyle name="Heading 1 2 2 7 2 5 4 3" xfId="15668"/>
    <cellStyle name="Heading 1 2 2 7 2 5 5" xfId="15669"/>
    <cellStyle name="Heading 1 2 2 7 2 5 5 2" xfId="15670"/>
    <cellStyle name="Heading 1 2 2 7 2 5 5 2 2" xfId="15671"/>
    <cellStyle name="Heading 1 2 2 7 2 5 5 3" xfId="15672"/>
    <cellStyle name="Heading 1 2 2 7 2 5 6" xfId="15673"/>
    <cellStyle name="Heading 1 2 2 7 2 5 6 2" xfId="15674"/>
    <cellStyle name="Heading 1 2 2 7 2 5 6 2 2" xfId="15675"/>
    <cellStyle name="Heading 1 2 2 7 2 5 6 3" xfId="15676"/>
    <cellStyle name="Heading 1 2 2 7 2 5 7" xfId="15677"/>
    <cellStyle name="Heading 1 2 2 7 2 5 7 2" xfId="15678"/>
    <cellStyle name="Heading 1 2 2 7 2 5 7 2 2" xfId="15679"/>
    <cellStyle name="Heading 1 2 2 7 2 5 7 3" xfId="15680"/>
    <cellStyle name="Heading 1 2 2 7 2 5 8" xfId="15681"/>
    <cellStyle name="Heading 1 2 2 7 2 5 8 2" xfId="15682"/>
    <cellStyle name="Heading 1 2 2 7 2 5 9" xfId="15683"/>
    <cellStyle name="Heading 1 2 2 7 2 6" xfId="15684"/>
    <cellStyle name="Heading 1 2 2 7 2 6 2" xfId="15685"/>
    <cellStyle name="Heading 1 2 2 7 2 6 2 2" xfId="15686"/>
    <cellStyle name="Heading 1 2 2 7 2 6 2 2 2" xfId="15687"/>
    <cellStyle name="Heading 1 2 2 7 2 6 2 3" xfId="15688"/>
    <cellStyle name="Heading 1 2 2 7 2 6 3" xfId="15689"/>
    <cellStyle name="Heading 1 2 2 7 2 6 3 2" xfId="15690"/>
    <cellStyle name="Heading 1 2 2 7 2 6 3 2 2" xfId="15691"/>
    <cellStyle name="Heading 1 2 2 7 2 6 3 3" xfId="15692"/>
    <cellStyle name="Heading 1 2 2 7 2 6 4" xfId="15693"/>
    <cellStyle name="Heading 1 2 2 7 2 6 4 2" xfId="15694"/>
    <cellStyle name="Heading 1 2 2 7 2 6 4 2 2" xfId="15695"/>
    <cellStyle name="Heading 1 2 2 7 2 6 4 3" xfId="15696"/>
    <cellStyle name="Heading 1 2 2 7 2 6 5" xfId="15697"/>
    <cellStyle name="Heading 1 2 2 7 2 6 5 2" xfId="15698"/>
    <cellStyle name="Heading 1 2 2 7 2 6 5 2 2" xfId="15699"/>
    <cellStyle name="Heading 1 2 2 7 2 6 5 3" xfId="15700"/>
    <cellStyle name="Heading 1 2 2 7 2 6 6" xfId="15701"/>
    <cellStyle name="Heading 1 2 2 7 2 6 6 2" xfId="15702"/>
    <cellStyle name="Heading 1 2 2 7 2 6 6 2 2" xfId="15703"/>
    <cellStyle name="Heading 1 2 2 7 2 6 6 3" xfId="15704"/>
    <cellStyle name="Heading 1 2 2 7 2 6 7" xfId="15705"/>
    <cellStyle name="Heading 1 2 2 7 2 6 7 2" xfId="15706"/>
    <cellStyle name="Heading 1 2 2 7 2 6 7 2 2" xfId="15707"/>
    <cellStyle name="Heading 1 2 2 7 2 6 7 3" xfId="15708"/>
    <cellStyle name="Heading 1 2 2 7 2 6 8" xfId="15709"/>
    <cellStyle name="Heading 1 2 2 7 2 6 8 2" xfId="15710"/>
    <cellStyle name="Heading 1 2 2 7 2 6 9" xfId="15711"/>
    <cellStyle name="Heading 1 2 2 7 2 7" xfId="15712"/>
    <cellStyle name="Heading 1 2 2 7 2 7 2" xfId="15713"/>
    <cellStyle name="Heading 1 2 2 7 2 7 2 2" xfId="15714"/>
    <cellStyle name="Heading 1 2 2 7 2 7 2 2 2" xfId="15715"/>
    <cellStyle name="Heading 1 2 2 7 2 7 2 3" xfId="15716"/>
    <cellStyle name="Heading 1 2 2 7 2 7 3" xfId="15717"/>
    <cellStyle name="Heading 1 2 2 7 2 7 3 2" xfId="15718"/>
    <cellStyle name="Heading 1 2 2 7 2 7 3 2 2" xfId="15719"/>
    <cellStyle name="Heading 1 2 2 7 2 7 3 3" xfId="15720"/>
    <cellStyle name="Heading 1 2 2 7 2 7 4" xfId="15721"/>
    <cellStyle name="Heading 1 2 2 7 2 7 4 2" xfId="15722"/>
    <cellStyle name="Heading 1 2 2 7 2 7 4 2 2" xfId="15723"/>
    <cellStyle name="Heading 1 2 2 7 2 7 4 3" xfId="15724"/>
    <cellStyle name="Heading 1 2 2 7 2 7 5" xfId="15725"/>
    <cellStyle name="Heading 1 2 2 7 2 7 5 2" xfId="15726"/>
    <cellStyle name="Heading 1 2 2 7 2 7 5 2 2" xfId="15727"/>
    <cellStyle name="Heading 1 2 2 7 2 7 5 3" xfId="15728"/>
    <cellStyle name="Heading 1 2 2 7 2 7 6" xfId="15729"/>
    <cellStyle name="Heading 1 2 2 7 2 7 6 2" xfId="15730"/>
    <cellStyle name="Heading 1 2 2 7 2 7 6 2 2" xfId="15731"/>
    <cellStyle name="Heading 1 2 2 7 2 7 6 3" xfId="15732"/>
    <cellStyle name="Heading 1 2 2 7 2 7 7" xfId="15733"/>
    <cellStyle name="Heading 1 2 2 7 2 7 7 2" xfId="15734"/>
    <cellStyle name="Heading 1 2 2 7 2 7 7 2 2" xfId="15735"/>
    <cellStyle name="Heading 1 2 2 7 2 7 7 3" xfId="15736"/>
    <cellStyle name="Heading 1 2 2 7 2 7 8" xfId="15737"/>
    <cellStyle name="Heading 1 2 2 7 2 7 8 2" xfId="15738"/>
    <cellStyle name="Heading 1 2 2 7 2 7 9" xfId="15739"/>
    <cellStyle name="Heading 1 2 2 7 2 8" xfId="15740"/>
    <cellStyle name="Heading 1 2 2 7 2 8 2" xfId="15741"/>
    <cellStyle name="Heading 1 2 2 7 2 8 2 2" xfId="15742"/>
    <cellStyle name="Heading 1 2 2 7 2 8 2 2 2" xfId="15743"/>
    <cellStyle name="Heading 1 2 2 7 2 8 2 3" xfId="15744"/>
    <cellStyle name="Heading 1 2 2 7 2 8 3" xfId="15745"/>
    <cellStyle name="Heading 1 2 2 7 2 8 3 2" xfId="15746"/>
    <cellStyle name="Heading 1 2 2 7 2 8 3 2 2" xfId="15747"/>
    <cellStyle name="Heading 1 2 2 7 2 8 3 3" xfId="15748"/>
    <cellStyle name="Heading 1 2 2 7 2 8 4" xfId="15749"/>
    <cellStyle name="Heading 1 2 2 7 2 8 4 2" xfId="15750"/>
    <cellStyle name="Heading 1 2 2 7 2 8 4 2 2" xfId="15751"/>
    <cellStyle name="Heading 1 2 2 7 2 8 4 3" xfId="15752"/>
    <cellStyle name="Heading 1 2 2 7 2 8 5" xfId="15753"/>
    <cellStyle name="Heading 1 2 2 7 2 8 5 2" xfId="15754"/>
    <cellStyle name="Heading 1 2 2 7 2 8 5 2 2" xfId="15755"/>
    <cellStyle name="Heading 1 2 2 7 2 8 5 3" xfId="15756"/>
    <cellStyle name="Heading 1 2 2 7 2 8 6" xfId="15757"/>
    <cellStyle name="Heading 1 2 2 7 2 8 6 2" xfId="15758"/>
    <cellStyle name="Heading 1 2 2 7 2 8 6 2 2" xfId="15759"/>
    <cellStyle name="Heading 1 2 2 7 2 8 6 3" xfId="15760"/>
    <cellStyle name="Heading 1 2 2 7 2 8 7" xfId="15761"/>
    <cellStyle name="Heading 1 2 2 7 2 8 7 2" xfId="15762"/>
    <cellStyle name="Heading 1 2 2 7 2 8 7 2 2" xfId="15763"/>
    <cellStyle name="Heading 1 2 2 7 2 8 7 3" xfId="15764"/>
    <cellStyle name="Heading 1 2 2 7 2 8 8" xfId="15765"/>
    <cellStyle name="Heading 1 2 2 7 2 8 8 2" xfId="15766"/>
    <cellStyle name="Heading 1 2 2 7 2 8 9" xfId="15767"/>
    <cellStyle name="Heading 1 2 2 7 2 9" xfId="15768"/>
    <cellStyle name="Heading 1 2 2 7 2 9 2" xfId="15769"/>
    <cellStyle name="Heading 1 2 2 7 2 9 2 2" xfId="15770"/>
    <cellStyle name="Heading 1 2 2 7 2 9 2 2 2" xfId="15771"/>
    <cellStyle name="Heading 1 2 2 7 2 9 2 3" xfId="15772"/>
    <cellStyle name="Heading 1 2 2 7 2 9 3" xfId="15773"/>
    <cellStyle name="Heading 1 2 2 7 2 9 3 2" xfId="15774"/>
    <cellStyle name="Heading 1 2 2 7 2 9 3 2 2" xfId="15775"/>
    <cellStyle name="Heading 1 2 2 7 2 9 3 3" xfId="15776"/>
    <cellStyle name="Heading 1 2 2 7 2 9 4" xfId="15777"/>
    <cellStyle name="Heading 1 2 2 7 2 9 4 2" xfId="15778"/>
    <cellStyle name="Heading 1 2 2 7 2 9 4 2 2" xfId="15779"/>
    <cellStyle name="Heading 1 2 2 7 2 9 4 3" xfId="15780"/>
    <cellStyle name="Heading 1 2 2 7 2 9 5" xfId="15781"/>
    <cellStyle name="Heading 1 2 2 7 2 9 5 2" xfId="15782"/>
    <cellStyle name="Heading 1 2 2 7 2 9 5 2 2" xfId="15783"/>
    <cellStyle name="Heading 1 2 2 7 2 9 5 3" xfId="15784"/>
    <cellStyle name="Heading 1 2 2 7 2 9 6" xfId="15785"/>
    <cellStyle name="Heading 1 2 2 7 2 9 6 2" xfId="15786"/>
    <cellStyle name="Heading 1 2 2 7 2 9 6 2 2" xfId="15787"/>
    <cellStyle name="Heading 1 2 2 7 2 9 6 3" xfId="15788"/>
    <cellStyle name="Heading 1 2 2 7 2 9 7" xfId="15789"/>
    <cellStyle name="Heading 1 2 2 7 2 9 7 2" xfId="15790"/>
    <cellStyle name="Heading 1 2 2 7 2 9 7 2 2" xfId="15791"/>
    <cellStyle name="Heading 1 2 2 7 2 9 7 3" xfId="15792"/>
    <cellStyle name="Heading 1 2 2 7 2 9 8" xfId="15793"/>
    <cellStyle name="Heading 1 2 2 7 2 9 8 2" xfId="15794"/>
    <cellStyle name="Heading 1 2 2 7 2 9 9" xfId="15795"/>
    <cellStyle name="Heading 1 2 2 7 3" xfId="15796"/>
    <cellStyle name="Heading 1 2 2 7 3 10" xfId="15797"/>
    <cellStyle name="Heading 1 2 2 7 3 10 2" xfId="15798"/>
    <cellStyle name="Heading 1 2 2 7 3 10 2 2" xfId="15799"/>
    <cellStyle name="Heading 1 2 2 7 3 10 3" xfId="15800"/>
    <cellStyle name="Heading 1 2 2 7 3 11" xfId="15801"/>
    <cellStyle name="Heading 1 2 2 7 3 11 2" xfId="15802"/>
    <cellStyle name="Heading 1 2 2 7 3 11 2 2" xfId="15803"/>
    <cellStyle name="Heading 1 2 2 7 3 11 3" xfId="15804"/>
    <cellStyle name="Heading 1 2 2 7 3 12" xfId="15805"/>
    <cellStyle name="Heading 1 2 2 7 3 12 2" xfId="15806"/>
    <cellStyle name="Heading 1 2 2 7 3 12 2 2" xfId="15807"/>
    <cellStyle name="Heading 1 2 2 7 3 12 3" xfId="15808"/>
    <cellStyle name="Heading 1 2 2 7 3 13" xfId="15809"/>
    <cellStyle name="Heading 1 2 2 7 3 13 2" xfId="15810"/>
    <cellStyle name="Heading 1 2 2 7 3 13 2 2" xfId="15811"/>
    <cellStyle name="Heading 1 2 2 7 3 13 3" xfId="15812"/>
    <cellStyle name="Heading 1 2 2 7 3 14" xfId="15813"/>
    <cellStyle name="Heading 1 2 2 7 3 14 2" xfId="15814"/>
    <cellStyle name="Heading 1 2 2 7 3 14 2 2" xfId="15815"/>
    <cellStyle name="Heading 1 2 2 7 3 14 3" xfId="15816"/>
    <cellStyle name="Heading 1 2 2 7 3 15" xfId="15817"/>
    <cellStyle name="Heading 1 2 2 7 3 15 2" xfId="15818"/>
    <cellStyle name="Heading 1 2 2 7 3 15 2 2" xfId="15819"/>
    <cellStyle name="Heading 1 2 2 7 3 15 3" xfId="15820"/>
    <cellStyle name="Heading 1 2 2 7 3 16" xfId="15821"/>
    <cellStyle name="Heading 1 2 2 7 3 16 2" xfId="15822"/>
    <cellStyle name="Heading 1 2 2 7 3 16 2 2" xfId="15823"/>
    <cellStyle name="Heading 1 2 2 7 3 16 3" xfId="15824"/>
    <cellStyle name="Heading 1 2 2 7 3 17" xfId="15825"/>
    <cellStyle name="Heading 1 2 2 7 3 17 2" xfId="15826"/>
    <cellStyle name="Heading 1 2 2 7 3 17 2 2" xfId="15827"/>
    <cellStyle name="Heading 1 2 2 7 3 17 3" xfId="15828"/>
    <cellStyle name="Heading 1 2 2 7 3 18" xfId="15829"/>
    <cellStyle name="Heading 1 2 2 7 3 18 2" xfId="15830"/>
    <cellStyle name="Heading 1 2 2 7 3 18 2 2" xfId="15831"/>
    <cellStyle name="Heading 1 2 2 7 3 18 3" xfId="15832"/>
    <cellStyle name="Heading 1 2 2 7 3 19" xfId="15833"/>
    <cellStyle name="Heading 1 2 2 7 3 19 2" xfId="15834"/>
    <cellStyle name="Heading 1 2 2 7 3 2" xfId="15835"/>
    <cellStyle name="Heading 1 2 2 7 3 2 2" xfId="15836"/>
    <cellStyle name="Heading 1 2 2 7 3 2 2 2" xfId="15837"/>
    <cellStyle name="Heading 1 2 2 7 3 2 2 2 2" xfId="15838"/>
    <cellStyle name="Heading 1 2 2 7 3 2 2 3" xfId="15839"/>
    <cellStyle name="Heading 1 2 2 7 3 2 3" xfId="15840"/>
    <cellStyle name="Heading 1 2 2 7 3 2 3 2" xfId="15841"/>
    <cellStyle name="Heading 1 2 2 7 3 2 3 2 2" xfId="15842"/>
    <cellStyle name="Heading 1 2 2 7 3 2 3 3" xfId="15843"/>
    <cellStyle name="Heading 1 2 2 7 3 2 4" xfId="15844"/>
    <cellStyle name="Heading 1 2 2 7 3 2 4 2" xfId="15845"/>
    <cellStyle name="Heading 1 2 2 7 3 2 4 2 2" xfId="15846"/>
    <cellStyle name="Heading 1 2 2 7 3 2 4 3" xfId="15847"/>
    <cellStyle name="Heading 1 2 2 7 3 2 5" xfId="15848"/>
    <cellStyle name="Heading 1 2 2 7 3 2 5 2" xfId="15849"/>
    <cellStyle name="Heading 1 2 2 7 3 2 5 2 2" xfId="15850"/>
    <cellStyle name="Heading 1 2 2 7 3 2 5 3" xfId="15851"/>
    <cellStyle name="Heading 1 2 2 7 3 2 6" xfId="15852"/>
    <cellStyle name="Heading 1 2 2 7 3 2 6 2" xfId="15853"/>
    <cellStyle name="Heading 1 2 2 7 3 2 6 2 2" xfId="15854"/>
    <cellStyle name="Heading 1 2 2 7 3 2 6 3" xfId="15855"/>
    <cellStyle name="Heading 1 2 2 7 3 2 7" xfId="15856"/>
    <cellStyle name="Heading 1 2 2 7 3 2 7 2" xfId="15857"/>
    <cellStyle name="Heading 1 2 2 7 3 2 7 2 2" xfId="15858"/>
    <cellStyle name="Heading 1 2 2 7 3 2 7 3" xfId="15859"/>
    <cellStyle name="Heading 1 2 2 7 3 2 8" xfId="15860"/>
    <cellStyle name="Heading 1 2 2 7 3 2 8 2" xfId="15861"/>
    <cellStyle name="Heading 1 2 2 7 3 2 9" xfId="15862"/>
    <cellStyle name="Heading 1 2 2 7 3 20" xfId="15863"/>
    <cellStyle name="Heading 1 2 2 7 3 20 2" xfId="15864"/>
    <cellStyle name="Heading 1 2 2 7 3 21" xfId="15865"/>
    <cellStyle name="Heading 1 2 2 7 3 21 2" xfId="15866"/>
    <cellStyle name="Heading 1 2 2 7 3 22" xfId="15867"/>
    <cellStyle name="Heading 1 2 2 7 3 3" xfId="15868"/>
    <cellStyle name="Heading 1 2 2 7 3 3 2" xfId="15869"/>
    <cellStyle name="Heading 1 2 2 7 3 3 2 2" xfId="15870"/>
    <cellStyle name="Heading 1 2 2 7 3 3 2 2 2" xfId="15871"/>
    <cellStyle name="Heading 1 2 2 7 3 3 2 3" xfId="15872"/>
    <cellStyle name="Heading 1 2 2 7 3 3 3" xfId="15873"/>
    <cellStyle name="Heading 1 2 2 7 3 3 3 2" xfId="15874"/>
    <cellStyle name="Heading 1 2 2 7 3 3 3 2 2" xfId="15875"/>
    <cellStyle name="Heading 1 2 2 7 3 3 3 3" xfId="15876"/>
    <cellStyle name="Heading 1 2 2 7 3 3 4" xfId="15877"/>
    <cellStyle name="Heading 1 2 2 7 3 3 4 2" xfId="15878"/>
    <cellStyle name="Heading 1 2 2 7 3 3 4 2 2" xfId="15879"/>
    <cellStyle name="Heading 1 2 2 7 3 3 4 3" xfId="15880"/>
    <cellStyle name="Heading 1 2 2 7 3 3 5" xfId="15881"/>
    <cellStyle name="Heading 1 2 2 7 3 3 5 2" xfId="15882"/>
    <cellStyle name="Heading 1 2 2 7 3 3 5 2 2" xfId="15883"/>
    <cellStyle name="Heading 1 2 2 7 3 3 5 3" xfId="15884"/>
    <cellStyle name="Heading 1 2 2 7 3 3 6" xfId="15885"/>
    <cellStyle name="Heading 1 2 2 7 3 3 6 2" xfId="15886"/>
    <cellStyle name="Heading 1 2 2 7 3 3 6 2 2" xfId="15887"/>
    <cellStyle name="Heading 1 2 2 7 3 3 6 3" xfId="15888"/>
    <cellStyle name="Heading 1 2 2 7 3 3 7" xfId="15889"/>
    <cellStyle name="Heading 1 2 2 7 3 3 7 2" xfId="15890"/>
    <cellStyle name="Heading 1 2 2 7 3 3 7 2 2" xfId="15891"/>
    <cellStyle name="Heading 1 2 2 7 3 3 7 3" xfId="15892"/>
    <cellStyle name="Heading 1 2 2 7 3 3 8" xfId="15893"/>
    <cellStyle name="Heading 1 2 2 7 3 3 8 2" xfId="15894"/>
    <cellStyle name="Heading 1 2 2 7 3 3 9" xfId="15895"/>
    <cellStyle name="Heading 1 2 2 7 3 4" xfId="15896"/>
    <cellStyle name="Heading 1 2 2 7 3 4 2" xfId="15897"/>
    <cellStyle name="Heading 1 2 2 7 3 4 2 2" xfId="15898"/>
    <cellStyle name="Heading 1 2 2 7 3 4 2 2 2" xfId="15899"/>
    <cellStyle name="Heading 1 2 2 7 3 4 2 3" xfId="15900"/>
    <cellStyle name="Heading 1 2 2 7 3 4 3" xfId="15901"/>
    <cellStyle name="Heading 1 2 2 7 3 4 3 2" xfId="15902"/>
    <cellStyle name="Heading 1 2 2 7 3 4 3 2 2" xfId="15903"/>
    <cellStyle name="Heading 1 2 2 7 3 4 3 3" xfId="15904"/>
    <cellStyle name="Heading 1 2 2 7 3 4 4" xfId="15905"/>
    <cellStyle name="Heading 1 2 2 7 3 4 4 2" xfId="15906"/>
    <cellStyle name="Heading 1 2 2 7 3 4 4 2 2" xfId="15907"/>
    <cellStyle name="Heading 1 2 2 7 3 4 4 3" xfId="15908"/>
    <cellStyle name="Heading 1 2 2 7 3 4 5" xfId="15909"/>
    <cellStyle name="Heading 1 2 2 7 3 4 5 2" xfId="15910"/>
    <cellStyle name="Heading 1 2 2 7 3 4 5 2 2" xfId="15911"/>
    <cellStyle name="Heading 1 2 2 7 3 4 5 3" xfId="15912"/>
    <cellStyle name="Heading 1 2 2 7 3 4 6" xfId="15913"/>
    <cellStyle name="Heading 1 2 2 7 3 4 6 2" xfId="15914"/>
    <cellStyle name="Heading 1 2 2 7 3 4 6 2 2" xfId="15915"/>
    <cellStyle name="Heading 1 2 2 7 3 4 6 3" xfId="15916"/>
    <cellStyle name="Heading 1 2 2 7 3 4 7" xfId="15917"/>
    <cellStyle name="Heading 1 2 2 7 3 4 7 2" xfId="15918"/>
    <cellStyle name="Heading 1 2 2 7 3 4 7 2 2" xfId="15919"/>
    <cellStyle name="Heading 1 2 2 7 3 4 7 3" xfId="15920"/>
    <cellStyle name="Heading 1 2 2 7 3 4 8" xfId="15921"/>
    <cellStyle name="Heading 1 2 2 7 3 4 8 2" xfId="15922"/>
    <cellStyle name="Heading 1 2 2 7 3 4 9" xfId="15923"/>
    <cellStyle name="Heading 1 2 2 7 3 5" xfId="15924"/>
    <cellStyle name="Heading 1 2 2 7 3 5 2" xfId="15925"/>
    <cellStyle name="Heading 1 2 2 7 3 5 2 2" xfId="15926"/>
    <cellStyle name="Heading 1 2 2 7 3 5 2 2 2" xfId="15927"/>
    <cellStyle name="Heading 1 2 2 7 3 5 2 3" xfId="15928"/>
    <cellStyle name="Heading 1 2 2 7 3 5 3" xfId="15929"/>
    <cellStyle name="Heading 1 2 2 7 3 5 3 2" xfId="15930"/>
    <cellStyle name="Heading 1 2 2 7 3 5 3 2 2" xfId="15931"/>
    <cellStyle name="Heading 1 2 2 7 3 5 3 3" xfId="15932"/>
    <cellStyle name="Heading 1 2 2 7 3 5 4" xfId="15933"/>
    <cellStyle name="Heading 1 2 2 7 3 5 4 2" xfId="15934"/>
    <cellStyle name="Heading 1 2 2 7 3 5 4 2 2" xfId="15935"/>
    <cellStyle name="Heading 1 2 2 7 3 5 4 3" xfId="15936"/>
    <cellStyle name="Heading 1 2 2 7 3 5 5" xfId="15937"/>
    <cellStyle name="Heading 1 2 2 7 3 5 5 2" xfId="15938"/>
    <cellStyle name="Heading 1 2 2 7 3 5 5 2 2" xfId="15939"/>
    <cellStyle name="Heading 1 2 2 7 3 5 5 3" xfId="15940"/>
    <cellStyle name="Heading 1 2 2 7 3 5 6" xfId="15941"/>
    <cellStyle name="Heading 1 2 2 7 3 5 6 2" xfId="15942"/>
    <cellStyle name="Heading 1 2 2 7 3 5 6 2 2" xfId="15943"/>
    <cellStyle name="Heading 1 2 2 7 3 5 6 3" xfId="15944"/>
    <cellStyle name="Heading 1 2 2 7 3 5 7" xfId="15945"/>
    <cellStyle name="Heading 1 2 2 7 3 5 7 2" xfId="15946"/>
    <cellStyle name="Heading 1 2 2 7 3 5 7 2 2" xfId="15947"/>
    <cellStyle name="Heading 1 2 2 7 3 5 7 3" xfId="15948"/>
    <cellStyle name="Heading 1 2 2 7 3 5 8" xfId="15949"/>
    <cellStyle name="Heading 1 2 2 7 3 5 8 2" xfId="15950"/>
    <cellStyle name="Heading 1 2 2 7 3 5 9" xfId="15951"/>
    <cellStyle name="Heading 1 2 2 7 3 6" xfId="15952"/>
    <cellStyle name="Heading 1 2 2 7 3 6 2" xfId="15953"/>
    <cellStyle name="Heading 1 2 2 7 3 6 2 2" xfId="15954"/>
    <cellStyle name="Heading 1 2 2 7 3 6 2 2 2" xfId="15955"/>
    <cellStyle name="Heading 1 2 2 7 3 6 2 3" xfId="15956"/>
    <cellStyle name="Heading 1 2 2 7 3 6 3" xfId="15957"/>
    <cellStyle name="Heading 1 2 2 7 3 6 3 2" xfId="15958"/>
    <cellStyle name="Heading 1 2 2 7 3 6 3 2 2" xfId="15959"/>
    <cellStyle name="Heading 1 2 2 7 3 6 3 3" xfId="15960"/>
    <cellStyle name="Heading 1 2 2 7 3 6 4" xfId="15961"/>
    <cellStyle name="Heading 1 2 2 7 3 6 4 2" xfId="15962"/>
    <cellStyle name="Heading 1 2 2 7 3 6 4 2 2" xfId="15963"/>
    <cellStyle name="Heading 1 2 2 7 3 6 4 3" xfId="15964"/>
    <cellStyle name="Heading 1 2 2 7 3 6 5" xfId="15965"/>
    <cellStyle name="Heading 1 2 2 7 3 6 5 2" xfId="15966"/>
    <cellStyle name="Heading 1 2 2 7 3 6 5 2 2" xfId="15967"/>
    <cellStyle name="Heading 1 2 2 7 3 6 5 3" xfId="15968"/>
    <cellStyle name="Heading 1 2 2 7 3 6 6" xfId="15969"/>
    <cellStyle name="Heading 1 2 2 7 3 6 6 2" xfId="15970"/>
    <cellStyle name="Heading 1 2 2 7 3 6 6 2 2" xfId="15971"/>
    <cellStyle name="Heading 1 2 2 7 3 6 6 3" xfId="15972"/>
    <cellStyle name="Heading 1 2 2 7 3 6 7" xfId="15973"/>
    <cellStyle name="Heading 1 2 2 7 3 6 7 2" xfId="15974"/>
    <cellStyle name="Heading 1 2 2 7 3 6 7 2 2" xfId="15975"/>
    <cellStyle name="Heading 1 2 2 7 3 6 7 3" xfId="15976"/>
    <cellStyle name="Heading 1 2 2 7 3 6 8" xfId="15977"/>
    <cellStyle name="Heading 1 2 2 7 3 6 8 2" xfId="15978"/>
    <cellStyle name="Heading 1 2 2 7 3 6 9" xfId="15979"/>
    <cellStyle name="Heading 1 2 2 7 3 7" xfId="15980"/>
    <cellStyle name="Heading 1 2 2 7 3 7 2" xfId="15981"/>
    <cellStyle name="Heading 1 2 2 7 3 7 2 2" xfId="15982"/>
    <cellStyle name="Heading 1 2 2 7 3 7 2 2 2" xfId="15983"/>
    <cellStyle name="Heading 1 2 2 7 3 7 2 3" xfId="15984"/>
    <cellStyle name="Heading 1 2 2 7 3 7 3" xfId="15985"/>
    <cellStyle name="Heading 1 2 2 7 3 7 3 2" xfId="15986"/>
    <cellStyle name="Heading 1 2 2 7 3 7 3 2 2" xfId="15987"/>
    <cellStyle name="Heading 1 2 2 7 3 7 3 3" xfId="15988"/>
    <cellStyle name="Heading 1 2 2 7 3 7 4" xfId="15989"/>
    <cellStyle name="Heading 1 2 2 7 3 7 4 2" xfId="15990"/>
    <cellStyle name="Heading 1 2 2 7 3 7 4 2 2" xfId="15991"/>
    <cellStyle name="Heading 1 2 2 7 3 7 4 3" xfId="15992"/>
    <cellStyle name="Heading 1 2 2 7 3 7 5" xfId="15993"/>
    <cellStyle name="Heading 1 2 2 7 3 7 5 2" xfId="15994"/>
    <cellStyle name="Heading 1 2 2 7 3 7 5 2 2" xfId="15995"/>
    <cellStyle name="Heading 1 2 2 7 3 7 5 3" xfId="15996"/>
    <cellStyle name="Heading 1 2 2 7 3 7 6" xfId="15997"/>
    <cellStyle name="Heading 1 2 2 7 3 7 6 2" xfId="15998"/>
    <cellStyle name="Heading 1 2 2 7 3 7 6 2 2" xfId="15999"/>
    <cellStyle name="Heading 1 2 2 7 3 7 6 3" xfId="16000"/>
    <cellStyle name="Heading 1 2 2 7 3 7 7" xfId="16001"/>
    <cellStyle name="Heading 1 2 2 7 3 7 7 2" xfId="16002"/>
    <cellStyle name="Heading 1 2 2 7 3 7 7 2 2" xfId="16003"/>
    <cellStyle name="Heading 1 2 2 7 3 7 7 3" xfId="16004"/>
    <cellStyle name="Heading 1 2 2 7 3 7 8" xfId="16005"/>
    <cellStyle name="Heading 1 2 2 7 3 7 8 2" xfId="16006"/>
    <cellStyle name="Heading 1 2 2 7 3 7 9" xfId="16007"/>
    <cellStyle name="Heading 1 2 2 7 3 8" xfId="16008"/>
    <cellStyle name="Heading 1 2 2 7 3 8 2" xfId="16009"/>
    <cellStyle name="Heading 1 2 2 7 3 8 2 2" xfId="16010"/>
    <cellStyle name="Heading 1 2 2 7 3 8 2 2 2" xfId="16011"/>
    <cellStyle name="Heading 1 2 2 7 3 8 2 3" xfId="16012"/>
    <cellStyle name="Heading 1 2 2 7 3 8 3" xfId="16013"/>
    <cellStyle name="Heading 1 2 2 7 3 8 3 2" xfId="16014"/>
    <cellStyle name="Heading 1 2 2 7 3 8 3 2 2" xfId="16015"/>
    <cellStyle name="Heading 1 2 2 7 3 8 3 3" xfId="16016"/>
    <cellStyle name="Heading 1 2 2 7 3 8 4" xfId="16017"/>
    <cellStyle name="Heading 1 2 2 7 3 8 4 2" xfId="16018"/>
    <cellStyle name="Heading 1 2 2 7 3 8 4 2 2" xfId="16019"/>
    <cellStyle name="Heading 1 2 2 7 3 8 4 3" xfId="16020"/>
    <cellStyle name="Heading 1 2 2 7 3 8 5" xfId="16021"/>
    <cellStyle name="Heading 1 2 2 7 3 8 5 2" xfId="16022"/>
    <cellStyle name="Heading 1 2 2 7 3 8 5 2 2" xfId="16023"/>
    <cellStyle name="Heading 1 2 2 7 3 8 5 3" xfId="16024"/>
    <cellStyle name="Heading 1 2 2 7 3 8 6" xfId="16025"/>
    <cellStyle name="Heading 1 2 2 7 3 8 6 2" xfId="16026"/>
    <cellStyle name="Heading 1 2 2 7 3 8 6 2 2" xfId="16027"/>
    <cellStyle name="Heading 1 2 2 7 3 8 6 3" xfId="16028"/>
    <cellStyle name="Heading 1 2 2 7 3 8 7" xfId="16029"/>
    <cellStyle name="Heading 1 2 2 7 3 8 7 2" xfId="16030"/>
    <cellStyle name="Heading 1 2 2 7 3 8 7 2 2" xfId="16031"/>
    <cellStyle name="Heading 1 2 2 7 3 8 7 3" xfId="16032"/>
    <cellStyle name="Heading 1 2 2 7 3 8 8" xfId="16033"/>
    <cellStyle name="Heading 1 2 2 7 3 8 8 2" xfId="16034"/>
    <cellStyle name="Heading 1 2 2 7 3 8 9" xfId="16035"/>
    <cellStyle name="Heading 1 2 2 7 3 9" xfId="16036"/>
    <cellStyle name="Heading 1 2 2 7 3 9 2" xfId="16037"/>
    <cellStyle name="Heading 1 2 2 7 3 9 2 2" xfId="16038"/>
    <cellStyle name="Heading 1 2 2 7 3 9 3" xfId="16039"/>
    <cellStyle name="Heading 1 2 2 7 4" xfId="16040"/>
    <cellStyle name="Heading 1 2 2 7 4 2" xfId="16041"/>
    <cellStyle name="Heading 1 2 2 7 4 2 2" xfId="16042"/>
    <cellStyle name="Heading 1 2 2 7 4 3" xfId="16043"/>
    <cellStyle name="Heading 1 2 2 7 5" xfId="16044"/>
    <cellStyle name="Heading 1 2 2 7 5 2" xfId="16045"/>
    <cellStyle name="Heading 1 2 2 7 6" xfId="16046"/>
    <cellStyle name="Heading 1 2 2 8" xfId="16047"/>
    <cellStyle name="Heading 1 2 2 8 2" xfId="16048"/>
    <cellStyle name="Heading 1 2 2 8 2 10" xfId="16049"/>
    <cellStyle name="Heading 1 2 2 8 2 10 2" xfId="16050"/>
    <cellStyle name="Heading 1 2 2 8 2 10 2 2" xfId="16051"/>
    <cellStyle name="Heading 1 2 2 8 2 10 3" xfId="16052"/>
    <cellStyle name="Heading 1 2 2 8 2 11" xfId="16053"/>
    <cellStyle name="Heading 1 2 2 8 2 11 2" xfId="16054"/>
    <cellStyle name="Heading 1 2 2 8 2 11 2 2" xfId="16055"/>
    <cellStyle name="Heading 1 2 2 8 2 11 3" xfId="16056"/>
    <cellStyle name="Heading 1 2 2 8 2 12" xfId="16057"/>
    <cellStyle name="Heading 1 2 2 8 2 12 2" xfId="16058"/>
    <cellStyle name="Heading 1 2 2 8 2 12 2 2" xfId="16059"/>
    <cellStyle name="Heading 1 2 2 8 2 12 3" xfId="16060"/>
    <cellStyle name="Heading 1 2 2 8 2 13" xfId="16061"/>
    <cellStyle name="Heading 1 2 2 8 2 13 2" xfId="16062"/>
    <cellStyle name="Heading 1 2 2 8 2 13 2 2" xfId="16063"/>
    <cellStyle name="Heading 1 2 2 8 2 13 3" xfId="16064"/>
    <cellStyle name="Heading 1 2 2 8 2 14" xfId="16065"/>
    <cellStyle name="Heading 1 2 2 8 2 14 2" xfId="16066"/>
    <cellStyle name="Heading 1 2 2 8 2 14 2 2" xfId="16067"/>
    <cellStyle name="Heading 1 2 2 8 2 14 3" xfId="16068"/>
    <cellStyle name="Heading 1 2 2 8 2 15" xfId="16069"/>
    <cellStyle name="Heading 1 2 2 8 2 15 2" xfId="16070"/>
    <cellStyle name="Heading 1 2 2 8 2 15 2 2" xfId="16071"/>
    <cellStyle name="Heading 1 2 2 8 2 15 3" xfId="16072"/>
    <cellStyle name="Heading 1 2 2 8 2 16" xfId="16073"/>
    <cellStyle name="Heading 1 2 2 8 2 16 2" xfId="16074"/>
    <cellStyle name="Heading 1 2 2 8 2 16 2 2" xfId="16075"/>
    <cellStyle name="Heading 1 2 2 8 2 16 3" xfId="16076"/>
    <cellStyle name="Heading 1 2 2 8 2 17" xfId="16077"/>
    <cellStyle name="Heading 1 2 2 8 2 17 2" xfId="16078"/>
    <cellStyle name="Heading 1 2 2 8 2 17 2 2" xfId="16079"/>
    <cellStyle name="Heading 1 2 2 8 2 17 3" xfId="16080"/>
    <cellStyle name="Heading 1 2 2 8 2 18" xfId="16081"/>
    <cellStyle name="Heading 1 2 2 8 2 18 2" xfId="16082"/>
    <cellStyle name="Heading 1 2 2 8 2 18 2 2" xfId="16083"/>
    <cellStyle name="Heading 1 2 2 8 2 18 3" xfId="16084"/>
    <cellStyle name="Heading 1 2 2 8 2 19" xfId="16085"/>
    <cellStyle name="Heading 1 2 2 8 2 19 2" xfId="16086"/>
    <cellStyle name="Heading 1 2 2 8 2 19 2 2" xfId="16087"/>
    <cellStyle name="Heading 1 2 2 8 2 19 3" xfId="16088"/>
    <cellStyle name="Heading 1 2 2 8 2 2" xfId="16089"/>
    <cellStyle name="Heading 1 2 2 8 2 2 10" xfId="16090"/>
    <cellStyle name="Heading 1 2 2 8 2 2 10 2" xfId="16091"/>
    <cellStyle name="Heading 1 2 2 8 2 2 10 2 2" xfId="16092"/>
    <cellStyle name="Heading 1 2 2 8 2 2 10 3" xfId="16093"/>
    <cellStyle name="Heading 1 2 2 8 2 2 11" xfId="16094"/>
    <cellStyle name="Heading 1 2 2 8 2 2 11 2" xfId="16095"/>
    <cellStyle name="Heading 1 2 2 8 2 2 11 2 2" xfId="16096"/>
    <cellStyle name="Heading 1 2 2 8 2 2 11 3" xfId="16097"/>
    <cellStyle name="Heading 1 2 2 8 2 2 12" xfId="16098"/>
    <cellStyle name="Heading 1 2 2 8 2 2 12 2" xfId="16099"/>
    <cellStyle name="Heading 1 2 2 8 2 2 12 2 2" xfId="16100"/>
    <cellStyle name="Heading 1 2 2 8 2 2 12 3" xfId="16101"/>
    <cellStyle name="Heading 1 2 2 8 2 2 13" xfId="16102"/>
    <cellStyle name="Heading 1 2 2 8 2 2 13 2" xfId="16103"/>
    <cellStyle name="Heading 1 2 2 8 2 2 13 2 2" xfId="16104"/>
    <cellStyle name="Heading 1 2 2 8 2 2 13 3" xfId="16105"/>
    <cellStyle name="Heading 1 2 2 8 2 2 14" xfId="16106"/>
    <cellStyle name="Heading 1 2 2 8 2 2 14 2" xfId="16107"/>
    <cellStyle name="Heading 1 2 2 8 2 2 14 2 2" xfId="16108"/>
    <cellStyle name="Heading 1 2 2 8 2 2 14 3" xfId="16109"/>
    <cellStyle name="Heading 1 2 2 8 2 2 15" xfId="16110"/>
    <cellStyle name="Heading 1 2 2 8 2 2 15 2" xfId="16111"/>
    <cellStyle name="Heading 1 2 2 8 2 2 15 2 2" xfId="16112"/>
    <cellStyle name="Heading 1 2 2 8 2 2 15 3" xfId="16113"/>
    <cellStyle name="Heading 1 2 2 8 2 2 16" xfId="16114"/>
    <cellStyle name="Heading 1 2 2 8 2 2 16 2" xfId="16115"/>
    <cellStyle name="Heading 1 2 2 8 2 2 16 2 2" xfId="16116"/>
    <cellStyle name="Heading 1 2 2 8 2 2 16 3" xfId="16117"/>
    <cellStyle name="Heading 1 2 2 8 2 2 17" xfId="16118"/>
    <cellStyle name="Heading 1 2 2 8 2 2 17 2" xfId="16119"/>
    <cellStyle name="Heading 1 2 2 8 2 2 17 2 2" xfId="16120"/>
    <cellStyle name="Heading 1 2 2 8 2 2 17 3" xfId="16121"/>
    <cellStyle name="Heading 1 2 2 8 2 2 18" xfId="16122"/>
    <cellStyle name="Heading 1 2 2 8 2 2 18 2" xfId="16123"/>
    <cellStyle name="Heading 1 2 2 8 2 2 18 2 2" xfId="16124"/>
    <cellStyle name="Heading 1 2 2 8 2 2 18 3" xfId="16125"/>
    <cellStyle name="Heading 1 2 2 8 2 2 19" xfId="16126"/>
    <cellStyle name="Heading 1 2 2 8 2 2 19 2" xfId="16127"/>
    <cellStyle name="Heading 1 2 2 8 2 2 2" xfId="16128"/>
    <cellStyle name="Heading 1 2 2 8 2 2 2 2" xfId="16129"/>
    <cellStyle name="Heading 1 2 2 8 2 2 2 2 2" xfId="16130"/>
    <cellStyle name="Heading 1 2 2 8 2 2 2 2 2 2" xfId="16131"/>
    <cellStyle name="Heading 1 2 2 8 2 2 2 2 3" xfId="16132"/>
    <cellStyle name="Heading 1 2 2 8 2 2 2 3" xfId="16133"/>
    <cellStyle name="Heading 1 2 2 8 2 2 2 3 2" xfId="16134"/>
    <cellStyle name="Heading 1 2 2 8 2 2 2 3 2 2" xfId="16135"/>
    <cellStyle name="Heading 1 2 2 8 2 2 2 3 3" xfId="16136"/>
    <cellStyle name="Heading 1 2 2 8 2 2 2 4" xfId="16137"/>
    <cellStyle name="Heading 1 2 2 8 2 2 2 4 2" xfId="16138"/>
    <cellStyle name="Heading 1 2 2 8 2 2 2 4 2 2" xfId="16139"/>
    <cellStyle name="Heading 1 2 2 8 2 2 2 4 3" xfId="16140"/>
    <cellStyle name="Heading 1 2 2 8 2 2 2 5" xfId="16141"/>
    <cellStyle name="Heading 1 2 2 8 2 2 2 5 2" xfId="16142"/>
    <cellStyle name="Heading 1 2 2 8 2 2 2 5 2 2" xfId="16143"/>
    <cellStyle name="Heading 1 2 2 8 2 2 2 5 3" xfId="16144"/>
    <cellStyle name="Heading 1 2 2 8 2 2 2 6" xfId="16145"/>
    <cellStyle name="Heading 1 2 2 8 2 2 2 6 2" xfId="16146"/>
    <cellStyle name="Heading 1 2 2 8 2 2 2 6 2 2" xfId="16147"/>
    <cellStyle name="Heading 1 2 2 8 2 2 2 6 3" xfId="16148"/>
    <cellStyle name="Heading 1 2 2 8 2 2 2 7" xfId="16149"/>
    <cellStyle name="Heading 1 2 2 8 2 2 2 7 2" xfId="16150"/>
    <cellStyle name="Heading 1 2 2 8 2 2 2 7 2 2" xfId="16151"/>
    <cellStyle name="Heading 1 2 2 8 2 2 2 7 3" xfId="16152"/>
    <cellStyle name="Heading 1 2 2 8 2 2 2 8" xfId="16153"/>
    <cellStyle name="Heading 1 2 2 8 2 2 2 8 2" xfId="16154"/>
    <cellStyle name="Heading 1 2 2 8 2 2 2 9" xfId="16155"/>
    <cellStyle name="Heading 1 2 2 8 2 2 20" xfId="16156"/>
    <cellStyle name="Heading 1 2 2 8 2 2 20 2" xfId="16157"/>
    <cellStyle name="Heading 1 2 2 8 2 2 21" xfId="16158"/>
    <cellStyle name="Heading 1 2 2 8 2 2 21 2" xfId="16159"/>
    <cellStyle name="Heading 1 2 2 8 2 2 22" xfId="16160"/>
    <cellStyle name="Heading 1 2 2 8 2 2 3" xfId="16161"/>
    <cellStyle name="Heading 1 2 2 8 2 2 3 2" xfId="16162"/>
    <cellStyle name="Heading 1 2 2 8 2 2 3 2 2" xfId="16163"/>
    <cellStyle name="Heading 1 2 2 8 2 2 3 2 2 2" xfId="16164"/>
    <cellStyle name="Heading 1 2 2 8 2 2 3 2 3" xfId="16165"/>
    <cellStyle name="Heading 1 2 2 8 2 2 3 3" xfId="16166"/>
    <cellStyle name="Heading 1 2 2 8 2 2 3 3 2" xfId="16167"/>
    <cellStyle name="Heading 1 2 2 8 2 2 3 3 2 2" xfId="16168"/>
    <cellStyle name="Heading 1 2 2 8 2 2 3 3 3" xfId="16169"/>
    <cellStyle name="Heading 1 2 2 8 2 2 3 4" xfId="16170"/>
    <cellStyle name="Heading 1 2 2 8 2 2 3 4 2" xfId="16171"/>
    <cellStyle name="Heading 1 2 2 8 2 2 3 4 2 2" xfId="16172"/>
    <cellStyle name="Heading 1 2 2 8 2 2 3 4 3" xfId="16173"/>
    <cellStyle name="Heading 1 2 2 8 2 2 3 5" xfId="16174"/>
    <cellStyle name="Heading 1 2 2 8 2 2 3 5 2" xfId="16175"/>
    <cellStyle name="Heading 1 2 2 8 2 2 3 5 2 2" xfId="16176"/>
    <cellStyle name="Heading 1 2 2 8 2 2 3 5 3" xfId="16177"/>
    <cellStyle name="Heading 1 2 2 8 2 2 3 6" xfId="16178"/>
    <cellStyle name="Heading 1 2 2 8 2 2 3 6 2" xfId="16179"/>
    <cellStyle name="Heading 1 2 2 8 2 2 3 6 2 2" xfId="16180"/>
    <cellStyle name="Heading 1 2 2 8 2 2 3 6 3" xfId="16181"/>
    <cellStyle name="Heading 1 2 2 8 2 2 3 7" xfId="16182"/>
    <cellStyle name="Heading 1 2 2 8 2 2 3 7 2" xfId="16183"/>
    <cellStyle name="Heading 1 2 2 8 2 2 3 7 2 2" xfId="16184"/>
    <cellStyle name="Heading 1 2 2 8 2 2 3 7 3" xfId="16185"/>
    <cellStyle name="Heading 1 2 2 8 2 2 3 8" xfId="16186"/>
    <cellStyle name="Heading 1 2 2 8 2 2 3 8 2" xfId="16187"/>
    <cellStyle name="Heading 1 2 2 8 2 2 3 9" xfId="16188"/>
    <cellStyle name="Heading 1 2 2 8 2 2 4" xfId="16189"/>
    <cellStyle name="Heading 1 2 2 8 2 2 4 2" xfId="16190"/>
    <cellStyle name="Heading 1 2 2 8 2 2 4 2 2" xfId="16191"/>
    <cellStyle name="Heading 1 2 2 8 2 2 4 2 2 2" xfId="16192"/>
    <cellStyle name="Heading 1 2 2 8 2 2 4 2 3" xfId="16193"/>
    <cellStyle name="Heading 1 2 2 8 2 2 4 3" xfId="16194"/>
    <cellStyle name="Heading 1 2 2 8 2 2 4 3 2" xfId="16195"/>
    <cellStyle name="Heading 1 2 2 8 2 2 4 3 2 2" xfId="16196"/>
    <cellStyle name="Heading 1 2 2 8 2 2 4 3 3" xfId="16197"/>
    <cellStyle name="Heading 1 2 2 8 2 2 4 4" xfId="16198"/>
    <cellStyle name="Heading 1 2 2 8 2 2 4 4 2" xfId="16199"/>
    <cellStyle name="Heading 1 2 2 8 2 2 4 4 2 2" xfId="16200"/>
    <cellStyle name="Heading 1 2 2 8 2 2 4 4 3" xfId="16201"/>
    <cellStyle name="Heading 1 2 2 8 2 2 4 5" xfId="16202"/>
    <cellStyle name="Heading 1 2 2 8 2 2 4 5 2" xfId="16203"/>
    <cellStyle name="Heading 1 2 2 8 2 2 4 5 2 2" xfId="16204"/>
    <cellStyle name="Heading 1 2 2 8 2 2 4 5 3" xfId="16205"/>
    <cellStyle name="Heading 1 2 2 8 2 2 4 6" xfId="16206"/>
    <cellStyle name="Heading 1 2 2 8 2 2 4 6 2" xfId="16207"/>
    <cellStyle name="Heading 1 2 2 8 2 2 4 6 2 2" xfId="16208"/>
    <cellStyle name="Heading 1 2 2 8 2 2 4 6 3" xfId="16209"/>
    <cellStyle name="Heading 1 2 2 8 2 2 4 7" xfId="16210"/>
    <cellStyle name="Heading 1 2 2 8 2 2 4 7 2" xfId="16211"/>
    <cellStyle name="Heading 1 2 2 8 2 2 4 7 2 2" xfId="16212"/>
    <cellStyle name="Heading 1 2 2 8 2 2 4 7 3" xfId="16213"/>
    <cellStyle name="Heading 1 2 2 8 2 2 4 8" xfId="16214"/>
    <cellStyle name="Heading 1 2 2 8 2 2 4 8 2" xfId="16215"/>
    <cellStyle name="Heading 1 2 2 8 2 2 4 9" xfId="16216"/>
    <cellStyle name="Heading 1 2 2 8 2 2 5" xfId="16217"/>
    <cellStyle name="Heading 1 2 2 8 2 2 5 2" xfId="16218"/>
    <cellStyle name="Heading 1 2 2 8 2 2 5 2 2" xfId="16219"/>
    <cellStyle name="Heading 1 2 2 8 2 2 5 2 2 2" xfId="16220"/>
    <cellStyle name="Heading 1 2 2 8 2 2 5 2 3" xfId="16221"/>
    <cellStyle name="Heading 1 2 2 8 2 2 5 3" xfId="16222"/>
    <cellStyle name="Heading 1 2 2 8 2 2 5 3 2" xfId="16223"/>
    <cellStyle name="Heading 1 2 2 8 2 2 5 3 2 2" xfId="16224"/>
    <cellStyle name="Heading 1 2 2 8 2 2 5 3 3" xfId="16225"/>
    <cellStyle name="Heading 1 2 2 8 2 2 5 4" xfId="16226"/>
    <cellStyle name="Heading 1 2 2 8 2 2 5 4 2" xfId="16227"/>
    <cellStyle name="Heading 1 2 2 8 2 2 5 4 2 2" xfId="16228"/>
    <cellStyle name="Heading 1 2 2 8 2 2 5 4 3" xfId="16229"/>
    <cellStyle name="Heading 1 2 2 8 2 2 5 5" xfId="16230"/>
    <cellStyle name="Heading 1 2 2 8 2 2 5 5 2" xfId="16231"/>
    <cellStyle name="Heading 1 2 2 8 2 2 5 5 2 2" xfId="16232"/>
    <cellStyle name="Heading 1 2 2 8 2 2 5 5 3" xfId="16233"/>
    <cellStyle name="Heading 1 2 2 8 2 2 5 6" xfId="16234"/>
    <cellStyle name="Heading 1 2 2 8 2 2 5 6 2" xfId="16235"/>
    <cellStyle name="Heading 1 2 2 8 2 2 5 6 2 2" xfId="16236"/>
    <cellStyle name="Heading 1 2 2 8 2 2 5 6 3" xfId="16237"/>
    <cellStyle name="Heading 1 2 2 8 2 2 5 7" xfId="16238"/>
    <cellStyle name="Heading 1 2 2 8 2 2 5 7 2" xfId="16239"/>
    <cellStyle name="Heading 1 2 2 8 2 2 5 7 2 2" xfId="16240"/>
    <cellStyle name="Heading 1 2 2 8 2 2 5 7 3" xfId="16241"/>
    <cellStyle name="Heading 1 2 2 8 2 2 5 8" xfId="16242"/>
    <cellStyle name="Heading 1 2 2 8 2 2 5 8 2" xfId="16243"/>
    <cellStyle name="Heading 1 2 2 8 2 2 5 9" xfId="16244"/>
    <cellStyle name="Heading 1 2 2 8 2 2 6" xfId="16245"/>
    <cellStyle name="Heading 1 2 2 8 2 2 6 2" xfId="16246"/>
    <cellStyle name="Heading 1 2 2 8 2 2 6 2 2" xfId="16247"/>
    <cellStyle name="Heading 1 2 2 8 2 2 6 2 2 2" xfId="16248"/>
    <cellStyle name="Heading 1 2 2 8 2 2 6 2 3" xfId="16249"/>
    <cellStyle name="Heading 1 2 2 8 2 2 6 3" xfId="16250"/>
    <cellStyle name="Heading 1 2 2 8 2 2 6 3 2" xfId="16251"/>
    <cellStyle name="Heading 1 2 2 8 2 2 6 3 2 2" xfId="16252"/>
    <cellStyle name="Heading 1 2 2 8 2 2 6 3 3" xfId="16253"/>
    <cellStyle name="Heading 1 2 2 8 2 2 6 4" xfId="16254"/>
    <cellStyle name="Heading 1 2 2 8 2 2 6 4 2" xfId="16255"/>
    <cellStyle name="Heading 1 2 2 8 2 2 6 4 2 2" xfId="16256"/>
    <cellStyle name="Heading 1 2 2 8 2 2 6 4 3" xfId="16257"/>
    <cellStyle name="Heading 1 2 2 8 2 2 6 5" xfId="16258"/>
    <cellStyle name="Heading 1 2 2 8 2 2 6 5 2" xfId="16259"/>
    <cellStyle name="Heading 1 2 2 8 2 2 6 5 2 2" xfId="16260"/>
    <cellStyle name="Heading 1 2 2 8 2 2 6 5 3" xfId="16261"/>
    <cellStyle name="Heading 1 2 2 8 2 2 6 6" xfId="16262"/>
    <cellStyle name="Heading 1 2 2 8 2 2 6 6 2" xfId="16263"/>
    <cellStyle name="Heading 1 2 2 8 2 2 6 6 2 2" xfId="16264"/>
    <cellStyle name="Heading 1 2 2 8 2 2 6 6 3" xfId="16265"/>
    <cellStyle name="Heading 1 2 2 8 2 2 6 7" xfId="16266"/>
    <cellStyle name="Heading 1 2 2 8 2 2 6 7 2" xfId="16267"/>
    <cellStyle name="Heading 1 2 2 8 2 2 6 7 2 2" xfId="16268"/>
    <cellStyle name="Heading 1 2 2 8 2 2 6 7 3" xfId="16269"/>
    <cellStyle name="Heading 1 2 2 8 2 2 6 8" xfId="16270"/>
    <cellStyle name="Heading 1 2 2 8 2 2 6 8 2" xfId="16271"/>
    <cellStyle name="Heading 1 2 2 8 2 2 6 9" xfId="16272"/>
    <cellStyle name="Heading 1 2 2 8 2 2 7" xfId="16273"/>
    <cellStyle name="Heading 1 2 2 8 2 2 7 2" xfId="16274"/>
    <cellStyle name="Heading 1 2 2 8 2 2 7 2 2" xfId="16275"/>
    <cellStyle name="Heading 1 2 2 8 2 2 7 2 2 2" xfId="16276"/>
    <cellStyle name="Heading 1 2 2 8 2 2 7 2 3" xfId="16277"/>
    <cellStyle name="Heading 1 2 2 8 2 2 7 3" xfId="16278"/>
    <cellStyle name="Heading 1 2 2 8 2 2 7 3 2" xfId="16279"/>
    <cellStyle name="Heading 1 2 2 8 2 2 7 3 2 2" xfId="16280"/>
    <cellStyle name="Heading 1 2 2 8 2 2 7 3 3" xfId="16281"/>
    <cellStyle name="Heading 1 2 2 8 2 2 7 4" xfId="16282"/>
    <cellStyle name="Heading 1 2 2 8 2 2 7 4 2" xfId="16283"/>
    <cellStyle name="Heading 1 2 2 8 2 2 7 4 2 2" xfId="16284"/>
    <cellStyle name="Heading 1 2 2 8 2 2 7 4 3" xfId="16285"/>
    <cellStyle name="Heading 1 2 2 8 2 2 7 5" xfId="16286"/>
    <cellStyle name="Heading 1 2 2 8 2 2 7 5 2" xfId="16287"/>
    <cellStyle name="Heading 1 2 2 8 2 2 7 5 2 2" xfId="16288"/>
    <cellStyle name="Heading 1 2 2 8 2 2 7 5 3" xfId="16289"/>
    <cellStyle name="Heading 1 2 2 8 2 2 7 6" xfId="16290"/>
    <cellStyle name="Heading 1 2 2 8 2 2 7 6 2" xfId="16291"/>
    <cellStyle name="Heading 1 2 2 8 2 2 7 6 2 2" xfId="16292"/>
    <cellStyle name="Heading 1 2 2 8 2 2 7 6 3" xfId="16293"/>
    <cellStyle name="Heading 1 2 2 8 2 2 7 7" xfId="16294"/>
    <cellStyle name="Heading 1 2 2 8 2 2 7 7 2" xfId="16295"/>
    <cellStyle name="Heading 1 2 2 8 2 2 7 7 2 2" xfId="16296"/>
    <cellStyle name="Heading 1 2 2 8 2 2 7 7 3" xfId="16297"/>
    <cellStyle name="Heading 1 2 2 8 2 2 7 8" xfId="16298"/>
    <cellStyle name="Heading 1 2 2 8 2 2 7 8 2" xfId="16299"/>
    <cellStyle name="Heading 1 2 2 8 2 2 7 9" xfId="16300"/>
    <cellStyle name="Heading 1 2 2 8 2 2 8" xfId="16301"/>
    <cellStyle name="Heading 1 2 2 8 2 2 8 2" xfId="16302"/>
    <cellStyle name="Heading 1 2 2 8 2 2 8 2 2" xfId="16303"/>
    <cellStyle name="Heading 1 2 2 8 2 2 8 2 2 2" xfId="16304"/>
    <cellStyle name="Heading 1 2 2 8 2 2 8 2 3" xfId="16305"/>
    <cellStyle name="Heading 1 2 2 8 2 2 8 3" xfId="16306"/>
    <cellStyle name="Heading 1 2 2 8 2 2 8 3 2" xfId="16307"/>
    <cellStyle name="Heading 1 2 2 8 2 2 8 3 2 2" xfId="16308"/>
    <cellStyle name="Heading 1 2 2 8 2 2 8 3 3" xfId="16309"/>
    <cellStyle name="Heading 1 2 2 8 2 2 8 4" xfId="16310"/>
    <cellStyle name="Heading 1 2 2 8 2 2 8 4 2" xfId="16311"/>
    <cellStyle name="Heading 1 2 2 8 2 2 8 4 2 2" xfId="16312"/>
    <cellStyle name="Heading 1 2 2 8 2 2 8 4 3" xfId="16313"/>
    <cellStyle name="Heading 1 2 2 8 2 2 8 5" xfId="16314"/>
    <cellStyle name="Heading 1 2 2 8 2 2 8 5 2" xfId="16315"/>
    <cellStyle name="Heading 1 2 2 8 2 2 8 5 2 2" xfId="16316"/>
    <cellStyle name="Heading 1 2 2 8 2 2 8 5 3" xfId="16317"/>
    <cellStyle name="Heading 1 2 2 8 2 2 8 6" xfId="16318"/>
    <cellStyle name="Heading 1 2 2 8 2 2 8 6 2" xfId="16319"/>
    <cellStyle name="Heading 1 2 2 8 2 2 8 6 2 2" xfId="16320"/>
    <cellStyle name="Heading 1 2 2 8 2 2 8 6 3" xfId="16321"/>
    <cellStyle name="Heading 1 2 2 8 2 2 8 7" xfId="16322"/>
    <cellStyle name="Heading 1 2 2 8 2 2 8 7 2" xfId="16323"/>
    <cellStyle name="Heading 1 2 2 8 2 2 8 7 2 2" xfId="16324"/>
    <cellStyle name="Heading 1 2 2 8 2 2 8 7 3" xfId="16325"/>
    <cellStyle name="Heading 1 2 2 8 2 2 8 8" xfId="16326"/>
    <cellStyle name="Heading 1 2 2 8 2 2 8 8 2" xfId="16327"/>
    <cellStyle name="Heading 1 2 2 8 2 2 8 9" xfId="16328"/>
    <cellStyle name="Heading 1 2 2 8 2 2 9" xfId="16329"/>
    <cellStyle name="Heading 1 2 2 8 2 2 9 2" xfId="16330"/>
    <cellStyle name="Heading 1 2 2 8 2 2 9 2 2" xfId="16331"/>
    <cellStyle name="Heading 1 2 2 8 2 2 9 3" xfId="16332"/>
    <cellStyle name="Heading 1 2 2 8 2 20" xfId="16333"/>
    <cellStyle name="Heading 1 2 2 8 2 20 2" xfId="16334"/>
    <cellStyle name="Heading 1 2 2 8 2 21" xfId="16335"/>
    <cellStyle name="Heading 1 2 2 8 2 21 2" xfId="16336"/>
    <cellStyle name="Heading 1 2 2 8 2 22" xfId="16337"/>
    <cellStyle name="Heading 1 2 2 8 2 22 2" xfId="16338"/>
    <cellStyle name="Heading 1 2 2 8 2 23" xfId="16339"/>
    <cellStyle name="Heading 1 2 2 8 2 3" xfId="16340"/>
    <cellStyle name="Heading 1 2 2 8 2 3 2" xfId="16341"/>
    <cellStyle name="Heading 1 2 2 8 2 3 2 2" xfId="16342"/>
    <cellStyle name="Heading 1 2 2 8 2 3 2 2 2" xfId="16343"/>
    <cellStyle name="Heading 1 2 2 8 2 3 2 3" xfId="16344"/>
    <cellStyle name="Heading 1 2 2 8 2 3 3" xfId="16345"/>
    <cellStyle name="Heading 1 2 2 8 2 3 3 2" xfId="16346"/>
    <cellStyle name="Heading 1 2 2 8 2 3 3 2 2" xfId="16347"/>
    <cellStyle name="Heading 1 2 2 8 2 3 3 3" xfId="16348"/>
    <cellStyle name="Heading 1 2 2 8 2 3 4" xfId="16349"/>
    <cellStyle name="Heading 1 2 2 8 2 3 4 2" xfId="16350"/>
    <cellStyle name="Heading 1 2 2 8 2 3 4 2 2" xfId="16351"/>
    <cellStyle name="Heading 1 2 2 8 2 3 4 3" xfId="16352"/>
    <cellStyle name="Heading 1 2 2 8 2 3 5" xfId="16353"/>
    <cellStyle name="Heading 1 2 2 8 2 3 5 2" xfId="16354"/>
    <cellStyle name="Heading 1 2 2 8 2 3 5 2 2" xfId="16355"/>
    <cellStyle name="Heading 1 2 2 8 2 3 5 3" xfId="16356"/>
    <cellStyle name="Heading 1 2 2 8 2 3 6" xfId="16357"/>
    <cellStyle name="Heading 1 2 2 8 2 3 6 2" xfId="16358"/>
    <cellStyle name="Heading 1 2 2 8 2 3 6 2 2" xfId="16359"/>
    <cellStyle name="Heading 1 2 2 8 2 3 6 3" xfId="16360"/>
    <cellStyle name="Heading 1 2 2 8 2 3 7" xfId="16361"/>
    <cellStyle name="Heading 1 2 2 8 2 3 7 2" xfId="16362"/>
    <cellStyle name="Heading 1 2 2 8 2 3 7 2 2" xfId="16363"/>
    <cellStyle name="Heading 1 2 2 8 2 3 7 3" xfId="16364"/>
    <cellStyle name="Heading 1 2 2 8 2 3 8" xfId="16365"/>
    <cellStyle name="Heading 1 2 2 8 2 3 8 2" xfId="16366"/>
    <cellStyle name="Heading 1 2 2 8 2 3 9" xfId="16367"/>
    <cellStyle name="Heading 1 2 2 8 2 4" xfId="16368"/>
    <cellStyle name="Heading 1 2 2 8 2 4 2" xfId="16369"/>
    <cellStyle name="Heading 1 2 2 8 2 4 2 2" xfId="16370"/>
    <cellStyle name="Heading 1 2 2 8 2 4 2 2 2" xfId="16371"/>
    <cellStyle name="Heading 1 2 2 8 2 4 2 3" xfId="16372"/>
    <cellStyle name="Heading 1 2 2 8 2 4 3" xfId="16373"/>
    <cellStyle name="Heading 1 2 2 8 2 4 3 2" xfId="16374"/>
    <cellStyle name="Heading 1 2 2 8 2 4 3 2 2" xfId="16375"/>
    <cellStyle name="Heading 1 2 2 8 2 4 3 3" xfId="16376"/>
    <cellStyle name="Heading 1 2 2 8 2 4 4" xfId="16377"/>
    <cellStyle name="Heading 1 2 2 8 2 4 4 2" xfId="16378"/>
    <cellStyle name="Heading 1 2 2 8 2 4 4 2 2" xfId="16379"/>
    <cellStyle name="Heading 1 2 2 8 2 4 4 3" xfId="16380"/>
    <cellStyle name="Heading 1 2 2 8 2 4 5" xfId="16381"/>
    <cellStyle name="Heading 1 2 2 8 2 4 5 2" xfId="16382"/>
    <cellStyle name="Heading 1 2 2 8 2 4 5 2 2" xfId="16383"/>
    <cellStyle name="Heading 1 2 2 8 2 4 5 3" xfId="16384"/>
    <cellStyle name="Heading 1 2 2 8 2 4 6" xfId="16385"/>
    <cellStyle name="Heading 1 2 2 8 2 4 6 2" xfId="16386"/>
    <cellStyle name="Heading 1 2 2 8 2 4 6 2 2" xfId="16387"/>
    <cellStyle name="Heading 1 2 2 8 2 4 6 3" xfId="16388"/>
    <cellStyle name="Heading 1 2 2 8 2 4 7" xfId="16389"/>
    <cellStyle name="Heading 1 2 2 8 2 4 7 2" xfId="16390"/>
    <cellStyle name="Heading 1 2 2 8 2 4 7 2 2" xfId="16391"/>
    <cellStyle name="Heading 1 2 2 8 2 4 7 3" xfId="16392"/>
    <cellStyle name="Heading 1 2 2 8 2 4 8" xfId="16393"/>
    <cellStyle name="Heading 1 2 2 8 2 4 8 2" xfId="16394"/>
    <cellStyle name="Heading 1 2 2 8 2 4 9" xfId="16395"/>
    <cellStyle name="Heading 1 2 2 8 2 5" xfId="16396"/>
    <cellStyle name="Heading 1 2 2 8 2 5 2" xfId="16397"/>
    <cellStyle name="Heading 1 2 2 8 2 5 2 2" xfId="16398"/>
    <cellStyle name="Heading 1 2 2 8 2 5 2 2 2" xfId="16399"/>
    <cellStyle name="Heading 1 2 2 8 2 5 2 3" xfId="16400"/>
    <cellStyle name="Heading 1 2 2 8 2 5 3" xfId="16401"/>
    <cellStyle name="Heading 1 2 2 8 2 5 3 2" xfId="16402"/>
    <cellStyle name="Heading 1 2 2 8 2 5 3 2 2" xfId="16403"/>
    <cellStyle name="Heading 1 2 2 8 2 5 3 3" xfId="16404"/>
    <cellStyle name="Heading 1 2 2 8 2 5 4" xfId="16405"/>
    <cellStyle name="Heading 1 2 2 8 2 5 4 2" xfId="16406"/>
    <cellStyle name="Heading 1 2 2 8 2 5 4 2 2" xfId="16407"/>
    <cellStyle name="Heading 1 2 2 8 2 5 4 3" xfId="16408"/>
    <cellStyle name="Heading 1 2 2 8 2 5 5" xfId="16409"/>
    <cellStyle name="Heading 1 2 2 8 2 5 5 2" xfId="16410"/>
    <cellStyle name="Heading 1 2 2 8 2 5 5 2 2" xfId="16411"/>
    <cellStyle name="Heading 1 2 2 8 2 5 5 3" xfId="16412"/>
    <cellStyle name="Heading 1 2 2 8 2 5 6" xfId="16413"/>
    <cellStyle name="Heading 1 2 2 8 2 5 6 2" xfId="16414"/>
    <cellStyle name="Heading 1 2 2 8 2 5 6 2 2" xfId="16415"/>
    <cellStyle name="Heading 1 2 2 8 2 5 6 3" xfId="16416"/>
    <cellStyle name="Heading 1 2 2 8 2 5 7" xfId="16417"/>
    <cellStyle name="Heading 1 2 2 8 2 5 7 2" xfId="16418"/>
    <cellStyle name="Heading 1 2 2 8 2 5 7 2 2" xfId="16419"/>
    <cellStyle name="Heading 1 2 2 8 2 5 7 3" xfId="16420"/>
    <cellStyle name="Heading 1 2 2 8 2 5 8" xfId="16421"/>
    <cellStyle name="Heading 1 2 2 8 2 5 8 2" xfId="16422"/>
    <cellStyle name="Heading 1 2 2 8 2 5 9" xfId="16423"/>
    <cellStyle name="Heading 1 2 2 8 2 6" xfId="16424"/>
    <cellStyle name="Heading 1 2 2 8 2 6 2" xfId="16425"/>
    <cellStyle name="Heading 1 2 2 8 2 6 2 2" xfId="16426"/>
    <cellStyle name="Heading 1 2 2 8 2 6 2 2 2" xfId="16427"/>
    <cellStyle name="Heading 1 2 2 8 2 6 2 3" xfId="16428"/>
    <cellStyle name="Heading 1 2 2 8 2 6 3" xfId="16429"/>
    <cellStyle name="Heading 1 2 2 8 2 6 3 2" xfId="16430"/>
    <cellStyle name="Heading 1 2 2 8 2 6 3 2 2" xfId="16431"/>
    <cellStyle name="Heading 1 2 2 8 2 6 3 3" xfId="16432"/>
    <cellStyle name="Heading 1 2 2 8 2 6 4" xfId="16433"/>
    <cellStyle name="Heading 1 2 2 8 2 6 4 2" xfId="16434"/>
    <cellStyle name="Heading 1 2 2 8 2 6 4 2 2" xfId="16435"/>
    <cellStyle name="Heading 1 2 2 8 2 6 4 3" xfId="16436"/>
    <cellStyle name="Heading 1 2 2 8 2 6 5" xfId="16437"/>
    <cellStyle name="Heading 1 2 2 8 2 6 5 2" xfId="16438"/>
    <cellStyle name="Heading 1 2 2 8 2 6 5 2 2" xfId="16439"/>
    <cellStyle name="Heading 1 2 2 8 2 6 5 3" xfId="16440"/>
    <cellStyle name="Heading 1 2 2 8 2 6 6" xfId="16441"/>
    <cellStyle name="Heading 1 2 2 8 2 6 6 2" xfId="16442"/>
    <cellStyle name="Heading 1 2 2 8 2 6 6 2 2" xfId="16443"/>
    <cellStyle name="Heading 1 2 2 8 2 6 6 3" xfId="16444"/>
    <cellStyle name="Heading 1 2 2 8 2 6 7" xfId="16445"/>
    <cellStyle name="Heading 1 2 2 8 2 6 7 2" xfId="16446"/>
    <cellStyle name="Heading 1 2 2 8 2 6 7 2 2" xfId="16447"/>
    <cellStyle name="Heading 1 2 2 8 2 6 7 3" xfId="16448"/>
    <cellStyle name="Heading 1 2 2 8 2 6 8" xfId="16449"/>
    <cellStyle name="Heading 1 2 2 8 2 6 8 2" xfId="16450"/>
    <cellStyle name="Heading 1 2 2 8 2 6 9" xfId="16451"/>
    <cellStyle name="Heading 1 2 2 8 2 7" xfId="16452"/>
    <cellStyle name="Heading 1 2 2 8 2 7 2" xfId="16453"/>
    <cellStyle name="Heading 1 2 2 8 2 7 2 2" xfId="16454"/>
    <cellStyle name="Heading 1 2 2 8 2 7 2 2 2" xfId="16455"/>
    <cellStyle name="Heading 1 2 2 8 2 7 2 3" xfId="16456"/>
    <cellStyle name="Heading 1 2 2 8 2 7 3" xfId="16457"/>
    <cellStyle name="Heading 1 2 2 8 2 7 3 2" xfId="16458"/>
    <cellStyle name="Heading 1 2 2 8 2 7 3 2 2" xfId="16459"/>
    <cellStyle name="Heading 1 2 2 8 2 7 3 3" xfId="16460"/>
    <cellStyle name="Heading 1 2 2 8 2 7 4" xfId="16461"/>
    <cellStyle name="Heading 1 2 2 8 2 7 4 2" xfId="16462"/>
    <cellStyle name="Heading 1 2 2 8 2 7 4 2 2" xfId="16463"/>
    <cellStyle name="Heading 1 2 2 8 2 7 4 3" xfId="16464"/>
    <cellStyle name="Heading 1 2 2 8 2 7 5" xfId="16465"/>
    <cellStyle name="Heading 1 2 2 8 2 7 5 2" xfId="16466"/>
    <cellStyle name="Heading 1 2 2 8 2 7 5 2 2" xfId="16467"/>
    <cellStyle name="Heading 1 2 2 8 2 7 5 3" xfId="16468"/>
    <cellStyle name="Heading 1 2 2 8 2 7 6" xfId="16469"/>
    <cellStyle name="Heading 1 2 2 8 2 7 6 2" xfId="16470"/>
    <cellStyle name="Heading 1 2 2 8 2 7 6 2 2" xfId="16471"/>
    <cellStyle name="Heading 1 2 2 8 2 7 6 3" xfId="16472"/>
    <cellStyle name="Heading 1 2 2 8 2 7 7" xfId="16473"/>
    <cellStyle name="Heading 1 2 2 8 2 7 7 2" xfId="16474"/>
    <cellStyle name="Heading 1 2 2 8 2 7 7 2 2" xfId="16475"/>
    <cellStyle name="Heading 1 2 2 8 2 7 7 3" xfId="16476"/>
    <cellStyle name="Heading 1 2 2 8 2 7 8" xfId="16477"/>
    <cellStyle name="Heading 1 2 2 8 2 7 8 2" xfId="16478"/>
    <cellStyle name="Heading 1 2 2 8 2 7 9" xfId="16479"/>
    <cellStyle name="Heading 1 2 2 8 2 8" xfId="16480"/>
    <cellStyle name="Heading 1 2 2 8 2 8 2" xfId="16481"/>
    <cellStyle name="Heading 1 2 2 8 2 8 2 2" xfId="16482"/>
    <cellStyle name="Heading 1 2 2 8 2 8 2 2 2" xfId="16483"/>
    <cellStyle name="Heading 1 2 2 8 2 8 2 3" xfId="16484"/>
    <cellStyle name="Heading 1 2 2 8 2 8 3" xfId="16485"/>
    <cellStyle name="Heading 1 2 2 8 2 8 3 2" xfId="16486"/>
    <cellStyle name="Heading 1 2 2 8 2 8 3 2 2" xfId="16487"/>
    <cellStyle name="Heading 1 2 2 8 2 8 3 3" xfId="16488"/>
    <cellStyle name="Heading 1 2 2 8 2 8 4" xfId="16489"/>
    <cellStyle name="Heading 1 2 2 8 2 8 4 2" xfId="16490"/>
    <cellStyle name="Heading 1 2 2 8 2 8 4 2 2" xfId="16491"/>
    <cellStyle name="Heading 1 2 2 8 2 8 4 3" xfId="16492"/>
    <cellStyle name="Heading 1 2 2 8 2 8 5" xfId="16493"/>
    <cellStyle name="Heading 1 2 2 8 2 8 5 2" xfId="16494"/>
    <cellStyle name="Heading 1 2 2 8 2 8 5 2 2" xfId="16495"/>
    <cellStyle name="Heading 1 2 2 8 2 8 5 3" xfId="16496"/>
    <cellStyle name="Heading 1 2 2 8 2 8 6" xfId="16497"/>
    <cellStyle name="Heading 1 2 2 8 2 8 6 2" xfId="16498"/>
    <cellStyle name="Heading 1 2 2 8 2 8 6 2 2" xfId="16499"/>
    <cellStyle name="Heading 1 2 2 8 2 8 6 3" xfId="16500"/>
    <cellStyle name="Heading 1 2 2 8 2 8 7" xfId="16501"/>
    <cellStyle name="Heading 1 2 2 8 2 8 7 2" xfId="16502"/>
    <cellStyle name="Heading 1 2 2 8 2 8 7 2 2" xfId="16503"/>
    <cellStyle name="Heading 1 2 2 8 2 8 7 3" xfId="16504"/>
    <cellStyle name="Heading 1 2 2 8 2 8 8" xfId="16505"/>
    <cellStyle name="Heading 1 2 2 8 2 8 8 2" xfId="16506"/>
    <cellStyle name="Heading 1 2 2 8 2 8 9" xfId="16507"/>
    <cellStyle name="Heading 1 2 2 8 2 9" xfId="16508"/>
    <cellStyle name="Heading 1 2 2 8 2 9 2" xfId="16509"/>
    <cellStyle name="Heading 1 2 2 8 2 9 2 2" xfId="16510"/>
    <cellStyle name="Heading 1 2 2 8 2 9 2 2 2" xfId="16511"/>
    <cellStyle name="Heading 1 2 2 8 2 9 2 3" xfId="16512"/>
    <cellStyle name="Heading 1 2 2 8 2 9 3" xfId="16513"/>
    <cellStyle name="Heading 1 2 2 8 2 9 3 2" xfId="16514"/>
    <cellStyle name="Heading 1 2 2 8 2 9 3 2 2" xfId="16515"/>
    <cellStyle name="Heading 1 2 2 8 2 9 3 3" xfId="16516"/>
    <cellStyle name="Heading 1 2 2 8 2 9 4" xfId="16517"/>
    <cellStyle name="Heading 1 2 2 8 2 9 4 2" xfId="16518"/>
    <cellStyle name="Heading 1 2 2 8 2 9 4 2 2" xfId="16519"/>
    <cellStyle name="Heading 1 2 2 8 2 9 4 3" xfId="16520"/>
    <cellStyle name="Heading 1 2 2 8 2 9 5" xfId="16521"/>
    <cellStyle name="Heading 1 2 2 8 2 9 5 2" xfId="16522"/>
    <cellStyle name="Heading 1 2 2 8 2 9 5 2 2" xfId="16523"/>
    <cellStyle name="Heading 1 2 2 8 2 9 5 3" xfId="16524"/>
    <cellStyle name="Heading 1 2 2 8 2 9 6" xfId="16525"/>
    <cellStyle name="Heading 1 2 2 8 2 9 6 2" xfId="16526"/>
    <cellStyle name="Heading 1 2 2 8 2 9 6 2 2" xfId="16527"/>
    <cellStyle name="Heading 1 2 2 8 2 9 6 3" xfId="16528"/>
    <cellStyle name="Heading 1 2 2 8 2 9 7" xfId="16529"/>
    <cellStyle name="Heading 1 2 2 8 2 9 7 2" xfId="16530"/>
    <cellStyle name="Heading 1 2 2 8 2 9 7 2 2" xfId="16531"/>
    <cellStyle name="Heading 1 2 2 8 2 9 7 3" xfId="16532"/>
    <cellStyle name="Heading 1 2 2 8 2 9 8" xfId="16533"/>
    <cellStyle name="Heading 1 2 2 8 2 9 8 2" xfId="16534"/>
    <cellStyle name="Heading 1 2 2 8 2 9 9" xfId="16535"/>
    <cellStyle name="Heading 1 2 2 8 3" xfId="16536"/>
    <cellStyle name="Heading 1 2 2 8 3 10" xfId="16537"/>
    <cellStyle name="Heading 1 2 2 8 3 10 2" xfId="16538"/>
    <cellStyle name="Heading 1 2 2 8 3 10 2 2" xfId="16539"/>
    <cellStyle name="Heading 1 2 2 8 3 10 3" xfId="16540"/>
    <cellStyle name="Heading 1 2 2 8 3 11" xfId="16541"/>
    <cellStyle name="Heading 1 2 2 8 3 11 2" xfId="16542"/>
    <cellStyle name="Heading 1 2 2 8 3 11 2 2" xfId="16543"/>
    <cellStyle name="Heading 1 2 2 8 3 11 3" xfId="16544"/>
    <cellStyle name="Heading 1 2 2 8 3 12" xfId="16545"/>
    <cellStyle name="Heading 1 2 2 8 3 12 2" xfId="16546"/>
    <cellStyle name="Heading 1 2 2 8 3 12 2 2" xfId="16547"/>
    <cellStyle name="Heading 1 2 2 8 3 12 3" xfId="16548"/>
    <cellStyle name="Heading 1 2 2 8 3 13" xfId="16549"/>
    <cellStyle name="Heading 1 2 2 8 3 13 2" xfId="16550"/>
    <cellStyle name="Heading 1 2 2 8 3 13 2 2" xfId="16551"/>
    <cellStyle name="Heading 1 2 2 8 3 13 3" xfId="16552"/>
    <cellStyle name="Heading 1 2 2 8 3 14" xfId="16553"/>
    <cellStyle name="Heading 1 2 2 8 3 14 2" xfId="16554"/>
    <cellStyle name="Heading 1 2 2 8 3 14 2 2" xfId="16555"/>
    <cellStyle name="Heading 1 2 2 8 3 14 3" xfId="16556"/>
    <cellStyle name="Heading 1 2 2 8 3 15" xfId="16557"/>
    <cellStyle name="Heading 1 2 2 8 3 15 2" xfId="16558"/>
    <cellStyle name="Heading 1 2 2 8 3 15 2 2" xfId="16559"/>
    <cellStyle name="Heading 1 2 2 8 3 15 3" xfId="16560"/>
    <cellStyle name="Heading 1 2 2 8 3 16" xfId="16561"/>
    <cellStyle name="Heading 1 2 2 8 3 16 2" xfId="16562"/>
    <cellStyle name="Heading 1 2 2 8 3 16 2 2" xfId="16563"/>
    <cellStyle name="Heading 1 2 2 8 3 16 3" xfId="16564"/>
    <cellStyle name="Heading 1 2 2 8 3 17" xfId="16565"/>
    <cellStyle name="Heading 1 2 2 8 3 17 2" xfId="16566"/>
    <cellStyle name="Heading 1 2 2 8 3 17 2 2" xfId="16567"/>
    <cellStyle name="Heading 1 2 2 8 3 17 3" xfId="16568"/>
    <cellStyle name="Heading 1 2 2 8 3 18" xfId="16569"/>
    <cellStyle name="Heading 1 2 2 8 3 18 2" xfId="16570"/>
    <cellStyle name="Heading 1 2 2 8 3 18 2 2" xfId="16571"/>
    <cellStyle name="Heading 1 2 2 8 3 18 3" xfId="16572"/>
    <cellStyle name="Heading 1 2 2 8 3 19" xfId="16573"/>
    <cellStyle name="Heading 1 2 2 8 3 19 2" xfId="16574"/>
    <cellStyle name="Heading 1 2 2 8 3 2" xfId="16575"/>
    <cellStyle name="Heading 1 2 2 8 3 2 2" xfId="16576"/>
    <cellStyle name="Heading 1 2 2 8 3 2 2 2" xfId="16577"/>
    <cellStyle name="Heading 1 2 2 8 3 2 2 2 2" xfId="16578"/>
    <cellStyle name="Heading 1 2 2 8 3 2 2 3" xfId="16579"/>
    <cellStyle name="Heading 1 2 2 8 3 2 3" xfId="16580"/>
    <cellStyle name="Heading 1 2 2 8 3 2 3 2" xfId="16581"/>
    <cellStyle name="Heading 1 2 2 8 3 2 3 2 2" xfId="16582"/>
    <cellStyle name="Heading 1 2 2 8 3 2 3 3" xfId="16583"/>
    <cellStyle name="Heading 1 2 2 8 3 2 4" xfId="16584"/>
    <cellStyle name="Heading 1 2 2 8 3 2 4 2" xfId="16585"/>
    <cellStyle name="Heading 1 2 2 8 3 2 4 2 2" xfId="16586"/>
    <cellStyle name="Heading 1 2 2 8 3 2 4 3" xfId="16587"/>
    <cellStyle name="Heading 1 2 2 8 3 2 5" xfId="16588"/>
    <cellStyle name="Heading 1 2 2 8 3 2 5 2" xfId="16589"/>
    <cellStyle name="Heading 1 2 2 8 3 2 5 2 2" xfId="16590"/>
    <cellStyle name="Heading 1 2 2 8 3 2 5 3" xfId="16591"/>
    <cellStyle name="Heading 1 2 2 8 3 2 6" xfId="16592"/>
    <cellStyle name="Heading 1 2 2 8 3 2 6 2" xfId="16593"/>
    <cellStyle name="Heading 1 2 2 8 3 2 6 2 2" xfId="16594"/>
    <cellStyle name="Heading 1 2 2 8 3 2 6 3" xfId="16595"/>
    <cellStyle name="Heading 1 2 2 8 3 2 7" xfId="16596"/>
    <cellStyle name="Heading 1 2 2 8 3 2 7 2" xfId="16597"/>
    <cellStyle name="Heading 1 2 2 8 3 2 7 2 2" xfId="16598"/>
    <cellStyle name="Heading 1 2 2 8 3 2 7 3" xfId="16599"/>
    <cellStyle name="Heading 1 2 2 8 3 2 8" xfId="16600"/>
    <cellStyle name="Heading 1 2 2 8 3 2 8 2" xfId="16601"/>
    <cellStyle name="Heading 1 2 2 8 3 2 9" xfId="16602"/>
    <cellStyle name="Heading 1 2 2 8 3 20" xfId="16603"/>
    <cellStyle name="Heading 1 2 2 8 3 20 2" xfId="16604"/>
    <cellStyle name="Heading 1 2 2 8 3 21" xfId="16605"/>
    <cellStyle name="Heading 1 2 2 8 3 21 2" xfId="16606"/>
    <cellStyle name="Heading 1 2 2 8 3 22" xfId="16607"/>
    <cellStyle name="Heading 1 2 2 8 3 3" xfId="16608"/>
    <cellStyle name="Heading 1 2 2 8 3 3 2" xfId="16609"/>
    <cellStyle name="Heading 1 2 2 8 3 3 2 2" xfId="16610"/>
    <cellStyle name="Heading 1 2 2 8 3 3 2 2 2" xfId="16611"/>
    <cellStyle name="Heading 1 2 2 8 3 3 2 3" xfId="16612"/>
    <cellStyle name="Heading 1 2 2 8 3 3 3" xfId="16613"/>
    <cellStyle name="Heading 1 2 2 8 3 3 3 2" xfId="16614"/>
    <cellStyle name="Heading 1 2 2 8 3 3 3 2 2" xfId="16615"/>
    <cellStyle name="Heading 1 2 2 8 3 3 3 3" xfId="16616"/>
    <cellStyle name="Heading 1 2 2 8 3 3 4" xfId="16617"/>
    <cellStyle name="Heading 1 2 2 8 3 3 4 2" xfId="16618"/>
    <cellStyle name="Heading 1 2 2 8 3 3 4 2 2" xfId="16619"/>
    <cellStyle name="Heading 1 2 2 8 3 3 4 3" xfId="16620"/>
    <cellStyle name="Heading 1 2 2 8 3 3 5" xfId="16621"/>
    <cellStyle name="Heading 1 2 2 8 3 3 5 2" xfId="16622"/>
    <cellStyle name="Heading 1 2 2 8 3 3 5 2 2" xfId="16623"/>
    <cellStyle name="Heading 1 2 2 8 3 3 5 3" xfId="16624"/>
    <cellStyle name="Heading 1 2 2 8 3 3 6" xfId="16625"/>
    <cellStyle name="Heading 1 2 2 8 3 3 6 2" xfId="16626"/>
    <cellStyle name="Heading 1 2 2 8 3 3 6 2 2" xfId="16627"/>
    <cellStyle name="Heading 1 2 2 8 3 3 6 3" xfId="16628"/>
    <cellStyle name="Heading 1 2 2 8 3 3 7" xfId="16629"/>
    <cellStyle name="Heading 1 2 2 8 3 3 7 2" xfId="16630"/>
    <cellStyle name="Heading 1 2 2 8 3 3 7 2 2" xfId="16631"/>
    <cellStyle name="Heading 1 2 2 8 3 3 7 3" xfId="16632"/>
    <cellStyle name="Heading 1 2 2 8 3 3 8" xfId="16633"/>
    <cellStyle name="Heading 1 2 2 8 3 3 8 2" xfId="16634"/>
    <cellStyle name="Heading 1 2 2 8 3 3 9" xfId="16635"/>
    <cellStyle name="Heading 1 2 2 8 3 4" xfId="16636"/>
    <cellStyle name="Heading 1 2 2 8 3 4 2" xfId="16637"/>
    <cellStyle name="Heading 1 2 2 8 3 4 2 2" xfId="16638"/>
    <cellStyle name="Heading 1 2 2 8 3 4 2 2 2" xfId="16639"/>
    <cellStyle name="Heading 1 2 2 8 3 4 2 3" xfId="16640"/>
    <cellStyle name="Heading 1 2 2 8 3 4 3" xfId="16641"/>
    <cellStyle name="Heading 1 2 2 8 3 4 3 2" xfId="16642"/>
    <cellStyle name="Heading 1 2 2 8 3 4 3 2 2" xfId="16643"/>
    <cellStyle name="Heading 1 2 2 8 3 4 3 3" xfId="16644"/>
    <cellStyle name="Heading 1 2 2 8 3 4 4" xfId="16645"/>
    <cellStyle name="Heading 1 2 2 8 3 4 4 2" xfId="16646"/>
    <cellStyle name="Heading 1 2 2 8 3 4 4 2 2" xfId="16647"/>
    <cellStyle name="Heading 1 2 2 8 3 4 4 3" xfId="16648"/>
    <cellStyle name="Heading 1 2 2 8 3 4 5" xfId="16649"/>
    <cellStyle name="Heading 1 2 2 8 3 4 5 2" xfId="16650"/>
    <cellStyle name="Heading 1 2 2 8 3 4 5 2 2" xfId="16651"/>
    <cellStyle name="Heading 1 2 2 8 3 4 5 3" xfId="16652"/>
    <cellStyle name="Heading 1 2 2 8 3 4 6" xfId="16653"/>
    <cellStyle name="Heading 1 2 2 8 3 4 6 2" xfId="16654"/>
    <cellStyle name="Heading 1 2 2 8 3 4 6 2 2" xfId="16655"/>
    <cellStyle name="Heading 1 2 2 8 3 4 6 3" xfId="16656"/>
    <cellStyle name="Heading 1 2 2 8 3 4 7" xfId="16657"/>
    <cellStyle name="Heading 1 2 2 8 3 4 7 2" xfId="16658"/>
    <cellStyle name="Heading 1 2 2 8 3 4 7 2 2" xfId="16659"/>
    <cellStyle name="Heading 1 2 2 8 3 4 7 3" xfId="16660"/>
    <cellStyle name="Heading 1 2 2 8 3 4 8" xfId="16661"/>
    <cellStyle name="Heading 1 2 2 8 3 4 8 2" xfId="16662"/>
    <cellStyle name="Heading 1 2 2 8 3 4 9" xfId="16663"/>
    <cellStyle name="Heading 1 2 2 8 3 5" xfId="16664"/>
    <cellStyle name="Heading 1 2 2 8 3 5 2" xfId="16665"/>
    <cellStyle name="Heading 1 2 2 8 3 5 2 2" xfId="16666"/>
    <cellStyle name="Heading 1 2 2 8 3 5 2 2 2" xfId="16667"/>
    <cellStyle name="Heading 1 2 2 8 3 5 2 3" xfId="16668"/>
    <cellStyle name="Heading 1 2 2 8 3 5 3" xfId="16669"/>
    <cellStyle name="Heading 1 2 2 8 3 5 3 2" xfId="16670"/>
    <cellStyle name="Heading 1 2 2 8 3 5 3 2 2" xfId="16671"/>
    <cellStyle name="Heading 1 2 2 8 3 5 3 3" xfId="16672"/>
    <cellStyle name="Heading 1 2 2 8 3 5 4" xfId="16673"/>
    <cellStyle name="Heading 1 2 2 8 3 5 4 2" xfId="16674"/>
    <cellStyle name="Heading 1 2 2 8 3 5 4 2 2" xfId="16675"/>
    <cellStyle name="Heading 1 2 2 8 3 5 4 3" xfId="16676"/>
    <cellStyle name="Heading 1 2 2 8 3 5 5" xfId="16677"/>
    <cellStyle name="Heading 1 2 2 8 3 5 5 2" xfId="16678"/>
    <cellStyle name="Heading 1 2 2 8 3 5 5 2 2" xfId="16679"/>
    <cellStyle name="Heading 1 2 2 8 3 5 5 3" xfId="16680"/>
    <cellStyle name="Heading 1 2 2 8 3 5 6" xfId="16681"/>
    <cellStyle name="Heading 1 2 2 8 3 5 6 2" xfId="16682"/>
    <cellStyle name="Heading 1 2 2 8 3 5 6 2 2" xfId="16683"/>
    <cellStyle name="Heading 1 2 2 8 3 5 6 3" xfId="16684"/>
    <cellStyle name="Heading 1 2 2 8 3 5 7" xfId="16685"/>
    <cellStyle name="Heading 1 2 2 8 3 5 7 2" xfId="16686"/>
    <cellStyle name="Heading 1 2 2 8 3 5 7 2 2" xfId="16687"/>
    <cellStyle name="Heading 1 2 2 8 3 5 7 3" xfId="16688"/>
    <cellStyle name="Heading 1 2 2 8 3 5 8" xfId="16689"/>
    <cellStyle name="Heading 1 2 2 8 3 5 8 2" xfId="16690"/>
    <cellStyle name="Heading 1 2 2 8 3 5 9" xfId="16691"/>
    <cellStyle name="Heading 1 2 2 8 3 6" xfId="16692"/>
    <cellStyle name="Heading 1 2 2 8 3 6 2" xfId="16693"/>
    <cellStyle name="Heading 1 2 2 8 3 6 2 2" xfId="16694"/>
    <cellStyle name="Heading 1 2 2 8 3 6 2 2 2" xfId="16695"/>
    <cellStyle name="Heading 1 2 2 8 3 6 2 3" xfId="16696"/>
    <cellStyle name="Heading 1 2 2 8 3 6 3" xfId="16697"/>
    <cellStyle name="Heading 1 2 2 8 3 6 3 2" xfId="16698"/>
    <cellStyle name="Heading 1 2 2 8 3 6 3 2 2" xfId="16699"/>
    <cellStyle name="Heading 1 2 2 8 3 6 3 3" xfId="16700"/>
    <cellStyle name="Heading 1 2 2 8 3 6 4" xfId="16701"/>
    <cellStyle name="Heading 1 2 2 8 3 6 4 2" xfId="16702"/>
    <cellStyle name="Heading 1 2 2 8 3 6 4 2 2" xfId="16703"/>
    <cellStyle name="Heading 1 2 2 8 3 6 4 3" xfId="16704"/>
    <cellStyle name="Heading 1 2 2 8 3 6 5" xfId="16705"/>
    <cellStyle name="Heading 1 2 2 8 3 6 5 2" xfId="16706"/>
    <cellStyle name="Heading 1 2 2 8 3 6 5 2 2" xfId="16707"/>
    <cellStyle name="Heading 1 2 2 8 3 6 5 3" xfId="16708"/>
    <cellStyle name="Heading 1 2 2 8 3 6 6" xfId="16709"/>
    <cellStyle name="Heading 1 2 2 8 3 6 6 2" xfId="16710"/>
    <cellStyle name="Heading 1 2 2 8 3 6 6 2 2" xfId="16711"/>
    <cellStyle name="Heading 1 2 2 8 3 6 6 3" xfId="16712"/>
    <cellStyle name="Heading 1 2 2 8 3 6 7" xfId="16713"/>
    <cellStyle name="Heading 1 2 2 8 3 6 7 2" xfId="16714"/>
    <cellStyle name="Heading 1 2 2 8 3 6 7 2 2" xfId="16715"/>
    <cellStyle name="Heading 1 2 2 8 3 6 7 3" xfId="16716"/>
    <cellStyle name="Heading 1 2 2 8 3 6 8" xfId="16717"/>
    <cellStyle name="Heading 1 2 2 8 3 6 8 2" xfId="16718"/>
    <cellStyle name="Heading 1 2 2 8 3 6 9" xfId="16719"/>
    <cellStyle name="Heading 1 2 2 8 3 7" xfId="16720"/>
    <cellStyle name="Heading 1 2 2 8 3 7 2" xfId="16721"/>
    <cellStyle name="Heading 1 2 2 8 3 7 2 2" xfId="16722"/>
    <cellStyle name="Heading 1 2 2 8 3 7 2 2 2" xfId="16723"/>
    <cellStyle name="Heading 1 2 2 8 3 7 2 3" xfId="16724"/>
    <cellStyle name="Heading 1 2 2 8 3 7 3" xfId="16725"/>
    <cellStyle name="Heading 1 2 2 8 3 7 3 2" xfId="16726"/>
    <cellStyle name="Heading 1 2 2 8 3 7 3 2 2" xfId="16727"/>
    <cellStyle name="Heading 1 2 2 8 3 7 3 3" xfId="16728"/>
    <cellStyle name="Heading 1 2 2 8 3 7 4" xfId="16729"/>
    <cellStyle name="Heading 1 2 2 8 3 7 4 2" xfId="16730"/>
    <cellStyle name="Heading 1 2 2 8 3 7 4 2 2" xfId="16731"/>
    <cellStyle name="Heading 1 2 2 8 3 7 4 3" xfId="16732"/>
    <cellStyle name="Heading 1 2 2 8 3 7 5" xfId="16733"/>
    <cellStyle name="Heading 1 2 2 8 3 7 5 2" xfId="16734"/>
    <cellStyle name="Heading 1 2 2 8 3 7 5 2 2" xfId="16735"/>
    <cellStyle name="Heading 1 2 2 8 3 7 5 3" xfId="16736"/>
    <cellStyle name="Heading 1 2 2 8 3 7 6" xfId="16737"/>
    <cellStyle name="Heading 1 2 2 8 3 7 6 2" xfId="16738"/>
    <cellStyle name="Heading 1 2 2 8 3 7 6 2 2" xfId="16739"/>
    <cellStyle name="Heading 1 2 2 8 3 7 6 3" xfId="16740"/>
    <cellStyle name="Heading 1 2 2 8 3 7 7" xfId="16741"/>
    <cellStyle name="Heading 1 2 2 8 3 7 7 2" xfId="16742"/>
    <cellStyle name="Heading 1 2 2 8 3 7 7 2 2" xfId="16743"/>
    <cellStyle name="Heading 1 2 2 8 3 7 7 3" xfId="16744"/>
    <cellStyle name="Heading 1 2 2 8 3 7 8" xfId="16745"/>
    <cellStyle name="Heading 1 2 2 8 3 7 8 2" xfId="16746"/>
    <cellStyle name="Heading 1 2 2 8 3 7 9" xfId="16747"/>
    <cellStyle name="Heading 1 2 2 8 3 8" xfId="16748"/>
    <cellStyle name="Heading 1 2 2 8 3 8 2" xfId="16749"/>
    <cellStyle name="Heading 1 2 2 8 3 8 2 2" xfId="16750"/>
    <cellStyle name="Heading 1 2 2 8 3 8 2 2 2" xfId="16751"/>
    <cellStyle name="Heading 1 2 2 8 3 8 2 3" xfId="16752"/>
    <cellStyle name="Heading 1 2 2 8 3 8 3" xfId="16753"/>
    <cellStyle name="Heading 1 2 2 8 3 8 3 2" xfId="16754"/>
    <cellStyle name="Heading 1 2 2 8 3 8 3 2 2" xfId="16755"/>
    <cellStyle name="Heading 1 2 2 8 3 8 3 3" xfId="16756"/>
    <cellStyle name="Heading 1 2 2 8 3 8 4" xfId="16757"/>
    <cellStyle name="Heading 1 2 2 8 3 8 4 2" xfId="16758"/>
    <cellStyle name="Heading 1 2 2 8 3 8 4 2 2" xfId="16759"/>
    <cellStyle name="Heading 1 2 2 8 3 8 4 3" xfId="16760"/>
    <cellStyle name="Heading 1 2 2 8 3 8 5" xfId="16761"/>
    <cellStyle name="Heading 1 2 2 8 3 8 5 2" xfId="16762"/>
    <cellStyle name="Heading 1 2 2 8 3 8 5 2 2" xfId="16763"/>
    <cellStyle name="Heading 1 2 2 8 3 8 5 3" xfId="16764"/>
    <cellStyle name="Heading 1 2 2 8 3 8 6" xfId="16765"/>
    <cellStyle name="Heading 1 2 2 8 3 8 6 2" xfId="16766"/>
    <cellStyle name="Heading 1 2 2 8 3 8 6 2 2" xfId="16767"/>
    <cellStyle name="Heading 1 2 2 8 3 8 6 3" xfId="16768"/>
    <cellStyle name="Heading 1 2 2 8 3 8 7" xfId="16769"/>
    <cellStyle name="Heading 1 2 2 8 3 8 7 2" xfId="16770"/>
    <cellStyle name="Heading 1 2 2 8 3 8 7 2 2" xfId="16771"/>
    <cellStyle name="Heading 1 2 2 8 3 8 7 3" xfId="16772"/>
    <cellStyle name="Heading 1 2 2 8 3 8 8" xfId="16773"/>
    <cellStyle name="Heading 1 2 2 8 3 8 8 2" xfId="16774"/>
    <cellStyle name="Heading 1 2 2 8 3 8 9" xfId="16775"/>
    <cellStyle name="Heading 1 2 2 8 3 9" xfId="16776"/>
    <cellStyle name="Heading 1 2 2 8 3 9 2" xfId="16777"/>
    <cellStyle name="Heading 1 2 2 8 3 9 2 2" xfId="16778"/>
    <cellStyle name="Heading 1 2 2 8 3 9 3" xfId="16779"/>
    <cellStyle name="Heading 1 2 2 8 4" xfId="16780"/>
    <cellStyle name="Heading 1 2 2 8 4 2" xfId="16781"/>
    <cellStyle name="Heading 1 2 2 8 4 2 2" xfId="16782"/>
    <cellStyle name="Heading 1 2 2 8 4 3" xfId="16783"/>
    <cellStyle name="Heading 1 2 2 8 5" xfId="16784"/>
    <cellStyle name="Heading 1 2 2 8 5 2" xfId="16785"/>
    <cellStyle name="Heading 1 2 2 8 6" xfId="16786"/>
    <cellStyle name="Heading 1 2 2 9" xfId="16787"/>
    <cellStyle name="Heading 1 2 2 9 10" xfId="16788"/>
    <cellStyle name="Heading 1 2 2 9 10 2" xfId="16789"/>
    <cellStyle name="Heading 1 2 2 9 10 2 2" xfId="16790"/>
    <cellStyle name="Heading 1 2 2 9 10 3" xfId="16791"/>
    <cellStyle name="Heading 1 2 2 9 11" xfId="16792"/>
    <cellStyle name="Heading 1 2 2 9 11 2" xfId="16793"/>
    <cellStyle name="Heading 1 2 2 9 11 2 2" xfId="16794"/>
    <cellStyle name="Heading 1 2 2 9 11 3" xfId="16795"/>
    <cellStyle name="Heading 1 2 2 9 12" xfId="16796"/>
    <cellStyle name="Heading 1 2 2 9 12 2" xfId="16797"/>
    <cellStyle name="Heading 1 2 2 9 12 2 2" xfId="16798"/>
    <cellStyle name="Heading 1 2 2 9 12 3" xfId="16799"/>
    <cellStyle name="Heading 1 2 2 9 13" xfId="16800"/>
    <cellStyle name="Heading 1 2 2 9 13 2" xfId="16801"/>
    <cellStyle name="Heading 1 2 2 9 13 2 2" xfId="16802"/>
    <cellStyle name="Heading 1 2 2 9 13 3" xfId="16803"/>
    <cellStyle name="Heading 1 2 2 9 14" xfId="16804"/>
    <cellStyle name="Heading 1 2 2 9 14 2" xfId="16805"/>
    <cellStyle name="Heading 1 2 2 9 14 2 2" xfId="16806"/>
    <cellStyle name="Heading 1 2 2 9 14 3" xfId="16807"/>
    <cellStyle name="Heading 1 2 2 9 15" xfId="16808"/>
    <cellStyle name="Heading 1 2 2 9 15 2" xfId="16809"/>
    <cellStyle name="Heading 1 2 2 9 15 2 2" xfId="16810"/>
    <cellStyle name="Heading 1 2 2 9 15 3" xfId="16811"/>
    <cellStyle name="Heading 1 2 2 9 16" xfId="16812"/>
    <cellStyle name="Heading 1 2 2 9 16 2" xfId="16813"/>
    <cellStyle name="Heading 1 2 2 9 16 2 2" xfId="16814"/>
    <cellStyle name="Heading 1 2 2 9 16 3" xfId="16815"/>
    <cellStyle name="Heading 1 2 2 9 17" xfId="16816"/>
    <cellStyle name="Heading 1 2 2 9 17 2" xfId="16817"/>
    <cellStyle name="Heading 1 2 2 9 17 2 2" xfId="16818"/>
    <cellStyle name="Heading 1 2 2 9 17 3" xfId="16819"/>
    <cellStyle name="Heading 1 2 2 9 18" xfId="16820"/>
    <cellStyle name="Heading 1 2 2 9 18 2" xfId="16821"/>
    <cellStyle name="Heading 1 2 2 9 18 2 2" xfId="16822"/>
    <cellStyle name="Heading 1 2 2 9 18 3" xfId="16823"/>
    <cellStyle name="Heading 1 2 2 9 19" xfId="16824"/>
    <cellStyle name="Heading 1 2 2 9 19 2" xfId="16825"/>
    <cellStyle name="Heading 1 2 2 9 19 2 2" xfId="16826"/>
    <cellStyle name="Heading 1 2 2 9 19 3" xfId="16827"/>
    <cellStyle name="Heading 1 2 2 9 2" xfId="16828"/>
    <cellStyle name="Heading 1 2 2 9 2 10" xfId="16829"/>
    <cellStyle name="Heading 1 2 2 9 2 10 2" xfId="16830"/>
    <cellStyle name="Heading 1 2 2 9 2 10 2 2" xfId="16831"/>
    <cellStyle name="Heading 1 2 2 9 2 10 3" xfId="16832"/>
    <cellStyle name="Heading 1 2 2 9 2 11" xfId="16833"/>
    <cellStyle name="Heading 1 2 2 9 2 11 2" xfId="16834"/>
    <cellStyle name="Heading 1 2 2 9 2 11 2 2" xfId="16835"/>
    <cellStyle name="Heading 1 2 2 9 2 11 3" xfId="16836"/>
    <cellStyle name="Heading 1 2 2 9 2 12" xfId="16837"/>
    <cellStyle name="Heading 1 2 2 9 2 12 2" xfId="16838"/>
    <cellStyle name="Heading 1 2 2 9 2 12 2 2" xfId="16839"/>
    <cellStyle name="Heading 1 2 2 9 2 12 3" xfId="16840"/>
    <cellStyle name="Heading 1 2 2 9 2 13" xfId="16841"/>
    <cellStyle name="Heading 1 2 2 9 2 13 2" xfId="16842"/>
    <cellStyle name="Heading 1 2 2 9 2 13 2 2" xfId="16843"/>
    <cellStyle name="Heading 1 2 2 9 2 13 3" xfId="16844"/>
    <cellStyle name="Heading 1 2 2 9 2 14" xfId="16845"/>
    <cellStyle name="Heading 1 2 2 9 2 14 2" xfId="16846"/>
    <cellStyle name="Heading 1 2 2 9 2 14 2 2" xfId="16847"/>
    <cellStyle name="Heading 1 2 2 9 2 14 3" xfId="16848"/>
    <cellStyle name="Heading 1 2 2 9 2 15" xfId="16849"/>
    <cellStyle name="Heading 1 2 2 9 2 15 2" xfId="16850"/>
    <cellStyle name="Heading 1 2 2 9 2 15 2 2" xfId="16851"/>
    <cellStyle name="Heading 1 2 2 9 2 15 3" xfId="16852"/>
    <cellStyle name="Heading 1 2 2 9 2 16" xfId="16853"/>
    <cellStyle name="Heading 1 2 2 9 2 16 2" xfId="16854"/>
    <cellStyle name="Heading 1 2 2 9 2 16 2 2" xfId="16855"/>
    <cellStyle name="Heading 1 2 2 9 2 16 3" xfId="16856"/>
    <cellStyle name="Heading 1 2 2 9 2 17" xfId="16857"/>
    <cellStyle name="Heading 1 2 2 9 2 17 2" xfId="16858"/>
    <cellStyle name="Heading 1 2 2 9 2 17 2 2" xfId="16859"/>
    <cellStyle name="Heading 1 2 2 9 2 17 3" xfId="16860"/>
    <cellStyle name="Heading 1 2 2 9 2 18" xfId="16861"/>
    <cellStyle name="Heading 1 2 2 9 2 18 2" xfId="16862"/>
    <cellStyle name="Heading 1 2 2 9 2 18 2 2" xfId="16863"/>
    <cellStyle name="Heading 1 2 2 9 2 18 3" xfId="16864"/>
    <cellStyle name="Heading 1 2 2 9 2 19" xfId="16865"/>
    <cellStyle name="Heading 1 2 2 9 2 19 2" xfId="16866"/>
    <cellStyle name="Heading 1 2 2 9 2 2" xfId="16867"/>
    <cellStyle name="Heading 1 2 2 9 2 2 2" xfId="16868"/>
    <cellStyle name="Heading 1 2 2 9 2 2 2 2" xfId="16869"/>
    <cellStyle name="Heading 1 2 2 9 2 2 2 2 2" xfId="16870"/>
    <cellStyle name="Heading 1 2 2 9 2 2 2 3" xfId="16871"/>
    <cellStyle name="Heading 1 2 2 9 2 2 3" xfId="16872"/>
    <cellStyle name="Heading 1 2 2 9 2 2 3 2" xfId="16873"/>
    <cellStyle name="Heading 1 2 2 9 2 2 3 2 2" xfId="16874"/>
    <cellStyle name="Heading 1 2 2 9 2 2 3 3" xfId="16875"/>
    <cellStyle name="Heading 1 2 2 9 2 2 4" xfId="16876"/>
    <cellStyle name="Heading 1 2 2 9 2 2 4 2" xfId="16877"/>
    <cellStyle name="Heading 1 2 2 9 2 2 4 2 2" xfId="16878"/>
    <cellStyle name="Heading 1 2 2 9 2 2 4 3" xfId="16879"/>
    <cellStyle name="Heading 1 2 2 9 2 2 5" xfId="16880"/>
    <cellStyle name="Heading 1 2 2 9 2 2 5 2" xfId="16881"/>
    <cellStyle name="Heading 1 2 2 9 2 2 5 2 2" xfId="16882"/>
    <cellStyle name="Heading 1 2 2 9 2 2 5 3" xfId="16883"/>
    <cellStyle name="Heading 1 2 2 9 2 2 6" xfId="16884"/>
    <cellStyle name="Heading 1 2 2 9 2 2 6 2" xfId="16885"/>
    <cellStyle name="Heading 1 2 2 9 2 2 6 2 2" xfId="16886"/>
    <cellStyle name="Heading 1 2 2 9 2 2 6 3" xfId="16887"/>
    <cellStyle name="Heading 1 2 2 9 2 2 7" xfId="16888"/>
    <cellStyle name="Heading 1 2 2 9 2 2 7 2" xfId="16889"/>
    <cellStyle name="Heading 1 2 2 9 2 2 7 2 2" xfId="16890"/>
    <cellStyle name="Heading 1 2 2 9 2 2 7 3" xfId="16891"/>
    <cellStyle name="Heading 1 2 2 9 2 2 8" xfId="16892"/>
    <cellStyle name="Heading 1 2 2 9 2 2 8 2" xfId="16893"/>
    <cellStyle name="Heading 1 2 2 9 2 2 9" xfId="16894"/>
    <cellStyle name="Heading 1 2 2 9 2 20" xfId="16895"/>
    <cellStyle name="Heading 1 2 2 9 2 20 2" xfId="16896"/>
    <cellStyle name="Heading 1 2 2 9 2 21" xfId="16897"/>
    <cellStyle name="Heading 1 2 2 9 2 21 2" xfId="16898"/>
    <cellStyle name="Heading 1 2 2 9 2 22" xfId="16899"/>
    <cellStyle name="Heading 1 2 2 9 2 3" xfId="16900"/>
    <cellStyle name="Heading 1 2 2 9 2 3 2" xfId="16901"/>
    <cellStyle name="Heading 1 2 2 9 2 3 2 2" xfId="16902"/>
    <cellStyle name="Heading 1 2 2 9 2 3 2 2 2" xfId="16903"/>
    <cellStyle name="Heading 1 2 2 9 2 3 2 3" xfId="16904"/>
    <cellStyle name="Heading 1 2 2 9 2 3 3" xfId="16905"/>
    <cellStyle name="Heading 1 2 2 9 2 3 3 2" xfId="16906"/>
    <cellStyle name="Heading 1 2 2 9 2 3 3 2 2" xfId="16907"/>
    <cellStyle name="Heading 1 2 2 9 2 3 3 3" xfId="16908"/>
    <cellStyle name="Heading 1 2 2 9 2 3 4" xfId="16909"/>
    <cellStyle name="Heading 1 2 2 9 2 3 4 2" xfId="16910"/>
    <cellStyle name="Heading 1 2 2 9 2 3 4 2 2" xfId="16911"/>
    <cellStyle name="Heading 1 2 2 9 2 3 4 3" xfId="16912"/>
    <cellStyle name="Heading 1 2 2 9 2 3 5" xfId="16913"/>
    <cellStyle name="Heading 1 2 2 9 2 3 5 2" xfId="16914"/>
    <cellStyle name="Heading 1 2 2 9 2 3 5 2 2" xfId="16915"/>
    <cellStyle name="Heading 1 2 2 9 2 3 5 3" xfId="16916"/>
    <cellStyle name="Heading 1 2 2 9 2 3 6" xfId="16917"/>
    <cellStyle name="Heading 1 2 2 9 2 3 6 2" xfId="16918"/>
    <cellStyle name="Heading 1 2 2 9 2 3 6 2 2" xfId="16919"/>
    <cellStyle name="Heading 1 2 2 9 2 3 6 3" xfId="16920"/>
    <cellStyle name="Heading 1 2 2 9 2 3 7" xfId="16921"/>
    <cellStyle name="Heading 1 2 2 9 2 3 7 2" xfId="16922"/>
    <cellStyle name="Heading 1 2 2 9 2 3 7 2 2" xfId="16923"/>
    <cellStyle name="Heading 1 2 2 9 2 3 7 3" xfId="16924"/>
    <cellStyle name="Heading 1 2 2 9 2 3 8" xfId="16925"/>
    <cellStyle name="Heading 1 2 2 9 2 3 8 2" xfId="16926"/>
    <cellStyle name="Heading 1 2 2 9 2 3 9" xfId="16927"/>
    <cellStyle name="Heading 1 2 2 9 2 4" xfId="16928"/>
    <cellStyle name="Heading 1 2 2 9 2 4 2" xfId="16929"/>
    <cellStyle name="Heading 1 2 2 9 2 4 2 2" xfId="16930"/>
    <cellStyle name="Heading 1 2 2 9 2 4 2 2 2" xfId="16931"/>
    <cellStyle name="Heading 1 2 2 9 2 4 2 3" xfId="16932"/>
    <cellStyle name="Heading 1 2 2 9 2 4 3" xfId="16933"/>
    <cellStyle name="Heading 1 2 2 9 2 4 3 2" xfId="16934"/>
    <cellStyle name="Heading 1 2 2 9 2 4 3 2 2" xfId="16935"/>
    <cellStyle name="Heading 1 2 2 9 2 4 3 3" xfId="16936"/>
    <cellStyle name="Heading 1 2 2 9 2 4 4" xfId="16937"/>
    <cellStyle name="Heading 1 2 2 9 2 4 4 2" xfId="16938"/>
    <cellStyle name="Heading 1 2 2 9 2 4 4 2 2" xfId="16939"/>
    <cellStyle name="Heading 1 2 2 9 2 4 4 3" xfId="16940"/>
    <cellStyle name="Heading 1 2 2 9 2 4 5" xfId="16941"/>
    <cellStyle name="Heading 1 2 2 9 2 4 5 2" xfId="16942"/>
    <cellStyle name="Heading 1 2 2 9 2 4 5 2 2" xfId="16943"/>
    <cellStyle name="Heading 1 2 2 9 2 4 5 3" xfId="16944"/>
    <cellStyle name="Heading 1 2 2 9 2 4 6" xfId="16945"/>
    <cellStyle name="Heading 1 2 2 9 2 4 6 2" xfId="16946"/>
    <cellStyle name="Heading 1 2 2 9 2 4 6 2 2" xfId="16947"/>
    <cellStyle name="Heading 1 2 2 9 2 4 6 3" xfId="16948"/>
    <cellStyle name="Heading 1 2 2 9 2 4 7" xfId="16949"/>
    <cellStyle name="Heading 1 2 2 9 2 4 7 2" xfId="16950"/>
    <cellStyle name="Heading 1 2 2 9 2 4 7 2 2" xfId="16951"/>
    <cellStyle name="Heading 1 2 2 9 2 4 7 3" xfId="16952"/>
    <cellStyle name="Heading 1 2 2 9 2 4 8" xfId="16953"/>
    <cellStyle name="Heading 1 2 2 9 2 4 8 2" xfId="16954"/>
    <cellStyle name="Heading 1 2 2 9 2 4 9" xfId="16955"/>
    <cellStyle name="Heading 1 2 2 9 2 5" xfId="16956"/>
    <cellStyle name="Heading 1 2 2 9 2 5 2" xfId="16957"/>
    <cellStyle name="Heading 1 2 2 9 2 5 2 2" xfId="16958"/>
    <cellStyle name="Heading 1 2 2 9 2 5 2 2 2" xfId="16959"/>
    <cellStyle name="Heading 1 2 2 9 2 5 2 3" xfId="16960"/>
    <cellStyle name="Heading 1 2 2 9 2 5 3" xfId="16961"/>
    <cellStyle name="Heading 1 2 2 9 2 5 3 2" xfId="16962"/>
    <cellStyle name="Heading 1 2 2 9 2 5 3 2 2" xfId="16963"/>
    <cellStyle name="Heading 1 2 2 9 2 5 3 3" xfId="16964"/>
    <cellStyle name="Heading 1 2 2 9 2 5 4" xfId="16965"/>
    <cellStyle name="Heading 1 2 2 9 2 5 4 2" xfId="16966"/>
    <cellStyle name="Heading 1 2 2 9 2 5 4 2 2" xfId="16967"/>
    <cellStyle name="Heading 1 2 2 9 2 5 4 3" xfId="16968"/>
    <cellStyle name="Heading 1 2 2 9 2 5 5" xfId="16969"/>
    <cellStyle name="Heading 1 2 2 9 2 5 5 2" xfId="16970"/>
    <cellStyle name="Heading 1 2 2 9 2 5 5 2 2" xfId="16971"/>
    <cellStyle name="Heading 1 2 2 9 2 5 5 3" xfId="16972"/>
    <cellStyle name="Heading 1 2 2 9 2 5 6" xfId="16973"/>
    <cellStyle name="Heading 1 2 2 9 2 5 6 2" xfId="16974"/>
    <cellStyle name="Heading 1 2 2 9 2 5 6 2 2" xfId="16975"/>
    <cellStyle name="Heading 1 2 2 9 2 5 6 3" xfId="16976"/>
    <cellStyle name="Heading 1 2 2 9 2 5 7" xfId="16977"/>
    <cellStyle name="Heading 1 2 2 9 2 5 7 2" xfId="16978"/>
    <cellStyle name="Heading 1 2 2 9 2 5 7 2 2" xfId="16979"/>
    <cellStyle name="Heading 1 2 2 9 2 5 7 3" xfId="16980"/>
    <cellStyle name="Heading 1 2 2 9 2 5 8" xfId="16981"/>
    <cellStyle name="Heading 1 2 2 9 2 5 8 2" xfId="16982"/>
    <cellStyle name="Heading 1 2 2 9 2 5 9" xfId="16983"/>
    <cellStyle name="Heading 1 2 2 9 2 6" xfId="16984"/>
    <cellStyle name="Heading 1 2 2 9 2 6 2" xfId="16985"/>
    <cellStyle name="Heading 1 2 2 9 2 6 2 2" xfId="16986"/>
    <cellStyle name="Heading 1 2 2 9 2 6 2 2 2" xfId="16987"/>
    <cellStyle name="Heading 1 2 2 9 2 6 2 3" xfId="16988"/>
    <cellStyle name="Heading 1 2 2 9 2 6 3" xfId="16989"/>
    <cellStyle name="Heading 1 2 2 9 2 6 3 2" xfId="16990"/>
    <cellStyle name="Heading 1 2 2 9 2 6 3 2 2" xfId="16991"/>
    <cellStyle name="Heading 1 2 2 9 2 6 3 3" xfId="16992"/>
    <cellStyle name="Heading 1 2 2 9 2 6 4" xfId="16993"/>
    <cellStyle name="Heading 1 2 2 9 2 6 4 2" xfId="16994"/>
    <cellStyle name="Heading 1 2 2 9 2 6 4 2 2" xfId="16995"/>
    <cellStyle name="Heading 1 2 2 9 2 6 4 3" xfId="16996"/>
    <cellStyle name="Heading 1 2 2 9 2 6 5" xfId="16997"/>
    <cellStyle name="Heading 1 2 2 9 2 6 5 2" xfId="16998"/>
    <cellStyle name="Heading 1 2 2 9 2 6 5 2 2" xfId="16999"/>
    <cellStyle name="Heading 1 2 2 9 2 6 5 3" xfId="17000"/>
    <cellStyle name="Heading 1 2 2 9 2 6 6" xfId="17001"/>
    <cellStyle name="Heading 1 2 2 9 2 6 6 2" xfId="17002"/>
    <cellStyle name="Heading 1 2 2 9 2 6 6 2 2" xfId="17003"/>
    <cellStyle name="Heading 1 2 2 9 2 6 6 3" xfId="17004"/>
    <cellStyle name="Heading 1 2 2 9 2 6 7" xfId="17005"/>
    <cellStyle name="Heading 1 2 2 9 2 6 7 2" xfId="17006"/>
    <cellStyle name="Heading 1 2 2 9 2 6 7 2 2" xfId="17007"/>
    <cellStyle name="Heading 1 2 2 9 2 6 7 3" xfId="17008"/>
    <cellStyle name="Heading 1 2 2 9 2 6 8" xfId="17009"/>
    <cellStyle name="Heading 1 2 2 9 2 6 8 2" xfId="17010"/>
    <cellStyle name="Heading 1 2 2 9 2 6 9" xfId="17011"/>
    <cellStyle name="Heading 1 2 2 9 2 7" xfId="17012"/>
    <cellStyle name="Heading 1 2 2 9 2 7 2" xfId="17013"/>
    <cellStyle name="Heading 1 2 2 9 2 7 2 2" xfId="17014"/>
    <cellStyle name="Heading 1 2 2 9 2 7 2 2 2" xfId="17015"/>
    <cellStyle name="Heading 1 2 2 9 2 7 2 3" xfId="17016"/>
    <cellStyle name="Heading 1 2 2 9 2 7 3" xfId="17017"/>
    <cellStyle name="Heading 1 2 2 9 2 7 3 2" xfId="17018"/>
    <cellStyle name="Heading 1 2 2 9 2 7 3 2 2" xfId="17019"/>
    <cellStyle name="Heading 1 2 2 9 2 7 3 3" xfId="17020"/>
    <cellStyle name="Heading 1 2 2 9 2 7 4" xfId="17021"/>
    <cellStyle name="Heading 1 2 2 9 2 7 4 2" xfId="17022"/>
    <cellStyle name="Heading 1 2 2 9 2 7 4 2 2" xfId="17023"/>
    <cellStyle name="Heading 1 2 2 9 2 7 4 3" xfId="17024"/>
    <cellStyle name="Heading 1 2 2 9 2 7 5" xfId="17025"/>
    <cellStyle name="Heading 1 2 2 9 2 7 5 2" xfId="17026"/>
    <cellStyle name="Heading 1 2 2 9 2 7 5 2 2" xfId="17027"/>
    <cellStyle name="Heading 1 2 2 9 2 7 5 3" xfId="17028"/>
    <cellStyle name="Heading 1 2 2 9 2 7 6" xfId="17029"/>
    <cellStyle name="Heading 1 2 2 9 2 7 6 2" xfId="17030"/>
    <cellStyle name="Heading 1 2 2 9 2 7 6 2 2" xfId="17031"/>
    <cellStyle name="Heading 1 2 2 9 2 7 6 3" xfId="17032"/>
    <cellStyle name="Heading 1 2 2 9 2 7 7" xfId="17033"/>
    <cellStyle name="Heading 1 2 2 9 2 7 7 2" xfId="17034"/>
    <cellStyle name="Heading 1 2 2 9 2 7 7 2 2" xfId="17035"/>
    <cellStyle name="Heading 1 2 2 9 2 7 7 3" xfId="17036"/>
    <cellStyle name="Heading 1 2 2 9 2 7 8" xfId="17037"/>
    <cellStyle name="Heading 1 2 2 9 2 7 8 2" xfId="17038"/>
    <cellStyle name="Heading 1 2 2 9 2 7 9" xfId="17039"/>
    <cellStyle name="Heading 1 2 2 9 2 8" xfId="17040"/>
    <cellStyle name="Heading 1 2 2 9 2 8 2" xfId="17041"/>
    <cellStyle name="Heading 1 2 2 9 2 8 2 2" xfId="17042"/>
    <cellStyle name="Heading 1 2 2 9 2 8 2 2 2" xfId="17043"/>
    <cellStyle name="Heading 1 2 2 9 2 8 2 3" xfId="17044"/>
    <cellStyle name="Heading 1 2 2 9 2 8 3" xfId="17045"/>
    <cellStyle name="Heading 1 2 2 9 2 8 3 2" xfId="17046"/>
    <cellStyle name="Heading 1 2 2 9 2 8 3 2 2" xfId="17047"/>
    <cellStyle name="Heading 1 2 2 9 2 8 3 3" xfId="17048"/>
    <cellStyle name="Heading 1 2 2 9 2 8 4" xfId="17049"/>
    <cellStyle name="Heading 1 2 2 9 2 8 4 2" xfId="17050"/>
    <cellStyle name="Heading 1 2 2 9 2 8 4 2 2" xfId="17051"/>
    <cellStyle name="Heading 1 2 2 9 2 8 4 3" xfId="17052"/>
    <cellStyle name="Heading 1 2 2 9 2 8 5" xfId="17053"/>
    <cellStyle name="Heading 1 2 2 9 2 8 5 2" xfId="17054"/>
    <cellStyle name="Heading 1 2 2 9 2 8 5 2 2" xfId="17055"/>
    <cellStyle name="Heading 1 2 2 9 2 8 5 3" xfId="17056"/>
    <cellStyle name="Heading 1 2 2 9 2 8 6" xfId="17057"/>
    <cellStyle name="Heading 1 2 2 9 2 8 6 2" xfId="17058"/>
    <cellStyle name="Heading 1 2 2 9 2 8 6 2 2" xfId="17059"/>
    <cellStyle name="Heading 1 2 2 9 2 8 6 3" xfId="17060"/>
    <cellStyle name="Heading 1 2 2 9 2 8 7" xfId="17061"/>
    <cellStyle name="Heading 1 2 2 9 2 8 7 2" xfId="17062"/>
    <cellStyle name="Heading 1 2 2 9 2 8 7 2 2" xfId="17063"/>
    <cellStyle name="Heading 1 2 2 9 2 8 7 3" xfId="17064"/>
    <cellStyle name="Heading 1 2 2 9 2 8 8" xfId="17065"/>
    <cellStyle name="Heading 1 2 2 9 2 8 8 2" xfId="17066"/>
    <cellStyle name="Heading 1 2 2 9 2 8 9" xfId="17067"/>
    <cellStyle name="Heading 1 2 2 9 2 9" xfId="17068"/>
    <cellStyle name="Heading 1 2 2 9 2 9 2" xfId="17069"/>
    <cellStyle name="Heading 1 2 2 9 2 9 2 2" xfId="17070"/>
    <cellStyle name="Heading 1 2 2 9 2 9 3" xfId="17071"/>
    <cellStyle name="Heading 1 2 2 9 20" xfId="17072"/>
    <cellStyle name="Heading 1 2 2 9 20 2" xfId="17073"/>
    <cellStyle name="Heading 1 2 2 9 21" xfId="17074"/>
    <cellStyle name="Heading 1 2 2 9 21 2" xfId="17075"/>
    <cellStyle name="Heading 1 2 2 9 22" xfId="17076"/>
    <cellStyle name="Heading 1 2 2 9 22 2" xfId="17077"/>
    <cellStyle name="Heading 1 2 2 9 23" xfId="17078"/>
    <cellStyle name="Heading 1 2 2 9 3" xfId="17079"/>
    <cellStyle name="Heading 1 2 2 9 3 2" xfId="17080"/>
    <cellStyle name="Heading 1 2 2 9 3 2 2" xfId="17081"/>
    <cellStyle name="Heading 1 2 2 9 3 2 2 2" xfId="17082"/>
    <cellStyle name="Heading 1 2 2 9 3 2 3" xfId="17083"/>
    <cellStyle name="Heading 1 2 2 9 3 3" xfId="17084"/>
    <cellStyle name="Heading 1 2 2 9 3 3 2" xfId="17085"/>
    <cellStyle name="Heading 1 2 2 9 3 3 2 2" xfId="17086"/>
    <cellStyle name="Heading 1 2 2 9 3 3 3" xfId="17087"/>
    <cellStyle name="Heading 1 2 2 9 3 4" xfId="17088"/>
    <cellStyle name="Heading 1 2 2 9 3 4 2" xfId="17089"/>
    <cellStyle name="Heading 1 2 2 9 3 4 2 2" xfId="17090"/>
    <cellStyle name="Heading 1 2 2 9 3 4 3" xfId="17091"/>
    <cellStyle name="Heading 1 2 2 9 3 5" xfId="17092"/>
    <cellStyle name="Heading 1 2 2 9 3 5 2" xfId="17093"/>
    <cellStyle name="Heading 1 2 2 9 3 5 2 2" xfId="17094"/>
    <cellStyle name="Heading 1 2 2 9 3 5 3" xfId="17095"/>
    <cellStyle name="Heading 1 2 2 9 3 6" xfId="17096"/>
    <cellStyle name="Heading 1 2 2 9 3 6 2" xfId="17097"/>
    <cellStyle name="Heading 1 2 2 9 3 6 2 2" xfId="17098"/>
    <cellStyle name="Heading 1 2 2 9 3 6 3" xfId="17099"/>
    <cellStyle name="Heading 1 2 2 9 3 7" xfId="17100"/>
    <cellStyle name="Heading 1 2 2 9 3 7 2" xfId="17101"/>
    <cellStyle name="Heading 1 2 2 9 3 7 2 2" xfId="17102"/>
    <cellStyle name="Heading 1 2 2 9 3 7 3" xfId="17103"/>
    <cellStyle name="Heading 1 2 2 9 3 8" xfId="17104"/>
    <cellStyle name="Heading 1 2 2 9 3 8 2" xfId="17105"/>
    <cellStyle name="Heading 1 2 2 9 3 9" xfId="17106"/>
    <cellStyle name="Heading 1 2 2 9 4" xfId="17107"/>
    <cellStyle name="Heading 1 2 2 9 4 2" xfId="17108"/>
    <cellStyle name="Heading 1 2 2 9 4 2 2" xfId="17109"/>
    <cellStyle name="Heading 1 2 2 9 4 2 2 2" xfId="17110"/>
    <cellStyle name="Heading 1 2 2 9 4 2 3" xfId="17111"/>
    <cellStyle name="Heading 1 2 2 9 4 3" xfId="17112"/>
    <cellStyle name="Heading 1 2 2 9 4 3 2" xfId="17113"/>
    <cellStyle name="Heading 1 2 2 9 4 3 2 2" xfId="17114"/>
    <cellStyle name="Heading 1 2 2 9 4 3 3" xfId="17115"/>
    <cellStyle name="Heading 1 2 2 9 4 4" xfId="17116"/>
    <cellStyle name="Heading 1 2 2 9 4 4 2" xfId="17117"/>
    <cellStyle name="Heading 1 2 2 9 4 4 2 2" xfId="17118"/>
    <cellStyle name="Heading 1 2 2 9 4 4 3" xfId="17119"/>
    <cellStyle name="Heading 1 2 2 9 4 5" xfId="17120"/>
    <cellStyle name="Heading 1 2 2 9 4 5 2" xfId="17121"/>
    <cellStyle name="Heading 1 2 2 9 4 5 2 2" xfId="17122"/>
    <cellStyle name="Heading 1 2 2 9 4 5 3" xfId="17123"/>
    <cellStyle name="Heading 1 2 2 9 4 6" xfId="17124"/>
    <cellStyle name="Heading 1 2 2 9 4 6 2" xfId="17125"/>
    <cellStyle name="Heading 1 2 2 9 4 6 2 2" xfId="17126"/>
    <cellStyle name="Heading 1 2 2 9 4 6 3" xfId="17127"/>
    <cellStyle name="Heading 1 2 2 9 4 7" xfId="17128"/>
    <cellStyle name="Heading 1 2 2 9 4 7 2" xfId="17129"/>
    <cellStyle name="Heading 1 2 2 9 4 7 2 2" xfId="17130"/>
    <cellStyle name="Heading 1 2 2 9 4 7 3" xfId="17131"/>
    <cellStyle name="Heading 1 2 2 9 4 8" xfId="17132"/>
    <cellStyle name="Heading 1 2 2 9 4 8 2" xfId="17133"/>
    <cellStyle name="Heading 1 2 2 9 4 9" xfId="17134"/>
    <cellStyle name="Heading 1 2 2 9 5" xfId="17135"/>
    <cellStyle name="Heading 1 2 2 9 5 2" xfId="17136"/>
    <cellStyle name="Heading 1 2 2 9 5 2 2" xfId="17137"/>
    <cellStyle name="Heading 1 2 2 9 5 2 2 2" xfId="17138"/>
    <cellStyle name="Heading 1 2 2 9 5 2 3" xfId="17139"/>
    <cellStyle name="Heading 1 2 2 9 5 3" xfId="17140"/>
    <cellStyle name="Heading 1 2 2 9 5 3 2" xfId="17141"/>
    <cellStyle name="Heading 1 2 2 9 5 3 2 2" xfId="17142"/>
    <cellStyle name="Heading 1 2 2 9 5 3 3" xfId="17143"/>
    <cellStyle name="Heading 1 2 2 9 5 4" xfId="17144"/>
    <cellStyle name="Heading 1 2 2 9 5 4 2" xfId="17145"/>
    <cellStyle name="Heading 1 2 2 9 5 4 2 2" xfId="17146"/>
    <cellStyle name="Heading 1 2 2 9 5 4 3" xfId="17147"/>
    <cellStyle name="Heading 1 2 2 9 5 5" xfId="17148"/>
    <cellStyle name="Heading 1 2 2 9 5 5 2" xfId="17149"/>
    <cellStyle name="Heading 1 2 2 9 5 5 2 2" xfId="17150"/>
    <cellStyle name="Heading 1 2 2 9 5 5 3" xfId="17151"/>
    <cellStyle name="Heading 1 2 2 9 5 6" xfId="17152"/>
    <cellStyle name="Heading 1 2 2 9 5 6 2" xfId="17153"/>
    <cellStyle name="Heading 1 2 2 9 5 6 2 2" xfId="17154"/>
    <cellStyle name="Heading 1 2 2 9 5 6 3" xfId="17155"/>
    <cellStyle name="Heading 1 2 2 9 5 7" xfId="17156"/>
    <cellStyle name="Heading 1 2 2 9 5 7 2" xfId="17157"/>
    <cellStyle name="Heading 1 2 2 9 5 7 2 2" xfId="17158"/>
    <cellStyle name="Heading 1 2 2 9 5 7 3" xfId="17159"/>
    <cellStyle name="Heading 1 2 2 9 5 8" xfId="17160"/>
    <cellStyle name="Heading 1 2 2 9 5 8 2" xfId="17161"/>
    <cellStyle name="Heading 1 2 2 9 5 9" xfId="17162"/>
    <cellStyle name="Heading 1 2 2 9 6" xfId="17163"/>
    <cellStyle name="Heading 1 2 2 9 6 2" xfId="17164"/>
    <cellStyle name="Heading 1 2 2 9 6 2 2" xfId="17165"/>
    <cellStyle name="Heading 1 2 2 9 6 2 2 2" xfId="17166"/>
    <cellStyle name="Heading 1 2 2 9 6 2 3" xfId="17167"/>
    <cellStyle name="Heading 1 2 2 9 6 3" xfId="17168"/>
    <cellStyle name="Heading 1 2 2 9 6 3 2" xfId="17169"/>
    <cellStyle name="Heading 1 2 2 9 6 3 2 2" xfId="17170"/>
    <cellStyle name="Heading 1 2 2 9 6 3 3" xfId="17171"/>
    <cellStyle name="Heading 1 2 2 9 6 4" xfId="17172"/>
    <cellStyle name="Heading 1 2 2 9 6 4 2" xfId="17173"/>
    <cellStyle name="Heading 1 2 2 9 6 4 2 2" xfId="17174"/>
    <cellStyle name="Heading 1 2 2 9 6 4 3" xfId="17175"/>
    <cellStyle name="Heading 1 2 2 9 6 5" xfId="17176"/>
    <cellStyle name="Heading 1 2 2 9 6 5 2" xfId="17177"/>
    <cellStyle name="Heading 1 2 2 9 6 5 2 2" xfId="17178"/>
    <cellStyle name="Heading 1 2 2 9 6 5 3" xfId="17179"/>
    <cellStyle name="Heading 1 2 2 9 6 6" xfId="17180"/>
    <cellStyle name="Heading 1 2 2 9 6 6 2" xfId="17181"/>
    <cellStyle name="Heading 1 2 2 9 6 6 2 2" xfId="17182"/>
    <cellStyle name="Heading 1 2 2 9 6 6 3" xfId="17183"/>
    <cellStyle name="Heading 1 2 2 9 6 7" xfId="17184"/>
    <cellStyle name="Heading 1 2 2 9 6 7 2" xfId="17185"/>
    <cellStyle name="Heading 1 2 2 9 6 7 2 2" xfId="17186"/>
    <cellStyle name="Heading 1 2 2 9 6 7 3" xfId="17187"/>
    <cellStyle name="Heading 1 2 2 9 6 8" xfId="17188"/>
    <cellStyle name="Heading 1 2 2 9 6 8 2" xfId="17189"/>
    <cellStyle name="Heading 1 2 2 9 6 9" xfId="17190"/>
    <cellStyle name="Heading 1 2 2 9 7" xfId="17191"/>
    <cellStyle name="Heading 1 2 2 9 7 2" xfId="17192"/>
    <cellStyle name="Heading 1 2 2 9 7 2 2" xfId="17193"/>
    <cellStyle name="Heading 1 2 2 9 7 2 2 2" xfId="17194"/>
    <cellStyle name="Heading 1 2 2 9 7 2 3" xfId="17195"/>
    <cellStyle name="Heading 1 2 2 9 7 3" xfId="17196"/>
    <cellStyle name="Heading 1 2 2 9 7 3 2" xfId="17197"/>
    <cellStyle name="Heading 1 2 2 9 7 3 2 2" xfId="17198"/>
    <cellStyle name="Heading 1 2 2 9 7 3 3" xfId="17199"/>
    <cellStyle name="Heading 1 2 2 9 7 4" xfId="17200"/>
    <cellStyle name="Heading 1 2 2 9 7 4 2" xfId="17201"/>
    <cellStyle name="Heading 1 2 2 9 7 4 2 2" xfId="17202"/>
    <cellStyle name="Heading 1 2 2 9 7 4 3" xfId="17203"/>
    <cellStyle name="Heading 1 2 2 9 7 5" xfId="17204"/>
    <cellStyle name="Heading 1 2 2 9 7 5 2" xfId="17205"/>
    <cellStyle name="Heading 1 2 2 9 7 5 2 2" xfId="17206"/>
    <cellStyle name="Heading 1 2 2 9 7 5 3" xfId="17207"/>
    <cellStyle name="Heading 1 2 2 9 7 6" xfId="17208"/>
    <cellStyle name="Heading 1 2 2 9 7 6 2" xfId="17209"/>
    <cellStyle name="Heading 1 2 2 9 7 6 2 2" xfId="17210"/>
    <cellStyle name="Heading 1 2 2 9 7 6 3" xfId="17211"/>
    <cellStyle name="Heading 1 2 2 9 7 7" xfId="17212"/>
    <cellStyle name="Heading 1 2 2 9 7 7 2" xfId="17213"/>
    <cellStyle name="Heading 1 2 2 9 7 7 2 2" xfId="17214"/>
    <cellStyle name="Heading 1 2 2 9 7 7 3" xfId="17215"/>
    <cellStyle name="Heading 1 2 2 9 7 8" xfId="17216"/>
    <cellStyle name="Heading 1 2 2 9 7 8 2" xfId="17217"/>
    <cellStyle name="Heading 1 2 2 9 7 9" xfId="17218"/>
    <cellStyle name="Heading 1 2 2 9 8" xfId="17219"/>
    <cellStyle name="Heading 1 2 2 9 8 2" xfId="17220"/>
    <cellStyle name="Heading 1 2 2 9 8 2 2" xfId="17221"/>
    <cellStyle name="Heading 1 2 2 9 8 2 2 2" xfId="17222"/>
    <cellStyle name="Heading 1 2 2 9 8 2 3" xfId="17223"/>
    <cellStyle name="Heading 1 2 2 9 8 3" xfId="17224"/>
    <cellStyle name="Heading 1 2 2 9 8 3 2" xfId="17225"/>
    <cellStyle name="Heading 1 2 2 9 8 3 2 2" xfId="17226"/>
    <cellStyle name="Heading 1 2 2 9 8 3 3" xfId="17227"/>
    <cellStyle name="Heading 1 2 2 9 8 4" xfId="17228"/>
    <cellStyle name="Heading 1 2 2 9 8 4 2" xfId="17229"/>
    <cellStyle name="Heading 1 2 2 9 8 4 2 2" xfId="17230"/>
    <cellStyle name="Heading 1 2 2 9 8 4 3" xfId="17231"/>
    <cellStyle name="Heading 1 2 2 9 8 5" xfId="17232"/>
    <cellStyle name="Heading 1 2 2 9 8 5 2" xfId="17233"/>
    <cellStyle name="Heading 1 2 2 9 8 5 2 2" xfId="17234"/>
    <cellStyle name="Heading 1 2 2 9 8 5 3" xfId="17235"/>
    <cellStyle name="Heading 1 2 2 9 8 6" xfId="17236"/>
    <cellStyle name="Heading 1 2 2 9 8 6 2" xfId="17237"/>
    <cellStyle name="Heading 1 2 2 9 8 6 2 2" xfId="17238"/>
    <cellStyle name="Heading 1 2 2 9 8 6 3" xfId="17239"/>
    <cellStyle name="Heading 1 2 2 9 8 7" xfId="17240"/>
    <cellStyle name="Heading 1 2 2 9 8 7 2" xfId="17241"/>
    <cellStyle name="Heading 1 2 2 9 8 7 2 2" xfId="17242"/>
    <cellStyle name="Heading 1 2 2 9 8 7 3" xfId="17243"/>
    <cellStyle name="Heading 1 2 2 9 8 8" xfId="17244"/>
    <cellStyle name="Heading 1 2 2 9 8 8 2" xfId="17245"/>
    <cellStyle name="Heading 1 2 2 9 8 9" xfId="17246"/>
    <cellStyle name="Heading 1 2 2 9 9" xfId="17247"/>
    <cellStyle name="Heading 1 2 2 9 9 2" xfId="17248"/>
    <cellStyle name="Heading 1 2 2 9 9 2 2" xfId="17249"/>
    <cellStyle name="Heading 1 2 2 9 9 2 2 2" xfId="17250"/>
    <cellStyle name="Heading 1 2 2 9 9 2 3" xfId="17251"/>
    <cellStyle name="Heading 1 2 2 9 9 3" xfId="17252"/>
    <cellStyle name="Heading 1 2 2 9 9 3 2" xfId="17253"/>
    <cellStyle name="Heading 1 2 2 9 9 3 2 2" xfId="17254"/>
    <cellStyle name="Heading 1 2 2 9 9 3 3" xfId="17255"/>
    <cellStyle name="Heading 1 2 2 9 9 4" xfId="17256"/>
    <cellStyle name="Heading 1 2 2 9 9 4 2" xfId="17257"/>
    <cellStyle name="Heading 1 2 2 9 9 4 2 2" xfId="17258"/>
    <cellStyle name="Heading 1 2 2 9 9 4 3" xfId="17259"/>
    <cellStyle name="Heading 1 2 2 9 9 5" xfId="17260"/>
    <cellStyle name="Heading 1 2 2 9 9 5 2" xfId="17261"/>
    <cellStyle name="Heading 1 2 2 9 9 5 2 2" xfId="17262"/>
    <cellStyle name="Heading 1 2 2 9 9 5 3" xfId="17263"/>
    <cellStyle name="Heading 1 2 2 9 9 6" xfId="17264"/>
    <cellStyle name="Heading 1 2 2 9 9 6 2" xfId="17265"/>
    <cellStyle name="Heading 1 2 2 9 9 6 2 2" xfId="17266"/>
    <cellStyle name="Heading 1 2 2 9 9 6 3" xfId="17267"/>
    <cellStyle name="Heading 1 2 2 9 9 7" xfId="17268"/>
    <cellStyle name="Heading 1 2 2 9 9 7 2" xfId="17269"/>
    <cellStyle name="Heading 1 2 2 9 9 7 2 2" xfId="17270"/>
    <cellStyle name="Heading 1 2 2 9 9 7 3" xfId="17271"/>
    <cellStyle name="Heading 1 2 2 9 9 8" xfId="17272"/>
    <cellStyle name="Heading 1 2 2 9 9 8 2" xfId="17273"/>
    <cellStyle name="Heading 1 2 2 9 9 9" xfId="17274"/>
    <cellStyle name="Heading 1 2 3" xfId="17275"/>
    <cellStyle name="Heading 1 2 3 10" xfId="17276"/>
    <cellStyle name="Heading 1 2 3 10 2" xfId="17277"/>
    <cellStyle name="Heading 1 2 3 10 2 2" xfId="17278"/>
    <cellStyle name="Heading 1 2 3 10 3" xfId="17279"/>
    <cellStyle name="Heading 1 2 3 10 3 2" xfId="17280"/>
    <cellStyle name="Heading 1 2 3 10 4" xfId="17281"/>
    <cellStyle name="Heading 1 2 3 11" xfId="17282"/>
    <cellStyle name="Heading 1 2 3 11 2" xfId="17283"/>
    <cellStyle name="Heading 1 2 3 11 2 2" xfId="17284"/>
    <cellStyle name="Heading 1 2 3 11 3" xfId="17285"/>
    <cellStyle name="Heading 1 2 3 11 3 2" xfId="17286"/>
    <cellStyle name="Heading 1 2 3 11 4" xfId="17287"/>
    <cellStyle name="Heading 1 2 3 12" xfId="17288"/>
    <cellStyle name="Heading 1 2 3 12 2" xfId="17289"/>
    <cellStyle name="Heading 1 2 3 12 2 2" xfId="17290"/>
    <cellStyle name="Heading 1 2 3 12 3" xfId="17291"/>
    <cellStyle name="Heading 1 2 3 12 3 2" xfId="17292"/>
    <cellStyle name="Heading 1 2 3 12 4" xfId="17293"/>
    <cellStyle name="Heading 1 2 3 13" xfId="17294"/>
    <cellStyle name="Heading 1 2 3 13 2" xfId="17295"/>
    <cellStyle name="Heading 1 2 3 13 2 2" xfId="17296"/>
    <cellStyle name="Heading 1 2 3 13 3" xfId="17297"/>
    <cellStyle name="Heading 1 2 3 13 3 2" xfId="17298"/>
    <cellStyle name="Heading 1 2 3 13 4" xfId="17299"/>
    <cellStyle name="Heading 1 2 3 14" xfId="17300"/>
    <cellStyle name="Heading 1 2 3 14 2" xfId="17301"/>
    <cellStyle name="Heading 1 2 3 14 2 2" xfId="17302"/>
    <cellStyle name="Heading 1 2 3 14 3" xfId="17303"/>
    <cellStyle name="Heading 1 2 3 14 3 2" xfId="17304"/>
    <cellStyle name="Heading 1 2 3 14 4" xfId="17305"/>
    <cellStyle name="Heading 1 2 3 15" xfId="17306"/>
    <cellStyle name="Heading 1 2 3 15 2" xfId="17307"/>
    <cellStyle name="Heading 1 2 3 15 2 2" xfId="17308"/>
    <cellStyle name="Heading 1 2 3 15 3" xfId="17309"/>
    <cellStyle name="Heading 1 2 3 15 3 2" xfId="17310"/>
    <cellStyle name="Heading 1 2 3 15 4" xfId="17311"/>
    <cellStyle name="Heading 1 2 3 16" xfId="17312"/>
    <cellStyle name="Heading 1 2 3 16 2" xfId="17313"/>
    <cellStyle name="Heading 1 2 3 16 2 2" xfId="17314"/>
    <cellStyle name="Heading 1 2 3 16 3" xfId="17315"/>
    <cellStyle name="Heading 1 2 3 16 3 2" xfId="17316"/>
    <cellStyle name="Heading 1 2 3 16 4" xfId="17317"/>
    <cellStyle name="Heading 1 2 3 17" xfId="17318"/>
    <cellStyle name="Heading 1 2 3 17 2" xfId="17319"/>
    <cellStyle name="Heading 1 2 3 17 2 2" xfId="17320"/>
    <cellStyle name="Heading 1 2 3 17 3" xfId="17321"/>
    <cellStyle name="Heading 1 2 3 17 3 2" xfId="17322"/>
    <cellStyle name="Heading 1 2 3 17 4" xfId="17323"/>
    <cellStyle name="Heading 1 2 3 18" xfId="17324"/>
    <cellStyle name="Heading 1 2 3 18 2" xfId="17325"/>
    <cellStyle name="Heading 1 2 3 18 2 2" xfId="17326"/>
    <cellStyle name="Heading 1 2 3 18 3" xfId="17327"/>
    <cellStyle name="Heading 1 2 3 18 3 2" xfId="17328"/>
    <cellStyle name="Heading 1 2 3 18 4" xfId="17329"/>
    <cellStyle name="Heading 1 2 3 19" xfId="17330"/>
    <cellStyle name="Heading 1 2 3 19 2" xfId="17331"/>
    <cellStyle name="Heading 1 2 3 2" xfId="17332"/>
    <cellStyle name="Heading 1 2 3 2 2" xfId="17333"/>
    <cellStyle name="Heading 1 2 3 2 2 10" xfId="17334"/>
    <cellStyle name="Heading 1 2 3 2 2 10 2" xfId="17335"/>
    <cellStyle name="Heading 1 2 3 2 2 10 2 2" xfId="17336"/>
    <cellStyle name="Heading 1 2 3 2 2 10 3" xfId="17337"/>
    <cellStyle name="Heading 1 2 3 2 2 11" xfId="17338"/>
    <cellStyle name="Heading 1 2 3 2 2 11 2" xfId="17339"/>
    <cellStyle name="Heading 1 2 3 2 2 11 2 2" xfId="17340"/>
    <cellStyle name="Heading 1 2 3 2 2 11 3" xfId="17341"/>
    <cellStyle name="Heading 1 2 3 2 2 12" xfId="17342"/>
    <cellStyle name="Heading 1 2 3 2 2 12 2" xfId="17343"/>
    <cellStyle name="Heading 1 2 3 2 2 12 2 2" xfId="17344"/>
    <cellStyle name="Heading 1 2 3 2 2 12 3" xfId="17345"/>
    <cellStyle name="Heading 1 2 3 2 2 13" xfId="17346"/>
    <cellStyle name="Heading 1 2 3 2 2 13 2" xfId="17347"/>
    <cellStyle name="Heading 1 2 3 2 2 13 2 2" xfId="17348"/>
    <cellStyle name="Heading 1 2 3 2 2 13 3" xfId="17349"/>
    <cellStyle name="Heading 1 2 3 2 2 14" xfId="17350"/>
    <cellStyle name="Heading 1 2 3 2 2 14 2" xfId="17351"/>
    <cellStyle name="Heading 1 2 3 2 2 14 2 2" xfId="17352"/>
    <cellStyle name="Heading 1 2 3 2 2 14 3" xfId="17353"/>
    <cellStyle name="Heading 1 2 3 2 2 15" xfId="17354"/>
    <cellStyle name="Heading 1 2 3 2 2 15 2" xfId="17355"/>
    <cellStyle name="Heading 1 2 3 2 2 15 2 2" xfId="17356"/>
    <cellStyle name="Heading 1 2 3 2 2 15 3" xfId="17357"/>
    <cellStyle name="Heading 1 2 3 2 2 16" xfId="17358"/>
    <cellStyle name="Heading 1 2 3 2 2 16 2" xfId="17359"/>
    <cellStyle name="Heading 1 2 3 2 2 16 2 2" xfId="17360"/>
    <cellStyle name="Heading 1 2 3 2 2 16 3" xfId="17361"/>
    <cellStyle name="Heading 1 2 3 2 2 17" xfId="17362"/>
    <cellStyle name="Heading 1 2 3 2 2 17 2" xfId="17363"/>
    <cellStyle name="Heading 1 2 3 2 2 17 2 2" xfId="17364"/>
    <cellStyle name="Heading 1 2 3 2 2 17 3" xfId="17365"/>
    <cellStyle name="Heading 1 2 3 2 2 18" xfId="17366"/>
    <cellStyle name="Heading 1 2 3 2 2 18 2" xfId="17367"/>
    <cellStyle name="Heading 1 2 3 2 2 18 2 2" xfId="17368"/>
    <cellStyle name="Heading 1 2 3 2 2 18 3" xfId="17369"/>
    <cellStyle name="Heading 1 2 3 2 2 19" xfId="17370"/>
    <cellStyle name="Heading 1 2 3 2 2 19 2" xfId="17371"/>
    <cellStyle name="Heading 1 2 3 2 2 19 2 2" xfId="17372"/>
    <cellStyle name="Heading 1 2 3 2 2 19 3" xfId="17373"/>
    <cellStyle name="Heading 1 2 3 2 2 2" xfId="17374"/>
    <cellStyle name="Heading 1 2 3 2 2 2 10" xfId="17375"/>
    <cellStyle name="Heading 1 2 3 2 2 2 10 2" xfId="17376"/>
    <cellStyle name="Heading 1 2 3 2 2 2 10 2 2" xfId="17377"/>
    <cellStyle name="Heading 1 2 3 2 2 2 10 3" xfId="17378"/>
    <cellStyle name="Heading 1 2 3 2 2 2 11" xfId="17379"/>
    <cellStyle name="Heading 1 2 3 2 2 2 11 2" xfId="17380"/>
    <cellStyle name="Heading 1 2 3 2 2 2 11 2 2" xfId="17381"/>
    <cellStyle name="Heading 1 2 3 2 2 2 11 3" xfId="17382"/>
    <cellStyle name="Heading 1 2 3 2 2 2 12" xfId="17383"/>
    <cellStyle name="Heading 1 2 3 2 2 2 12 2" xfId="17384"/>
    <cellStyle name="Heading 1 2 3 2 2 2 12 2 2" xfId="17385"/>
    <cellStyle name="Heading 1 2 3 2 2 2 12 3" xfId="17386"/>
    <cellStyle name="Heading 1 2 3 2 2 2 13" xfId="17387"/>
    <cellStyle name="Heading 1 2 3 2 2 2 13 2" xfId="17388"/>
    <cellStyle name="Heading 1 2 3 2 2 2 13 2 2" xfId="17389"/>
    <cellStyle name="Heading 1 2 3 2 2 2 13 3" xfId="17390"/>
    <cellStyle name="Heading 1 2 3 2 2 2 14" xfId="17391"/>
    <cellStyle name="Heading 1 2 3 2 2 2 14 2" xfId="17392"/>
    <cellStyle name="Heading 1 2 3 2 2 2 14 2 2" xfId="17393"/>
    <cellStyle name="Heading 1 2 3 2 2 2 14 3" xfId="17394"/>
    <cellStyle name="Heading 1 2 3 2 2 2 15" xfId="17395"/>
    <cellStyle name="Heading 1 2 3 2 2 2 15 2" xfId="17396"/>
    <cellStyle name="Heading 1 2 3 2 2 2 15 2 2" xfId="17397"/>
    <cellStyle name="Heading 1 2 3 2 2 2 15 3" xfId="17398"/>
    <cellStyle name="Heading 1 2 3 2 2 2 16" xfId="17399"/>
    <cellStyle name="Heading 1 2 3 2 2 2 16 2" xfId="17400"/>
    <cellStyle name="Heading 1 2 3 2 2 2 16 2 2" xfId="17401"/>
    <cellStyle name="Heading 1 2 3 2 2 2 16 3" xfId="17402"/>
    <cellStyle name="Heading 1 2 3 2 2 2 17" xfId="17403"/>
    <cellStyle name="Heading 1 2 3 2 2 2 17 2" xfId="17404"/>
    <cellStyle name="Heading 1 2 3 2 2 2 17 2 2" xfId="17405"/>
    <cellStyle name="Heading 1 2 3 2 2 2 17 3" xfId="17406"/>
    <cellStyle name="Heading 1 2 3 2 2 2 18" xfId="17407"/>
    <cellStyle name="Heading 1 2 3 2 2 2 18 2" xfId="17408"/>
    <cellStyle name="Heading 1 2 3 2 2 2 18 2 2" xfId="17409"/>
    <cellStyle name="Heading 1 2 3 2 2 2 18 3" xfId="17410"/>
    <cellStyle name="Heading 1 2 3 2 2 2 19" xfId="17411"/>
    <cellStyle name="Heading 1 2 3 2 2 2 19 2" xfId="17412"/>
    <cellStyle name="Heading 1 2 3 2 2 2 2" xfId="17413"/>
    <cellStyle name="Heading 1 2 3 2 2 2 2 2" xfId="17414"/>
    <cellStyle name="Heading 1 2 3 2 2 2 2 2 2" xfId="17415"/>
    <cellStyle name="Heading 1 2 3 2 2 2 2 2 2 2" xfId="17416"/>
    <cellStyle name="Heading 1 2 3 2 2 2 2 2 3" xfId="17417"/>
    <cellStyle name="Heading 1 2 3 2 2 2 2 3" xfId="17418"/>
    <cellStyle name="Heading 1 2 3 2 2 2 2 3 2" xfId="17419"/>
    <cellStyle name="Heading 1 2 3 2 2 2 2 3 2 2" xfId="17420"/>
    <cellStyle name="Heading 1 2 3 2 2 2 2 3 3" xfId="17421"/>
    <cellStyle name="Heading 1 2 3 2 2 2 2 4" xfId="17422"/>
    <cellStyle name="Heading 1 2 3 2 2 2 2 4 2" xfId="17423"/>
    <cellStyle name="Heading 1 2 3 2 2 2 2 4 2 2" xfId="17424"/>
    <cellStyle name="Heading 1 2 3 2 2 2 2 4 3" xfId="17425"/>
    <cellStyle name="Heading 1 2 3 2 2 2 2 5" xfId="17426"/>
    <cellStyle name="Heading 1 2 3 2 2 2 2 5 2" xfId="17427"/>
    <cellStyle name="Heading 1 2 3 2 2 2 2 5 2 2" xfId="17428"/>
    <cellStyle name="Heading 1 2 3 2 2 2 2 5 3" xfId="17429"/>
    <cellStyle name="Heading 1 2 3 2 2 2 2 6" xfId="17430"/>
    <cellStyle name="Heading 1 2 3 2 2 2 2 6 2" xfId="17431"/>
    <cellStyle name="Heading 1 2 3 2 2 2 2 6 2 2" xfId="17432"/>
    <cellStyle name="Heading 1 2 3 2 2 2 2 6 3" xfId="17433"/>
    <cellStyle name="Heading 1 2 3 2 2 2 2 7" xfId="17434"/>
    <cellStyle name="Heading 1 2 3 2 2 2 2 7 2" xfId="17435"/>
    <cellStyle name="Heading 1 2 3 2 2 2 2 7 2 2" xfId="17436"/>
    <cellStyle name="Heading 1 2 3 2 2 2 2 7 3" xfId="17437"/>
    <cellStyle name="Heading 1 2 3 2 2 2 2 8" xfId="17438"/>
    <cellStyle name="Heading 1 2 3 2 2 2 2 8 2" xfId="17439"/>
    <cellStyle name="Heading 1 2 3 2 2 2 2 9" xfId="17440"/>
    <cellStyle name="Heading 1 2 3 2 2 2 20" xfId="17441"/>
    <cellStyle name="Heading 1 2 3 2 2 2 20 2" xfId="17442"/>
    <cellStyle name="Heading 1 2 3 2 2 2 21" xfId="17443"/>
    <cellStyle name="Heading 1 2 3 2 2 2 21 2" xfId="17444"/>
    <cellStyle name="Heading 1 2 3 2 2 2 22" xfId="17445"/>
    <cellStyle name="Heading 1 2 3 2 2 2 3" xfId="17446"/>
    <cellStyle name="Heading 1 2 3 2 2 2 3 2" xfId="17447"/>
    <cellStyle name="Heading 1 2 3 2 2 2 3 2 2" xfId="17448"/>
    <cellStyle name="Heading 1 2 3 2 2 2 3 2 2 2" xfId="17449"/>
    <cellStyle name="Heading 1 2 3 2 2 2 3 2 3" xfId="17450"/>
    <cellStyle name="Heading 1 2 3 2 2 2 3 3" xfId="17451"/>
    <cellStyle name="Heading 1 2 3 2 2 2 3 3 2" xfId="17452"/>
    <cellStyle name="Heading 1 2 3 2 2 2 3 3 2 2" xfId="17453"/>
    <cellStyle name="Heading 1 2 3 2 2 2 3 3 3" xfId="17454"/>
    <cellStyle name="Heading 1 2 3 2 2 2 3 4" xfId="17455"/>
    <cellStyle name="Heading 1 2 3 2 2 2 3 4 2" xfId="17456"/>
    <cellStyle name="Heading 1 2 3 2 2 2 3 4 2 2" xfId="17457"/>
    <cellStyle name="Heading 1 2 3 2 2 2 3 4 3" xfId="17458"/>
    <cellStyle name="Heading 1 2 3 2 2 2 3 5" xfId="17459"/>
    <cellStyle name="Heading 1 2 3 2 2 2 3 5 2" xfId="17460"/>
    <cellStyle name="Heading 1 2 3 2 2 2 3 5 2 2" xfId="17461"/>
    <cellStyle name="Heading 1 2 3 2 2 2 3 5 3" xfId="17462"/>
    <cellStyle name="Heading 1 2 3 2 2 2 3 6" xfId="17463"/>
    <cellStyle name="Heading 1 2 3 2 2 2 3 6 2" xfId="17464"/>
    <cellStyle name="Heading 1 2 3 2 2 2 3 6 2 2" xfId="17465"/>
    <cellStyle name="Heading 1 2 3 2 2 2 3 6 3" xfId="17466"/>
    <cellStyle name="Heading 1 2 3 2 2 2 3 7" xfId="17467"/>
    <cellStyle name="Heading 1 2 3 2 2 2 3 7 2" xfId="17468"/>
    <cellStyle name="Heading 1 2 3 2 2 2 3 7 2 2" xfId="17469"/>
    <cellStyle name="Heading 1 2 3 2 2 2 3 7 3" xfId="17470"/>
    <cellStyle name="Heading 1 2 3 2 2 2 3 8" xfId="17471"/>
    <cellStyle name="Heading 1 2 3 2 2 2 3 8 2" xfId="17472"/>
    <cellStyle name="Heading 1 2 3 2 2 2 3 9" xfId="17473"/>
    <cellStyle name="Heading 1 2 3 2 2 2 4" xfId="17474"/>
    <cellStyle name="Heading 1 2 3 2 2 2 4 2" xfId="17475"/>
    <cellStyle name="Heading 1 2 3 2 2 2 4 2 2" xfId="17476"/>
    <cellStyle name="Heading 1 2 3 2 2 2 4 2 2 2" xfId="17477"/>
    <cellStyle name="Heading 1 2 3 2 2 2 4 2 3" xfId="17478"/>
    <cellStyle name="Heading 1 2 3 2 2 2 4 3" xfId="17479"/>
    <cellStyle name="Heading 1 2 3 2 2 2 4 3 2" xfId="17480"/>
    <cellStyle name="Heading 1 2 3 2 2 2 4 3 2 2" xfId="17481"/>
    <cellStyle name="Heading 1 2 3 2 2 2 4 3 3" xfId="17482"/>
    <cellStyle name="Heading 1 2 3 2 2 2 4 4" xfId="17483"/>
    <cellStyle name="Heading 1 2 3 2 2 2 4 4 2" xfId="17484"/>
    <cellStyle name="Heading 1 2 3 2 2 2 4 4 2 2" xfId="17485"/>
    <cellStyle name="Heading 1 2 3 2 2 2 4 4 3" xfId="17486"/>
    <cellStyle name="Heading 1 2 3 2 2 2 4 5" xfId="17487"/>
    <cellStyle name="Heading 1 2 3 2 2 2 4 5 2" xfId="17488"/>
    <cellStyle name="Heading 1 2 3 2 2 2 4 5 2 2" xfId="17489"/>
    <cellStyle name="Heading 1 2 3 2 2 2 4 5 3" xfId="17490"/>
    <cellStyle name="Heading 1 2 3 2 2 2 4 6" xfId="17491"/>
    <cellStyle name="Heading 1 2 3 2 2 2 4 6 2" xfId="17492"/>
    <cellStyle name="Heading 1 2 3 2 2 2 4 6 2 2" xfId="17493"/>
    <cellStyle name="Heading 1 2 3 2 2 2 4 6 3" xfId="17494"/>
    <cellStyle name="Heading 1 2 3 2 2 2 4 7" xfId="17495"/>
    <cellStyle name="Heading 1 2 3 2 2 2 4 7 2" xfId="17496"/>
    <cellStyle name="Heading 1 2 3 2 2 2 4 7 2 2" xfId="17497"/>
    <cellStyle name="Heading 1 2 3 2 2 2 4 7 3" xfId="17498"/>
    <cellStyle name="Heading 1 2 3 2 2 2 4 8" xfId="17499"/>
    <cellStyle name="Heading 1 2 3 2 2 2 4 8 2" xfId="17500"/>
    <cellStyle name="Heading 1 2 3 2 2 2 4 9" xfId="17501"/>
    <cellStyle name="Heading 1 2 3 2 2 2 5" xfId="17502"/>
    <cellStyle name="Heading 1 2 3 2 2 2 5 2" xfId="17503"/>
    <cellStyle name="Heading 1 2 3 2 2 2 5 2 2" xfId="17504"/>
    <cellStyle name="Heading 1 2 3 2 2 2 5 2 2 2" xfId="17505"/>
    <cellStyle name="Heading 1 2 3 2 2 2 5 2 3" xfId="17506"/>
    <cellStyle name="Heading 1 2 3 2 2 2 5 3" xfId="17507"/>
    <cellStyle name="Heading 1 2 3 2 2 2 5 3 2" xfId="17508"/>
    <cellStyle name="Heading 1 2 3 2 2 2 5 3 2 2" xfId="17509"/>
    <cellStyle name="Heading 1 2 3 2 2 2 5 3 3" xfId="17510"/>
    <cellStyle name="Heading 1 2 3 2 2 2 5 4" xfId="17511"/>
    <cellStyle name="Heading 1 2 3 2 2 2 5 4 2" xfId="17512"/>
    <cellStyle name="Heading 1 2 3 2 2 2 5 4 2 2" xfId="17513"/>
    <cellStyle name="Heading 1 2 3 2 2 2 5 4 3" xfId="17514"/>
    <cellStyle name="Heading 1 2 3 2 2 2 5 5" xfId="17515"/>
    <cellStyle name="Heading 1 2 3 2 2 2 5 5 2" xfId="17516"/>
    <cellStyle name="Heading 1 2 3 2 2 2 5 5 2 2" xfId="17517"/>
    <cellStyle name="Heading 1 2 3 2 2 2 5 5 3" xfId="17518"/>
    <cellStyle name="Heading 1 2 3 2 2 2 5 6" xfId="17519"/>
    <cellStyle name="Heading 1 2 3 2 2 2 5 6 2" xfId="17520"/>
    <cellStyle name="Heading 1 2 3 2 2 2 5 6 2 2" xfId="17521"/>
    <cellStyle name="Heading 1 2 3 2 2 2 5 6 3" xfId="17522"/>
    <cellStyle name="Heading 1 2 3 2 2 2 5 7" xfId="17523"/>
    <cellStyle name="Heading 1 2 3 2 2 2 5 7 2" xfId="17524"/>
    <cellStyle name="Heading 1 2 3 2 2 2 5 7 2 2" xfId="17525"/>
    <cellStyle name="Heading 1 2 3 2 2 2 5 7 3" xfId="17526"/>
    <cellStyle name="Heading 1 2 3 2 2 2 5 8" xfId="17527"/>
    <cellStyle name="Heading 1 2 3 2 2 2 5 8 2" xfId="17528"/>
    <cellStyle name="Heading 1 2 3 2 2 2 5 9" xfId="17529"/>
    <cellStyle name="Heading 1 2 3 2 2 2 6" xfId="17530"/>
    <cellStyle name="Heading 1 2 3 2 2 2 6 2" xfId="17531"/>
    <cellStyle name="Heading 1 2 3 2 2 2 6 2 2" xfId="17532"/>
    <cellStyle name="Heading 1 2 3 2 2 2 6 2 2 2" xfId="17533"/>
    <cellStyle name="Heading 1 2 3 2 2 2 6 2 3" xfId="17534"/>
    <cellStyle name="Heading 1 2 3 2 2 2 6 3" xfId="17535"/>
    <cellStyle name="Heading 1 2 3 2 2 2 6 3 2" xfId="17536"/>
    <cellStyle name="Heading 1 2 3 2 2 2 6 3 2 2" xfId="17537"/>
    <cellStyle name="Heading 1 2 3 2 2 2 6 3 3" xfId="17538"/>
    <cellStyle name="Heading 1 2 3 2 2 2 6 4" xfId="17539"/>
    <cellStyle name="Heading 1 2 3 2 2 2 6 4 2" xfId="17540"/>
    <cellStyle name="Heading 1 2 3 2 2 2 6 4 2 2" xfId="17541"/>
    <cellStyle name="Heading 1 2 3 2 2 2 6 4 3" xfId="17542"/>
    <cellStyle name="Heading 1 2 3 2 2 2 6 5" xfId="17543"/>
    <cellStyle name="Heading 1 2 3 2 2 2 6 5 2" xfId="17544"/>
    <cellStyle name="Heading 1 2 3 2 2 2 6 5 2 2" xfId="17545"/>
    <cellStyle name="Heading 1 2 3 2 2 2 6 5 3" xfId="17546"/>
    <cellStyle name="Heading 1 2 3 2 2 2 6 6" xfId="17547"/>
    <cellStyle name="Heading 1 2 3 2 2 2 6 6 2" xfId="17548"/>
    <cellStyle name="Heading 1 2 3 2 2 2 6 6 2 2" xfId="17549"/>
    <cellStyle name="Heading 1 2 3 2 2 2 6 6 3" xfId="17550"/>
    <cellStyle name="Heading 1 2 3 2 2 2 6 7" xfId="17551"/>
    <cellStyle name="Heading 1 2 3 2 2 2 6 7 2" xfId="17552"/>
    <cellStyle name="Heading 1 2 3 2 2 2 6 7 2 2" xfId="17553"/>
    <cellStyle name="Heading 1 2 3 2 2 2 6 7 3" xfId="17554"/>
    <cellStyle name="Heading 1 2 3 2 2 2 6 8" xfId="17555"/>
    <cellStyle name="Heading 1 2 3 2 2 2 6 8 2" xfId="17556"/>
    <cellStyle name="Heading 1 2 3 2 2 2 6 9" xfId="17557"/>
    <cellStyle name="Heading 1 2 3 2 2 2 7" xfId="17558"/>
    <cellStyle name="Heading 1 2 3 2 2 2 7 2" xfId="17559"/>
    <cellStyle name="Heading 1 2 3 2 2 2 7 2 2" xfId="17560"/>
    <cellStyle name="Heading 1 2 3 2 2 2 7 2 2 2" xfId="17561"/>
    <cellStyle name="Heading 1 2 3 2 2 2 7 2 3" xfId="17562"/>
    <cellStyle name="Heading 1 2 3 2 2 2 7 3" xfId="17563"/>
    <cellStyle name="Heading 1 2 3 2 2 2 7 3 2" xfId="17564"/>
    <cellStyle name="Heading 1 2 3 2 2 2 7 3 2 2" xfId="17565"/>
    <cellStyle name="Heading 1 2 3 2 2 2 7 3 3" xfId="17566"/>
    <cellStyle name="Heading 1 2 3 2 2 2 7 4" xfId="17567"/>
    <cellStyle name="Heading 1 2 3 2 2 2 7 4 2" xfId="17568"/>
    <cellStyle name="Heading 1 2 3 2 2 2 7 4 2 2" xfId="17569"/>
    <cellStyle name="Heading 1 2 3 2 2 2 7 4 3" xfId="17570"/>
    <cellStyle name="Heading 1 2 3 2 2 2 7 5" xfId="17571"/>
    <cellStyle name="Heading 1 2 3 2 2 2 7 5 2" xfId="17572"/>
    <cellStyle name="Heading 1 2 3 2 2 2 7 5 2 2" xfId="17573"/>
    <cellStyle name="Heading 1 2 3 2 2 2 7 5 3" xfId="17574"/>
    <cellStyle name="Heading 1 2 3 2 2 2 7 6" xfId="17575"/>
    <cellStyle name="Heading 1 2 3 2 2 2 7 6 2" xfId="17576"/>
    <cellStyle name="Heading 1 2 3 2 2 2 7 6 2 2" xfId="17577"/>
    <cellStyle name="Heading 1 2 3 2 2 2 7 6 3" xfId="17578"/>
    <cellStyle name="Heading 1 2 3 2 2 2 7 7" xfId="17579"/>
    <cellStyle name="Heading 1 2 3 2 2 2 7 7 2" xfId="17580"/>
    <cellStyle name="Heading 1 2 3 2 2 2 7 7 2 2" xfId="17581"/>
    <cellStyle name="Heading 1 2 3 2 2 2 7 7 3" xfId="17582"/>
    <cellStyle name="Heading 1 2 3 2 2 2 7 8" xfId="17583"/>
    <cellStyle name="Heading 1 2 3 2 2 2 7 8 2" xfId="17584"/>
    <cellStyle name="Heading 1 2 3 2 2 2 7 9" xfId="17585"/>
    <cellStyle name="Heading 1 2 3 2 2 2 8" xfId="17586"/>
    <cellStyle name="Heading 1 2 3 2 2 2 8 2" xfId="17587"/>
    <cellStyle name="Heading 1 2 3 2 2 2 8 2 2" xfId="17588"/>
    <cellStyle name="Heading 1 2 3 2 2 2 8 2 2 2" xfId="17589"/>
    <cellStyle name="Heading 1 2 3 2 2 2 8 2 3" xfId="17590"/>
    <cellStyle name="Heading 1 2 3 2 2 2 8 3" xfId="17591"/>
    <cellStyle name="Heading 1 2 3 2 2 2 8 3 2" xfId="17592"/>
    <cellStyle name="Heading 1 2 3 2 2 2 8 3 2 2" xfId="17593"/>
    <cellStyle name="Heading 1 2 3 2 2 2 8 3 3" xfId="17594"/>
    <cellStyle name="Heading 1 2 3 2 2 2 8 4" xfId="17595"/>
    <cellStyle name="Heading 1 2 3 2 2 2 8 4 2" xfId="17596"/>
    <cellStyle name="Heading 1 2 3 2 2 2 8 4 2 2" xfId="17597"/>
    <cellStyle name="Heading 1 2 3 2 2 2 8 4 3" xfId="17598"/>
    <cellStyle name="Heading 1 2 3 2 2 2 8 5" xfId="17599"/>
    <cellStyle name="Heading 1 2 3 2 2 2 8 5 2" xfId="17600"/>
    <cellStyle name="Heading 1 2 3 2 2 2 8 5 2 2" xfId="17601"/>
    <cellStyle name="Heading 1 2 3 2 2 2 8 5 3" xfId="17602"/>
    <cellStyle name="Heading 1 2 3 2 2 2 8 6" xfId="17603"/>
    <cellStyle name="Heading 1 2 3 2 2 2 8 6 2" xfId="17604"/>
    <cellStyle name="Heading 1 2 3 2 2 2 8 6 2 2" xfId="17605"/>
    <cellStyle name="Heading 1 2 3 2 2 2 8 6 3" xfId="17606"/>
    <cellStyle name="Heading 1 2 3 2 2 2 8 7" xfId="17607"/>
    <cellStyle name="Heading 1 2 3 2 2 2 8 7 2" xfId="17608"/>
    <cellStyle name="Heading 1 2 3 2 2 2 8 7 2 2" xfId="17609"/>
    <cellStyle name="Heading 1 2 3 2 2 2 8 7 3" xfId="17610"/>
    <cellStyle name="Heading 1 2 3 2 2 2 8 8" xfId="17611"/>
    <cellStyle name="Heading 1 2 3 2 2 2 8 8 2" xfId="17612"/>
    <cellStyle name="Heading 1 2 3 2 2 2 8 9" xfId="17613"/>
    <cellStyle name="Heading 1 2 3 2 2 2 9" xfId="17614"/>
    <cellStyle name="Heading 1 2 3 2 2 2 9 2" xfId="17615"/>
    <cellStyle name="Heading 1 2 3 2 2 2 9 2 2" xfId="17616"/>
    <cellStyle name="Heading 1 2 3 2 2 2 9 3" xfId="17617"/>
    <cellStyle name="Heading 1 2 3 2 2 20" xfId="17618"/>
    <cellStyle name="Heading 1 2 3 2 2 20 2" xfId="17619"/>
    <cellStyle name="Heading 1 2 3 2 2 21" xfId="17620"/>
    <cellStyle name="Heading 1 2 3 2 2 21 2" xfId="17621"/>
    <cellStyle name="Heading 1 2 3 2 2 22" xfId="17622"/>
    <cellStyle name="Heading 1 2 3 2 2 22 2" xfId="17623"/>
    <cellStyle name="Heading 1 2 3 2 2 23" xfId="17624"/>
    <cellStyle name="Heading 1 2 3 2 2 3" xfId="17625"/>
    <cellStyle name="Heading 1 2 3 2 2 3 2" xfId="17626"/>
    <cellStyle name="Heading 1 2 3 2 2 3 2 2" xfId="17627"/>
    <cellStyle name="Heading 1 2 3 2 2 3 2 2 2" xfId="17628"/>
    <cellStyle name="Heading 1 2 3 2 2 3 2 3" xfId="17629"/>
    <cellStyle name="Heading 1 2 3 2 2 3 3" xfId="17630"/>
    <cellStyle name="Heading 1 2 3 2 2 3 3 2" xfId="17631"/>
    <cellStyle name="Heading 1 2 3 2 2 3 3 2 2" xfId="17632"/>
    <cellStyle name="Heading 1 2 3 2 2 3 3 3" xfId="17633"/>
    <cellStyle name="Heading 1 2 3 2 2 3 4" xfId="17634"/>
    <cellStyle name="Heading 1 2 3 2 2 3 4 2" xfId="17635"/>
    <cellStyle name="Heading 1 2 3 2 2 3 4 2 2" xfId="17636"/>
    <cellStyle name="Heading 1 2 3 2 2 3 4 3" xfId="17637"/>
    <cellStyle name="Heading 1 2 3 2 2 3 5" xfId="17638"/>
    <cellStyle name="Heading 1 2 3 2 2 3 5 2" xfId="17639"/>
    <cellStyle name="Heading 1 2 3 2 2 3 5 2 2" xfId="17640"/>
    <cellStyle name="Heading 1 2 3 2 2 3 5 3" xfId="17641"/>
    <cellStyle name="Heading 1 2 3 2 2 3 6" xfId="17642"/>
    <cellStyle name="Heading 1 2 3 2 2 3 6 2" xfId="17643"/>
    <cellStyle name="Heading 1 2 3 2 2 3 6 2 2" xfId="17644"/>
    <cellStyle name="Heading 1 2 3 2 2 3 6 3" xfId="17645"/>
    <cellStyle name="Heading 1 2 3 2 2 3 7" xfId="17646"/>
    <cellStyle name="Heading 1 2 3 2 2 3 7 2" xfId="17647"/>
    <cellStyle name="Heading 1 2 3 2 2 3 7 2 2" xfId="17648"/>
    <cellStyle name="Heading 1 2 3 2 2 3 7 3" xfId="17649"/>
    <cellStyle name="Heading 1 2 3 2 2 3 8" xfId="17650"/>
    <cellStyle name="Heading 1 2 3 2 2 3 8 2" xfId="17651"/>
    <cellStyle name="Heading 1 2 3 2 2 3 9" xfId="17652"/>
    <cellStyle name="Heading 1 2 3 2 2 4" xfId="17653"/>
    <cellStyle name="Heading 1 2 3 2 2 4 2" xfId="17654"/>
    <cellStyle name="Heading 1 2 3 2 2 4 2 2" xfId="17655"/>
    <cellStyle name="Heading 1 2 3 2 2 4 2 2 2" xfId="17656"/>
    <cellStyle name="Heading 1 2 3 2 2 4 2 3" xfId="17657"/>
    <cellStyle name="Heading 1 2 3 2 2 4 3" xfId="17658"/>
    <cellStyle name="Heading 1 2 3 2 2 4 3 2" xfId="17659"/>
    <cellStyle name="Heading 1 2 3 2 2 4 3 2 2" xfId="17660"/>
    <cellStyle name="Heading 1 2 3 2 2 4 3 3" xfId="17661"/>
    <cellStyle name="Heading 1 2 3 2 2 4 4" xfId="17662"/>
    <cellStyle name="Heading 1 2 3 2 2 4 4 2" xfId="17663"/>
    <cellStyle name="Heading 1 2 3 2 2 4 4 2 2" xfId="17664"/>
    <cellStyle name="Heading 1 2 3 2 2 4 4 3" xfId="17665"/>
    <cellStyle name="Heading 1 2 3 2 2 4 5" xfId="17666"/>
    <cellStyle name="Heading 1 2 3 2 2 4 5 2" xfId="17667"/>
    <cellStyle name="Heading 1 2 3 2 2 4 5 2 2" xfId="17668"/>
    <cellStyle name="Heading 1 2 3 2 2 4 5 3" xfId="17669"/>
    <cellStyle name="Heading 1 2 3 2 2 4 6" xfId="17670"/>
    <cellStyle name="Heading 1 2 3 2 2 4 6 2" xfId="17671"/>
    <cellStyle name="Heading 1 2 3 2 2 4 6 2 2" xfId="17672"/>
    <cellStyle name="Heading 1 2 3 2 2 4 6 3" xfId="17673"/>
    <cellStyle name="Heading 1 2 3 2 2 4 7" xfId="17674"/>
    <cellStyle name="Heading 1 2 3 2 2 4 7 2" xfId="17675"/>
    <cellStyle name="Heading 1 2 3 2 2 4 7 2 2" xfId="17676"/>
    <cellStyle name="Heading 1 2 3 2 2 4 7 3" xfId="17677"/>
    <cellStyle name="Heading 1 2 3 2 2 4 8" xfId="17678"/>
    <cellStyle name="Heading 1 2 3 2 2 4 8 2" xfId="17679"/>
    <cellStyle name="Heading 1 2 3 2 2 4 9" xfId="17680"/>
    <cellStyle name="Heading 1 2 3 2 2 5" xfId="17681"/>
    <cellStyle name="Heading 1 2 3 2 2 5 2" xfId="17682"/>
    <cellStyle name="Heading 1 2 3 2 2 5 2 2" xfId="17683"/>
    <cellStyle name="Heading 1 2 3 2 2 5 2 2 2" xfId="17684"/>
    <cellStyle name="Heading 1 2 3 2 2 5 2 3" xfId="17685"/>
    <cellStyle name="Heading 1 2 3 2 2 5 3" xfId="17686"/>
    <cellStyle name="Heading 1 2 3 2 2 5 3 2" xfId="17687"/>
    <cellStyle name="Heading 1 2 3 2 2 5 3 2 2" xfId="17688"/>
    <cellStyle name="Heading 1 2 3 2 2 5 3 3" xfId="17689"/>
    <cellStyle name="Heading 1 2 3 2 2 5 4" xfId="17690"/>
    <cellStyle name="Heading 1 2 3 2 2 5 4 2" xfId="17691"/>
    <cellStyle name="Heading 1 2 3 2 2 5 4 2 2" xfId="17692"/>
    <cellStyle name="Heading 1 2 3 2 2 5 4 3" xfId="17693"/>
    <cellStyle name="Heading 1 2 3 2 2 5 5" xfId="17694"/>
    <cellStyle name="Heading 1 2 3 2 2 5 5 2" xfId="17695"/>
    <cellStyle name="Heading 1 2 3 2 2 5 5 2 2" xfId="17696"/>
    <cellStyle name="Heading 1 2 3 2 2 5 5 3" xfId="17697"/>
    <cellStyle name="Heading 1 2 3 2 2 5 6" xfId="17698"/>
    <cellStyle name="Heading 1 2 3 2 2 5 6 2" xfId="17699"/>
    <cellStyle name="Heading 1 2 3 2 2 5 6 2 2" xfId="17700"/>
    <cellStyle name="Heading 1 2 3 2 2 5 6 3" xfId="17701"/>
    <cellStyle name="Heading 1 2 3 2 2 5 7" xfId="17702"/>
    <cellStyle name="Heading 1 2 3 2 2 5 7 2" xfId="17703"/>
    <cellStyle name="Heading 1 2 3 2 2 5 7 2 2" xfId="17704"/>
    <cellStyle name="Heading 1 2 3 2 2 5 7 3" xfId="17705"/>
    <cellStyle name="Heading 1 2 3 2 2 5 8" xfId="17706"/>
    <cellStyle name="Heading 1 2 3 2 2 5 8 2" xfId="17707"/>
    <cellStyle name="Heading 1 2 3 2 2 5 9" xfId="17708"/>
    <cellStyle name="Heading 1 2 3 2 2 6" xfId="17709"/>
    <cellStyle name="Heading 1 2 3 2 2 6 2" xfId="17710"/>
    <cellStyle name="Heading 1 2 3 2 2 6 2 2" xfId="17711"/>
    <cellStyle name="Heading 1 2 3 2 2 6 2 2 2" xfId="17712"/>
    <cellStyle name="Heading 1 2 3 2 2 6 2 3" xfId="17713"/>
    <cellStyle name="Heading 1 2 3 2 2 6 3" xfId="17714"/>
    <cellStyle name="Heading 1 2 3 2 2 6 3 2" xfId="17715"/>
    <cellStyle name="Heading 1 2 3 2 2 6 3 2 2" xfId="17716"/>
    <cellStyle name="Heading 1 2 3 2 2 6 3 3" xfId="17717"/>
    <cellStyle name="Heading 1 2 3 2 2 6 4" xfId="17718"/>
    <cellStyle name="Heading 1 2 3 2 2 6 4 2" xfId="17719"/>
    <cellStyle name="Heading 1 2 3 2 2 6 4 2 2" xfId="17720"/>
    <cellStyle name="Heading 1 2 3 2 2 6 4 3" xfId="17721"/>
    <cellStyle name="Heading 1 2 3 2 2 6 5" xfId="17722"/>
    <cellStyle name="Heading 1 2 3 2 2 6 5 2" xfId="17723"/>
    <cellStyle name="Heading 1 2 3 2 2 6 5 2 2" xfId="17724"/>
    <cellStyle name="Heading 1 2 3 2 2 6 5 3" xfId="17725"/>
    <cellStyle name="Heading 1 2 3 2 2 6 6" xfId="17726"/>
    <cellStyle name="Heading 1 2 3 2 2 6 6 2" xfId="17727"/>
    <cellStyle name="Heading 1 2 3 2 2 6 6 2 2" xfId="17728"/>
    <cellStyle name="Heading 1 2 3 2 2 6 6 3" xfId="17729"/>
    <cellStyle name="Heading 1 2 3 2 2 6 7" xfId="17730"/>
    <cellStyle name="Heading 1 2 3 2 2 6 7 2" xfId="17731"/>
    <cellStyle name="Heading 1 2 3 2 2 6 7 2 2" xfId="17732"/>
    <cellStyle name="Heading 1 2 3 2 2 6 7 3" xfId="17733"/>
    <cellStyle name="Heading 1 2 3 2 2 6 8" xfId="17734"/>
    <cellStyle name="Heading 1 2 3 2 2 6 8 2" xfId="17735"/>
    <cellStyle name="Heading 1 2 3 2 2 6 9" xfId="17736"/>
    <cellStyle name="Heading 1 2 3 2 2 7" xfId="17737"/>
    <cellStyle name="Heading 1 2 3 2 2 7 2" xfId="17738"/>
    <cellStyle name="Heading 1 2 3 2 2 7 2 2" xfId="17739"/>
    <cellStyle name="Heading 1 2 3 2 2 7 2 2 2" xfId="17740"/>
    <cellStyle name="Heading 1 2 3 2 2 7 2 3" xfId="17741"/>
    <cellStyle name="Heading 1 2 3 2 2 7 3" xfId="17742"/>
    <cellStyle name="Heading 1 2 3 2 2 7 3 2" xfId="17743"/>
    <cellStyle name="Heading 1 2 3 2 2 7 3 2 2" xfId="17744"/>
    <cellStyle name="Heading 1 2 3 2 2 7 3 3" xfId="17745"/>
    <cellStyle name="Heading 1 2 3 2 2 7 4" xfId="17746"/>
    <cellStyle name="Heading 1 2 3 2 2 7 4 2" xfId="17747"/>
    <cellStyle name="Heading 1 2 3 2 2 7 4 2 2" xfId="17748"/>
    <cellStyle name="Heading 1 2 3 2 2 7 4 3" xfId="17749"/>
    <cellStyle name="Heading 1 2 3 2 2 7 5" xfId="17750"/>
    <cellStyle name="Heading 1 2 3 2 2 7 5 2" xfId="17751"/>
    <cellStyle name="Heading 1 2 3 2 2 7 5 2 2" xfId="17752"/>
    <cellStyle name="Heading 1 2 3 2 2 7 5 3" xfId="17753"/>
    <cellStyle name="Heading 1 2 3 2 2 7 6" xfId="17754"/>
    <cellStyle name="Heading 1 2 3 2 2 7 6 2" xfId="17755"/>
    <cellStyle name="Heading 1 2 3 2 2 7 6 2 2" xfId="17756"/>
    <cellStyle name="Heading 1 2 3 2 2 7 6 3" xfId="17757"/>
    <cellStyle name="Heading 1 2 3 2 2 7 7" xfId="17758"/>
    <cellStyle name="Heading 1 2 3 2 2 7 7 2" xfId="17759"/>
    <cellStyle name="Heading 1 2 3 2 2 7 7 2 2" xfId="17760"/>
    <cellStyle name="Heading 1 2 3 2 2 7 7 3" xfId="17761"/>
    <cellStyle name="Heading 1 2 3 2 2 7 8" xfId="17762"/>
    <cellStyle name="Heading 1 2 3 2 2 7 8 2" xfId="17763"/>
    <cellStyle name="Heading 1 2 3 2 2 7 9" xfId="17764"/>
    <cellStyle name="Heading 1 2 3 2 2 8" xfId="17765"/>
    <cellStyle name="Heading 1 2 3 2 2 8 2" xfId="17766"/>
    <cellStyle name="Heading 1 2 3 2 2 8 2 2" xfId="17767"/>
    <cellStyle name="Heading 1 2 3 2 2 8 2 2 2" xfId="17768"/>
    <cellStyle name="Heading 1 2 3 2 2 8 2 3" xfId="17769"/>
    <cellStyle name="Heading 1 2 3 2 2 8 3" xfId="17770"/>
    <cellStyle name="Heading 1 2 3 2 2 8 3 2" xfId="17771"/>
    <cellStyle name="Heading 1 2 3 2 2 8 3 2 2" xfId="17772"/>
    <cellStyle name="Heading 1 2 3 2 2 8 3 3" xfId="17773"/>
    <cellStyle name="Heading 1 2 3 2 2 8 4" xfId="17774"/>
    <cellStyle name="Heading 1 2 3 2 2 8 4 2" xfId="17775"/>
    <cellStyle name="Heading 1 2 3 2 2 8 4 2 2" xfId="17776"/>
    <cellStyle name="Heading 1 2 3 2 2 8 4 3" xfId="17777"/>
    <cellStyle name="Heading 1 2 3 2 2 8 5" xfId="17778"/>
    <cellStyle name="Heading 1 2 3 2 2 8 5 2" xfId="17779"/>
    <cellStyle name="Heading 1 2 3 2 2 8 5 2 2" xfId="17780"/>
    <cellStyle name="Heading 1 2 3 2 2 8 5 3" xfId="17781"/>
    <cellStyle name="Heading 1 2 3 2 2 8 6" xfId="17782"/>
    <cellStyle name="Heading 1 2 3 2 2 8 6 2" xfId="17783"/>
    <cellStyle name="Heading 1 2 3 2 2 8 6 2 2" xfId="17784"/>
    <cellStyle name="Heading 1 2 3 2 2 8 6 3" xfId="17785"/>
    <cellStyle name="Heading 1 2 3 2 2 8 7" xfId="17786"/>
    <cellStyle name="Heading 1 2 3 2 2 8 7 2" xfId="17787"/>
    <cellStyle name="Heading 1 2 3 2 2 8 7 2 2" xfId="17788"/>
    <cellStyle name="Heading 1 2 3 2 2 8 7 3" xfId="17789"/>
    <cellStyle name="Heading 1 2 3 2 2 8 8" xfId="17790"/>
    <cellStyle name="Heading 1 2 3 2 2 8 8 2" xfId="17791"/>
    <cellStyle name="Heading 1 2 3 2 2 8 9" xfId="17792"/>
    <cellStyle name="Heading 1 2 3 2 2 9" xfId="17793"/>
    <cellStyle name="Heading 1 2 3 2 2 9 2" xfId="17794"/>
    <cellStyle name="Heading 1 2 3 2 2 9 2 2" xfId="17795"/>
    <cellStyle name="Heading 1 2 3 2 2 9 2 2 2" xfId="17796"/>
    <cellStyle name="Heading 1 2 3 2 2 9 2 3" xfId="17797"/>
    <cellStyle name="Heading 1 2 3 2 2 9 3" xfId="17798"/>
    <cellStyle name="Heading 1 2 3 2 2 9 3 2" xfId="17799"/>
    <cellStyle name="Heading 1 2 3 2 2 9 3 2 2" xfId="17800"/>
    <cellStyle name="Heading 1 2 3 2 2 9 3 3" xfId="17801"/>
    <cellStyle name="Heading 1 2 3 2 2 9 4" xfId="17802"/>
    <cellStyle name="Heading 1 2 3 2 2 9 4 2" xfId="17803"/>
    <cellStyle name="Heading 1 2 3 2 2 9 4 2 2" xfId="17804"/>
    <cellStyle name="Heading 1 2 3 2 2 9 4 3" xfId="17805"/>
    <cellStyle name="Heading 1 2 3 2 2 9 5" xfId="17806"/>
    <cellStyle name="Heading 1 2 3 2 2 9 5 2" xfId="17807"/>
    <cellStyle name="Heading 1 2 3 2 2 9 5 2 2" xfId="17808"/>
    <cellStyle name="Heading 1 2 3 2 2 9 5 3" xfId="17809"/>
    <cellStyle name="Heading 1 2 3 2 2 9 6" xfId="17810"/>
    <cellStyle name="Heading 1 2 3 2 2 9 6 2" xfId="17811"/>
    <cellStyle name="Heading 1 2 3 2 2 9 6 2 2" xfId="17812"/>
    <cellStyle name="Heading 1 2 3 2 2 9 6 3" xfId="17813"/>
    <cellStyle name="Heading 1 2 3 2 2 9 7" xfId="17814"/>
    <cellStyle name="Heading 1 2 3 2 2 9 7 2" xfId="17815"/>
    <cellStyle name="Heading 1 2 3 2 2 9 7 2 2" xfId="17816"/>
    <cellStyle name="Heading 1 2 3 2 2 9 7 3" xfId="17817"/>
    <cellStyle name="Heading 1 2 3 2 2 9 8" xfId="17818"/>
    <cellStyle name="Heading 1 2 3 2 2 9 8 2" xfId="17819"/>
    <cellStyle name="Heading 1 2 3 2 2 9 9" xfId="17820"/>
    <cellStyle name="Heading 1 2 3 2 3" xfId="17821"/>
    <cellStyle name="Heading 1 2 3 2 3 10" xfId="17822"/>
    <cellStyle name="Heading 1 2 3 2 3 10 2" xfId="17823"/>
    <cellStyle name="Heading 1 2 3 2 3 10 2 2" xfId="17824"/>
    <cellStyle name="Heading 1 2 3 2 3 10 3" xfId="17825"/>
    <cellStyle name="Heading 1 2 3 2 3 11" xfId="17826"/>
    <cellStyle name="Heading 1 2 3 2 3 11 2" xfId="17827"/>
    <cellStyle name="Heading 1 2 3 2 3 11 2 2" xfId="17828"/>
    <cellStyle name="Heading 1 2 3 2 3 11 3" xfId="17829"/>
    <cellStyle name="Heading 1 2 3 2 3 12" xfId="17830"/>
    <cellStyle name="Heading 1 2 3 2 3 12 2" xfId="17831"/>
    <cellStyle name="Heading 1 2 3 2 3 12 2 2" xfId="17832"/>
    <cellStyle name="Heading 1 2 3 2 3 12 3" xfId="17833"/>
    <cellStyle name="Heading 1 2 3 2 3 13" xfId="17834"/>
    <cellStyle name="Heading 1 2 3 2 3 13 2" xfId="17835"/>
    <cellStyle name="Heading 1 2 3 2 3 13 2 2" xfId="17836"/>
    <cellStyle name="Heading 1 2 3 2 3 13 3" xfId="17837"/>
    <cellStyle name="Heading 1 2 3 2 3 14" xfId="17838"/>
    <cellStyle name="Heading 1 2 3 2 3 14 2" xfId="17839"/>
    <cellStyle name="Heading 1 2 3 2 3 14 2 2" xfId="17840"/>
    <cellStyle name="Heading 1 2 3 2 3 14 3" xfId="17841"/>
    <cellStyle name="Heading 1 2 3 2 3 15" xfId="17842"/>
    <cellStyle name="Heading 1 2 3 2 3 15 2" xfId="17843"/>
    <cellStyle name="Heading 1 2 3 2 3 15 2 2" xfId="17844"/>
    <cellStyle name="Heading 1 2 3 2 3 15 3" xfId="17845"/>
    <cellStyle name="Heading 1 2 3 2 3 16" xfId="17846"/>
    <cellStyle name="Heading 1 2 3 2 3 16 2" xfId="17847"/>
    <cellStyle name="Heading 1 2 3 2 3 16 2 2" xfId="17848"/>
    <cellStyle name="Heading 1 2 3 2 3 16 3" xfId="17849"/>
    <cellStyle name="Heading 1 2 3 2 3 17" xfId="17850"/>
    <cellStyle name="Heading 1 2 3 2 3 17 2" xfId="17851"/>
    <cellStyle name="Heading 1 2 3 2 3 17 2 2" xfId="17852"/>
    <cellStyle name="Heading 1 2 3 2 3 17 3" xfId="17853"/>
    <cellStyle name="Heading 1 2 3 2 3 18" xfId="17854"/>
    <cellStyle name="Heading 1 2 3 2 3 18 2" xfId="17855"/>
    <cellStyle name="Heading 1 2 3 2 3 18 2 2" xfId="17856"/>
    <cellStyle name="Heading 1 2 3 2 3 18 3" xfId="17857"/>
    <cellStyle name="Heading 1 2 3 2 3 19" xfId="17858"/>
    <cellStyle name="Heading 1 2 3 2 3 19 2" xfId="17859"/>
    <cellStyle name="Heading 1 2 3 2 3 2" xfId="17860"/>
    <cellStyle name="Heading 1 2 3 2 3 2 2" xfId="17861"/>
    <cellStyle name="Heading 1 2 3 2 3 2 2 2" xfId="17862"/>
    <cellStyle name="Heading 1 2 3 2 3 2 2 2 2" xfId="17863"/>
    <cellStyle name="Heading 1 2 3 2 3 2 2 3" xfId="17864"/>
    <cellStyle name="Heading 1 2 3 2 3 2 3" xfId="17865"/>
    <cellStyle name="Heading 1 2 3 2 3 2 3 2" xfId="17866"/>
    <cellStyle name="Heading 1 2 3 2 3 2 3 2 2" xfId="17867"/>
    <cellStyle name="Heading 1 2 3 2 3 2 3 3" xfId="17868"/>
    <cellStyle name="Heading 1 2 3 2 3 2 4" xfId="17869"/>
    <cellStyle name="Heading 1 2 3 2 3 2 4 2" xfId="17870"/>
    <cellStyle name="Heading 1 2 3 2 3 2 4 2 2" xfId="17871"/>
    <cellStyle name="Heading 1 2 3 2 3 2 4 3" xfId="17872"/>
    <cellStyle name="Heading 1 2 3 2 3 2 5" xfId="17873"/>
    <cellStyle name="Heading 1 2 3 2 3 2 5 2" xfId="17874"/>
    <cellStyle name="Heading 1 2 3 2 3 2 5 2 2" xfId="17875"/>
    <cellStyle name="Heading 1 2 3 2 3 2 5 3" xfId="17876"/>
    <cellStyle name="Heading 1 2 3 2 3 2 6" xfId="17877"/>
    <cellStyle name="Heading 1 2 3 2 3 2 6 2" xfId="17878"/>
    <cellStyle name="Heading 1 2 3 2 3 2 6 2 2" xfId="17879"/>
    <cellStyle name="Heading 1 2 3 2 3 2 6 3" xfId="17880"/>
    <cellStyle name="Heading 1 2 3 2 3 2 7" xfId="17881"/>
    <cellStyle name="Heading 1 2 3 2 3 2 7 2" xfId="17882"/>
    <cellStyle name="Heading 1 2 3 2 3 2 7 2 2" xfId="17883"/>
    <cellStyle name="Heading 1 2 3 2 3 2 7 3" xfId="17884"/>
    <cellStyle name="Heading 1 2 3 2 3 2 8" xfId="17885"/>
    <cellStyle name="Heading 1 2 3 2 3 2 8 2" xfId="17886"/>
    <cellStyle name="Heading 1 2 3 2 3 2 9" xfId="17887"/>
    <cellStyle name="Heading 1 2 3 2 3 20" xfId="17888"/>
    <cellStyle name="Heading 1 2 3 2 3 20 2" xfId="17889"/>
    <cellStyle name="Heading 1 2 3 2 3 21" xfId="17890"/>
    <cellStyle name="Heading 1 2 3 2 3 21 2" xfId="17891"/>
    <cellStyle name="Heading 1 2 3 2 3 22" xfId="17892"/>
    <cellStyle name="Heading 1 2 3 2 3 3" xfId="17893"/>
    <cellStyle name="Heading 1 2 3 2 3 3 2" xfId="17894"/>
    <cellStyle name="Heading 1 2 3 2 3 3 2 2" xfId="17895"/>
    <cellStyle name="Heading 1 2 3 2 3 3 2 2 2" xfId="17896"/>
    <cellStyle name="Heading 1 2 3 2 3 3 2 3" xfId="17897"/>
    <cellStyle name="Heading 1 2 3 2 3 3 3" xfId="17898"/>
    <cellStyle name="Heading 1 2 3 2 3 3 3 2" xfId="17899"/>
    <cellStyle name="Heading 1 2 3 2 3 3 3 2 2" xfId="17900"/>
    <cellStyle name="Heading 1 2 3 2 3 3 3 3" xfId="17901"/>
    <cellStyle name="Heading 1 2 3 2 3 3 4" xfId="17902"/>
    <cellStyle name="Heading 1 2 3 2 3 3 4 2" xfId="17903"/>
    <cellStyle name="Heading 1 2 3 2 3 3 4 2 2" xfId="17904"/>
    <cellStyle name="Heading 1 2 3 2 3 3 4 3" xfId="17905"/>
    <cellStyle name="Heading 1 2 3 2 3 3 5" xfId="17906"/>
    <cellStyle name="Heading 1 2 3 2 3 3 5 2" xfId="17907"/>
    <cellStyle name="Heading 1 2 3 2 3 3 5 2 2" xfId="17908"/>
    <cellStyle name="Heading 1 2 3 2 3 3 5 3" xfId="17909"/>
    <cellStyle name="Heading 1 2 3 2 3 3 6" xfId="17910"/>
    <cellStyle name="Heading 1 2 3 2 3 3 6 2" xfId="17911"/>
    <cellStyle name="Heading 1 2 3 2 3 3 6 2 2" xfId="17912"/>
    <cellStyle name="Heading 1 2 3 2 3 3 6 3" xfId="17913"/>
    <cellStyle name="Heading 1 2 3 2 3 3 7" xfId="17914"/>
    <cellStyle name="Heading 1 2 3 2 3 3 7 2" xfId="17915"/>
    <cellStyle name="Heading 1 2 3 2 3 3 7 2 2" xfId="17916"/>
    <cellStyle name="Heading 1 2 3 2 3 3 7 3" xfId="17917"/>
    <cellStyle name="Heading 1 2 3 2 3 3 8" xfId="17918"/>
    <cellStyle name="Heading 1 2 3 2 3 3 8 2" xfId="17919"/>
    <cellStyle name="Heading 1 2 3 2 3 3 9" xfId="17920"/>
    <cellStyle name="Heading 1 2 3 2 3 4" xfId="17921"/>
    <cellStyle name="Heading 1 2 3 2 3 4 2" xfId="17922"/>
    <cellStyle name="Heading 1 2 3 2 3 4 2 2" xfId="17923"/>
    <cellStyle name="Heading 1 2 3 2 3 4 2 2 2" xfId="17924"/>
    <cellStyle name="Heading 1 2 3 2 3 4 2 3" xfId="17925"/>
    <cellStyle name="Heading 1 2 3 2 3 4 3" xfId="17926"/>
    <cellStyle name="Heading 1 2 3 2 3 4 3 2" xfId="17927"/>
    <cellStyle name="Heading 1 2 3 2 3 4 3 2 2" xfId="17928"/>
    <cellStyle name="Heading 1 2 3 2 3 4 3 3" xfId="17929"/>
    <cellStyle name="Heading 1 2 3 2 3 4 4" xfId="17930"/>
    <cellStyle name="Heading 1 2 3 2 3 4 4 2" xfId="17931"/>
    <cellStyle name="Heading 1 2 3 2 3 4 4 2 2" xfId="17932"/>
    <cellStyle name="Heading 1 2 3 2 3 4 4 3" xfId="17933"/>
    <cellStyle name="Heading 1 2 3 2 3 4 5" xfId="17934"/>
    <cellStyle name="Heading 1 2 3 2 3 4 5 2" xfId="17935"/>
    <cellStyle name="Heading 1 2 3 2 3 4 5 2 2" xfId="17936"/>
    <cellStyle name="Heading 1 2 3 2 3 4 5 3" xfId="17937"/>
    <cellStyle name="Heading 1 2 3 2 3 4 6" xfId="17938"/>
    <cellStyle name="Heading 1 2 3 2 3 4 6 2" xfId="17939"/>
    <cellStyle name="Heading 1 2 3 2 3 4 6 2 2" xfId="17940"/>
    <cellStyle name="Heading 1 2 3 2 3 4 6 3" xfId="17941"/>
    <cellStyle name="Heading 1 2 3 2 3 4 7" xfId="17942"/>
    <cellStyle name="Heading 1 2 3 2 3 4 7 2" xfId="17943"/>
    <cellStyle name="Heading 1 2 3 2 3 4 7 2 2" xfId="17944"/>
    <cellStyle name="Heading 1 2 3 2 3 4 7 3" xfId="17945"/>
    <cellStyle name="Heading 1 2 3 2 3 4 8" xfId="17946"/>
    <cellStyle name="Heading 1 2 3 2 3 4 8 2" xfId="17947"/>
    <cellStyle name="Heading 1 2 3 2 3 4 9" xfId="17948"/>
    <cellStyle name="Heading 1 2 3 2 3 5" xfId="17949"/>
    <cellStyle name="Heading 1 2 3 2 3 5 2" xfId="17950"/>
    <cellStyle name="Heading 1 2 3 2 3 5 2 2" xfId="17951"/>
    <cellStyle name="Heading 1 2 3 2 3 5 2 2 2" xfId="17952"/>
    <cellStyle name="Heading 1 2 3 2 3 5 2 3" xfId="17953"/>
    <cellStyle name="Heading 1 2 3 2 3 5 3" xfId="17954"/>
    <cellStyle name="Heading 1 2 3 2 3 5 3 2" xfId="17955"/>
    <cellStyle name="Heading 1 2 3 2 3 5 3 2 2" xfId="17956"/>
    <cellStyle name="Heading 1 2 3 2 3 5 3 3" xfId="17957"/>
    <cellStyle name="Heading 1 2 3 2 3 5 4" xfId="17958"/>
    <cellStyle name="Heading 1 2 3 2 3 5 4 2" xfId="17959"/>
    <cellStyle name="Heading 1 2 3 2 3 5 4 2 2" xfId="17960"/>
    <cellStyle name="Heading 1 2 3 2 3 5 4 3" xfId="17961"/>
    <cellStyle name="Heading 1 2 3 2 3 5 5" xfId="17962"/>
    <cellStyle name="Heading 1 2 3 2 3 5 5 2" xfId="17963"/>
    <cellStyle name="Heading 1 2 3 2 3 5 5 2 2" xfId="17964"/>
    <cellStyle name="Heading 1 2 3 2 3 5 5 3" xfId="17965"/>
    <cellStyle name="Heading 1 2 3 2 3 5 6" xfId="17966"/>
    <cellStyle name="Heading 1 2 3 2 3 5 6 2" xfId="17967"/>
    <cellStyle name="Heading 1 2 3 2 3 5 6 2 2" xfId="17968"/>
    <cellStyle name="Heading 1 2 3 2 3 5 6 3" xfId="17969"/>
    <cellStyle name="Heading 1 2 3 2 3 5 7" xfId="17970"/>
    <cellStyle name="Heading 1 2 3 2 3 5 7 2" xfId="17971"/>
    <cellStyle name="Heading 1 2 3 2 3 5 7 2 2" xfId="17972"/>
    <cellStyle name="Heading 1 2 3 2 3 5 7 3" xfId="17973"/>
    <cellStyle name="Heading 1 2 3 2 3 5 8" xfId="17974"/>
    <cellStyle name="Heading 1 2 3 2 3 5 8 2" xfId="17975"/>
    <cellStyle name="Heading 1 2 3 2 3 5 9" xfId="17976"/>
    <cellStyle name="Heading 1 2 3 2 3 6" xfId="17977"/>
    <cellStyle name="Heading 1 2 3 2 3 6 2" xfId="17978"/>
    <cellStyle name="Heading 1 2 3 2 3 6 2 2" xfId="17979"/>
    <cellStyle name="Heading 1 2 3 2 3 6 2 2 2" xfId="17980"/>
    <cellStyle name="Heading 1 2 3 2 3 6 2 3" xfId="17981"/>
    <cellStyle name="Heading 1 2 3 2 3 6 3" xfId="17982"/>
    <cellStyle name="Heading 1 2 3 2 3 6 3 2" xfId="17983"/>
    <cellStyle name="Heading 1 2 3 2 3 6 3 2 2" xfId="17984"/>
    <cellStyle name="Heading 1 2 3 2 3 6 3 3" xfId="17985"/>
    <cellStyle name="Heading 1 2 3 2 3 6 4" xfId="17986"/>
    <cellStyle name="Heading 1 2 3 2 3 6 4 2" xfId="17987"/>
    <cellStyle name="Heading 1 2 3 2 3 6 4 2 2" xfId="17988"/>
    <cellStyle name="Heading 1 2 3 2 3 6 4 3" xfId="17989"/>
    <cellStyle name="Heading 1 2 3 2 3 6 5" xfId="17990"/>
    <cellStyle name="Heading 1 2 3 2 3 6 5 2" xfId="17991"/>
    <cellStyle name="Heading 1 2 3 2 3 6 5 2 2" xfId="17992"/>
    <cellStyle name="Heading 1 2 3 2 3 6 5 3" xfId="17993"/>
    <cellStyle name="Heading 1 2 3 2 3 6 6" xfId="17994"/>
    <cellStyle name="Heading 1 2 3 2 3 6 6 2" xfId="17995"/>
    <cellStyle name="Heading 1 2 3 2 3 6 6 2 2" xfId="17996"/>
    <cellStyle name="Heading 1 2 3 2 3 6 6 3" xfId="17997"/>
    <cellStyle name="Heading 1 2 3 2 3 6 7" xfId="17998"/>
    <cellStyle name="Heading 1 2 3 2 3 6 7 2" xfId="17999"/>
    <cellStyle name="Heading 1 2 3 2 3 6 7 2 2" xfId="18000"/>
    <cellStyle name="Heading 1 2 3 2 3 6 7 3" xfId="18001"/>
    <cellStyle name="Heading 1 2 3 2 3 6 8" xfId="18002"/>
    <cellStyle name="Heading 1 2 3 2 3 6 8 2" xfId="18003"/>
    <cellStyle name="Heading 1 2 3 2 3 6 9" xfId="18004"/>
    <cellStyle name="Heading 1 2 3 2 3 7" xfId="18005"/>
    <cellStyle name="Heading 1 2 3 2 3 7 2" xfId="18006"/>
    <cellStyle name="Heading 1 2 3 2 3 7 2 2" xfId="18007"/>
    <cellStyle name="Heading 1 2 3 2 3 7 2 2 2" xfId="18008"/>
    <cellStyle name="Heading 1 2 3 2 3 7 2 3" xfId="18009"/>
    <cellStyle name="Heading 1 2 3 2 3 7 3" xfId="18010"/>
    <cellStyle name="Heading 1 2 3 2 3 7 3 2" xfId="18011"/>
    <cellStyle name="Heading 1 2 3 2 3 7 3 2 2" xfId="18012"/>
    <cellStyle name="Heading 1 2 3 2 3 7 3 3" xfId="18013"/>
    <cellStyle name="Heading 1 2 3 2 3 7 4" xfId="18014"/>
    <cellStyle name="Heading 1 2 3 2 3 7 4 2" xfId="18015"/>
    <cellStyle name="Heading 1 2 3 2 3 7 4 2 2" xfId="18016"/>
    <cellStyle name="Heading 1 2 3 2 3 7 4 3" xfId="18017"/>
    <cellStyle name="Heading 1 2 3 2 3 7 5" xfId="18018"/>
    <cellStyle name="Heading 1 2 3 2 3 7 5 2" xfId="18019"/>
    <cellStyle name="Heading 1 2 3 2 3 7 5 2 2" xfId="18020"/>
    <cellStyle name="Heading 1 2 3 2 3 7 5 3" xfId="18021"/>
    <cellStyle name="Heading 1 2 3 2 3 7 6" xfId="18022"/>
    <cellStyle name="Heading 1 2 3 2 3 7 6 2" xfId="18023"/>
    <cellStyle name="Heading 1 2 3 2 3 7 6 2 2" xfId="18024"/>
    <cellStyle name="Heading 1 2 3 2 3 7 6 3" xfId="18025"/>
    <cellStyle name="Heading 1 2 3 2 3 7 7" xfId="18026"/>
    <cellStyle name="Heading 1 2 3 2 3 7 7 2" xfId="18027"/>
    <cellStyle name="Heading 1 2 3 2 3 7 7 2 2" xfId="18028"/>
    <cellStyle name="Heading 1 2 3 2 3 7 7 3" xfId="18029"/>
    <cellStyle name="Heading 1 2 3 2 3 7 8" xfId="18030"/>
    <cellStyle name="Heading 1 2 3 2 3 7 8 2" xfId="18031"/>
    <cellStyle name="Heading 1 2 3 2 3 7 9" xfId="18032"/>
    <cellStyle name="Heading 1 2 3 2 3 8" xfId="18033"/>
    <cellStyle name="Heading 1 2 3 2 3 8 2" xfId="18034"/>
    <cellStyle name="Heading 1 2 3 2 3 8 2 2" xfId="18035"/>
    <cellStyle name="Heading 1 2 3 2 3 8 2 2 2" xfId="18036"/>
    <cellStyle name="Heading 1 2 3 2 3 8 2 3" xfId="18037"/>
    <cellStyle name="Heading 1 2 3 2 3 8 3" xfId="18038"/>
    <cellStyle name="Heading 1 2 3 2 3 8 3 2" xfId="18039"/>
    <cellStyle name="Heading 1 2 3 2 3 8 3 2 2" xfId="18040"/>
    <cellStyle name="Heading 1 2 3 2 3 8 3 3" xfId="18041"/>
    <cellStyle name="Heading 1 2 3 2 3 8 4" xfId="18042"/>
    <cellStyle name="Heading 1 2 3 2 3 8 4 2" xfId="18043"/>
    <cellStyle name="Heading 1 2 3 2 3 8 4 2 2" xfId="18044"/>
    <cellStyle name="Heading 1 2 3 2 3 8 4 3" xfId="18045"/>
    <cellStyle name="Heading 1 2 3 2 3 8 5" xfId="18046"/>
    <cellStyle name="Heading 1 2 3 2 3 8 5 2" xfId="18047"/>
    <cellStyle name="Heading 1 2 3 2 3 8 5 2 2" xfId="18048"/>
    <cellStyle name="Heading 1 2 3 2 3 8 5 3" xfId="18049"/>
    <cellStyle name="Heading 1 2 3 2 3 8 6" xfId="18050"/>
    <cellStyle name="Heading 1 2 3 2 3 8 6 2" xfId="18051"/>
    <cellStyle name="Heading 1 2 3 2 3 8 6 2 2" xfId="18052"/>
    <cellStyle name="Heading 1 2 3 2 3 8 6 3" xfId="18053"/>
    <cellStyle name="Heading 1 2 3 2 3 8 7" xfId="18054"/>
    <cellStyle name="Heading 1 2 3 2 3 8 7 2" xfId="18055"/>
    <cellStyle name="Heading 1 2 3 2 3 8 7 2 2" xfId="18056"/>
    <cellStyle name="Heading 1 2 3 2 3 8 7 3" xfId="18057"/>
    <cellStyle name="Heading 1 2 3 2 3 8 8" xfId="18058"/>
    <cellStyle name="Heading 1 2 3 2 3 8 8 2" xfId="18059"/>
    <cellStyle name="Heading 1 2 3 2 3 8 9" xfId="18060"/>
    <cellStyle name="Heading 1 2 3 2 3 9" xfId="18061"/>
    <cellStyle name="Heading 1 2 3 2 3 9 2" xfId="18062"/>
    <cellStyle name="Heading 1 2 3 2 3 9 2 2" xfId="18063"/>
    <cellStyle name="Heading 1 2 3 2 3 9 3" xfId="18064"/>
    <cellStyle name="Heading 1 2 3 2 4" xfId="18065"/>
    <cellStyle name="Heading 1 2 3 2 4 2" xfId="18066"/>
    <cellStyle name="Heading 1 2 3 2 4 2 2" xfId="18067"/>
    <cellStyle name="Heading 1 2 3 2 4 3" xfId="18068"/>
    <cellStyle name="Heading 1 2 3 2 5" xfId="18069"/>
    <cellStyle name="Heading 1 2 3 2 5 2" xfId="18070"/>
    <cellStyle name="Heading 1 2 3 2 6" xfId="18071"/>
    <cellStyle name="Heading 1 2 3 20" xfId="18072"/>
    <cellStyle name="Heading 1 2 3 3" xfId="18073"/>
    <cellStyle name="Heading 1 2 3 3 2" xfId="18074"/>
    <cellStyle name="Heading 1 2 3 3 2 10" xfId="18075"/>
    <cellStyle name="Heading 1 2 3 3 2 10 2" xfId="18076"/>
    <cellStyle name="Heading 1 2 3 3 2 10 2 2" xfId="18077"/>
    <cellStyle name="Heading 1 2 3 3 2 10 3" xfId="18078"/>
    <cellStyle name="Heading 1 2 3 3 2 11" xfId="18079"/>
    <cellStyle name="Heading 1 2 3 3 2 11 2" xfId="18080"/>
    <cellStyle name="Heading 1 2 3 3 2 11 2 2" xfId="18081"/>
    <cellStyle name="Heading 1 2 3 3 2 11 3" xfId="18082"/>
    <cellStyle name="Heading 1 2 3 3 2 12" xfId="18083"/>
    <cellStyle name="Heading 1 2 3 3 2 12 2" xfId="18084"/>
    <cellStyle name="Heading 1 2 3 3 2 12 2 2" xfId="18085"/>
    <cellStyle name="Heading 1 2 3 3 2 12 3" xfId="18086"/>
    <cellStyle name="Heading 1 2 3 3 2 13" xfId="18087"/>
    <cellStyle name="Heading 1 2 3 3 2 13 2" xfId="18088"/>
    <cellStyle name="Heading 1 2 3 3 2 13 2 2" xfId="18089"/>
    <cellStyle name="Heading 1 2 3 3 2 13 3" xfId="18090"/>
    <cellStyle name="Heading 1 2 3 3 2 14" xfId="18091"/>
    <cellStyle name="Heading 1 2 3 3 2 14 2" xfId="18092"/>
    <cellStyle name="Heading 1 2 3 3 2 14 2 2" xfId="18093"/>
    <cellStyle name="Heading 1 2 3 3 2 14 3" xfId="18094"/>
    <cellStyle name="Heading 1 2 3 3 2 15" xfId="18095"/>
    <cellStyle name="Heading 1 2 3 3 2 15 2" xfId="18096"/>
    <cellStyle name="Heading 1 2 3 3 2 15 2 2" xfId="18097"/>
    <cellStyle name="Heading 1 2 3 3 2 15 3" xfId="18098"/>
    <cellStyle name="Heading 1 2 3 3 2 16" xfId="18099"/>
    <cellStyle name="Heading 1 2 3 3 2 16 2" xfId="18100"/>
    <cellStyle name="Heading 1 2 3 3 2 16 2 2" xfId="18101"/>
    <cellStyle name="Heading 1 2 3 3 2 16 3" xfId="18102"/>
    <cellStyle name="Heading 1 2 3 3 2 17" xfId="18103"/>
    <cellStyle name="Heading 1 2 3 3 2 17 2" xfId="18104"/>
    <cellStyle name="Heading 1 2 3 3 2 17 2 2" xfId="18105"/>
    <cellStyle name="Heading 1 2 3 3 2 17 3" xfId="18106"/>
    <cellStyle name="Heading 1 2 3 3 2 18" xfId="18107"/>
    <cellStyle name="Heading 1 2 3 3 2 18 2" xfId="18108"/>
    <cellStyle name="Heading 1 2 3 3 2 18 2 2" xfId="18109"/>
    <cellStyle name="Heading 1 2 3 3 2 18 3" xfId="18110"/>
    <cellStyle name="Heading 1 2 3 3 2 19" xfId="18111"/>
    <cellStyle name="Heading 1 2 3 3 2 19 2" xfId="18112"/>
    <cellStyle name="Heading 1 2 3 3 2 19 2 2" xfId="18113"/>
    <cellStyle name="Heading 1 2 3 3 2 19 3" xfId="18114"/>
    <cellStyle name="Heading 1 2 3 3 2 2" xfId="18115"/>
    <cellStyle name="Heading 1 2 3 3 2 2 10" xfId="18116"/>
    <cellStyle name="Heading 1 2 3 3 2 2 10 2" xfId="18117"/>
    <cellStyle name="Heading 1 2 3 3 2 2 10 2 2" xfId="18118"/>
    <cellStyle name="Heading 1 2 3 3 2 2 10 3" xfId="18119"/>
    <cellStyle name="Heading 1 2 3 3 2 2 11" xfId="18120"/>
    <cellStyle name="Heading 1 2 3 3 2 2 11 2" xfId="18121"/>
    <cellStyle name="Heading 1 2 3 3 2 2 11 2 2" xfId="18122"/>
    <cellStyle name="Heading 1 2 3 3 2 2 11 3" xfId="18123"/>
    <cellStyle name="Heading 1 2 3 3 2 2 12" xfId="18124"/>
    <cellStyle name="Heading 1 2 3 3 2 2 12 2" xfId="18125"/>
    <cellStyle name="Heading 1 2 3 3 2 2 12 2 2" xfId="18126"/>
    <cellStyle name="Heading 1 2 3 3 2 2 12 3" xfId="18127"/>
    <cellStyle name="Heading 1 2 3 3 2 2 13" xfId="18128"/>
    <cellStyle name="Heading 1 2 3 3 2 2 13 2" xfId="18129"/>
    <cellStyle name="Heading 1 2 3 3 2 2 13 2 2" xfId="18130"/>
    <cellStyle name="Heading 1 2 3 3 2 2 13 3" xfId="18131"/>
    <cellStyle name="Heading 1 2 3 3 2 2 14" xfId="18132"/>
    <cellStyle name="Heading 1 2 3 3 2 2 14 2" xfId="18133"/>
    <cellStyle name="Heading 1 2 3 3 2 2 14 2 2" xfId="18134"/>
    <cellStyle name="Heading 1 2 3 3 2 2 14 3" xfId="18135"/>
    <cellStyle name="Heading 1 2 3 3 2 2 15" xfId="18136"/>
    <cellStyle name="Heading 1 2 3 3 2 2 15 2" xfId="18137"/>
    <cellStyle name="Heading 1 2 3 3 2 2 15 2 2" xfId="18138"/>
    <cellStyle name="Heading 1 2 3 3 2 2 15 3" xfId="18139"/>
    <cellStyle name="Heading 1 2 3 3 2 2 16" xfId="18140"/>
    <cellStyle name="Heading 1 2 3 3 2 2 16 2" xfId="18141"/>
    <cellStyle name="Heading 1 2 3 3 2 2 16 2 2" xfId="18142"/>
    <cellStyle name="Heading 1 2 3 3 2 2 16 3" xfId="18143"/>
    <cellStyle name="Heading 1 2 3 3 2 2 17" xfId="18144"/>
    <cellStyle name="Heading 1 2 3 3 2 2 17 2" xfId="18145"/>
    <cellStyle name="Heading 1 2 3 3 2 2 17 2 2" xfId="18146"/>
    <cellStyle name="Heading 1 2 3 3 2 2 17 3" xfId="18147"/>
    <cellStyle name="Heading 1 2 3 3 2 2 18" xfId="18148"/>
    <cellStyle name="Heading 1 2 3 3 2 2 18 2" xfId="18149"/>
    <cellStyle name="Heading 1 2 3 3 2 2 18 2 2" xfId="18150"/>
    <cellStyle name="Heading 1 2 3 3 2 2 18 3" xfId="18151"/>
    <cellStyle name="Heading 1 2 3 3 2 2 19" xfId="18152"/>
    <cellStyle name="Heading 1 2 3 3 2 2 19 2" xfId="18153"/>
    <cellStyle name="Heading 1 2 3 3 2 2 2" xfId="18154"/>
    <cellStyle name="Heading 1 2 3 3 2 2 2 2" xfId="18155"/>
    <cellStyle name="Heading 1 2 3 3 2 2 2 2 2" xfId="18156"/>
    <cellStyle name="Heading 1 2 3 3 2 2 2 2 2 2" xfId="18157"/>
    <cellStyle name="Heading 1 2 3 3 2 2 2 2 3" xfId="18158"/>
    <cellStyle name="Heading 1 2 3 3 2 2 2 3" xfId="18159"/>
    <cellStyle name="Heading 1 2 3 3 2 2 2 3 2" xfId="18160"/>
    <cellStyle name="Heading 1 2 3 3 2 2 2 3 2 2" xfId="18161"/>
    <cellStyle name="Heading 1 2 3 3 2 2 2 3 3" xfId="18162"/>
    <cellStyle name="Heading 1 2 3 3 2 2 2 4" xfId="18163"/>
    <cellStyle name="Heading 1 2 3 3 2 2 2 4 2" xfId="18164"/>
    <cellStyle name="Heading 1 2 3 3 2 2 2 4 2 2" xfId="18165"/>
    <cellStyle name="Heading 1 2 3 3 2 2 2 4 3" xfId="18166"/>
    <cellStyle name="Heading 1 2 3 3 2 2 2 5" xfId="18167"/>
    <cellStyle name="Heading 1 2 3 3 2 2 2 5 2" xfId="18168"/>
    <cellStyle name="Heading 1 2 3 3 2 2 2 5 2 2" xfId="18169"/>
    <cellStyle name="Heading 1 2 3 3 2 2 2 5 3" xfId="18170"/>
    <cellStyle name="Heading 1 2 3 3 2 2 2 6" xfId="18171"/>
    <cellStyle name="Heading 1 2 3 3 2 2 2 6 2" xfId="18172"/>
    <cellStyle name="Heading 1 2 3 3 2 2 2 6 2 2" xfId="18173"/>
    <cellStyle name="Heading 1 2 3 3 2 2 2 6 3" xfId="18174"/>
    <cellStyle name="Heading 1 2 3 3 2 2 2 7" xfId="18175"/>
    <cellStyle name="Heading 1 2 3 3 2 2 2 7 2" xfId="18176"/>
    <cellStyle name="Heading 1 2 3 3 2 2 2 7 2 2" xfId="18177"/>
    <cellStyle name="Heading 1 2 3 3 2 2 2 7 3" xfId="18178"/>
    <cellStyle name="Heading 1 2 3 3 2 2 2 8" xfId="18179"/>
    <cellStyle name="Heading 1 2 3 3 2 2 2 8 2" xfId="18180"/>
    <cellStyle name="Heading 1 2 3 3 2 2 2 9" xfId="18181"/>
    <cellStyle name="Heading 1 2 3 3 2 2 20" xfId="18182"/>
    <cellStyle name="Heading 1 2 3 3 2 2 20 2" xfId="18183"/>
    <cellStyle name="Heading 1 2 3 3 2 2 21" xfId="18184"/>
    <cellStyle name="Heading 1 2 3 3 2 2 21 2" xfId="18185"/>
    <cellStyle name="Heading 1 2 3 3 2 2 22" xfId="18186"/>
    <cellStyle name="Heading 1 2 3 3 2 2 3" xfId="18187"/>
    <cellStyle name="Heading 1 2 3 3 2 2 3 2" xfId="18188"/>
    <cellStyle name="Heading 1 2 3 3 2 2 3 2 2" xfId="18189"/>
    <cellStyle name="Heading 1 2 3 3 2 2 3 2 2 2" xfId="18190"/>
    <cellStyle name="Heading 1 2 3 3 2 2 3 2 3" xfId="18191"/>
    <cellStyle name="Heading 1 2 3 3 2 2 3 3" xfId="18192"/>
    <cellStyle name="Heading 1 2 3 3 2 2 3 3 2" xfId="18193"/>
    <cellStyle name="Heading 1 2 3 3 2 2 3 3 2 2" xfId="18194"/>
    <cellStyle name="Heading 1 2 3 3 2 2 3 3 3" xfId="18195"/>
    <cellStyle name="Heading 1 2 3 3 2 2 3 4" xfId="18196"/>
    <cellStyle name="Heading 1 2 3 3 2 2 3 4 2" xfId="18197"/>
    <cellStyle name="Heading 1 2 3 3 2 2 3 4 2 2" xfId="18198"/>
    <cellStyle name="Heading 1 2 3 3 2 2 3 4 3" xfId="18199"/>
    <cellStyle name="Heading 1 2 3 3 2 2 3 5" xfId="18200"/>
    <cellStyle name="Heading 1 2 3 3 2 2 3 5 2" xfId="18201"/>
    <cellStyle name="Heading 1 2 3 3 2 2 3 5 2 2" xfId="18202"/>
    <cellStyle name="Heading 1 2 3 3 2 2 3 5 3" xfId="18203"/>
    <cellStyle name="Heading 1 2 3 3 2 2 3 6" xfId="18204"/>
    <cellStyle name="Heading 1 2 3 3 2 2 3 6 2" xfId="18205"/>
    <cellStyle name="Heading 1 2 3 3 2 2 3 6 2 2" xfId="18206"/>
    <cellStyle name="Heading 1 2 3 3 2 2 3 6 3" xfId="18207"/>
    <cellStyle name="Heading 1 2 3 3 2 2 3 7" xfId="18208"/>
    <cellStyle name="Heading 1 2 3 3 2 2 3 7 2" xfId="18209"/>
    <cellStyle name="Heading 1 2 3 3 2 2 3 7 2 2" xfId="18210"/>
    <cellStyle name="Heading 1 2 3 3 2 2 3 7 3" xfId="18211"/>
    <cellStyle name="Heading 1 2 3 3 2 2 3 8" xfId="18212"/>
    <cellStyle name="Heading 1 2 3 3 2 2 3 8 2" xfId="18213"/>
    <cellStyle name="Heading 1 2 3 3 2 2 3 9" xfId="18214"/>
    <cellStyle name="Heading 1 2 3 3 2 2 4" xfId="18215"/>
    <cellStyle name="Heading 1 2 3 3 2 2 4 2" xfId="18216"/>
    <cellStyle name="Heading 1 2 3 3 2 2 4 2 2" xfId="18217"/>
    <cellStyle name="Heading 1 2 3 3 2 2 4 2 2 2" xfId="18218"/>
    <cellStyle name="Heading 1 2 3 3 2 2 4 2 3" xfId="18219"/>
    <cellStyle name="Heading 1 2 3 3 2 2 4 3" xfId="18220"/>
    <cellStyle name="Heading 1 2 3 3 2 2 4 3 2" xfId="18221"/>
    <cellStyle name="Heading 1 2 3 3 2 2 4 3 2 2" xfId="18222"/>
    <cellStyle name="Heading 1 2 3 3 2 2 4 3 3" xfId="18223"/>
    <cellStyle name="Heading 1 2 3 3 2 2 4 4" xfId="18224"/>
    <cellStyle name="Heading 1 2 3 3 2 2 4 4 2" xfId="18225"/>
    <cellStyle name="Heading 1 2 3 3 2 2 4 4 2 2" xfId="18226"/>
    <cellStyle name="Heading 1 2 3 3 2 2 4 4 3" xfId="18227"/>
    <cellStyle name="Heading 1 2 3 3 2 2 4 5" xfId="18228"/>
    <cellStyle name="Heading 1 2 3 3 2 2 4 5 2" xfId="18229"/>
    <cellStyle name="Heading 1 2 3 3 2 2 4 5 2 2" xfId="18230"/>
    <cellStyle name="Heading 1 2 3 3 2 2 4 5 3" xfId="18231"/>
    <cellStyle name="Heading 1 2 3 3 2 2 4 6" xfId="18232"/>
    <cellStyle name="Heading 1 2 3 3 2 2 4 6 2" xfId="18233"/>
    <cellStyle name="Heading 1 2 3 3 2 2 4 6 2 2" xfId="18234"/>
    <cellStyle name="Heading 1 2 3 3 2 2 4 6 3" xfId="18235"/>
    <cellStyle name="Heading 1 2 3 3 2 2 4 7" xfId="18236"/>
    <cellStyle name="Heading 1 2 3 3 2 2 4 7 2" xfId="18237"/>
    <cellStyle name="Heading 1 2 3 3 2 2 4 7 2 2" xfId="18238"/>
    <cellStyle name="Heading 1 2 3 3 2 2 4 7 3" xfId="18239"/>
    <cellStyle name="Heading 1 2 3 3 2 2 4 8" xfId="18240"/>
    <cellStyle name="Heading 1 2 3 3 2 2 4 8 2" xfId="18241"/>
    <cellStyle name="Heading 1 2 3 3 2 2 4 9" xfId="18242"/>
    <cellStyle name="Heading 1 2 3 3 2 2 5" xfId="18243"/>
    <cellStyle name="Heading 1 2 3 3 2 2 5 2" xfId="18244"/>
    <cellStyle name="Heading 1 2 3 3 2 2 5 2 2" xfId="18245"/>
    <cellStyle name="Heading 1 2 3 3 2 2 5 2 2 2" xfId="18246"/>
    <cellStyle name="Heading 1 2 3 3 2 2 5 2 3" xfId="18247"/>
    <cellStyle name="Heading 1 2 3 3 2 2 5 3" xfId="18248"/>
    <cellStyle name="Heading 1 2 3 3 2 2 5 3 2" xfId="18249"/>
    <cellStyle name="Heading 1 2 3 3 2 2 5 3 2 2" xfId="18250"/>
    <cellStyle name="Heading 1 2 3 3 2 2 5 3 3" xfId="18251"/>
    <cellStyle name="Heading 1 2 3 3 2 2 5 4" xfId="18252"/>
    <cellStyle name="Heading 1 2 3 3 2 2 5 4 2" xfId="18253"/>
    <cellStyle name="Heading 1 2 3 3 2 2 5 4 2 2" xfId="18254"/>
    <cellStyle name="Heading 1 2 3 3 2 2 5 4 3" xfId="18255"/>
    <cellStyle name="Heading 1 2 3 3 2 2 5 5" xfId="18256"/>
    <cellStyle name="Heading 1 2 3 3 2 2 5 5 2" xfId="18257"/>
    <cellStyle name="Heading 1 2 3 3 2 2 5 5 2 2" xfId="18258"/>
    <cellStyle name="Heading 1 2 3 3 2 2 5 5 3" xfId="18259"/>
    <cellStyle name="Heading 1 2 3 3 2 2 5 6" xfId="18260"/>
    <cellStyle name="Heading 1 2 3 3 2 2 5 6 2" xfId="18261"/>
    <cellStyle name="Heading 1 2 3 3 2 2 5 6 2 2" xfId="18262"/>
    <cellStyle name="Heading 1 2 3 3 2 2 5 6 3" xfId="18263"/>
    <cellStyle name="Heading 1 2 3 3 2 2 5 7" xfId="18264"/>
    <cellStyle name="Heading 1 2 3 3 2 2 5 7 2" xfId="18265"/>
    <cellStyle name="Heading 1 2 3 3 2 2 5 7 2 2" xfId="18266"/>
    <cellStyle name="Heading 1 2 3 3 2 2 5 7 3" xfId="18267"/>
    <cellStyle name="Heading 1 2 3 3 2 2 5 8" xfId="18268"/>
    <cellStyle name="Heading 1 2 3 3 2 2 5 8 2" xfId="18269"/>
    <cellStyle name="Heading 1 2 3 3 2 2 5 9" xfId="18270"/>
    <cellStyle name="Heading 1 2 3 3 2 2 6" xfId="18271"/>
    <cellStyle name="Heading 1 2 3 3 2 2 6 2" xfId="18272"/>
    <cellStyle name="Heading 1 2 3 3 2 2 6 2 2" xfId="18273"/>
    <cellStyle name="Heading 1 2 3 3 2 2 6 2 2 2" xfId="18274"/>
    <cellStyle name="Heading 1 2 3 3 2 2 6 2 3" xfId="18275"/>
    <cellStyle name="Heading 1 2 3 3 2 2 6 3" xfId="18276"/>
    <cellStyle name="Heading 1 2 3 3 2 2 6 3 2" xfId="18277"/>
    <cellStyle name="Heading 1 2 3 3 2 2 6 3 2 2" xfId="18278"/>
    <cellStyle name="Heading 1 2 3 3 2 2 6 3 3" xfId="18279"/>
    <cellStyle name="Heading 1 2 3 3 2 2 6 4" xfId="18280"/>
    <cellStyle name="Heading 1 2 3 3 2 2 6 4 2" xfId="18281"/>
    <cellStyle name="Heading 1 2 3 3 2 2 6 4 2 2" xfId="18282"/>
    <cellStyle name="Heading 1 2 3 3 2 2 6 4 3" xfId="18283"/>
    <cellStyle name="Heading 1 2 3 3 2 2 6 5" xfId="18284"/>
    <cellStyle name="Heading 1 2 3 3 2 2 6 5 2" xfId="18285"/>
    <cellStyle name="Heading 1 2 3 3 2 2 6 5 2 2" xfId="18286"/>
    <cellStyle name="Heading 1 2 3 3 2 2 6 5 3" xfId="18287"/>
    <cellStyle name="Heading 1 2 3 3 2 2 6 6" xfId="18288"/>
    <cellStyle name="Heading 1 2 3 3 2 2 6 6 2" xfId="18289"/>
    <cellStyle name="Heading 1 2 3 3 2 2 6 6 2 2" xfId="18290"/>
    <cellStyle name="Heading 1 2 3 3 2 2 6 6 3" xfId="18291"/>
    <cellStyle name="Heading 1 2 3 3 2 2 6 7" xfId="18292"/>
    <cellStyle name="Heading 1 2 3 3 2 2 6 7 2" xfId="18293"/>
    <cellStyle name="Heading 1 2 3 3 2 2 6 7 2 2" xfId="18294"/>
    <cellStyle name="Heading 1 2 3 3 2 2 6 7 3" xfId="18295"/>
    <cellStyle name="Heading 1 2 3 3 2 2 6 8" xfId="18296"/>
    <cellStyle name="Heading 1 2 3 3 2 2 6 8 2" xfId="18297"/>
    <cellStyle name="Heading 1 2 3 3 2 2 6 9" xfId="18298"/>
    <cellStyle name="Heading 1 2 3 3 2 2 7" xfId="18299"/>
    <cellStyle name="Heading 1 2 3 3 2 2 7 2" xfId="18300"/>
    <cellStyle name="Heading 1 2 3 3 2 2 7 2 2" xfId="18301"/>
    <cellStyle name="Heading 1 2 3 3 2 2 7 2 2 2" xfId="18302"/>
    <cellStyle name="Heading 1 2 3 3 2 2 7 2 3" xfId="18303"/>
    <cellStyle name="Heading 1 2 3 3 2 2 7 3" xfId="18304"/>
    <cellStyle name="Heading 1 2 3 3 2 2 7 3 2" xfId="18305"/>
    <cellStyle name="Heading 1 2 3 3 2 2 7 3 2 2" xfId="18306"/>
    <cellStyle name="Heading 1 2 3 3 2 2 7 3 3" xfId="18307"/>
    <cellStyle name="Heading 1 2 3 3 2 2 7 4" xfId="18308"/>
    <cellStyle name="Heading 1 2 3 3 2 2 7 4 2" xfId="18309"/>
    <cellStyle name="Heading 1 2 3 3 2 2 7 4 2 2" xfId="18310"/>
    <cellStyle name="Heading 1 2 3 3 2 2 7 4 3" xfId="18311"/>
    <cellStyle name="Heading 1 2 3 3 2 2 7 5" xfId="18312"/>
    <cellStyle name="Heading 1 2 3 3 2 2 7 5 2" xfId="18313"/>
    <cellStyle name="Heading 1 2 3 3 2 2 7 5 2 2" xfId="18314"/>
    <cellStyle name="Heading 1 2 3 3 2 2 7 5 3" xfId="18315"/>
    <cellStyle name="Heading 1 2 3 3 2 2 7 6" xfId="18316"/>
    <cellStyle name="Heading 1 2 3 3 2 2 7 6 2" xfId="18317"/>
    <cellStyle name="Heading 1 2 3 3 2 2 7 6 2 2" xfId="18318"/>
    <cellStyle name="Heading 1 2 3 3 2 2 7 6 3" xfId="18319"/>
    <cellStyle name="Heading 1 2 3 3 2 2 7 7" xfId="18320"/>
    <cellStyle name="Heading 1 2 3 3 2 2 7 7 2" xfId="18321"/>
    <cellStyle name="Heading 1 2 3 3 2 2 7 7 2 2" xfId="18322"/>
    <cellStyle name="Heading 1 2 3 3 2 2 7 7 3" xfId="18323"/>
    <cellStyle name="Heading 1 2 3 3 2 2 7 8" xfId="18324"/>
    <cellStyle name="Heading 1 2 3 3 2 2 7 8 2" xfId="18325"/>
    <cellStyle name="Heading 1 2 3 3 2 2 7 9" xfId="18326"/>
    <cellStyle name="Heading 1 2 3 3 2 2 8" xfId="18327"/>
    <cellStyle name="Heading 1 2 3 3 2 2 8 2" xfId="18328"/>
    <cellStyle name="Heading 1 2 3 3 2 2 8 2 2" xfId="18329"/>
    <cellStyle name="Heading 1 2 3 3 2 2 8 2 2 2" xfId="18330"/>
    <cellStyle name="Heading 1 2 3 3 2 2 8 2 3" xfId="18331"/>
    <cellStyle name="Heading 1 2 3 3 2 2 8 3" xfId="18332"/>
    <cellStyle name="Heading 1 2 3 3 2 2 8 3 2" xfId="18333"/>
    <cellStyle name="Heading 1 2 3 3 2 2 8 3 2 2" xfId="18334"/>
    <cellStyle name="Heading 1 2 3 3 2 2 8 3 3" xfId="18335"/>
    <cellStyle name="Heading 1 2 3 3 2 2 8 4" xfId="18336"/>
    <cellStyle name="Heading 1 2 3 3 2 2 8 4 2" xfId="18337"/>
    <cellStyle name="Heading 1 2 3 3 2 2 8 4 2 2" xfId="18338"/>
    <cellStyle name="Heading 1 2 3 3 2 2 8 4 3" xfId="18339"/>
    <cellStyle name="Heading 1 2 3 3 2 2 8 5" xfId="18340"/>
    <cellStyle name="Heading 1 2 3 3 2 2 8 5 2" xfId="18341"/>
    <cellStyle name="Heading 1 2 3 3 2 2 8 5 2 2" xfId="18342"/>
    <cellStyle name="Heading 1 2 3 3 2 2 8 5 3" xfId="18343"/>
    <cellStyle name="Heading 1 2 3 3 2 2 8 6" xfId="18344"/>
    <cellStyle name="Heading 1 2 3 3 2 2 8 6 2" xfId="18345"/>
    <cellStyle name="Heading 1 2 3 3 2 2 8 6 2 2" xfId="18346"/>
    <cellStyle name="Heading 1 2 3 3 2 2 8 6 3" xfId="18347"/>
    <cellStyle name="Heading 1 2 3 3 2 2 8 7" xfId="18348"/>
    <cellStyle name="Heading 1 2 3 3 2 2 8 7 2" xfId="18349"/>
    <cellStyle name="Heading 1 2 3 3 2 2 8 7 2 2" xfId="18350"/>
    <cellStyle name="Heading 1 2 3 3 2 2 8 7 3" xfId="18351"/>
    <cellStyle name="Heading 1 2 3 3 2 2 8 8" xfId="18352"/>
    <cellStyle name="Heading 1 2 3 3 2 2 8 8 2" xfId="18353"/>
    <cellStyle name="Heading 1 2 3 3 2 2 8 9" xfId="18354"/>
    <cellStyle name="Heading 1 2 3 3 2 2 9" xfId="18355"/>
    <cellStyle name="Heading 1 2 3 3 2 2 9 2" xfId="18356"/>
    <cellStyle name="Heading 1 2 3 3 2 2 9 2 2" xfId="18357"/>
    <cellStyle name="Heading 1 2 3 3 2 2 9 3" xfId="18358"/>
    <cellStyle name="Heading 1 2 3 3 2 20" xfId="18359"/>
    <cellStyle name="Heading 1 2 3 3 2 20 2" xfId="18360"/>
    <cellStyle name="Heading 1 2 3 3 2 21" xfId="18361"/>
    <cellStyle name="Heading 1 2 3 3 2 21 2" xfId="18362"/>
    <cellStyle name="Heading 1 2 3 3 2 22" xfId="18363"/>
    <cellStyle name="Heading 1 2 3 3 2 22 2" xfId="18364"/>
    <cellStyle name="Heading 1 2 3 3 2 23" xfId="18365"/>
    <cellStyle name="Heading 1 2 3 3 2 3" xfId="18366"/>
    <cellStyle name="Heading 1 2 3 3 2 3 2" xfId="18367"/>
    <cellStyle name="Heading 1 2 3 3 2 3 2 2" xfId="18368"/>
    <cellStyle name="Heading 1 2 3 3 2 3 2 2 2" xfId="18369"/>
    <cellStyle name="Heading 1 2 3 3 2 3 2 3" xfId="18370"/>
    <cellStyle name="Heading 1 2 3 3 2 3 3" xfId="18371"/>
    <cellStyle name="Heading 1 2 3 3 2 3 3 2" xfId="18372"/>
    <cellStyle name="Heading 1 2 3 3 2 3 3 2 2" xfId="18373"/>
    <cellStyle name="Heading 1 2 3 3 2 3 3 3" xfId="18374"/>
    <cellStyle name="Heading 1 2 3 3 2 3 4" xfId="18375"/>
    <cellStyle name="Heading 1 2 3 3 2 3 4 2" xfId="18376"/>
    <cellStyle name="Heading 1 2 3 3 2 3 4 2 2" xfId="18377"/>
    <cellStyle name="Heading 1 2 3 3 2 3 4 3" xfId="18378"/>
    <cellStyle name="Heading 1 2 3 3 2 3 5" xfId="18379"/>
    <cellStyle name="Heading 1 2 3 3 2 3 5 2" xfId="18380"/>
    <cellStyle name="Heading 1 2 3 3 2 3 5 2 2" xfId="18381"/>
    <cellStyle name="Heading 1 2 3 3 2 3 5 3" xfId="18382"/>
    <cellStyle name="Heading 1 2 3 3 2 3 6" xfId="18383"/>
    <cellStyle name="Heading 1 2 3 3 2 3 6 2" xfId="18384"/>
    <cellStyle name="Heading 1 2 3 3 2 3 6 2 2" xfId="18385"/>
    <cellStyle name="Heading 1 2 3 3 2 3 6 3" xfId="18386"/>
    <cellStyle name="Heading 1 2 3 3 2 3 7" xfId="18387"/>
    <cellStyle name="Heading 1 2 3 3 2 3 7 2" xfId="18388"/>
    <cellStyle name="Heading 1 2 3 3 2 3 7 2 2" xfId="18389"/>
    <cellStyle name="Heading 1 2 3 3 2 3 7 3" xfId="18390"/>
    <cellStyle name="Heading 1 2 3 3 2 3 8" xfId="18391"/>
    <cellStyle name="Heading 1 2 3 3 2 3 8 2" xfId="18392"/>
    <cellStyle name="Heading 1 2 3 3 2 3 9" xfId="18393"/>
    <cellStyle name="Heading 1 2 3 3 2 4" xfId="18394"/>
    <cellStyle name="Heading 1 2 3 3 2 4 2" xfId="18395"/>
    <cellStyle name="Heading 1 2 3 3 2 4 2 2" xfId="18396"/>
    <cellStyle name="Heading 1 2 3 3 2 4 2 2 2" xfId="18397"/>
    <cellStyle name="Heading 1 2 3 3 2 4 2 3" xfId="18398"/>
    <cellStyle name="Heading 1 2 3 3 2 4 3" xfId="18399"/>
    <cellStyle name="Heading 1 2 3 3 2 4 3 2" xfId="18400"/>
    <cellStyle name="Heading 1 2 3 3 2 4 3 2 2" xfId="18401"/>
    <cellStyle name="Heading 1 2 3 3 2 4 3 3" xfId="18402"/>
    <cellStyle name="Heading 1 2 3 3 2 4 4" xfId="18403"/>
    <cellStyle name="Heading 1 2 3 3 2 4 4 2" xfId="18404"/>
    <cellStyle name="Heading 1 2 3 3 2 4 4 2 2" xfId="18405"/>
    <cellStyle name="Heading 1 2 3 3 2 4 4 3" xfId="18406"/>
    <cellStyle name="Heading 1 2 3 3 2 4 5" xfId="18407"/>
    <cellStyle name="Heading 1 2 3 3 2 4 5 2" xfId="18408"/>
    <cellStyle name="Heading 1 2 3 3 2 4 5 2 2" xfId="18409"/>
    <cellStyle name="Heading 1 2 3 3 2 4 5 3" xfId="18410"/>
    <cellStyle name="Heading 1 2 3 3 2 4 6" xfId="18411"/>
    <cellStyle name="Heading 1 2 3 3 2 4 6 2" xfId="18412"/>
    <cellStyle name="Heading 1 2 3 3 2 4 6 2 2" xfId="18413"/>
    <cellStyle name="Heading 1 2 3 3 2 4 6 3" xfId="18414"/>
    <cellStyle name="Heading 1 2 3 3 2 4 7" xfId="18415"/>
    <cellStyle name="Heading 1 2 3 3 2 4 7 2" xfId="18416"/>
    <cellStyle name="Heading 1 2 3 3 2 4 7 2 2" xfId="18417"/>
    <cellStyle name="Heading 1 2 3 3 2 4 7 3" xfId="18418"/>
    <cellStyle name="Heading 1 2 3 3 2 4 8" xfId="18419"/>
    <cellStyle name="Heading 1 2 3 3 2 4 8 2" xfId="18420"/>
    <cellStyle name="Heading 1 2 3 3 2 4 9" xfId="18421"/>
    <cellStyle name="Heading 1 2 3 3 2 5" xfId="18422"/>
    <cellStyle name="Heading 1 2 3 3 2 5 2" xfId="18423"/>
    <cellStyle name="Heading 1 2 3 3 2 5 2 2" xfId="18424"/>
    <cellStyle name="Heading 1 2 3 3 2 5 2 2 2" xfId="18425"/>
    <cellStyle name="Heading 1 2 3 3 2 5 2 3" xfId="18426"/>
    <cellStyle name="Heading 1 2 3 3 2 5 3" xfId="18427"/>
    <cellStyle name="Heading 1 2 3 3 2 5 3 2" xfId="18428"/>
    <cellStyle name="Heading 1 2 3 3 2 5 3 2 2" xfId="18429"/>
    <cellStyle name="Heading 1 2 3 3 2 5 3 3" xfId="18430"/>
    <cellStyle name="Heading 1 2 3 3 2 5 4" xfId="18431"/>
    <cellStyle name="Heading 1 2 3 3 2 5 4 2" xfId="18432"/>
    <cellStyle name="Heading 1 2 3 3 2 5 4 2 2" xfId="18433"/>
    <cellStyle name="Heading 1 2 3 3 2 5 4 3" xfId="18434"/>
    <cellStyle name="Heading 1 2 3 3 2 5 5" xfId="18435"/>
    <cellStyle name="Heading 1 2 3 3 2 5 5 2" xfId="18436"/>
    <cellStyle name="Heading 1 2 3 3 2 5 5 2 2" xfId="18437"/>
    <cellStyle name="Heading 1 2 3 3 2 5 5 3" xfId="18438"/>
    <cellStyle name="Heading 1 2 3 3 2 5 6" xfId="18439"/>
    <cellStyle name="Heading 1 2 3 3 2 5 6 2" xfId="18440"/>
    <cellStyle name="Heading 1 2 3 3 2 5 6 2 2" xfId="18441"/>
    <cellStyle name="Heading 1 2 3 3 2 5 6 3" xfId="18442"/>
    <cellStyle name="Heading 1 2 3 3 2 5 7" xfId="18443"/>
    <cellStyle name="Heading 1 2 3 3 2 5 7 2" xfId="18444"/>
    <cellStyle name="Heading 1 2 3 3 2 5 7 2 2" xfId="18445"/>
    <cellStyle name="Heading 1 2 3 3 2 5 7 3" xfId="18446"/>
    <cellStyle name="Heading 1 2 3 3 2 5 8" xfId="18447"/>
    <cellStyle name="Heading 1 2 3 3 2 5 8 2" xfId="18448"/>
    <cellStyle name="Heading 1 2 3 3 2 5 9" xfId="18449"/>
    <cellStyle name="Heading 1 2 3 3 2 6" xfId="18450"/>
    <cellStyle name="Heading 1 2 3 3 2 6 2" xfId="18451"/>
    <cellStyle name="Heading 1 2 3 3 2 6 2 2" xfId="18452"/>
    <cellStyle name="Heading 1 2 3 3 2 6 2 2 2" xfId="18453"/>
    <cellStyle name="Heading 1 2 3 3 2 6 2 3" xfId="18454"/>
    <cellStyle name="Heading 1 2 3 3 2 6 3" xfId="18455"/>
    <cellStyle name="Heading 1 2 3 3 2 6 3 2" xfId="18456"/>
    <cellStyle name="Heading 1 2 3 3 2 6 3 2 2" xfId="18457"/>
    <cellStyle name="Heading 1 2 3 3 2 6 3 3" xfId="18458"/>
    <cellStyle name="Heading 1 2 3 3 2 6 4" xfId="18459"/>
    <cellStyle name="Heading 1 2 3 3 2 6 4 2" xfId="18460"/>
    <cellStyle name="Heading 1 2 3 3 2 6 4 2 2" xfId="18461"/>
    <cellStyle name="Heading 1 2 3 3 2 6 4 3" xfId="18462"/>
    <cellStyle name="Heading 1 2 3 3 2 6 5" xfId="18463"/>
    <cellStyle name="Heading 1 2 3 3 2 6 5 2" xfId="18464"/>
    <cellStyle name="Heading 1 2 3 3 2 6 5 2 2" xfId="18465"/>
    <cellStyle name="Heading 1 2 3 3 2 6 5 3" xfId="18466"/>
    <cellStyle name="Heading 1 2 3 3 2 6 6" xfId="18467"/>
    <cellStyle name="Heading 1 2 3 3 2 6 6 2" xfId="18468"/>
    <cellStyle name="Heading 1 2 3 3 2 6 6 2 2" xfId="18469"/>
    <cellStyle name="Heading 1 2 3 3 2 6 6 3" xfId="18470"/>
    <cellStyle name="Heading 1 2 3 3 2 6 7" xfId="18471"/>
    <cellStyle name="Heading 1 2 3 3 2 6 7 2" xfId="18472"/>
    <cellStyle name="Heading 1 2 3 3 2 6 7 2 2" xfId="18473"/>
    <cellStyle name="Heading 1 2 3 3 2 6 7 3" xfId="18474"/>
    <cellStyle name="Heading 1 2 3 3 2 6 8" xfId="18475"/>
    <cellStyle name="Heading 1 2 3 3 2 6 8 2" xfId="18476"/>
    <cellStyle name="Heading 1 2 3 3 2 6 9" xfId="18477"/>
    <cellStyle name="Heading 1 2 3 3 2 7" xfId="18478"/>
    <cellStyle name="Heading 1 2 3 3 2 7 2" xfId="18479"/>
    <cellStyle name="Heading 1 2 3 3 2 7 2 2" xfId="18480"/>
    <cellStyle name="Heading 1 2 3 3 2 7 2 2 2" xfId="18481"/>
    <cellStyle name="Heading 1 2 3 3 2 7 2 3" xfId="18482"/>
    <cellStyle name="Heading 1 2 3 3 2 7 3" xfId="18483"/>
    <cellStyle name="Heading 1 2 3 3 2 7 3 2" xfId="18484"/>
    <cellStyle name="Heading 1 2 3 3 2 7 3 2 2" xfId="18485"/>
    <cellStyle name="Heading 1 2 3 3 2 7 3 3" xfId="18486"/>
    <cellStyle name="Heading 1 2 3 3 2 7 4" xfId="18487"/>
    <cellStyle name="Heading 1 2 3 3 2 7 4 2" xfId="18488"/>
    <cellStyle name="Heading 1 2 3 3 2 7 4 2 2" xfId="18489"/>
    <cellStyle name="Heading 1 2 3 3 2 7 4 3" xfId="18490"/>
    <cellStyle name="Heading 1 2 3 3 2 7 5" xfId="18491"/>
    <cellStyle name="Heading 1 2 3 3 2 7 5 2" xfId="18492"/>
    <cellStyle name="Heading 1 2 3 3 2 7 5 2 2" xfId="18493"/>
    <cellStyle name="Heading 1 2 3 3 2 7 5 3" xfId="18494"/>
    <cellStyle name="Heading 1 2 3 3 2 7 6" xfId="18495"/>
    <cellStyle name="Heading 1 2 3 3 2 7 6 2" xfId="18496"/>
    <cellStyle name="Heading 1 2 3 3 2 7 6 2 2" xfId="18497"/>
    <cellStyle name="Heading 1 2 3 3 2 7 6 3" xfId="18498"/>
    <cellStyle name="Heading 1 2 3 3 2 7 7" xfId="18499"/>
    <cellStyle name="Heading 1 2 3 3 2 7 7 2" xfId="18500"/>
    <cellStyle name="Heading 1 2 3 3 2 7 7 2 2" xfId="18501"/>
    <cellStyle name="Heading 1 2 3 3 2 7 7 3" xfId="18502"/>
    <cellStyle name="Heading 1 2 3 3 2 7 8" xfId="18503"/>
    <cellStyle name="Heading 1 2 3 3 2 7 8 2" xfId="18504"/>
    <cellStyle name="Heading 1 2 3 3 2 7 9" xfId="18505"/>
    <cellStyle name="Heading 1 2 3 3 2 8" xfId="18506"/>
    <cellStyle name="Heading 1 2 3 3 2 8 2" xfId="18507"/>
    <cellStyle name="Heading 1 2 3 3 2 8 2 2" xfId="18508"/>
    <cellStyle name="Heading 1 2 3 3 2 8 2 2 2" xfId="18509"/>
    <cellStyle name="Heading 1 2 3 3 2 8 2 3" xfId="18510"/>
    <cellStyle name="Heading 1 2 3 3 2 8 3" xfId="18511"/>
    <cellStyle name="Heading 1 2 3 3 2 8 3 2" xfId="18512"/>
    <cellStyle name="Heading 1 2 3 3 2 8 3 2 2" xfId="18513"/>
    <cellStyle name="Heading 1 2 3 3 2 8 3 3" xfId="18514"/>
    <cellStyle name="Heading 1 2 3 3 2 8 4" xfId="18515"/>
    <cellStyle name="Heading 1 2 3 3 2 8 4 2" xfId="18516"/>
    <cellStyle name="Heading 1 2 3 3 2 8 4 2 2" xfId="18517"/>
    <cellStyle name="Heading 1 2 3 3 2 8 4 3" xfId="18518"/>
    <cellStyle name="Heading 1 2 3 3 2 8 5" xfId="18519"/>
    <cellStyle name="Heading 1 2 3 3 2 8 5 2" xfId="18520"/>
    <cellStyle name="Heading 1 2 3 3 2 8 5 2 2" xfId="18521"/>
    <cellStyle name="Heading 1 2 3 3 2 8 5 3" xfId="18522"/>
    <cellStyle name="Heading 1 2 3 3 2 8 6" xfId="18523"/>
    <cellStyle name="Heading 1 2 3 3 2 8 6 2" xfId="18524"/>
    <cellStyle name="Heading 1 2 3 3 2 8 6 2 2" xfId="18525"/>
    <cellStyle name="Heading 1 2 3 3 2 8 6 3" xfId="18526"/>
    <cellStyle name="Heading 1 2 3 3 2 8 7" xfId="18527"/>
    <cellStyle name="Heading 1 2 3 3 2 8 7 2" xfId="18528"/>
    <cellStyle name="Heading 1 2 3 3 2 8 7 2 2" xfId="18529"/>
    <cellStyle name="Heading 1 2 3 3 2 8 7 3" xfId="18530"/>
    <cellStyle name="Heading 1 2 3 3 2 8 8" xfId="18531"/>
    <cellStyle name="Heading 1 2 3 3 2 8 8 2" xfId="18532"/>
    <cellStyle name="Heading 1 2 3 3 2 8 9" xfId="18533"/>
    <cellStyle name="Heading 1 2 3 3 2 9" xfId="18534"/>
    <cellStyle name="Heading 1 2 3 3 2 9 2" xfId="18535"/>
    <cellStyle name="Heading 1 2 3 3 2 9 2 2" xfId="18536"/>
    <cellStyle name="Heading 1 2 3 3 2 9 2 2 2" xfId="18537"/>
    <cellStyle name="Heading 1 2 3 3 2 9 2 3" xfId="18538"/>
    <cellStyle name="Heading 1 2 3 3 2 9 3" xfId="18539"/>
    <cellStyle name="Heading 1 2 3 3 2 9 3 2" xfId="18540"/>
    <cellStyle name="Heading 1 2 3 3 2 9 3 2 2" xfId="18541"/>
    <cellStyle name="Heading 1 2 3 3 2 9 3 3" xfId="18542"/>
    <cellStyle name="Heading 1 2 3 3 2 9 4" xfId="18543"/>
    <cellStyle name="Heading 1 2 3 3 2 9 4 2" xfId="18544"/>
    <cellStyle name="Heading 1 2 3 3 2 9 4 2 2" xfId="18545"/>
    <cellStyle name="Heading 1 2 3 3 2 9 4 3" xfId="18546"/>
    <cellStyle name="Heading 1 2 3 3 2 9 5" xfId="18547"/>
    <cellStyle name="Heading 1 2 3 3 2 9 5 2" xfId="18548"/>
    <cellStyle name="Heading 1 2 3 3 2 9 5 2 2" xfId="18549"/>
    <cellStyle name="Heading 1 2 3 3 2 9 5 3" xfId="18550"/>
    <cellStyle name="Heading 1 2 3 3 2 9 6" xfId="18551"/>
    <cellStyle name="Heading 1 2 3 3 2 9 6 2" xfId="18552"/>
    <cellStyle name="Heading 1 2 3 3 2 9 6 2 2" xfId="18553"/>
    <cellStyle name="Heading 1 2 3 3 2 9 6 3" xfId="18554"/>
    <cellStyle name="Heading 1 2 3 3 2 9 7" xfId="18555"/>
    <cellStyle name="Heading 1 2 3 3 2 9 7 2" xfId="18556"/>
    <cellStyle name="Heading 1 2 3 3 2 9 7 2 2" xfId="18557"/>
    <cellStyle name="Heading 1 2 3 3 2 9 7 3" xfId="18558"/>
    <cellStyle name="Heading 1 2 3 3 2 9 8" xfId="18559"/>
    <cellStyle name="Heading 1 2 3 3 2 9 8 2" xfId="18560"/>
    <cellStyle name="Heading 1 2 3 3 2 9 9" xfId="18561"/>
    <cellStyle name="Heading 1 2 3 3 3" xfId="18562"/>
    <cellStyle name="Heading 1 2 3 3 3 10" xfId="18563"/>
    <cellStyle name="Heading 1 2 3 3 3 10 2" xfId="18564"/>
    <cellStyle name="Heading 1 2 3 3 3 10 2 2" xfId="18565"/>
    <cellStyle name="Heading 1 2 3 3 3 10 3" xfId="18566"/>
    <cellStyle name="Heading 1 2 3 3 3 11" xfId="18567"/>
    <cellStyle name="Heading 1 2 3 3 3 11 2" xfId="18568"/>
    <cellStyle name="Heading 1 2 3 3 3 11 2 2" xfId="18569"/>
    <cellStyle name="Heading 1 2 3 3 3 11 3" xfId="18570"/>
    <cellStyle name="Heading 1 2 3 3 3 12" xfId="18571"/>
    <cellStyle name="Heading 1 2 3 3 3 12 2" xfId="18572"/>
    <cellStyle name="Heading 1 2 3 3 3 12 2 2" xfId="18573"/>
    <cellStyle name="Heading 1 2 3 3 3 12 3" xfId="18574"/>
    <cellStyle name="Heading 1 2 3 3 3 13" xfId="18575"/>
    <cellStyle name="Heading 1 2 3 3 3 13 2" xfId="18576"/>
    <cellStyle name="Heading 1 2 3 3 3 13 2 2" xfId="18577"/>
    <cellStyle name="Heading 1 2 3 3 3 13 3" xfId="18578"/>
    <cellStyle name="Heading 1 2 3 3 3 14" xfId="18579"/>
    <cellStyle name="Heading 1 2 3 3 3 14 2" xfId="18580"/>
    <cellStyle name="Heading 1 2 3 3 3 14 2 2" xfId="18581"/>
    <cellStyle name="Heading 1 2 3 3 3 14 3" xfId="18582"/>
    <cellStyle name="Heading 1 2 3 3 3 15" xfId="18583"/>
    <cellStyle name="Heading 1 2 3 3 3 15 2" xfId="18584"/>
    <cellStyle name="Heading 1 2 3 3 3 15 2 2" xfId="18585"/>
    <cellStyle name="Heading 1 2 3 3 3 15 3" xfId="18586"/>
    <cellStyle name="Heading 1 2 3 3 3 16" xfId="18587"/>
    <cellStyle name="Heading 1 2 3 3 3 16 2" xfId="18588"/>
    <cellStyle name="Heading 1 2 3 3 3 16 2 2" xfId="18589"/>
    <cellStyle name="Heading 1 2 3 3 3 16 3" xfId="18590"/>
    <cellStyle name="Heading 1 2 3 3 3 17" xfId="18591"/>
    <cellStyle name="Heading 1 2 3 3 3 17 2" xfId="18592"/>
    <cellStyle name="Heading 1 2 3 3 3 17 2 2" xfId="18593"/>
    <cellStyle name="Heading 1 2 3 3 3 17 3" xfId="18594"/>
    <cellStyle name="Heading 1 2 3 3 3 18" xfId="18595"/>
    <cellStyle name="Heading 1 2 3 3 3 18 2" xfId="18596"/>
    <cellStyle name="Heading 1 2 3 3 3 18 2 2" xfId="18597"/>
    <cellStyle name="Heading 1 2 3 3 3 18 3" xfId="18598"/>
    <cellStyle name="Heading 1 2 3 3 3 19" xfId="18599"/>
    <cellStyle name="Heading 1 2 3 3 3 19 2" xfId="18600"/>
    <cellStyle name="Heading 1 2 3 3 3 2" xfId="18601"/>
    <cellStyle name="Heading 1 2 3 3 3 2 2" xfId="18602"/>
    <cellStyle name="Heading 1 2 3 3 3 2 2 2" xfId="18603"/>
    <cellStyle name="Heading 1 2 3 3 3 2 2 2 2" xfId="18604"/>
    <cellStyle name="Heading 1 2 3 3 3 2 2 3" xfId="18605"/>
    <cellStyle name="Heading 1 2 3 3 3 2 3" xfId="18606"/>
    <cellStyle name="Heading 1 2 3 3 3 2 3 2" xfId="18607"/>
    <cellStyle name="Heading 1 2 3 3 3 2 3 2 2" xfId="18608"/>
    <cellStyle name="Heading 1 2 3 3 3 2 3 3" xfId="18609"/>
    <cellStyle name="Heading 1 2 3 3 3 2 4" xfId="18610"/>
    <cellStyle name="Heading 1 2 3 3 3 2 4 2" xfId="18611"/>
    <cellStyle name="Heading 1 2 3 3 3 2 4 2 2" xfId="18612"/>
    <cellStyle name="Heading 1 2 3 3 3 2 4 3" xfId="18613"/>
    <cellStyle name="Heading 1 2 3 3 3 2 5" xfId="18614"/>
    <cellStyle name="Heading 1 2 3 3 3 2 5 2" xfId="18615"/>
    <cellStyle name="Heading 1 2 3 3 3 2 5 2 2" xfId="18616"/>
    <cellStyle name="Heading 1 2 3 3 3 2 5 3" xfId="18617"/>
    <cellStyle name="Heading 1 2 3 3 3 2 6" xfId="18618"/>
    <cellStyle name="Heading 1 2 3 3 3 2 6 2" xfId="18619"/>
    <cellStyle name="Heading 1 2 3 3 3 2 6 2 2" xfId="18620"/>
    <cellStyle name="Heading 1 2 3 3 3 2 6 3" xfId="18621"/>
    <cellStyle name="Heading 1 2 3 3 3 2 7" xfId="18622"/>
    <cellStyle name="Heading 1 2 3 3 3 2 7 2" xfId="18623"/>
    <cellStyle name="Heading 1 2 3 3 3 2 7 2 2" xfId="18624"/>
    <cellStyle name="Heading 1 2 3 3 3 2 7 3" xfId="18625"/>
    <cellStyle name="Heading 1 2 3 3 3 2 8" xfId="18626"/>
    <cellStyle name="Heading 1 2 3 3 3 2 8 2" xfId="18627"/>
    <cellStyle name="Heading 1 2 3 3 3 2 9" xfId="18628"/>
    <cellStyle name="Heading 1 2 3 3 3 20" xfId="18629"/>
    <cellStyle name="Heading 1 2 3 3 3 20 2" xfId="18630"/>
    <cellStyle name="Heading 1 2 3 3 3 21" xfId="18631"/>
    <cellStyle name="Heading 1 2 3 3 3 21 2" xfId="18632"/>
    <cellStyle name="Heading 1 2 3 3 3 22" xfId="18633"/>
    <cellStyle name="Heading 1 2 3 3 3 3" xfId="18634"/>
    <cellStyle name="Heading 1 2 3 3 3 3 2" xfId="18635"/>
    <cellStyle name="Heading 1 2 3 3 3 3 2 2" xfId="18636"/>
    <cellStyle name="Heading 1 2 3 3 3 3 2 2 2" xfId="18637"/>
    <cellStyle name="Heading 1 2 3 3 3 3 2 3" xfId="18638"/>
    <cellStyle name="Heading 1 2 3 3 3 3 3" xfId="18639"/>
    <cellStyle name="Heading 1 2 3 3 3 3 3 2" xfId="18640"/>
    <cellStyle name="Heading 1 2 3 3 3 3 3 2 2" xfId="18641"/>
    <cellStyle name="Heading 1 2 3 3 3 3 3 3" xfId="18642"/>
    <cellStyle name="Heading 1 2 3 3 3 3 4" xfId="18643"/>
    <cellStyle name="Heading 1 2 3 3 3 3 4 2" xfId="18644"/>
    <cellStyle name="Heading 1 2 3 3 3 3 4 2 2" xfId="18645"/>
    <cellStyle name="Heading 1 2 3 3 3 3 4 3" xfId="18646"/>
    <cellStyle name="Heading 1 2 3 3 3 3 5" xfId="18647"/>
    <cellStyle name="Heading 1 2 3 3 3 3 5 2" xfId="18648"/>
    <cellStyle name="Heading 1 2 3 3 3 3 5 2 2" xfId="18649"/>
    <cellStyle name="Heading 1 2 3 3 3 3 5 3" xfId="18650"/>
    <cellStyle name="Heading 1 2 3 3 3 3 6" xfId="18651"/>
    <cellStyle name="Heading 1 2 3 3 3 3 6 2" xfId="18652"/>
    <cellStyle name="Heading 1 2 3 3 3 3 6 2 2" xfId="18653"/>
    <cellStyle name="Heading 1 2 3 3 3 3 6 3" xfId="18654"/>
    <cellStyle name="Heading 1 2 3 3 3 3 7" xfId="18655"/>
    <cellStyle name="Heading 1 2 3 3 3 3 7 2" xfId="18656"/>
    <cellStyle name="Heading 1 2 3 3 3 3 7 2 2" xfId="18657"/>
    <cellStyle name="Heading 1 2 3 3 3 3 7 3" xfId="18658"/>
    <cellStyle name="Heading 1 2 3 3 3 3 8" xfId="18659"/>
    <cellStyle name="Heading 1 2 3 3 3 3 8 2" xfId="18660"/>
    <cellStyle name="Heading 1 2 3 3 3 3 9" xfId="18661"/>
    <cellStyle name="Heading 1 2 3 3 3 4" xfId="18662"/>
    <cellStyle name="Heading 1 2 3 3 3 4 2" xfId="18663"/>
    <cellStyle name="Heading 1 2 3 3 3 4 2 2" xfId="18664"/>
    <cellStyle name="Heading 1 2 3 3 3 4 2 2 2" xfId="18665"/>
    <cellStyle name="Heading 1 2 3 3 3 4 2 3" xfId="18666"/>
    <cellStyle name="Heading 1 2 3 3 3 4 3" xfId="18667"/>
    <cellStyle name="Heading 1 2 3 3 3 4 3 2" xfId="18668"/>
    <cellStyle name="Heading 1 2 3 3 3 4 3 2 2" xfId="18669"/>
    <cellStyle name="Heading 1 2 3 3 3 4 3 3" xfId="18670"/>
    <cellStyle name="Heading 1 2 3 3 3 4 4" xfId="18671"/>
    <cellStyle name="Heading 1 2 3 3 3 4 4 2" xfId="18672"/>
    <cellStyle name="Heading 1 2 3 3 3 4 4 2 2" xfId="18673"/>
    <cellStyle name="Heading 1 2 3 3 3 4 4 3" xfId="18674"/>
    <cellStyle name="Heading 1 2 3 3 3 4 5" xfId="18675"/>
    <cellStyle name="Heading 1 2 3 3 3 4 5 2" xfId="18676"/>
    <cellStyle name="Heading 1 2 3 3 3 4 5 2 2" xfId="18677"/>
    <cellStyle name="Heading 1 2 3 3 3 4 5 3" xfId="18678"/>
    <cellStyle name="Heading 1 2 3 3 3 4 6" xfId="18679"/>
    <cellStyle name="Heading 1 2 3 3 3 4 6 2" xfId="18680"/>
    <cellStyle name="Heading 1 2 3 3 3 4 6 2 2" xfId="18681"/>
    <cellStyle name="Heading 1 2 3 3 3 4 6 3" xfId="18682"/>
    <cellStyle name="Heading 1 2 3 3 3 4 7" xfId="18683"/>
    <cellStyle name="Heading 1 2 3 3 3 4 7 2" xfId="18684"/>
    <cellStyle name="Heading 1 2 3 3 3 4 7 2 2" xfId="18685"/>
    <cellStyle name="Heading 1 2 3 3 3 4 7 3" xfId="18686"/>
    <cellStyle name="Heading 1 2 3 3 3 4 8" xfId="18687"/>
    <cellStyle name="Heading 1 2 3 3 3 4 8 2" xfId="18688"/>
    <cellStyle name="Heading 1 2 3 3 3 4 9" xfId="18689"/>
    <cellStyle name="Heading 1 2 3 3 3 5" xfId="18690"/>
    <cellStyle name="Heading 1 2 3 3 3 5 2" xfId="18691"/>
    <cellStyle name="Heading 1 2 3 3 3 5 2 2" xfId="18692"/>
    <cellStyle name="Heading 1 2 3 3 3 5 2 2 2" xfId="18693"/>
    <cellStyle name="Heading 1 2 3 3 3 5 2 3" xfId="18694"/>
    <cellStyle name="Heading 1 2 3 3 3 5 3" xfId="18695"/>
    <cellStyle name="Heading 1 2 3 3 3 5 3 2" xfId="18696"/>
    <cellStyle name="Heading 1 2 3 3 3 5 3 2 2" xfId="18697"/>
    <cellStyle name="Heading 1 2 3 3 3 5 3 3" xfId="18698"/>
    <cellStyle name="Heading 1 2 3 3 3 5 4" xfId="18699"/>
    <cellStyle name="Heading 1 2 3 3 3 5 4 2" xfId="18700"/>
    <cellStyle name="Heading 1 2 3 3 3 5 4 2 2" xfId="18701"/>
    <cellStyle name="Heading 1 2 3 3 3 5 4 3" xfId="18702"/>
    <cellStyle name="Heading 1 2 3 3 3 5 5" xfId="18703"/>
    <cellStyle name="Heading 1 2 3 3 3 5 5 2" xfId="18704"/>
    <cellStyle name="Heading 1 2 3 3 3 5 5 2 2" xfId="18705"/>
    <cellStyle name="Heading 1 2 3 3 3 5 5 3" xfId="18706"/>
    <cellStyle name="Heading 1 2 3 3 3 5 6" xfId="18707"/>
    <cellStyle name="Heading 1 2 3 3 3 5 6 2" xfId="18708"/>
    <cellStyle name="Heading 1 2 3 3 3 5 6 2 2" xfId="18709"/>
    <cellStyle name="Heading 1 2 3 3 3 5 6 3" xfId="18710"/>
    <cellStyle name="Heading 1 2 3 3 3 5 7" xfId="18711"/>
    <cellStyle name="Heading 1 2 3 3 3 5 7 2" xfId="18712"/>
    <cellStyle name="Heading 1 2 3 3 3 5 7 2 2" xfId="18713"/>
    <cellStyle name="Heading 1 2 3 3 3 5 7 3" xfId="18714"/>
    <cellStyle name="Heading 1 2 3 3 3 5 8" xfId="18715"/>
    <cellStyle name="Heading 1 2 3 3 3 5 8 2" xfId="18716"/>
    <cellStyle name="Heading 1 2 3 3 3 5 9" xfId="18717"/>
    <cellStyle name="Heading 1 2 3 3 3 6" xfId="18718"/>
    <cellStyle name="Heading 1 2 3 3 3 6 2" xfId="18719"/>
    <cellStyle name="Heading 1 2 3 3 3 6 2 2" xfId="18720"/>
    <cellStyle name="Heading 1 2 3 3 3 6 2 2 2" xfId="18721"/>
    <cellStyle name="Heading 1 2 3 3 3 6 2 3" xfId="18722"/>
    <cellStyle name="Heading 1 2 3 3 3 6 3" xfId="18723"/>
    <cellStyle name="Heading 1 2 3 3 3 6 3 2" xfId="18724"/>
    <cellStyle name="Heading 1 2 3 3 3 6 3 2 2" xfId="18725"/>
    <cellStyle name="Heading 1 2 3 3 3 6 3 3" xfId="18726"/>
    <cellStyle name="Heading 1 2 3 3 3 6 4" xfId="18727"/>
    <cellStyle name="Heading 1 2 3 3 3 6 4 2" xfId="18728"/>
    <cellStyle name="Heading 1 2 3 3 3 6 4 2 2" xfId="18729"/>
    <cellStyle name="Heading 1 2 3 3 3 6 4 3" xfId="18730"/>
    <cellStyle name="Heading 1 2 3 3 3 6 5" xfId="18731"/>
    <cellStyle name="Heading 1 2 3 3 3 6 5 2" xfId="18732"/>
    <cellStyle name="Heading 1 2 3 3 3 6 5 2 2" xfId="18733"/>
    <cellStyle name="Heading 1 2 3 3 3 6 5 3" xfId="18734"/>
    <cellStyle name="Heading 1 2 3 3 3 6 6" xfId="18735"/>
    <cellStyle name="Heading 1 2 3 3 3 6 6 2" xfId="18736"/>
    <cellStyle name="Heading 1 2 3 3 3 6 6 2 2" xfId="18737"/>
    <cellStyle name="Heading 1 2 3 3 3 6 6 3" xfId="18738"/>
    <cellStyle name="Heading 1 2 3 3 3 6 7" xfId="18739"/>
    <cellStyle name="Heading 1 2 3 3 3 6 7 2" xfId="18740"/>
    <cellStyle name="Heading 1 2 3 3 3 6 7 2 2" xfId="18741"/>
    <cellStyle name="Heading 1 2 3 3 3 6 7 3" xfId="18742"/>
    <cellStyle name="Heading 1 2 3 3 3 6 8" xfId="18743"/>
    <cellStyle name="Heading 1 2 3 3 3 6 8 2" xfId="18744"/>
    <cellStyle name="Heading 1 2 3 3 3 6 9" xfId="18745"/>
    <cellStyle name="Heading 1 2 3 3 3 7" xfId="18746"/>
    <cellStyle name="Heading 1 2 3 3 3 7 2" xfId="18747"/>
    <cellStyle name="Heading 1 2 3 3 3 7 2 2" xfId="18748"/>
    <cellStyle name="Heading 1 2 3 3 3 7 2 2 2" xfId="18749"/>
    <cellStyle name="Heading 1 2 3 3 3 7 2 3" xfId="18750"/>
    <cellStyle name="Heading 1 2 3 3 3 7 3" xfId="18751"/>
    <cellStyle name="Heading 1 2 3 3 3 7 3 2" xfId="18752"/>
    <cellStyle name="Heading 1 2 3 3 3 7 3 2 2" xfId="18753"/>
    <cellStyle name="Heading 1 2 3 3 3 7 3 3" xfId="18754"/>
    <cellStyle name="Heading 1 2 3 3 3 7 4" xfId="18755"/>
    <cellStyle name="Heading 1 2 3 3 3 7 4 2" xfId="18756"/>
    <cellStyle name="Heading 1 2 3 3 3 7 4 2 2" xfId="18757"/>
    <cellStyle name="Heading 1 2 3 3 3 7 4 3" xfId="18758"/>
    <cellStyle name="Heading 1 2 3 3 3 7 5" xfId="18759"/>
    <cellStyle name="Heading 1 2 3 3 3 7 5 2" xfId="18760"/>
    <cellStyle name="Heading 1 2 3 3 3 7 5 2 2" xfId="18761"/>
    <cellStyle name="Heading 1 2 3 3 3 7 5 3" xfId="18762"/>
    <cellStyle name="Heading 1 2 3 3 3 7 6" xfId="18763"/>
    <cellStyle name="Heading 1 2 3 3 3 7 6 2" xfId="18764"/>
    <cellStyle name="Heading 1 2 3 3 3 7 6 2 2" xfId="18765"/>
    <cellStyle name="Heading 1 2 3 3 3 7 6 3" xfId="18766"/>
    <cellStyle name="Heading 1 2 3 3 3 7 7" xfId="18767"/>
    <cellStyle name="Heading 1 2 3 3 3 7 7 2" xfId="18768"/>
    <cellStyle name="Heading 1 2 3 3 3 7 7 2 2" xfId="18769"/>
    <cellStyle name="Heading 1 2 3 3 3 7 7 3" xfId="18770"/>
    <cellStyle name="Heading 1 2 3 3 3 7 8" xfId="18771"/>
    <cellStyle name="Heading 1 2 3 3 3 7 8 2" xfId="18772"/>
    <cellStyle name="Heading 1 2 3 3 3 7 9" xfId="18773"/>
    <cellStyle name="Heading 1 2 3 3 3 8" xfId="18774"/>
    <cellStyle name="Heading 1 2 3 3 3 8 2" xfId="18775"/>
    <cellStyle name="Heading 1 2 3 3 3 8 2 2" xfId="18776"/>
    <cellStyle name="Heading 1 2 3 3 3 8 2 2 2" xfId="18777"/>
    <cellStyle name="Heading 1 2 3 3 3 8 2 3" xfId="18778"/>
    <cellStyle name="Heading 1 2 3 3 3 8 3" xfId="18779"/>
    <cellStyle name="Heading 1 2 3 3 3 8 3 2" xfId="18780"/>
    <cellStyle name="Heading 1 2 3 3 3 8 3 2 2" xfId="18781"/>
    <cellStyle name="Heading 1 2 3 3 3 8 3 3" xfId="18782"/>
    <cellStyle name="Heading 1 2 3 3 3 8 4" xfId="18783"/>
    <cellStyle name="Heading 1 2 3 3 3 8 4 2" xfId="18784"/>
    <cellStyle name="Heading 1 2 3 3 3 8 4 2 2" xfId="18785"/>
    <cellStyle name="Heading 1 2 3 3 3 8 4 3" xfId="18786"/>
    <cellStyle name="Heading 1 2 3 3 3 8 5" xfId="18787"/>
    <cellStyle name="Heading 1 2 3 3 3 8 5 2" xfId="18788"/>
    <cellStyle name="Heading 1 2 3 3 3 8 5 2 2" xfId="18789"/>
    <cellStyle name="Heading 1 2 3 3 3 8 5 3" xfId="18790"/>
    <cellStyle name="Heading 1 2 3 3 3 8 6" xfId="18791"/>
    <cellStyle name="Heading 1 2 3 3 3 8 6 2" xfId="18792"/>
    <cellStyle name="Heading 1 2 3 3 3 8 6 2 2" xfId="18793"/>
    <cellStyle name="Heading 1 2 3 3 3 8 6 3" xfId="18794"/>
    <cellStyle name="Heading 1 2 3 3 3 8 7" xfId="18795"/>
    <cellStyle name="Heading 1 2 3 3 3 8 7 2" xfId="18796"/>
    <cellStyle name="Heading 1 2 3 3 3 8 7 2 2" xfId="18797"/>
    <cellStyle name="Heading 1 2 3 3 3 8 7 3" xfId="18798"/>
    <cellStyle name="Heading 1 2 3 3 3 8 8" xfId="18799"/>
    <cellStyle name="Heading 1 2 3 3 3 8 8 2" xfId="18800"/>
    <cellStyle name="Heading 1 2 3 3 3 8 9" xfId="18801"/>
    <cellStyle name="Heading 1 2 3 3 3 9" xfId="18802"/>
    <cellStyle name="Heading 1 2 3 3 3 9 2" xfId="18803"/>
    <cellStyle name="Heading 1 2 3 3 3 9 2 2" xfId="18804"/>
    <cellStyle name="Heading 1 2 3 3 3 9 3" xfId="18805"/>
    <cellStyle name="Heading 1 2 3 3 4" xfId="18806"/>
    <cellStyle name="Heading 1 2 3 3 4 2" xfId="18807"/>
    <cellStyle name="Heading 1 2 3 3 4 2 2" xfId="18808"/>
    <cellStyle name="Heading 1 2 3 3 4 3" xfId="18809"/>
    <cellStyle name="Heading 1 2 3 3 5" xfId="18810"/>
    <cellStyle name="Heading 1 2 3 3 5 2" xfId="18811"/>
    <cellStyle name="Heading 1 2 3 3 6" xfId="18812"/>
    <cellStyle name="Heading 1 2 3 4" xfId="18813"/>
    <cellStyle name="Heading 1 2 3 4 2" xfId="18814"/>
    <cellStyle name="Heading 1 2 3 4 2 10" xfId="18815"/>
    <cellStyle name="Heading 1 2 3 4 2 10 2" xfId="18816"/>
    <cellStyle name="Heading 1 2 3 4 2 10 2 2" xfId="18817"/>
    <cellStyle name="Heading 1 2 3 4 2 10 3" xfId="18818"/>
    <cellStyle name="Heading 1 2 3 4 2 11" xfId="18819"/>
    <cellStyle name="Heading 1 2 3 4 2 11 2" xfId="18820"/>
    <cellStyle name="Heading 1 2 3 4 2 11 2 2" xfId="18821"/>
    <cellStyle name="Heading 1 2 3 4 2 11 3" xfId="18822"/>
    <cellStyle name="Heading 1 2 3 4 2 12" xfId="18823"/>
    <cellStyle name="Heading 1 2 3 4 2 12 2" xfId="18824"/>
    <cellStyle name="Heading 1 2 3 4 2 12 2 2" xfId="18825"/>
    <cellStyle name="Heading 1 2 3 4 2 12 3" xfId="18826"/>
    <cellStyle name="Heading 1 2 3 4 2 13" xfId="18827"/>
    <cellStyle name="Heading 1 2 3 4 2 13 2" xfId="18828"/>
    <cellStyle name="Heading 1 2 3 4 2 13 2 2" xfId="18829"/>
    <cellStyle name="Heading 1 2 3 4 2 13 3" xfId="18830"/>
    <cellStyle name="Heading 1 2 3 4 2 14" xfId="18831"/>
    <cellStyle name="Heading 1 2 3 4 2 14 2" xfId="18832"/>
    <cellStyle name="Heading 1 2 3 4 2 14 2 2" xfId="18833"/>
    <cellStyle name="Heading 1 2 3 4 2 14 3" xfId="18834"/>
    <cellStyle name="Heading 1 2 3 4 2 15" xfId="18835"/>
    <cellStyle name="Heading 1 2 3 4 2 15 2" xfId="18836"/>
    <cellStyle name="Heading 1 2 3 4 2 15 2 2" xfId="18837"/>
    <cellStyle name="Heading 1 2 3 4 2 15 3" xfId="18838"/>
    <cellStyle name="Heading 1 2 3 4 2 16" xfId="18839"/>
    <cellStyle name="Heading 1 2 3 4 2 16 2" xfId="18840"/>
    <cellStyle name="Heading 1 2 3 4 2 16 2 2" xfId="18841"/>
    <cellStyle name="Heading 1 2 3 4 2 16 3" xfId="18842"/>
    <cellStyle name="Heading 1 2 3 4 2 17" xfId="18843"/>
    <cellStyle name="Heading 1 2 3 4 2 17 2" xfId="18844"/>
    <cellStyle name="Heading 1 2 3 4 2 17 2 2" xfId="18845"/>
    <cellStyle name="Heading 1 2 3 4 2 17 3" xfId="18846"/>
    <cellStyle name="Heading 1 2 3 4 2 18" xfId="18847"/>
    <cellStyle name="Heading 1 2 3 4 2 18 2" xfId="18848"/>
    <cellStyle name="Heading 1 2 3 4 2 18 2 2" xfId="18849"/>
    <cellStyle name="Heading 1 2 3 4 2 18 3" xfId="18850"/>
    <cellStyle name="Heading 1 2 3 4 2 19" xfId="18851"/>
    <cellStyle name="Heading 1 2 3 4 2 19 2" xfId="18852"/>
    <cellStyle name="Heading 1 2 3 4 2 19 2 2" xfId="18853"/>
    <cellStyle name="Heading 1 2 3 4 2 19 3" xfId="18854"/>
    <cellStyle name="Heading 1 2 3 4 2 2" xfId="18855"/>
    <cellStyle name="Heading 1 2 3 4 2 2 10" xfId="18856"/>
    <cellStyle name="Heading 1 2 3 4 2 2 10 2" xfId="18857"/>
    <cellStyle name="Heading 1 2 3 4 2 2 10 2 2" xfId="18858"/>
    <cellStyle name="Heading 1 2 3 4 2 2 10 3" xfId="18859"/>
    <cellStyle name="Heading 1 2 3 4 2 2 11" xfId="18860"/>
    <cellStyle name="Heading 1 2 3 4 2 2 11 2" xfId="18861"/>
    <cellStyle name="Heading 1 2 3 4 2 2 11 2 2" xfId="18862"/>
    <cellStyle name="Heading 1 2 3 4 2 2 11 3" xfId="18863"/>
    <cellStyle name="Heading 1 2 3 4 2 2 12" xfId="18864"/>
    <cellStyle name="Heading 1 2 3 4 2 2 12 2" xfId="18865"/>
    <cellStyle name="Heading 1 2 3 4 2 2 12 2 2" xfId="18866"/>
    <cellStyle name="Heading 1 2 3 4 2 2 12 3" xfId="18867"/>
    <cellStyle name="Heading 1 2 3 4 2 2 13" xfId="18868"/>
    <cellStyle name="Heading 1 2 3 4 2 2 13 2" xfId="18869"/>
    <cellStyle name="Heading 1 2 3 4 2 2 13 2 2" xfId="18870"/>
    <cellStyle name="Heading 1 2 3 4 2 2 13 3" xfId="18871"/>
    <cellStyle name="Heading 1 2 3 4 2 2 14" xfId="18872"/>
    <cellStyle name="Heading 1 2 3 4 2 2 14 2" xfId="18873"/>
    <cellStyle name="Heading 1 2 3 4 2 2 14 2 2" xfId="18874"/>
    <cellStyle name="Heading 1 2 3 4 2 2 14 3" xfId="18875"/>
    <cellStyle name="Heading 1 2 3 4 2 2 15" xfId="18876"/>
    <cellStyle name="Heading 1 2 3 4 2 2 15 2" xfId="18877"/>
    <cellStyle name="Heading 1 2 3 4 2 2 15 2 2" xfId="18878"/>
    <cellStyle name="Heading 1 2 3 4 2 2 15 3" xfId="18879"/>
    <cellStyle name="Heading 1 2 3 4 2 2 16" xfId="18880"/>
    <cellStyle name="Heading 1 2 3 4 2 2 16 2" xfId="18881"/>
    <cellStyle name="Heading 1 2 3 4 2 2 16 2 2" xfId="18882"/>
    <cellStyle name="Heading 1 2 3 4 2 2 16 3" xfId="18883"/>
    <cellStyle name="Heading 1 2 3 4 2 2 17" xfId="18884"/>
    <cellStyle name="Heading 1 2 3 4 2 2 17 2" xfId="18885"/>
    <cellStyle name="Heading 1 2 3 4 2 2 17 2 2" xfId="18886"/>
    <cellStyle name="Heading 1 2 3 4 2 2 17 3" xfId="18887"/>
    <cellStyle name="Heading 1 2 3 4 2 2 18" xfId="18888"/>
    <cellStyle name="Heading 1 2 3 4 2 2 18 2" xfId="18889"/>
    <cellStyle name="Heading 1 2 3 4 2 2 18 2 2" xfId="18890"/>
    <cellStyle name="Heading 1 2 3 4 2 2 18 3" xfId="18891"/>
    <cellStyle name="Heading 1 2 3 4 2 2 19" xfId="18892"/>
    <cellStyle name="Heading 1 2 3 4 2 2 19 2" xfId="18893"/>
    <cellStyle name="Heading 1 2 3 4 2 2 2" xfId="18894"/>
    <cellStyle name="Heading 1 2 3 4 2 2 2 2" xfId="18895"/>
    <cellStyle name="Heading 1 2 3 4 2 2 2 2 2" xfId="18896"/>
    <cellStyle name="Heading 1 2 3 4 2 2 2 2 2 2" xfId="18897"/>
    <cellStyle name="Heading 1 2 3 4 2 2 2 2 3" xfId="18898"/>
    <cellStyle name="Heading 1 2 3 4 2 2 2 3" xfId="18899"/>
    <cellStyle name="Heading 1 2 3 4 2 2 2 3 2" xfId="18900"/>
    <cellStyle name="Heading 1 2 3 4 2 2 2 3 2 2" xfId="18901"/>
    <cellStyle name="Heading 1 2 3 4 2 2 2 3 3" xfId="18902"/>
    <cellStyle name="Heading 1 2 3 4 2 2 2 4" xfId="18903"/>
    <cellStyle name="Heading 1 2 3 4 2 2 2 4 2" xfId="18904"/>
    <cellStyle name="Heading 1 2 3 4 2 2 2 4 2 2" xfId="18905"/>
    <cellStyle name="Heading 1 2 3 4 2 2 2 4 3" xfId="18906"/>
    <cellStyle name="Heading 1 2 3 4 2 2 2 5" xfId="18907"/>
    <cellStyle name="Heading 1 2 3 4 2 2 2 5 2" xfId="18908"/>
    <cellStyle name="Heading 1 2 3 4 2 2 2 5 2 2" xfId="18909"/>
    <cellStyle name="Heading 1 2 3 4 2 2 2 5 3" xfId="18910"/>
    <cellStyle name="Heading 1 2 3 4 2 2 2 6" xfId="18911"/>
    <cellStyle name="Heading 1 2 3 4 2 2 2 6 2" xfId="18912"/>
    <cellStyle name="Heading 1 2 3 4 2 2 2 6 2 2" xfId="18913"/>
    <cellStyle name="Heading 1 2 3 4 2 2 2 6 3" xfId="18914"/>
    <cellStyle name="Heading 1 2 3 4 2 2 2 7" xfId="18915"/>
    <cellStyle name="Heading 1 2 3 4 2 2 2 7 2" xfId="18916"/>
    <cellStyle name="Heading 1 2 3 4 2 2 2 7 2 2" xfId="18917"/>
    <cellStyle name="Heading 1 2 3 4 2 2 2 7 3" xfId="18918"/>
    <cellStyle name="Heading 1 2 3 4 2 2 2 8" xfId="18919"/>
    <cellStyle name="Heading 1 2 3 4 2 2 2 8 2" xfId="18920"/>
    <cellStyle name="Heading 1 2 3 4 2 2 2 9" xfId="18921"/>
    <cellStyle name="Heading 1 2 3 4 2 2 20" xfId="18922"/>
    <cellStyle name="Heading 1 2 3 4 2 2 20 2" xfId="18923"/>
    <cellStyle name="Heading 1 2 3 4 2 2 21" xfId="18924"/>
    <cellStyle name="Heading 1 2 3 4 2 2 21 2" xfId="18925"/>
    <cellStyle name="Heading 1 2 3 4 2 2 22" xfId="18926"/>
    <cellStyle name="Heading 1 2 3 4 2 2 3" xfId="18927"/>
    <cellStyle name="Heading 1 2 3 4 2 2 3 2" xfId="18928"/>
    <cellStyle name="Heading 1 2 3 4 2 2 3 2 2" xfId="18929"/>
    <cellStyle name="Heading 1 2 3 4 2 2 3 2 2 2" xfId="18930"/>
    <cellStyle name="Heading 1 2 3 4 2 2 3 2 3" xfId="18931"/>
    <cellStyle name="Heading 1 2 3 4 2 2 3 3" xfId="18932"/>
    <cellStyle name="Heading 1 2 3 4 2 2 3 3 2" xfId="18933"/>
    <cellStyle name="Heading 1 2 3 4 2 2 3 3 2 2" xfId="18934"/>
    <cellStyle name="Heading 1 2 3 4 2 2 3 3 3" xfId="18935"/>
    <cellStyle name="Heading 1 2 3 4 2 2 3 4" xfId="18936"/>
    <cellStyle name="Heading 1 2 3 4 2 2 3 4 2" xfId="18937"/>
    <cellStyle name="Heading 1 2 3 4 2 2 3 4 2 2" xfId="18938"/>
    <cellStyle name="Heading 1 2 3 4 2 2 3 4 3" xfId="18939"/>
    <cellStyle name="Heading 1 2 3 4 2 2 3 5" xfId="18940"/>
    <cellStyle name="Heading 1 2 3 4 2 2 3 5 2" xfId="18941"/>
    <cellStyle name="Heading 1 2 3 4 2 2 3 5 2 2" xfId="18942"/>
    <cellStyle name="Heading 1 2 3 4 2 2 3 5 3" xfId="18943"/>
    <cellStyle name="Heading 1 2 3 4 2 2 3 6" xfId="18944"/>
    <cellStyle name="Heading 1 2 3 4 2 2 3 6 2" xfId="18945"/>
    <cellStyle name="Heading 1 2 3 4 2 2 3 6 2 2" xfId="18946"/>
    <cellStyle name="Heading 1 2 3 4 2 2 3 6 3" xfId="18947"/>
    <cellStyle name="Heading 1 2 3 4 2 2 3 7" xfId="18948"/>
    <cellStyle name="Heading 1 2 3 4 2 2 3 7 2" xfId="18949"/>
    <cellStyle name="Heading 1 2 3 4 2 2 3 7 2 2" xfId="18950"/>
    <cellStyle name="Heading 1 2 3 4 2 2 3 7 3" xfId="18951"/>
    <cellStyle name="Heading 1 2 3 4 2 2 3 8" xfId="18952"/>
    <cellStyle name="Heading 1 2 3 4 2 2 3 8 2" xfId="18953"/>
    <cellStyle name="Heading 1 2 3 4 2 2 3 9" xfId="18954"/>
    <cellStyle name="Heading 1 2 3 4 2 2 4" xfId="18955"/>
    <cellStyle name="Heading 1 2 3 4 2 2 4 2" xfId="18956"/>
    <cellStyle name="Heading 1 2 3 4 2 2 4 2 2" xfId="18957"/>
    <cellStyle name="Heading 1 2 3 4 2 2 4 2 2 2" xfId="18958"/>
    <cellStyle name="Heading 1 2 3 4 2 2 4 2 3" xfId="18959"/>
    <cellStyle name="Heading 1 2 3 4 2 2 4 3" xfId="18960"/>
    <cellStyle name="Heading 1 2 3 4 2 2 4 3 2" xfId="18961"/>
    <cellStyle name="Heading 1 2 3 4 2 2 4 3 2 2" xfId="18962"/>
    <cellStyle name="Heading 1 2 3 4 2 2 4 3 3" xfId="18963"/>
    <cellStyle name="Heading 1 2 3 4 2 2 4 4" xfId="18964"/>
    <cellStyle name="Heading 1 2 3 4 2 2 4 4 2" xfId="18965"/>
    <cellStyle name="Heading 1 2 3 4 2 2 4 4 2 2" xfId="18966"/>
    <cellStyle name="Heading 1 2 3 4 2 2 4 4 3" xfId="18967"/>
    <cellStyle name="Heading 1 2 3 4 2 2 4 5" xfId="18968"/>
    <cellStyle name="Heading 1 2 3 4 2 2 4 5 2" xfId="18969"/>
    <cellStyle name="Heading 1 2 3 4 2 2 4 5 2 2" xfId="18970"/>
    <cellStyle name="Heading 1 2 3 4 2 2 4 5 3" xfId="18971"/>
    <cellStyle name="Heading 1 2 3 4 2 2 4 6" xfId="18972"/>
    <cellStyle name="Heading 1 2 3 4 2 2 4 6 2" xfId="18973"/>
    <cellStyle name="Heading 1 2 3 4 2 2 4 6 2 2" xfId="18974"/>
    <cellStyle name="Heading 1 2 3 4 2 2 4 6 3" xfId="18975"/>
    <cellStyle name="Heading 1 2 3 4 2 2 4 7" xfId="18976"/>
    <cellStyle name="Heading 1 2 3 4 2 2 4 7 2" xfId="18977"/>
    <cellStyle name="Heading 1 2 3 4 2 2 4 7 2 2" xfId="18978"/>
    <cellStyle name="Heading 1 2 3 4 2 2 4 7 3" xfId="18979"/>
    <cellStyle name="Heading 1 2 3 4 2 2 4 8" xfId="18980"/>
    <cellStyle name="Heading 1 2 3 4 2 2 4 8 2" xfId="18981"/>
    <cellStyle name="Heading 1 2 3 4 2 2 4 9" xfId="18982"/>
    <cellStyle name="Heading 1 2 3 4 2 2 5" xfId="18983"/>
    <cellStyle name="Heading 1 2 3 4 2 2 5 2" xfId="18984"/>
    <cellStyle name="Heading 1 2 3 4 2 2 5 2 2" xfId="18985"/>
    <cellStyle name="Heading 1 2 3 4 2 2 5 2 2 2" xfId="18986"/>
    <cellStyle name="Heading 1 2 3 4 2 2 5 2 3" xfId="18987"/>
    <cellStyle name="Heading 1 2 3 4 2 2 5 3" xfId="18988"/>
    <cellStyle name="Heading 1 2 3 4 2 2 5 3 2" xfId="18989"/>
    <cellStyle name="Heading 1 2 3 4 2 2 5 3 2 2" xfId="18990"/>
    <cellStyle name="Heading 1 2 3 4 2 2 5 3 3" xfId="18991"/>
    <cellStyle name="Heading 1 2 3 4 2 2 5 4" xfId="18992"/>
    <cellStyle name="Heading 1 2 3 4 2 2 5 4 2" xfId="18993"/>
    <cellStyle name="Heading 1 2 3 4 2 2 5 4 2 2" xfId="18994"/>
    <cellStyle name="Heading 1 2 3 4 2 2 5 4 3" xfId="18995"/>
    <cellStyle name="Heading 1 2 3 4 2 2 5 5" xfId="18996"/>
    <cellStyle name="Heading 1 2 3 4 2 2 5 5 2" xfId="18997"/>
    <cellStyle name="Heading 1 2 3 4 2 2 5 5 2 2" xfId="18998"/>
    <cellStyle name="Heading 1 2 3 4 2 2 5 5 3" xfId="18999"/>
    <cellStyle name="Heading 1 2 3 4 2 2 5 6" xfId="19000"/>
    <cellStyle name="Heading 1 2 3 4 2 2 5 6 2" xfId="19001"/>
    <cellStyle name="Heading 1 2 3 4 2 2 5 6 2 2" xfId="19002"/>
    <cellStyle name="Heading 1 2 3 4 2 2 5 6 3" xfId="19003"/>
    <cellStyle name="Heading 1 2 3 4 2 2 5 7" xfId="19004"/>
    <cellStyle name="Heading 1 2 3 4 2 2 5 7 2" xfId="19005"/>
    <cellStyle name="Heading 1 2 3 4 2 2 5 7 2 2" xfId="19006"/>
    <cellStyle name="Heading 1 2 3 4 2 2 5 7 3" xfId="19007"/>
    <cellStyle name="Heading 1 2 3 4 2 2 5 8" xfId="19008"/>
    <cellStyle name="Heading 1 2 3 4 2 2 5 8 2" xfId="19009"/>
    <cellStyle name="Heading 1 2 3 4 2 2 5 9" xfId="19010"/>
    <cellStyle name="Heading 1 2 3 4 2 2 6" xfId="19011"/>
    <cellStyle name="Heading 1 2 3 4 2 2 6 2" xfId="19012"/>
    <cellStyle name="Heading 1 2 3 4 2 2 6 2 2" xfId="19013"/>
    <cellStyle name="Heading 1 2 3 4 2 2 6 2 2 2" xfId="19014"/>
    <cellStyle name="Heading 1 2 3 4 2 2 6 2 3" xfId="19015"/>
    <cellStyle name="Heading 1 2 3 4 2 2 6 3" xfId="19016"/>
    <cellStyle name="Heading 1 2 3 4 2 2 6 3 2" xfId="19017"/>
    <cellStyle name="Heading 1 2 3 4 2 2 6 3 2 2" xfId="19018"/>
    <cellStyle name="Heading 1 2 3 4 2 2 6 3 3" xfId="19019"/>
    <cellStyle name="Heading 1 2 3 4 2 2 6 4" xfId="19020"/>
    <cellStyle name="Heading 1 2 3 4 2 2 6 4 2" xfId="19021"/>
    <cellStyle name="Heading 1 2 3 4 2 2 6 4 2 2" xfId="19022"/>
    <cellStyle name="Heading 1 2 3 4 2 2 6 4 3" xfId="19023"/>
    <cellStyle name="Heading 1 2 3 4 2 2 6 5" xfId="19024"/>
    <cellStyle name="Heading 1 2 3 4 2 2 6 5 2" xfId="19025"/>
    <cellStyle name="Heading 1 2 3 4 2 2 6 5 2 2" xfId="19026"/>
    <cellStyle name="Heading 1 2 3 4 2 2 6 5 3" xfId="19027"/>
    <cellStyle name="Heading 1 2 3 4 2 2 6 6" xfId="19028"/>
    <cellStyle name="Heading 1 2 3 4 2 2 6 6 2" xfId="19029"/>
    <cellStyle name="Heading 1 2 3 4 2 2 6 6 2 2" xfId="19030"/>
    <cellStyle name="Heading 1 2 3 4 2 2 6 6 3" xfId="19031"/>
    <cellStyle name="Heading 1 2 3 4 2 2 6 7" xfId="19032"/>
    <cellStyle name="Heading 1 2 3 4 2 2 6 7 2" xfId="19033"/>
    <cellStyle name="Heading 1 2 3 4 2 2 6 7 2 2" xfId="19034"/>
    <cellStyle name="Heading 1 2 3 4 2 2 6 7 3" xfId="19035"/>
    <cellStyle name="Heading 1 2 3 4 2 2 6 8" xfId="19036"/>
    <cellStyle name="Heading 1 2 3 4 2 2 6 8 2" xfId="19037"/>
    <cellStyle name="Heading 1 2 3 4 2 2 6 9" xfId="19038"/>
    <cellStyle name="Heading 1 2 3 4 2 2 7" xfId="19039"/>
    <cellStyle name="Heading 1 2 3 4 2 2 7 2" xfId="19040"/>
    <cellStyle name="Heading 1 2 3 4 2 2 7 2 2" xfId="19041"/>
    <cellStyle name="Heading 1 2 3 4 2 2 7 2 2 2" xfId="19042"/>
    <cellStyle name="Heading 1 2 3 4 2 2 7 2 3" xfId="19043"/>
    <cellStyle name="Heading 1 2 3 4 2 2 7 3" xfId="19044"/>
    <cellStyle name="Heading 1 2 3 4 2 2 7 3 2" xfId="19045"/>
    <cellStyle name="Heading 1 2 3 4 2 2 7 3 2 2" xfId="19046"/>
    <cellStyle name="Heading 1 2 3 4 2 2 7 3 3" xfId="19047"/>
    <cellStyle name="Heading 1 2 3 4 2 2 7 4" xfId="19048"/>
    <cellStyle name="Heading 1 2 3 4 2 2 7 4 2" xfId="19049"/>
    <cellStyle name="Heading 1 2 3 4 2 2 7 4 2 2" xfId="19050"/>
    <cellStyle name="Heading 1 2 3 4 2 2 7 4 3" xfId="19051"/>
    <cellStyle name="Heading 1 2 3 4 2 2 7 5" xfId="19052"/>
    <cellStyle name="Heading 1 2 3 4 2 2 7 5 2" xfId="19053"/>
    <cellStyle name="Heading 1 2 3 4 2 2 7 5 2 2" xfId="19054"/>
    <cellStyle name="Heading 1 2 3 4 2 2 7 5 3" xfId="19055"/>
    <cellStyle name="Heading 1 2 3 4 2 2 7 6" xfId="19056"/>
    <cellStyle name="Heading 1 2 3 4 2 2 7 6 2" xfId="19057"/>
    <cellStyle name="Heading 1 2 3 4 2 2 7 6 2 2" xfId="19058"/>
    <cellStyle name="Heading 1 2 3 4 2 2 7 6 3" xfId="19059"/>
    <cellStyle name="Heading 1 2 3 4 2 2 7 7" xfId="19060"/>
    <cellStyle name="Heading 1 2 3 4 2 2 7 7 2" xfId="19061"/>
    <cellStyle name="Heading 1 2 3 4 2 2 7 7 2 2" xfId="19062"/>
    <cellStyle name="Heading 1 2 3 4 2 2 7 7 3" xfId="19063"/>
    <cellStyle name="Heading 1 2 3 4 2 2 7 8" xfId="19064"/>
    <cellStyle name="Heading 1 2 3 4 2 2 7 8 2" xfId="19065"/>
    <cellStyle name="Heading 1 2 3 4 2 2 7 9" xfId="19066"/>
    <cellStyle name="Heading 1 2 3 4 2 2 8" xfId="19067"/>
    <cellStyle name="Heading 1 2 3 4 2 2 8 2" xfId="19068"/>
    <cellStyle name="Heading 1 2 3 4 2 2 8 2 2" xfId="19069"/>
    <cellStyle name="Heading 1 2 3 4 2 2 8 2 2 2" xfId="19070"/>
    <cellStyle name="Heading 1 2 3 4 2 2 8 2 3" xfId="19071"/>
    <cellStyle name="Heading 1 2 3 4 2 2 8 3" xfId="19072"/>
    <cellStyle name="Heading 1 2 3 4 2 2 8 3 2" xfId="19073"/>
    <cellStyle name="Heading 1 2 3 4 2 2 8 3 2 2" xfId="19074"/>
    <cellStyle name="Heading 1 2 3 4 2 2 8 3 3" xfId="19075"/>
    <cellStyle name="Heading 1 2 3 4 2 2 8 4" xfId="19076"/>
    <cellStyle name="Heading 1 2 3 4 2 2 8 4 2" xfId="19077"/>
    <cellStyle name="Heading 1 2 3 4 2 2 8 4 2 2" xfId="19078"/>
    <cellStyle name="Heading 1 2 3 4 2 2 8 4 3" xfId="19079"/>
    <cellStyle name="Heading 1 2 3 4 2 2 8 5" xfId="19080"/>
    <cellStyle name="Heading 1 2 3 4 2 2 8 5 2" xfId="19081"/>
    <cellStyle name="Heading 1 2 3 4 2 2 8 5 2 2" xfId="19082"/>
    <cellStyle name="Heading 1 2 3 4 2 2 8 5 3" xfId="19083"/>
    <cellStyle name="Heading 1 2 3 4 2 2 8 6" xfId="19084"/>
    <cellStyle name="Heading 1 2 3 4 2 2 8 6 2" xfId="19085"/>
    <cellStyle name="Heading 1 2 3 4 2 2 8 6 2 2" xfId="19086"/>
    <cellStyle name="Heading 1 2 3 4 2 2 8 6 3" xfId="19087"/>
    <cellStyle name="Heading 1 2 3 4 2 2 8 7" xfId="19088"/>
    <cellStyle name="Heading 1 2 3 4 2 2 8 7 2" xfId="19089"/>
    <cellStyle name="Heading 1 2 3 4 2 2 8 7 2 2" xfId="19090"/>
    <cellStyle name="Heading 1 2 3 4 2 2 8 7 3" xfId="19091"/>
    <cellStyle name="Heading 1 2 3 4 2 2 8 8" xfId="19092"/>
    <cellStyle name="Heading 1 2 3 4 2 2 8 8 2" xfId="19093"/>
    <cellStyle name="Heading 1 2 3 4 2 2 8 9" xfId="19094"/>
    <cellStyle name="Heading 1 2 3 4 2 2 9" xfId="19095"/>
    <cellStyle name="Heading 1 2 3 4 2 2 9 2" xfId="19096"/>
    <cellStyle name="Heading 1 2 3 4 2 2 9 2 2" xfId="19097"/>
    <cellStyle name="Heading 1 2 3 4 2 2 9 3" xfId="19098"/>
    <cellStyle name="Heading 1 2 3 4 2 20" xfId="19099"/>
    <cellStyle name="Heading 1 2 3 4 2 20 2" xfId="19100"/>
    <cellStyle name="Heading 1 2 3 4 2 21" xfId="19101"/>
    <cellStyle name="Heading 1 2 3 4 2 21 2" xfId="19102"/>
    <cellStyle name="Heading 1 2 3 4 2 22" xfId="19103"/>
    <cellStyle name="Heading 1 2 3 4 2 22 2" xfId="19104"/>
    <cellStyle name="Heading 1 2 3 4 2 23" xfId="19105"/>
    <cellStyle name="Heading 1 2 3 4 2 3" xfId="19106"/>
    <cellStyle name="Heading 1 2 3 4 2 3 2" xfId="19107"/>
    <cellStyle name="Heading 1 2 3 4 2 3 2 2" xfId="19108"/>
    <cellStyle name="Heading 1 2 3 4 2 3 2 2 2" xfId="19109"/>
    <cellStyle name="Heading 1 2 3 4 2 3 2 3" xfId="19110"/>
    <cellStyle name="Heading 1 2 3 4 2 3 3" xfId="19111"/>
    <cellStyle name="Heading 1 2 3 4 2 3 3 2" xfId="19112"/>
    <cellStyle name="Heading 1 2 3 4 2 3 3 2 2" xfId="19113"/>
    <cellStyle name="Heading 1 2 3 4 2 3 3 3" xfId="19114"/>
    <cellStyle name="Heading 1 2 3 4 2 3 4" xfId="19115"/>
    <cellStyle name="Heading 1 2 3 4 2 3 4 2" xfId="19116"/>
    <cellStyle name="Heading 1 2 3 4 2 3 4 2 2" xfId="19117"/>
    <cellStyle name="Heading 1 2 3 4 2 3 4 3" xfId="19118"/>
    <cellStyle name="Heading 1 2 3 4 2 3 5" xfId="19119"/>
    <cellStyle name="Heading 1 2 3 4 2 3 5 2" xfId="19120"/>
    <cellStyle name="Heading 1 2 3 4 2 3 5 2 2" xfId="19121"/>
    <cellStyle name="Heading 1 2 3 4 2 3 5 3" xfId="19122"/>
    <cellStyle name="Heading 1 2 3 4 2 3 6" xfId="19123"/>
    <cellStyle name="Heading 1 2 3 4 2 3 6 2" xfId="19124"/>
    <cellStyle name="Heading 1 2 3 4 2 3 6 2 2" xfId="19125"/>
    <cellStyle name="Heading 1 2 3 4 2 3 6 3" xfId="19126"/>
    <cellStyle name="Heading 1 2 3 4 2 3 7" xfId="19127"/>
    <cellStyle name="Heading 1 2 3 4 2 3 7 2" xfId="19128"/>
    <cellStyle name="Heading 1 2 3 4 2 3 7 2 2" xfId="19129"/>
    <cellStyle name="Heading 1 2 3 4 2 3 7 3" xfId="19130"/>
    <cellStyle name="Heading 1 2 3 4 2 3 8" xfId="19131"/>
    <cellStyle name="Heading 1 2 3 4 2 3 8 2" xfId="19132"/>
    <cellStyle name="Heading 1 2 3 4 2 3 9" xfId="19133"/>
    <cellStyle name="Heading 1 2 3 4 2 4" xfId="19134"/>
    <cellStyle name="Heading 1 2 3 4 2 4 2" xfId="19135"/>
    <cellStyle name="Heading 1 2 3 4 2 4 2 2" xfId="19136"/>
    <cellStyle name="Heading 1 2 3 4 2 4 2 2 2" xfId="19137"/>
    <cellStyle name="Heading 1 2 3 4 2 4 2 3" xfId="19138"/>
    <cellStyle name="Heading 1 2 3 4 2 4 3" xfId="19139"/>
    <cellStyle name="Heading 1 2 3 4 2 4 3 2" xfId="19140"/>
    <cellStyle name="Heading 1 2 3 4 2 4 3 2 2" xfId="19141"/>
    <cellStyle name="Heading 1 2 3 4 2 4 3 3" xfId="19142"/>
    <cellStyle name="Heading 1 2 3 4 2 4 4" xfId="19143"/>
    <cellStyle name="Heading 1 2 3 4 2 4 4 2" xfId="19144"/>
    <cellStyle name="Heading 1 2 3 4 2 4 4 2 2" xfId="19145"/>
    <cellStyle name="Heading 1 2 3 4 2 4 4 3" xfId="19146"/>
    <cellStyle name="Heading 1 2 3 4 2 4 5" xfId="19147"/>
    <cellStyle name="Heading 1 2 3 4 2 4 5 2" xfId="19148"/>
    <cellStyle name="Heading 1 2 3 4 2 4 5 2 2" xfId="19149"/>
    <cellStyle name="Heading 1 2 3 4 2 4 5 3" xfId="19150"/>
    <cellStyle name="Heading 1 2 3 4 2 4 6" xfId="19151"/>
    <cellStyle name="Heading 1 2 3 4 2 4 6 2" xfId="19152"/>
    <cellStyle name="Heading 1 2 3 4 2 4 6 2 2" xfId="19153"/>
    <cellStyle name="Heading 1 2 3 4 2 4 6 3" xfId="19154"/>
    <cellStyle name="Heading 1 2 3 4 2 4 7" xfId="19155"/>
    <cellStyle name="Heading 1 2 3 4 2 4 7 2" xfId="19156"/>
    <cellStyle name="Heading 1 2 3 4 2 4 7 2 2" xfId="19157"/>
    <cellStyle name="Heading 1 2 3 4 2 4 7 3" xfId="19158"/>
    <cellStyle name="Heading 1 2 3 4 2 4 8" xfId="19159"/>
    <cellStyle name="Heading 1 2 3 4 2 4 8 2" xfId="19160"/>
    <cellStyle name="Heading 1 2 3 4 2 4 9" xfId="19161"/>
    <cellStyle name="Heading 1 2 3 4 2 5" xfId="19162"/>
    <cellStyle name="Heading 1 2 3 4 2 5 2" xfId="19163"/>
    <cellStyle name="Heading 1 2 3 4 2 5 2 2" xfId="19164"/>
    <cellStyle name="Heading 1 2 3 4 2 5 2 2 2" xfId="19165"/>
    <cellStyle name="Heading 1 2 3 4 2 5 2 3" xfId="19166"/>
    <cellStyle name="Heading 1 2 3 4 2 5 3" xfId="19167"/>
    <cellStyle name="Heading 1 2 3 4 2 5 3 2" xfId="19168"/>
    <cellStyle name="Heading 1 2 3 4 2 5 3 2 2" xfId="19169"/>
    <cellStyle name="Heading 1 2 3 4 2 5 3 3" xfId="19170"/>
    <cellStyle name="Heading 1 2 3 4 2 5 4" xfId="19171"/>
    <cellStyle name="Heading 1 2 3 4 2 5 4 2" xfId="19172"/>
    <cellStyle name="Heading 1 2 3 4 2 5 4 2 2" xfId="19173"/>
    <cellStyle name="Heading 1 2 3 4 2 5 4 3" xfId="19174"/>
    <cellStyle name="Heading 1 2 3 4 2 5 5" xfId="19175"/>
    <cellStyle name="Heading 1 2 3 4 2 5 5 2" xfId="19176"/>
    <cellStyle name="Heading 1 2 3 4 2 5 5 2 2" xfId="19177"/>
    <cellStyle name="Heading 1 2 3 4 2 5 5 3" xfId="19178"/>
    <cellStyle name="Heading 1 2 3 4 2 5 6" xfId="19179"/>
    <cellStyle name="Heading 1 2 3 4 2 5 6 2" xfId="19180"/>
    <cellStyle name="Heading 1 2 3 4 2 5 6 2 2" xfId="19181"/>
    <cellStyle name="Heading 1 2 3 4 2 5 6 3" xfId="19182"/>
    <cellStyle name="Heading 1 2 3 4 2 5 7" xfId="19183"/>
    <cellStyle name="Heading 1 2 3 4 2 5 7 2" xfId="19184"/>
    <cellStyle name="Heading 1 2 3 4 2 5 7 2 2" xfId="19185"/>
    <cellStyle name="Heading 1 2 3 4 2 5 7 3" xfId="19186"/>
    <cellStyle name="Heading 1 2 3 4 2 5 8" xfId="19187"/>
    <cellStyle name="Heading 1 2 3 4 2 5 8 2" xfId="19188"/>
    <cellStyle name="Heading 1 2 3 4 2 5 9" xfId="19189"/>
    <cellStyle name="Heading 1 2 3 4 2 6" xfId="19190"/>
    <cellStyle name="Heading 1 2 3 4 2 6 2" xfId="19191"/>
    <cellStyle name="Heading 1 2 3 4 2 6 2 2" xfId="19192"/>
    <cellStyle name="Heading 1 2 3 4 2 6 2 2 2" xfId="19193"/>
    <cellStyle name="Heading 1 2 3 4 2 6 2 3" xfId="19194"/>
    <cellStyle name="Heading 1 2 3 4 2 6 3" xfId="19195"/>
    <cellStyle name="Heading 1 2 3 4 2 6 3 2" xfId="19196"/>
    <cellStyle name="Heading 1 2 3 4 2 6 3 2 2" xfId="19197"/>
    <cellStyle name="Heading 1 2 3 4 2 6 3 3" xfId="19198"/>
    <cellStyle name="Heading 1 2 3 4 2 6 4" xfId="19199"/>
    <cellStyle name="Heading 1 2 3 4 2 6 4 2" xfId="19200"/>
    <cellStyle name="Heading 1 2 3 4 2 6 4 2 2" xfId="19201"/>
    <cellStyle name="Heading 1 2 3 4 2 6 4 3" xfId="19202"/>
    <cellStyle name="Heading 1 2 3 4 2 6 5" xfId="19203"/>
    <cellStyle name="Heading 1 2 3 4 2 6 5 2" xfId="19204"/>
    <cellStyle name="Heading 1 2 3 4 2 6 5 2 2" xfId="19205"/>
    <cellStyle name="Heading 1 2 3 4 2 6 5 3" xfId="19206"/>
    <cellStyle name="Heading 1 2 3 4 2 6 6" xfId="19207"/>
    <cellStyle name="Heading 1 2 3 4 2 6 6 2" xfId="19208"/>
    <cellStyle name="Heading 1 2 3 4 2 6 6 2 2" xfId="19209"/>
    <cellStyle name="Heading 1 2 3 4 2 6 6 3" xfId="19210"/>
    <cellStyle name="Heading 1 2 3 4 2 6 7" xfId="19211"/>
    <cellStyle name="Heading 1 2 3 4 2 6 7 2" xfId="19212"/>
    <cellStyle name="Heading 1 2 3 4 2 6 7 2 2" xfId="19213"/>
    <cellStyle name="Heading 1 2 3 4 2 6 7 3" xfId="19214"/>
    <cellStyle name="Heading 1 2 3 4 2 6 8" xfId="19215"/>
    <cellStyle name="Heading 1 2 3 4 2 6 8 2" xfId="19216"/>
    <cellStyle name="Heading 1 2 3 4 2 6 9" xfId="19217"/>
    <cellStyle name="Heading 1 2 3 4 2 7" xfId="19218"/>
    <cellStyle name="Heading 1 2 3 4 2 7 2" xfId="19219"/>
    <cellStyle name="Heading 1 2 3 4 2 7 2 2" xfId="19220"/>
    <cellStyle name="Heading 1 2 3 4 2 7 2 2 2" xfId="19221"/>
    <cellStyle name="Heading 1 2 3 4 2 7 2 3" xfId="19222"/>
    <cellStyle name="Heading 1 2 3 4 2 7 3" xfId="19223"/>
    <cellStyle name="Heading 1 2 3 4 2 7 3 2" xfId="19224"/>
    <cellStyle name="Heading 1 2 3 4 2 7 3 2 2" xfId="19225"/>
    <cellStyle name="Heading 1 2 3 4 2 7 3 3" xfId="19226"/>
    <cellStyle name="Heading 1 2 3 4 2 7 4" xfId="19227"/>
    <cellStyle name="Heading 1 2 3 4 2 7 4 2" xfId="19228"/>
    <cellStyle name="Heading 1 2 3 4 2 7 4 2 2" xfId="19229"/>
    <cellStyle name="Heading 1 2 3 4 2 7 4 3" xfId="19230"/>
    <cellStyle name="Heading 1 2 3 4 2 7 5" xfId="19231"/>
    <cellStyle name="Heading 1 2 3 4 2 7 5 2" xfId="19232"/>
    <cellStyle name="Heading 1 2 3 4 2 7 5 2 2" xfId="19233"/>
    <cellStyle name="Heading 1 2 3 4 2 7 5 3" xfId="19234"/>
    <cellStyle name="Heading 1 2 3 4 2 7 6" xfId="19235"/>
    <cellStyle name="Heading 1 2 3 4 2 7 6 2" xfId="19236"/>
    <cellStyle name="Heading 1 2 3 4 2 7 6 2 2" xfId="19237"/>
    <cellStyle name="Heading 1 2 3 4 2 7 6 3" xfId="19238"/>
    <cellStyle name="Heading 1 2 3 4 2 7 7" xfId="19239"/>
    <cellStyle name="Heading 1 2 3 4 2 7 7 2" xfId="19240"/>
    <cellStyle name="Heading 1 2 3 4 2 7 7 2 2" xfId="19241"/>
    <cellStyle name="Heading 1 2 3 4 2 7 7 3" xfId="19242"/>
    <cellStyle name="Heading 1 2 3 4 2 7 8" xfId="19243"/>
    <cellStyle name="Heading 1 2 3 4 2 7 8 2" xfId="19244"/>
    <cellStyle name="Heading 1 2 3 4 2 7 9" xfId="19245"/>
    <cellStyle name="Heading 1 2 3 4 2 8" xfId="19246"/>
    <cellStyle name="Heading 1 2 3 4 2 8 2" xfId="19247"/>
    <cellStyle name="Heading 1 2 3 4 2 8 2 2" xfId="19248"/>
    <cellStyle name="Heading 1 2 3 4 2 8 2 2 2" xfId="19249"/>
    <cellStyle name="Heading 1 2 3 4 2 8 2 3" xfId="19250"/>
    <cellStyle name="Heading 1 2 3 4 2 8 3" xfId="19251"/>
    <cellStyle name="Heading 1 2 3 4 2 8 3 2" xfId="19252"/>
    <cellStyle name="Heading 1 2 3 4 2 8 3 2 2" xfId="19253"/>
    <cellStyle name="Heading 1 2 3 4 2 8 3 3" xfId="19254"/>
    <cellStyle name="Heading 1 2 3 4 2 8 4" xfId="19255"/>
    <cellStyle name="Heading 1 2 3 4 2 8 4 2" xfId="19256"/>
    <cellStyle name="Heading 1 2 3 4 2 8 4 2 2" xfId="19257"/>
    <cellStyle name="Heading 1 2 3 4 2 8 4 3" xfId="19258"/>
    <cellStyle name="Heading 1 2 3 4 2 8 5" xfId="19259"/>
    <cellStyle name="Heading 1 2 3 4 2 8 5 2" xfId="19260"/>
    <cellStyle name="Heading 1 2 3 4 2 8 5 2 2" xfId="19261"/>
    <cellStyle name="Heading 1 2 3 4 2 8 5 3" xfId="19262"/>
    <cellStyle name="Heading 1 2 3 4 2 8 6" xfId="19263"/>
    <cellStyle name="Heading 1 2 3 4 2 8 6 2" xfId="19264"/>
    <cellStyle name="Heading 1 2 3 4 2 8 6 2 2" xfId="19265"/>
    <cellStyle name="Heading 1 2 3 4 2 8 6 3" xfId="19266"/>
    <cellStyle name="Heading 1 2 3 4 2 8 7" xfId="19267"/>
    <cellStyle name="Heading 1 2 3 4 2 8 7 2" xfId="19268"/>
    <cellStyle name="Heading 1 2 3 4 2 8 7 2 2" xfId="19269"/>
    <cellStyle name="Heading 1 2 3 4 2 8 7 3" xfId="19270"/>
    <cellStyle name="Heading 1 2 3 4 2 8 8" xfId="19271"/>
    <cellStyle name="Heading 1 2 3 4 2 8 8 2" xfId="19272"/>
    <cellStyle name="Heading 1 2 3 4 2 8 9" xfId="19273"/>
    <cellStyle name="Heading 1 2 3 4 2 9" xfId="19274"/>
    <cellStyle name="Heading 1 2 3 4 2 9 2" xfId="19275"/>
    <cellStyle name="Heading 1 2 3 4 2 9 2 2" xfId="19276"/>
    <cellStyle name="Heading 1 2 3 4 2 9 2 2 2" xfId="19277"/>
    <cellStyle name="Heading 1 2 3 4 2 9 2 3" xfId="19278"/>
    <cellStyle name="Heading 1 2 3 4 2 9 3" xfId="19279"/>
    <cellStyle name="Heading 1 2 3 4 2 9 3 2" xfId="19280"/>
    <cellStyle name="Heading 1 2 3 4 2 9 3 2 2" xfId="19281"/>
    <cellStyle name="Heading 1 2 3 4 2 9 3 3" xfId="19282"/>
    <cellStyle name="Heading 1 2 3 4 2 9 4" xfId="19283"/>
    <cellStyle name="Heading 1 2 3 4 2 9 4 2" xfId="19284"/>
    <cellStyle name="Heading 1 2 3 4 2 9 4 2 2" xfId="19285"/>
    <cellStyle name="Heading 1 2 3 4 2 9 4 3" xfId="19286"/>
    <cellStyle name="Heading 1 2 3 4 2 9 5" xfId="19287"/>
    <cellStyle name="Heading 1 2 3 4 2 9 5 2" xfId="19288"/>
    <cellStyle name="Heading 1 2 3 4 2 9 5 2 2" xfId="19289"/>
    <cellStyle name="Heading 1 2 3 4 2 9 5 3" xfId="19290"/>
    <cellStyle name="Heading 1 2 3 4 2 9 6" xfId="19291"/>
    <cellStyle name="Heading 1 2 3 4 2 9 6 2" xfId="19292"/>
    <cellStyle name="Heading 1 2 3 4 2 9 6 2 2" xfId="19293"/>
    <cellStyle name="Heading 1 2 3 4 2 9 6 3" xfId="19294"/>
    <cellStyle name="Heading 1 2 3 4 2 9 7" xfId="19295"/>
    <cellStyle name="Heading 1 2 3 4 2 9 7 2" xfId="19296"/>
    <cellStyle name="Heading 1 2 3 4 2 9 7 2 2" xfId="19297"/>
    <cellStyle name="Heading 1 2 3 4 2 9 7 3" xfId="19298"/>
    <cellStyle name="Heading 1 2 3 4 2 9 8" xfId="19299"/>
    <cellStyle name="Heading 1 2 3 4 2 9 8 2" xfId="19300"/>
    <cellStyle name="Heading 1 2 3 4 2 9 9" xfId="19301"/>
    <cellStyle name="Heading 1 2 3 4 3" xfId="19302"/>
    <cellStyle name="Heading 1 2 3 4 3 10" xfId="19303"/>
    <cellStyle name="Heading 1 2 3 4 3 10 2" xfId="19304"/>
    <cellStyle name="Heading 1 2 3 4 3 10 2 2" xfId="19305"/>
    <cellStyle name="Heading 1 2 3 4 3 10 3" xfId="19306"/>
    <cellStyle name="Heading 1 2 3 4 3 11" xfId="19307"/>
    <cellStyle name="Heading 1 2 3 4 3 11 2" xfId="19308"/>
    <cellStyle name="Heading 1 2 3 4 3 11 2 2" xfId="19309"/>
    <cellStyle name="Heading 1 2 3 4 3 11 3" xfId="19310"/>
    <cellStyle name="Heading 1 2 3 4 3 12" xfId="19311"/>
    <cellStyle name="Heading 1 2 3 4 3 12 2" xfId="19312"/>
    <cellStyle name="Heading 1 2 3 4 3 12 2 2" xfId="19313"/>
    <cellStyle name="Heading 1 2 3 4 3 12 3" xfId="19314"/>
    <cellStyle name="Heading 1 2 3 4 3 13" xfId="19315"/>
    <cellStyle name="Heading 1 2 3 4 3 13 2" xfId="19316"/>
    <cellStyle name="Heading 1 2 3 4 3 13 2 2" xfId="19317"/>
    <cellStyle name="Heading 1 2 3 4 3 13 3" xfId="19318"/>
    <cellStyle name="Heading 1 2 3 4 3 14" xfId="19319"/>
    <cellStyle name="Heading 1 2 3 4 3 14 2" xfId="19320"/>
    <cellStyle name="Heading 1 2 3 4 3 14 2 2" xfId="19321"/>
    <cellStyle name="Heading 1 2 3 4 3 14 3" xfId="19322"/>
    <cellStyle name="Heading 1 2 3 4 3 15" xfId="19323"/>
    <cellStyle name="Heading 1 2 3 4 3 15 2" xfId="19324"/>
    <cellStyle name="Heading 1 2 3 4 3 15 2 2" xfId="19325"/>
    <cellStyle name="Heading 1 2 3 4 3 15 3" xfId="19326"/>
    <cellStyle name="Heading 1 2 3 4 3 16" xfId="19327"/>
    <cellStyle name="Heading 1 2 3 4 3 16 2" xfId="19328"/>
    <cellStyle name="Heading 1 2 3 4 3 16 2 2" xfId="19329"/>
    <cellStyle name="Heading 1 2 3 4 3 16 3" xfId="19330"/>
    <cellStyle name="Heading 1 2 3 4 3 17" xfId="19331"/>
    <cellStyle name="Heading 1 2 3 4 3 17 2" xfId="19332"/>
    <cellStyle name="Heading 1 2 3 4 3 17 2 2" xfId="19333"/>
    <cellStyle name="Heading 1 2 3 4 3 17 3" xfId="19334"/>
    <cellStyle name="Heading 1 2 3 4 3 18" xfId="19335"/>
    <cellStyle name="Heading 1 2 3 4 3 18 2" xfId="19336"/>
    <cellStyle name="Heading 1 2 3 4 3 18 2 2" xfId="19337"/>
    <cellStyle name="Heading 1 2 3 4 3 18 3" xfId="19338"/>
    <cellStyle name="Heading 1 2 3 4 3 19" xfId="19339"/>
    <cellStyle name="Heading 1 2 3 4 3 19 2" xfId="19340"/>
    <cellStyle name="Heading 1 2 3 4 3 2" xfId="19341"/>
    <cellStyle name="Heading 1 2 3 4 3 2 2" xfId="19342"/>
    <cellStyle name="Heading 1 2 3 4 3 2 2 2" xfId="19343"/>
    <cellStyle name="Heading 1 2 3 4 3 2 2 2 2" xfId="19344"/>
    <cellStyle name="Heading 1 2 3 4 3 2 2 3" xfId="19345"/>
    <cellStyle name="Heading 1 2 3 4 3 2 3" xfId="19346"/>
    <cellStyle name="Heading 1 2 3 4 3 2 3 2" xfId="19347"/>
    <cellStyle name="Heading 1 2 3 4 3 2 3 2 2" xfId="19348"/>
    <cellStyle name="Heading 1 2 3 4 3 2 3 3" xfId="19349"/>
    <cellStyle name="Heading 1 2 3 4 3 2 4" xfId="19350"/>
    <cellStyle name="Heading 1 2 3 4 3 2 4 2" xfId="19351"/>
    <cellStyle name="Heading 1 2 3 4 3 2 4 2 2" xfId="19352"/>
    <cellStyle name="Heading 1 2 3 4 3 2 4 3" xfId="19353"/>
    <cellStyle name="Heading 1 2 3 4 3 2 5" xfId="19354"/>
    <cellStyle name="Heading 1 2 3 4 3 2 5 2" xfId="19355"/>
    <cellStyle name="Heading 1 2 3 4 3 2 5 2 2" xfId="19356"/>
    <cellStyle name="Heading 1 2 3 4 3 2 5 3" xfId="19357"/>
    <cellStyle name="Heading 1 2 3 4 3 2 6" xfId="19358"/>
    <cellStyle name="Heading 1 2 3 4 3 2 6 2" xfId="19359"/>
    <cellStyle name="Heading 1 2 3 4 3 2 6 2 2" xfId="19360"/>
    <cellStyle name="Heading 1 2 3 4 3 2 6 3" xfId="19361"/>
    <cellStyle name="Heading 1 2 3 4 3 2 7" xfId="19362"/>
    <cellStyle name="Heading 1 2 3 4 3 2 7 2" xfId="19363"/>
    <cellStyle name="Heading 1 2 3 4 3 2 7 2 2" xfId="19364"/>
    <cellStyle name="Heading 1 2 3 4 3 2 7 3" xfId="19365"/>
    <cellStyle name="Heading 1 2 3 4 3 2 8" xfId="19366"/>
    <cellStyle name="Heading 1 2 3 4 3 2 8 2" xfId="19367"/>
    <cellStyle name="Heading 1 2 3 4 3 2 9" xfId="19368"/>
    <cellStyle name="Heading 1 2 3 4 3 20" xfId="19369"/>
    <cellStyle name="Heading 1 2 3 4 3 20 2" xfId="19370"/>
    <cellStyle name="Heading 1 2 3 4 3 21" xfId="19371"/>
    <cellStyle name="Heading 1 2 3 4 3 21 2" xfId="19372"/>
    <cellStyle name="Heading 1 2 3 4 3 22" xfId="19373"/>
    <cellStyle name="Heading 1 2 3 4 3 3" xfId="19374"/>
    <cellStyle name="Heading 1 2 3 4 3 3 2" xfId="19375"/>
    <cellStyle name="Heading 1 2 3 4 3 3 2 2" xfId="19376"/>
    <cellStyle name="Heading 1 2 3 4 3 3 2 2 2" xfId="19377"/>
    <cellStyle name="Heading 1 2 3 4 3 3 2 3" xfId="19378"/>
    <cellStyle name="Heading 1 2 3 4 3 3 3" xfId="19379"/>
    <cellStyle name="Heading 1 2 3 4 3 3 3 2" xfId="19380"/>
    <cellStyle name="Heading 1 2 3 4 3 3 3 2 2" xfId="19381"/>
    <cellStyle name="Heading 1 2 3 4 3 3 3 3" xfId="19382"/>
    <cellStyle name="Heading 1 2 3 4 3 3 4" xfId="19383"/>
    <cellStyle name="Heading 1 2 3 4 3 3 4 2" xfId="19384"/>
    <cellStyle name="Heading 1 2 3 4 3 3 4 2 2" xfId="19385"/>
    <cellStyle name="Heading 1 2 3 4 3 3 4 3" xfId="19386"/>
    <cellStyle name="Heading 1 2 3 4 3 3 5" xfId="19387"/>
    <cellStyle name="Heading 1 2 3 4 3 3 5 2" xfId="19388"/>
    <cellStyle name="Heading 1 2 3 4 3 3 5 2 2" xfId="19389"/>
    <cellStyle name="Heading 1 2 3 4 3 3 5 3" xfId="19390"/>
    <cellStyle name="Heading 1 2 3 4 3 3 6" xfId="19391"/>
    <cellStyle name="Heading 1 2 3 4 3 3 6 2" xfId="19392"/>
    <cellStyle name="Heading 1 2 3 4 3 3 6 2 2" xfId="19393"/>
    <cellStyle name="Heading 1 2 3 4 3 3 6 3" xfId="19394"/>
    <cellStyle name="Heading 1 2 3 4 3 3 7" xfId="19395"/>
    <cellStyle name="Heading 1 2 3 4 3 3 7 2" xfId="19396"/>
    <cellStyle name="Heading 1 2 3 4 3 3 7 2 2" xfId="19397"/>
    <cellStyle name="Heading 1 2 3 4 3 3 7 3" xfId="19398"/>
    <cellStyle name="Heading 1 2 3 4 3 3 8" xfId="19399"/>
    <cellStyle name="Heading 1 2 3 4 3 3 8 2" xfId="19400"/>
    <cellStyle name="Heading 1 2 3 4 3 3 9" xfId="19401"/>
    <cellStyle name="Heading 1 2 3 4 3 4" xfId="19402"/>
    <cellStyle name="Heading 1 2 3 4 3 4 2" xfId="19403"/>
    <cellStyle name="Heading 1 2 3 4 3 4 2 2" xfId="19404"/>
    <cellStyle name="Heading 1 2 3 4 3 4 2 2 2" xfId="19405"/>
    <cellStyle name="Heading 1 2 3 4 3 4 2 3" xfId="19406"/>
    <cellStyle name="Heading 1 2 3 4 3 4 3" xfId="19407"/>
    <cellStyle name="Heading 1 2 3 4 3 4 3 2" xfId="19408"/>
    <cellStyle name="Heading 1 2 3 4 3 4 3 2 2" xfId="19409"/>
    <cellStyle name="Heading 1 2 3 4 3 4 3 3" xfId="19410"/>
    <cellStyle name="Heading 1 2 3 4 3 4 4" xfId="19411"/>
    <cellStyle name="Heading 1 2 3 4 3 4 4 2" xfId="19412"/>
    <cellStyle name="Heading 1 2 3 4 3 4 4 2 2" xfId="19413"/>
    <cellStyle name="Heading 1 2 3 4 3 4 4 3" xfId="19414"/>
    <cellStyle name="Heading 1 2 3 4 3 4 5" xfId="19415"/>
    <cellStyle name="Heading 1 2 3 4 3 4 5 2" xfId="19416"/>
    <cellStyle name="Heading 1 2 3 4 3 4 5 2 2" xfId="19417"/>
    <cellStyle name="Heading 1 2 3 4 3 4 5 3" xfId="19418"/>
    <cellStyle name="Heading 1 2 3 4 3 4 6" xfId="19419"/>
    <cellStyle name="Heading 1 2 3 4 3 4 6 2" xfId="19420"/>
    <cellStyle name="Heading 1 2 3 4 3 4 6 2 2" xfId="19421"/>
    <cellStyle name="Heading 1 2 3 4 3 4 6 3" xfId="19422"/>
    <cellStyle name="Heading 1 2 3 4 3 4 7" xfId="19423"/>
    <cellStyle name="Heading 1 2 3 4 3 4 7 2" xfId="19424"/>
    <cellStyle name="Heading 1 2 3 4 3 4 7 2 2" xfId="19425"/>
    <cellStyle name="Heading 1 2 3 4 3 4 7 3" xfId="19426"/>
    <cellStyle name="Heading 1 2 3 4 3 4 8" xfId="19427"/>
    <cellStyle name="Heading 1 2 3 4 3 4 8 2" xfId="19428"/>
    <cellStyle name="Heading 1 2 3 4 3 4 9" xfId="19429"/>
    <cellStyle name="Heading 1 2 3 4 3 5" xfId="19430"/>
    <cellStyle name="Heading 1 2 3 4 3 5 2" xfId="19431"/>
    <cellStyle name="Heading 1 2 3 4 3 5 2 2" xfId="19432"/>
    <cellStyle name="Heading 1 2 3 4 3 5 2 2 2" xfId="19433"/>
    <cellStyle name="Heading 1 2 3 4 3 5 2 3" xfId="19434"/>
    <cellStyle name="Heading 1 2 3 4 3 5 3" xfId="19435"/>
    <cellStyle name="Heading 1 2 3 4 3 5 3 2" xfId="19436"/>
    <cellStyle name="Heading 1 2 3 4 3 5 3 2 2" xfId="19437"/>
    <cellStyle name="Heading 1 2 3 4 3 5 3 3" xfId="19438"/>
    <cellStyle name="Heading 1 2 3 4 3 5 4" xfId="19439"/>
    <cellStyle name="Heading 1 2 3 4 3 5 4 2" xfId="19440"/>
    <cellStyle name="Heading 1 2 3 4 3 5 4 2 2" xfId="19441"/>
    <cellStyle name="Heading 1 2 3 4 3 5 4 3" xfId="19442"/>
    <cellStyle name="Heading 1 2 3 4 3 5 5" xfId="19443"/>
    <cellStyle name="Heading 1 2 3 4 3 5 5 2" xfId="19444"/>
    <cellStyle name="Heading 1 2 3 4 3 5 5 2 2" xfId="19445"/>
    <cellStyle name="Heading 1 2 3 4 3 5 5 3" xfId="19446"/>
    <cellStyle name="Heading 1 2 3 4 3 5 6" xfId="19447"/>
    <cellStyle name="Heading 1 2 3 4 3 5 6 2" xfId="19448"/>
    <cellStyle name="Heading 1 2 3 4 3 5 6 2 2" xfId="19449"/>
    <cellStyle name="Heading 1 2 3 4 3 5 6 3" xfId="19450"/>
    <cellStyle name="Heading 1 2 3 4 3 5 7" xfId="19451"/>
    <cellStyle name="Heading 1 2 3 4 3 5 7 2" xfId="19452"/>
    <cellStyle name="Heading 1 2 3 4 3 5 7 2 2" xfId="19453"/>
    <cellStyle name="Heading 1 2 3 4 3 5 7 3" xfId="19454"/>
    <cellStyle name="Heading 1 2 3 4 3 5 8" xfId="19455"/>
    <cellStyle name="Heading 1 2 3 4 3 5 8 2" xfId="19456"/>
    <cellStyle name="Heading 1 2 3 4 3 5 9" xfId="19457"/>
    <cellStyle name="Heading 1 2 3 4 3 6" xfId="19458"/>
    <cellStyle name="Heading 1 2 3 4 3 6 2" xfId="19459"/>
    <cellStyle name="Heading 1 2 3 4 3 6 2 2" xfId="19460"/>
    <cellStyle name="Heading 1 2 3 4 3 6 2 2 2" xfId="19461"/>
    <cellStyle name="Heading 1 2 3 4 3 6 2 3" xfId="19462"/>
    <cellStyle name="Heading 1 2 3 4 3 6 3" xfId="19463"/>
    <cellStyle name="Heading 1 2 3 4 3 6 3 2" xfId="19464"/>
    <cellStyle name="Heading 1 2 3 4 3 6 3 2 2" xfId="19465"/>
    <cellStyle name="Heading 1 2 3 4 3 6 3 3" xfId="19466"/>
    <cellStyle name="Heading 1 2 3 4 3 6 4" xfId="19467"/>
    <cellStyle name="Heading 1 2 3 4 3 6 4 2" xfId="19468"/>
    <cellStyle name="Heading 1 2 3 4 3 6 4 2 2" xfId="19469"/>
    <cellStyle name="Heading 1 2 3 4 3 6 4 3" xfId="19470"/>
    <cellStyle name="Heading 1 2 3 4 3 6 5" xfId="19471"/>
    <cellStyle name="Heading 1 2 3 4 3 6 5 2" xfId="19472"/>
    <cellStyle name="Heading 1 2 3 4 3 6 5 2 2" xfId="19473"/>
    <cellStyle name="Heading 1 2 3 4 3 6 5 3" xfId="19474"/>
    <cellStyle name="Heading 1 2 3 4 3 6 6" xfId="19475"/>
    <cellStyle name="Heading 1 2 3 4 3 6 6 2" xfId="19476"/>
    <cellStyle name="Heading 1 2 3 4 3 6 6 2 2" xfId="19477"/>
    <cellStyle name="Heading 1 2 3 4 3 6 6 3" xfId="19478"/>
    <cellStyle name="Heading 1 2 3 4 3 6 7" xfId="19479"/>
    <cellStyle name="Heading 1 2 3 4 3 6 7 2" xfId="19480"/>
    <cellStyle name="Heading 1 2 3 4 3 6 7 2 2" xfId="19481"/>
    <cellStyle name="Heading 1 2 3 4 3 6 7 3" xfId="19482"/>
    <cellStyle name="Heading 1 2 3 4 3 6 8" xfId="19483"/>
    <cellStyle name="Heading 1 2 3 4 3 6 8 2" xfId="19484"/>
    <cellStyle name="Heading 1 2 3 4 3 6 9" xfId="19485"/>
    <cellStyle name="Heading 1 2 3 4 3 7" xfId="19486"/>
    <cellStyle name="Heading 1 2 3 4 3 7 2" xfId="19487"/>
    <cellStyle name="Heading 1 2 3 4 3 7 2 2" xfId="19488"/>
    <cellStyle name="Heading 1 2 3 4 3 7 2 2 2" xfId="19489"/>
    <cellStyle name="Heading 1 2 3 4 3 7 2 3" xfId="19490"/>
    <cellStyle name="Heading 1 2 3 4 3 7 3" xfId="19491"/>
    <cellStyle name="Heading 1 2 3 4 3 7 3 2" xfId="19492"/>
    <cellStyle name="Heading 1 2 3 4 3 7 3 2 2" xfId="19493"/>
    <cellStyle name="Heading 1 2 3 4 3 7 3 3" xfId="19494"/>
    <cellStyle name="Heading 1 2 3 4 3 7 4" xfId="19495"/>
    <cellStyle name="Heading 1 2 3 4 3 7 4 2" xfId="19496"/>
    <cellStyle name="Heading 1 2 3 4 3 7 4 2 2" xfId="19497"/>
    <cellStyle name="Heading 1 2 3 4 3 7 4 3" xfId="19498"/>
    <cellStyle name="Heading 1 2 3 4 3 7 5" xfId="19499"/>
    <cellStyle name="Heading 1 2 3 4 3 7 5 2" xfId="19500"/>
    <cellStyle name="Heading 1 2 3 4 3 7 5 2 2" xfId="19501"/>
    <cellStyle name="Heading 1 2 3 4 3 7 5 3" xfId="19502"/>
    <cellStyle name="Heading 1 2 3 4 3 7 6" xfId="19503"/>
    <cellStyle name="Heading 1 2 3 4 3 7 6 2" xfId="19504"/>
    <cellStyle name="Heading 1 2 3 4 3 7 6 2 2" xfId="19505"/>
    <cellStyle name="Heading 1 2 3 4 3 7 6 3" xfId="19506"/>
    <cellStyle name="Heading 1 2 3 4 3 7 7" xfId="19507"/>
    <cellStyle name="Heading 1 2 3 4 3 7 7 2" xfId="19508"/>
    <cellStyle name="Heading 1 2 3 4 3 7 7 2 2" xfId="19509"/>
    <cellStyle name="Heading 1 2 3 4 3 7 7 3" xfId="19510"/>
    <cellStyle name="Heading 1 2 3 4 3 7 8" xfId="19511"/>
    <cellStyle name="Heading 1 2 3 4 3 7 8 2" xfId="19512"/>
    <cellStyle name="Heading 1 2 3 4 3 7 9" xfId="19513"/>
    <cellStyle name="Heading 1 2 3 4 3 8" xfId="19514"/>
    <cellStyle name="Heading 1 2 3 4 3 8 2" xfId="19515"/>
    <cellStyle name="Heading 1 2 3 4 3 8 2 2" xfId="19516"/>
    <cellStyle name="Heading 1 2 3 4 3 8 2 2 2" xfId="19517"/>
    <cellStyle name="Heading 1 2 3 4 3 8 2 3" xfId="19518"/>
    <cellStyle name="Heading 1 2 3 4 3 8 3" xfId="19519"/>
    <cellStyle name="Heading 1 2 3 4 3 8 3 2" xfId="19520"/>
    <cellStyle name="Heading 1 2 3 4 3 8 3 2 2" xfId="19521"/>
    <cellStyle name="Heading 1 2 3 4 3 8 3 3" xfId="19522"/>
    <cellStyle name="Heading 1 2 3 4 3 8 4" xfId="19523"/>
    <cellStyle name="Heading 1 2 3 4 3 8 4 2" xfId="19524"/>
    <cellStyle name="Heading 1 2 3 4 3 8 4 2 2" xfId="19525"/>
    <cellStyle name="Heading 1 2 3 4 3 8 4 3" xfId="19526"/>
    <cellStyle name="Heading 1 2 3 4 3 8 5" xfId="19527"/>
    <cellStyle name="Heading 1 2 3 4 3 8 5 2" xfId="19528"/>
    <cellStyle name="Heading 1 2 3 4 3 8 5 2 2" xfId="19529"/>
    <cellStyle name="Heading 1 2 3 4 3 8 5 3" xfId="19530"/>
    <cellStyle name="Heading 1 2 3 4 3 8 6" xfId="19531"/>
    <cellStyle name="Heading 1 2 3 4 3 8 6 2" xfId="19532"/>
    <cellStyle name="Heading 1 2 3 4 3 8 6 2 2" xfId="19533"/>
    <cellStyle name="Heading 1 2 3 4 3 8 6 3" xfId="19534"/>
    <cellStyle name="Heading 1 2 3 4 3 8 7" xfId="19535"/>
    <cellStyle name="Heading 1 2 3 4 3 8 7 2" xfId="19536"/>
    <cellStyle name="Heading 1 2 3 4 3 8 7 2 2" xfId="19537"/>
    <cellStyle name="Heading 1 2 3 4 3 8 7 3" xfId="19538"/>
    <cellStyle name="Heading 1 2 3 4 3 8 8" xfId="19539"/>
    <cellStyle name="Heading 1 2 3 4 3 8 8 2" xfId="19540"/>
    <cellStyle name="Heading 1 2 3 4 3 8 9" xfId="19541"/>
    <cellStyle name="Heading 1 2 3 4 3 9" xfId="19542"/>
    <cellStyle name="Heading 1 2 3 4 3 9 2" xfId="19543"/>
    <cellStyle name="Heading 1 2 3 4 3 9 2 2" xfId="19544"/>
    <cellStyle name="Heading 1 2 3 4 3 9 3" xfId="19545"/>
    <cellStyle name="Heading 1 2 3 4 4" xfId="19546"/>
    <cellStyle name="Heading 1 2 3 4 4 2" xfId="19547"/>
    <cellStyle name="Heading 1 2 3 4 4 2 2" xfId="19548"/>
    <cellStyle name="Heading 1 2 3 4 4 3" xfId="19549"/>
    <cellStyle name="Heading 1 2 3 4 5" xfId="19550"/>
    <cellStyle name="Heading 1 2 3 4 5 2" xfId="19551"/>
    <cellStyle name="Heading 1 2 3 4 6" xfId="19552"/>
    <cellStyle name="Heading 1 2 3 5" xfId="19553"/>
    <cellStyle name="Heading 1 2 3 5 2" xfId="19554"/>
    <cellStyle name="Heading 1 2 3 5 2 10" xfId="19555"/>
    <cellStyle name="Heading 1 2 3 5 2 10 2" xfId="19556"/>
    <cellStyle name="Heading 1 2 3 5 2 10 2 2" xfId="19557"/>
    <cellStyle name="Heading 1 2 3 5 2 10 3" xfId="19558"/>
    <cellStyle name="Heading 1 2 3 5 2 11" xfId="19559"/>
    <cellStyle name="Heading 1 2 3 5 2 11 2" xfId="19560"/>
    <cellStyle name="Heading 1 2 3 5 2 11 2 2" xfId="19561"/>
    <cellStyle name="Heading 1 2 3 5 2 11 3" xfId="19562"/>
    <cellStyle name="Heading 1 2 3 5 2 12" xfId="19563"/>
    <cellStyle name="Heading 1 2 3 5 2 12 2" xfId="19564"/>
    <cellStyle name="Heading 1 2 3 5 2 12 2 2" xfId="19565"/>
    <cellStyle name="Heading 1 2 3 5 2 12 3" xfId="19566"/>
    <cellStyle name="Heading 1 2 3 5 2 13" xfId="19567"/>
    <cellStyle name="Heading 1 2 3 5 2 13 2" xfId="19568"/>
    <cellStyle name="Heading 1 2 3 5 2 13 2 2" xfId="19569"/>
    <cellStyle name="Heading 1 2 3 5 2 13 3" xfId="19570"/>
    <cellStyle name="Heading 1 2 3 5 2 14" xfId="19571"/>
    <cellStyle name="Heading 1 2 3 5 2 14 2" xfId="19572"/>
    <cellStyle name="Heading 1 2 3 5 2 14 2 2" xfId="19573"/>
    <cellStyle name="Heading 1 2 3 5 2 14 3" xfId="19574"/>
    <cellStyle name="Heading 1 2 3 5 2 15" xfId="19575"/>
    <cellStyle name="Heading 1 2 3 5 2 15 2" xfId="19576"/>
    <cellStyle name="Heading 1 2 3 5 2 15 2 2" xfId="19577"/>
    <cellStyle name="Heading 1 2 3 5 2 15 3" xfId="19578"/>
    <cellStyle name="Heading 1 2 3 5 2 16" xfId="19579"/>
    <cellStyle name="Heading 1 2 3 5 2 16 2" xfId="19580"/>
    <cellStyle name="Heading 1 2 3 5 2 16 2 2" xfId="19581"/>
    <cellStyle name="Heading 1 2 3 5 2 16 3" xfId="19582"/>
    <cellStyle name="Heading 1 2 3 5 2 17" xfId="19583"/>
    <cellStyle name="Heading 1 2 3 5 2 17 2" xfId="19584"/>
    <cellStyle name="Heading 1 2 3 5 2 17 2 2" xfId="19585"/>
    <cellStyle name="Heading 1 2 3 5 2 17 3" xfId="19586"/>
    <cellStyle name="Heading 1 2 3 5 2 18" xfId="19587"/>
    <cellStyle name="Heading 1 2 3 5 2 18 2" xfId="19588"/>
    <cellStyle name="Heading 1 2 3 5 2 18 2 2" xfId="19589"/>
    <cellStyle name="Heading 1 2 3 5 2 18 3" xfId="19590"/>
    <cellStyle name="Heading 1 2 3 5 2 19" xfId="19591"/>
    <cellStyle name="Heading 1 2 3 5 2 19 2" xfId="19592"/>
    <cellStyle name="Heading 1 2 3 5 2 19 2 2" xfId="19593"/>
    <cellStyle name="Heading 1 2 3 5 2 19 3" xfId="19594"/>
    <cellStyle name="Heading 1 2 3 5 2 2" xfId="19595"/>
    <cellStyle name="Heading 1 2 3 5 2 2 10" xfId="19596"/>
    <cellStyle name="Heading 1 2 3 5 2 2 10 2" xfId="19597"/>
    <cellStyle name="Heading 1 2 3 5 2 2 10 2 2" xfId="19598"/>
    <cellStyle name="Heading 1 2 3 5 2 2 10 3" xfId="19599"/>
    <cellStyle name="Heading 1 2 3 5 2 2 11" xfId="19600"/>
    <cellStyle name="Heading 1 2 3 5 2 2 11 2" xfId="19601"/>
    <cellStyle name="Heading 1 2 3 5 2 2 11 2 2" xfId="19602"/>
    <cellStyle name="Heading 1 2 3 5 2 2 11 3" xfId="19603"/>
    <cellStyle name="Heading 1 2 3 5 2 2 12" xfId="19604"/>
    <cellStyle name="Heading 1 2 3 5 2 2 12 2" xfId="19605"/>
    <cellStyle name="Heading 1 2 3 5 2 2 12 2 2" xfId="19606"/>
    <cellStyle name="Heading 1 2 3 5 2 2 12 3" xfId="19607"/>
    <cellStyle name="Heading 1 2 3 5 2 2 13" xfId="19608"/>
    <cellStyle name="Heading 1 2 3 5 2 2 13 2" xfId="19609"/>
    <cellStyle name="Heading 1 2 3 5 2 2 13 2 2" xfId="19610"/>
    <cellStyle name="Heading 1 2 3 5 2 2 13 3" xfId="19611"/>
    <cellStyle name="Heading 1 2 3 5 2 2 14" xfId="19612"/>
    <cellStyle name="Heading 1 2 3 5 2 2 14 2" xfId="19613"/>
    <cellStyle name="Heading 1 2 3 5 2 2 14 2 2" xfId="19614"/>
    <cellStyle name="Heading 1 2 3 5 2 2 14 3" xfId="19615"/>
    <cellStyle name="Heading 1 2 3 5 2 2 15" xfId="19616"/>
    <cellStyle name="Heading 1 2 3 5 2 2 15 2" xfId="19617"/>
    <cellStyle name="Heading 1 2 3 5 2 2 15 2 2" xfId="19618"/>
    <cellStyle name="Heading 1 2 3 5 2 2 15 3" xfId="19619"/>
    <cellStyle name="Heading 1 2 3 5 2 2 16" xfId="19620"/>
    <cellStyle name="Heading 1 2 3 5 2 2 16 2" xfId="19621"/>
    <cellStyle name="Heading 1 2 3 5 2 2 16 2 2" xfId="19622"/>
    <cellStyle name="Heading 1 2 3 5 2 2 16 3" xfId="19623"/>
    <cellStyle name="Heading 1 2 3 5 2 2 17" xfId="19624"/>
    <cellStyle name="Heading 1 2 3 5 2 2 17 2" xfId="19625"/>
    <cellStyle name="Heading 1 2 3 5 2 2 17 2 2" xfId="19626"/>
    <cellStyle name="Heading 1 2 3 5 2 2 17 3" xfId="19627"/>
    <cellStyle name="Heading 1 2 3 5 2 2 18" xfId="19628"/>
    <cellStyle name="Heading 1 2 3 5 2 2 18 2" xfId="19629"/>
    <cellStyle name="Heading 1 2 3 5 2 2 18 2 2" xfId="19630"/>
    <cellStyle name="Heading 1 2 3 5 2 2 18 3" xfId="19631"/>
    <cellStyle name="Heading 1 2 3 5 2 2 19" xfId="19632"/>
    <cellStyle name="Heading 1 2 3 5 2 2 19 2" xfId="19633"/>
    <cellStyle name="Heading 1 2 3 5 2 2 2" xfId="19634"/>
    <cellStyle name="Heading 1 2 3 5 2 2 2 2" xfId="19635"/>
    <cellStyle name="Heading 1 2 3 5 2 2 2 2 2" xfId="19636"/>
    <cellStyle name="Heading 1 2 3 5 2 2 2 2 2 2" xfId="19637"/>
    <cellStyle name="Heading 1 2 3 5 2 2 2 2 3" xfId="19638"/>
    <cellStyle name="Heading 1 2 3 5 2 2 2 3" xfId="19639"/>
    <cellStyle name="Heading 1 2 3 5 2 2 2 3 2" xfId="19640"/>
    <cellStyle name="Heading 1 2 3 5 2 2 2 3 2 2" xfId="19641"/>
    <cellStyle name="Heading 1 2 3 5 2 2 2 3 3" xfId="19642"/>
    <cellStyle name="Heading 1 2 3 5 2 2 2 4" xfId="19643"/>
    <cellStyle name="Heading 1 2 3 5 2 2 2 4 2" xfId="19644"/>
    <cellStyle name="Heading 1 2 3 5 2 2 2 4 2 2" xfId="19645"/>
    <cellStyle name="Heading 1 2 3 5 2 2 2 4 3" xfId="19646"/>
    <cellStyle name="Heading 1 2 3 5 2 2 2 5" xfId="19647"/>
    <cellStyle name="Heading 1 2 3 5 2 2 2 5 2" xfId="19648"/>
    <cellStyle name="Heading 1 2 3 5 2 2 2 5 2 2" xfId="19649"/>
    <cellStyle name="Heading 1 2 3 5 2 2 2 5 3" xfId="19650"/>
    <cellStyle name="Heading 1 2 3 5 2 2 2 6" xfId="19651"/>
    <cellStyle name="Heading 1 2 3 5 2 2 2 6 2" xfId="19652"/>
    <cellStyle name="Heading 1 2 3 5 2 2 2 6 2 2" xfId="19653"/>
    <cellStyle name="Heading 1 2 3 5 2 2 2 6 3" xfId="19654"/>
    <cellStyle name="Heading 1 2 3 5 2 2 2 7" xfId="19655"/>
    <cellStyle name="Heading 1 2 3 5 2 2 2 7 2" xfId="19656"/>
    <cellStyle name="Heading 1 2 3 5 2 2 2 7 2 2" xfId="19657"/>
    <cellStyle name="Heading 1 2 3 5 2 2 2 7 3" xfId="19658"/>
    <cellStyle name="Heading 1 2 3 5 2 2 2 8" xfId="19659"/>
    <cellStyle name="Heading 1 2 3 5 2 2 2 8 2" xfId="19660"/>
    <cellStyle name="Heading 1 2 3 5 2 2 2 9" xfId="19661"/>
    <cellStyle name="Heading 1 2 3 5 2 2 20" xfId="19662"/>
    <cellStyle name="Heading 1 2 3 5 2 2 20 2" xfId="19663"/>
    <cellStyle name="Heading 1 2 3 5 2 2 21" xfId="19664"/>
    <cellStyle name="Heading 1 2 3 5 2 2 21 2" xfId="19665"/>
    <cellStyle name="Heading 1 2 3 5 2 2 22" xfId="19666"/>
    <cellStyle name="Heading 1 2 3 5 2 2 3" xfId="19667"/>
    <cellStyle name="Heading 1 2 3 5 2 2 3 2" xfId="19668"/>
    <cellStyle name="Heading 1 2 3 5 2 2 3 2 2" xfId="19669"/>
    <cellStyle name="Heading 1 2 3 5 2 2 3 2 2 2" xfId="19670"/>
    <cellStyle name="Heading 1 2 3 5 2 2 3 2 3" xfId="19671"/>
    <cellStyle name="Heading 1 2 3 5 2 2 3 3" xfId="19672"/>
    <cellStyle name="Heading 1 2 3 5 2 2 3 3 2" xfId="19673"/>
    <cellStyle name="Heading 1 2 3 5 2 2 3 3 2 2" xfId="19674"/>
    <cellStyle name="Heading 1 2 3 5 2 2 3 3 3" xfId="19675"/>
    <cellStyle name="Heading 1 2 3 5 2 2 3 4" xfId="19676"/>
    <cellStyle name="Heading 1 2 3 5 2 2 3 4 2" xfId="19677"/>
    <cellStyle name="Heading 1 2 3 5 2 2 3 4 2 2" xfId="19678"/>
    <cellStyle name="Heading 1 2 3 5 2 2 3 4 3" xfId="19679"/>
    <cellStyle name="Heading 1 2 3 5 2 2 3 5" xfId="19680"/>
    <cellStyle name="Heading 1 2 3 5 2 2 3 5 2" xfId="19681"/>
    <cellStyle name="Heading 1 2 3 5 2 2 3 5 2 2" xfId="19682"/>
    <cellStyle name="Heading 1 2 3 5 2 2 3 5 3" xfId="19683"/>
    <cellStyle name="Heading 1 2 3 5 2 2 3 6" xfId="19684"/>
    <cellStyle name="Heading 1 2 3 5 2 2 3 6 2" xfId="19685"/>
    <cellStyle name="Heading 1 2 3 5 2 2 3 6 2 2" xfId="19686"/>
    <cellStyle name="Heading 1 2 3 5 2 2 3 6 3" xfId="19687"/>
    <cellStyle name="Heading 1 2 3 5 2 2 3 7" xfId="19688"/>
    <cellStyle name="Heading 1 2 3 5 2 2 3 7 2" xfId="19689"/>
    <cellStyle name="Heading 1 2 3 5 2 2 3 7 2 2" xfId="19690"/>
    <cellStyle name="Heading 1 2 3 5 2 2 3 7 3" xfId="19691"/>
    <cellStyle name="Heading 1 2 3 5 2 2 3 8" xfId="19692"/>
    <cellStyle name="Heading 1 2 3 5 2 2 3 8 2" xfId="19693"/>
    <cellStyle name="Heading 1 2 3 5 2 2 3 9" xfId="19694"/>
    <cellStyle name="Heading 1 2 3 5 2 2 4" xfId="19695"/>
    <cellStyle name="Heading 1 2 3 5 2 2 4 2" xfId="19696"/>
    <cellStyle name="Heading 1 2 3 5 2 2 4 2 2" xfId="19697"/>
    <cellStyle name="Heading 1 2 3 5 2 2 4 2 2 2" xfId="19698"/>
    <cellStyle name="Heading 1 2 3 5 2 2 4 2 3" xfId="19699"/>
    <cellStyle name="Heading 1 2 3 5 2 2 4 3" xfId="19700"/>
    <cellStyle name="Heading 1 2 3 5 2 2 4 3 2" xfId="19701"/>
    <cellStyle name="Heading 1 2 3 5 2 2 4 3 2 2" xfId="19702"/>
    <cellStyle name="Heading 1 2 3 5 2 2 4 3 3" xfId="19703"/>
    <cellStyle name="Heading 1 2 3 5 2 2 4 4" xfId="19704"/>
    <cellStyle name="Heading 1 2 3 5 2 2 4 4 2" xfId="19705"/>
    <cellStyle name="Heading 1 2 3 5 2 2 4 4 2 2" xfId="19706"/>
    <cellStyle name="Heading 1 2 3 5 2 2 4 4 3" xfId="19707"/>
    <cellStyle name="Heading 1 2 3 5 2 2 4 5" xfId="19708"/>
    <cellStyle name="Heading 1 2 3 5 2 2 4 5 2" xfId="19709"/>
    <cellStyle name="Heading 1 2 3 5 2 2 4 5 2 2" xfId="19710"/>
    <cellStyle name="Heading 1 2 3 5 2 2 4 5 3" xfId="19711"/>
    <cellStyle name="Heading 1 2 3 5 2 2 4 6" xfId="19712"/>
    <cellStyle name="Heading 1 2 3 5 2 2 4 6 2" xfId="19713"/>
    <cellStyle name="Heading 1 2 3 5 2 2 4 6 2 2" xfId="19714"/>
    <cellStyle name="Heading 1 2 3 5 2 2 4 6 3" xfId="19715"/>
    <cellStyle name="Heading 1 2 3 5 2 2 4 7" xfId="19716"/>
    <cellStyle name="Heading 1 2 3 5 2 2 4 7 2" xfId="19717"/>
    <cellStyle name="Heading 1 2 3 5 2 2 4 7 2 2" xfId="19718"/>
    <cellStyle name="Heading 1 2 3 5 2 2 4 7 3" xfId="19719"/>
    <cellStyle name="Heading 1 2 3 5 2 2 4 8" xfId="19720"/>
    <cellStyle name="Heading 1 2 3 5 2 2 4 8 2" xfId="19721"/>
    <cellStyle name="Heading 1 2 3 5 2 2 4 9" xfId="19722"/>
    <cellStyle name="Heading 1 2 3 5 2 2 5" xfId="19723"/>
    <cellStyle name="Heading 1 2 3 5 2 2 5 2" xfId="19724"/>
    <cellStyle name="Heading 1 2 3 5 2 2 5 2 2" xfId="19725"/>
    <cellStyle name="Heading 1 2 3 5 2 2 5 2 2 2" xfId="19726"/>
    <cellStyle name="Heading 1 2 3 5 2 2 5 2 3" xfId="19727"/>
    <cellStyle name="Heading 1 2 3 5 2 2 5 3" xfId="19728"/>
    <cellStyle name="Heading 1 2 3 5 2 2 5 3 2" xfId="19729"/>
    <cellStyle name="Heading 1 2 3 5 2 2 5 3 2 2" xfId="19730"/>
    <cellStyle name="Heading 1 2 3 5 2 2 5 3 3" xfId="19731"/>
    <cellStyle name="Heading 1 2 3 5 2 2 5 4" xfId="19732"/>
    <cellStyle name="Heading 1 2 3 5 2 2 5 4 2" xfId="19733"/>
    <cellStyle name="Heading 1 2 3 5 2 2 5 4 2 2" xfId="19734"/>
    <cellStyle name="Heading 1 2 3 5 2 2 5 4 3" xfId="19735"/>
    <cellStyle name="Heading 1 2 3 5 2 2 5 5" xfId="19736"/>
    <cellStyle name="Heading 1 2 3 5 2 2 5 5 2" xfId="19737"/>
    <cellStyle name="Heading 1 2 3 5 2 2 5 5 2 2" xfId="19738"/>
    <cellStyle name="Heading 1 2 3 5 2 2 5 5 3" xfId="19739"/>
    <cellStyle name="Heading 1 2 3 5 2 2 5 6" xfId="19740"/>
    <cellStyle name="Heading 1 2 3 5 2 2 5 6 2" xfId="19741"/>
    <cellStyle name="Heading 1 2 3 5 2 2 5 6 2 2" xfId="19742"/>
    <cellStyle name="Heading 1 2 3 5 2 2 5 6 3" xfId="19743"/>
    <cellStyle name="Heading 1 2 3 5 2 2 5 7" xfId="19744"/>
    <cellStyle name="Heading 1 2 3 5 2 2 5 7 2" xfId="19745"/>
    <cellStyle name="Heading 1 2 3 5 2 2 5 7 2 2" xfId="19746"/>
    <cellStyle name="Heading 1 2 3 5 2 2 5 7 3" xfId="19747"/>
    <cellStyle name="Heading 1 2 3 5 2 2 5 8" xfId="19748"/>
    <cellStyle name="Heading 1 2 3 5 2 2 5 8 2" xfId="19749"/>
    <cellStyle name="Heading 1 2 3 5 2 2 5 9" xfId="19750"/>
    <cellStyle name="Heading 1 2 3 5 2 2 6" xfId="19751"/>
    <cellStyle name="Heading 1 2 3 5 2 2 6 2" xfId="19752"/>
    <cellStyle name="Heading 1 2 3 5 2 2 6 2 2" xfId="19753"/>
    <cellStyle name="Heading 1 2 3 5 2 2 6 2 2 2" xfId="19754"/>
    <cellStyle name="Heading 1 2 3 5 2 2 6 2 3" xfId="19755"/>
    <cellStyle name="Heading 1 2 3 5 2 2 6 3" xfId="19756"/>
    <cellStyle name="Heading 1 2 3 5 2 2 6 3 2" xfId="19757"/>
    <cellStyle name="Heading 1 2 3 5 2 2 6 3 2 2" xfId="19758"/>
    <cellStyle name="Heading 1 2 3 5 2 2 6 3 3" xfId="19759"/>
    <cellStyle name="Heading 1 2 3 5 2 2 6 4" xfId="19760"/>
    <cellStyle name="Heading 1 2 3 5 2 2 6 4 2" xfId="19761"/>
    <cellStyle name="Heading 1 2 3 5 2 2 6 4 2 2" xfId="19762"/>
    <cellStyle name="Heading 1 2 3 5 2 2 6 4 3" xfId="19763"/>
    <cellStyle name="Heading 1 2 3 5 2 2 6 5" xfId="19764"/>
    <cellStyle name="Heading 1 2 3 5 2 2 6 5 2" xfId="19765"/>
    <cellStyle name="Heading 1 2 3 5 2 2 6 5 2 2" xfId="19766"/>
    <cellStyle name="Heading 1 2 3 5 2 2 6 5 3" xfId="19767"/>
    <cellStyle name="Heading 1 2 3 5 2 2 6 6" xfId="19768"/>
    <cellStyle name="Heading 1 2 3 5 2 2 6 6 2" xfId="19769"/>
    <cellStyle name="Heading 1 2 3 5 2 2 6 6 2 2" xfId="19770"/>
    <cellStyle name="Heading 1 2 3 5 2 2 6 6 3" xfId="19771"/>
    <cellStyle name="Heading 1 2 3 5 2 2 6 7" xfId="19772"/>
    <cellStyle name="Heading 1 2 3 5 2 2 6 7 2" xfId="19773"/>
    <cellStyle name="Heading 1 2 3 5 2 2 6 7 2 2" xfId="19774"/>
    <cellStyle name="Heading 1 2 3 5 2 2 6 7 3" xfId="19775"/>
    <cellStyle name="Heading 1 2 3 5 2 2 6 8" xfId="19776"/>
    <cellStyle name="Heading 1 2 3 5 2 2 6 8 2" xfId="19777"/>
    <cellStyle name="Heading 1 2 3 5 2 2 6 9" xfId="19778"/>
    <cellStyle name="Heading 1 2 3 5 2 2 7" xfId="19779"/>
    <cellStyle name="Heading 1 2 3 5 2 2 7 2" xfId="19780"/>
    <cellStyle name="Heading 1 2 3 5 2 2 7 2 2" xfId="19781"/>
    <cellStyle name="Heading 1 2 3 5 2 2 7 2 2 2" xfId="19782"/>
    <cellStyle name="Heading 1 2 3 5 2 2 7 2 3" xfId="19783"/>
    <cellStyle name="Heading 1 2 3 5 2 2 7 3" xfId="19784"/>
    <cellStyle name="Heading 1 2 3 5 2 2 7 3 2" xfId="19785"/>
    <cellStyle name="Heading 1 2 3 5 2 2 7 3 2 2" xfId="19786"/>
    <cellStyle name="Heading 1 2 3 5 2 2 7 3 3" xfId="19787"/>
    <cellStyle name="Heading 1 2 3 5 2 2 7 4" xfId="19788"/>
    <cellStyle name="Heading 1 2 3 5 2 2 7 4 2" xfId="19789"/>
    <cellStyle name="Heading 1 2 3 5 2 2 7 4 2 2" xfId="19790"/>
    <cellStyle name="Heading 1 2 3 5 2 2 7 4 3" xfId="19791"/>
    <cellStyle name="Heading 1 2 3 5 2 2 7 5" xfId="19792"/>
    <cellStyle name="Heading 1 2 3 5 2 2 7 5 2" xfId="19793"/>
    <cellStyle name="Heading 1 2 3 5 2 2 7 5 2 2" xfId="19794"/>
    <cellStyle name="Heading 1 2 3 5 2 2 7 5 3" xfId="19795"/>
    <cellStyle name="Heading 1 2 3 5 2 2 7 6" xfId="19796"/>
    <cellStyle name="Heading 1 2 3 5 2 2 7 6 2" xfId="19797"/>
    <cellStyle name="Heading 1 2 3 5 2 2 7 6 2 2" xfId="19798"/>
    <cellStyle name="Heading 1 2 3 5 2 2 7 6 3" xfId="19799"/>
    <cellStyle name="Heading 1 2 3 5 2 2 7 7" xfId="19800"/>
    <cellStyle name="Heading 1 2 3 5 2 2 7 7 2" xfId="19801"/>
    <cellStyle name="Heading 1 2 3 5 2 2 7 7 2 2" xfId="19802"/>
    <cellStyle name="Heading 1 2 3 5 2 2 7 7 3" xfId="19803"/>
    <cellStyle name="Heading 1 2 3 5 2 2 7 8" xfId="19804"/>
    <cellStyle name="Heading 1 2 3 5 2 2 7 8 2" xfId="19805"/>
    <cellStyle name="Heading 1 2 3 5 2 2 7 9" xfId="19806"/>
    <cellStyle name="Heading 1 2 3 5 2 2 8" xfId="19807"/>
    <cellStyle name="Heading 1 2 3 5 2 2 8 2" xfId="19808"/>
    <cellStyle name="Heading 1 2 3 5 2 2 8 2 2" xfId="19809"/>
    <cellStyle name="Heading 1 2 3 5 2 2 8 2 2 2" xfId="19810"/>
    <cellStyle name="Heading 1 2 3 5 2 2 8 2 3" xfId="19811"/>
    <cellStyle name="Heading 1 2 3 5 2 2 8 3" xfId="19812"/>
    <cellStyle name="Heading 1 2 3 5 2 2 8 3 2" xfId="19813"/>
    <cellStyle name="Heading 1 2 3 5 2 2 8 3 2 2" xfId="19814"/>
    <cellStyle name="Heading 1 2 3 5 2 2 8 3 3" xfId="19815"/>
    <cellStyle name="Heading 1 2 3 5 2 2 8 4" xfId="19816"/>
    <cellStyle name="Heading 1 2 3 5 2 2 8 4 2" xfId="19817"/>
    <cellStyle name="Heading 1 2 3 5 2 2 8 4 2 2" xfId="19818"/>
    <cellStyle name="Heading 1 2 3 5 2 2 8 4 3" xfId="19819"/>
    <cellStyle name="Heading 1 2 3 5 2 2 8 5" xfId="19820"/>
    <cellStyle name="Heading 1 2 3 5 2 2 8 5 2" xfId="19821"/>
    <cellStyle name="Heading 1 2 3 5 2 2 8 5 2 2" xfId="19822"/>
    <cellStyle name="Heading 1 2 3 5 2 2 8 5 3" xfId="19823"/>
    <cellStyle name="Heading 1 2 3 5 2 2 8 6" xfId="19824"/>
    <cellStyle name="Heading 1 2 3 5 2 2 8 6 2" xfId="19825"/>
    <cellStyle name="Heading 1 2 3 5 2 2 8 6 2 2" xfId="19826"/>
    <cellStyle name="Heading 1 2 3 5 2 2 8 6 3" xfId="19827"/>
    <cellStyle name="Heading 1 2 3 5 2 2 8 7" xfId="19828"/>
    <cellStyle name="Heading 1 2 3 5 2 2 8 7 2" xfId="19829"/>
    <cellStyle name="Heading 1 2 3 5 2 2 8 7 2 2" xfId="19830"/>
    <cellStyle name="Heading 1 2 3 5 2 2 8 7 3" xfId="19831"/>
    <cellStyle name="Heading 1 2 3 5 2 2 8 8" xfId="19832"/>
    <cellStyle name="Heading 1 2 3 5 2 2 8 8 2" xfId="19833"/>
    <cellStyle name="Heading 1 2 3 5 2 2 8 9" xfId="19834"/>
    <cellStyle name="Heading 1 2 3 5 2 2 9" xfId="19835"/>
    <cellStyle name="Heading 1 2 3 5 2 2 9 2" xfId="19836"/>
    <cellStyle name="Heading 1 2 3 5 2 2 9 2 2" xfId="19837"/>
    <cellStyle name="Heading 1 2 3 5 2 2 9 3" xfId="19838"/>
    <cellStyle name="Heading 1 2 3 5 2 20" xfId="19839"/>
    <cellStyle name="Heading 1 2 3 5 2 20 2" xfId="19840"/>
    <cellStyle name="Heading 1 2 3 5 2 21" xfId="19841"/>
    <cellStyle name="Heading 1 2 3 5 2 21 2" xfId="19842"/>
    <cellStyle name="Heading 1 2 3 5 2 22" xfId="19843"/>
    <cellStyle name="Heading 1 2 3 5 2 22 2" xfId="19844"/>
    <cellStyle name="Heading 1 2 3 5 2 23" xfId="19845"/>
    <cellStyle name="Heading 1 2 3 5 2 3" xfId="19846"/>
    <cellStyle name="Heading 1 2 3 5 2 3 2" xfId="19847"/>
    <cellStyle name="Heading 1 2 3 5 2 3 2 2" xfId="19848"/>
    <cellStyle name="Heading 1 2 3 5 2 3 2 2 2" xfId="19849"/>
    <cellStyle name="Heading 1 2 3 5 2 3 2 3" xfId="19850"/>
    <cellStyle name="Heading 1 2 3 5 2 3 3" xfId="19851"/>
    <cellStyle name="Heading 1 2 3 5 2 3 3 2" xfId="19852"/>
    <cellStyle name="Heading 1 2 3 5 2 3 3 2 2" xfId="19853"/>
    <cellStyle name="Heading 1 2 3 5 2 3 3 3" xfId="19854"/>
    <cellStyle name="Heading 1 2 3 5 2 3 4" xfId="19855"/>
    <cellStyle name="Heading 1 2 3 5 2 3 4 2" xfId="19856"/>
    <cellStyle name="Heading 1 2 3 5 2 3 4 2 2" xfId="19857"/>
    <cellStyle name="Heading 1 2 3 5 2 3 4 3" xfId="19858"/>
    <cellStyle name="Heading 1 2 3 5 2 3 5" xfId="19859"/>
    <cellStyle name="Heading 1 2 3 5 2 3 5 2" xfId="19860"/>
    <cellStyle name="Heading 1 2 3 5 2 3 5 2 2" xfId="19861"/>
    <cellStyle name="Heading 1 2 3 5 2 3 5 3" xfId="19862"/>
    <cellStyle name="Heading 1 2 3 5 2 3 6" xfId="19863"/>
    <cellStyle name="Heading 1 2 3 5 2 3 6 2" xfId="19864"/>
    <cellStyle name="Heading 1 2 3 5 2 3 6 2 2" xfId="19865"/>
    <cellStyle name="Heading 1 2 3 5 2 3 6 3" xfId="19866"/>
    <cellStyle name="Heading 1 2 3 5 2 3 7" xfId="19867"/>
    <cellStyle name="Heading 1 2 3 5 2 3 7 2" xfId="19868"/>
    <cellStyle name="Heading 1 2 3 5 2 3 7 2 2" xfId="19869"/>
    <cellStyle name="Heading 1 2 3 5 2 3 7 3" xfId="19870"/>
    <cellStyle name="Heading 1 2 3 5 2 3 8" xfId="19871"/>
    <cellStyle name="Heading 1 2 3 5 2 3 8 2" xfId="19872"/>
    <cellStyle name="Heading 1 2 3 5 2 3 9" xfId="19873"/>
    <cellStyle name="Heading 1 2 3 5 2 4" xfId="19874"/>
    <cellStyle name="Heading 1 2 3 5 2 4 2" xfId="19875"/>
    <cellStyle name="Heading 1 2 3 5 2 4 2 2" xfId="19876"/>
    <cellStyle name="Heading 1 2 3 5 2 4 2 2 2" xfId="19877"/>
    <cellStyle name="Heading 1 2 3 5 2 4 2 3" xfId="19878"/>
    <cellStyle name="Heading 1 2 3 5 2 4 3" xfId="19879"/>
    <cellStyle name="Heading 1 2 3 5 2 4 3 2" xfId="19880"/>
    <cellStyle name="Heading 1 2 3 5 2 4 3 2 2" xfId="19881"/>
    <cellStyle name="Heading 1 2 3 5 2 4 3 3" xfId="19882"/>
    <cellStyle name="Heading 1 2 3 5 2 4 4" xfId="19883"/>
    <cellStyle name="Heading 1 2 3 5 2 4 4 2" xfId="19884"/>
    <cellStyle name="Heading 1 2 3 5 2 4 4 2 2" xfId="19885"/>
    <cellStyle name="Heading 1 2 3 5 2 4 4 3" xfId="19886"/>
    <cellStyle name="Heading 1 2 3 5 2 4 5" xfId="19887"/>
    <cellStyle name="Heading 1 2 3 5 2 4 5 2" xfId="19888"/>
    <cellStyle name="Heading 1 2 3 5 2 4 5 2 2" xfId="19889"/>
    <cellStyle name="Heading 1 2 3 5 2 4 5 3" xfId="19890"/>
    <cellStyle name="Heading 1 2 3 5 2 4 6" xfId="19891"/>
    <cellStyle name="Heading 1 2 3 5 2 4 6 2" xfId="19892"/>
    <cellStyle name="Heading 1 2 3 5 2 4 6 2 2" xfId="19893"/>
    <cellStyle name="Heading 1 2 3 5 2 4 6 3" xfId="19894"/>
    <cellStyle name="Heading 1 2 3 5 2 4 7" xfId="19895"/>
    <cellStyle name="Heading 1 2 3 5 2 4 7 2" xfId="19896"/>
    <cellStyle name="Heading 1 2 3 5 2 4 7 2 2" xfId="19897"/>
    <cellStyle name="Heading 1 2 3 5 2 4 7 3" xfId="19898"/>
    <cellStyle name="Heading 1 2 3 5 2 4 8" xfId="19899"/>
    <cellStyle name="Heading 1 2 3 5 2 4 8 2" xfId="19900"/>
    <cellStyle name="Heading 1 2 3 5 2 4 9" xfId="19901"/>
    <cellStyle name="Heading 1 2 3 5 2 5" xfId="19902"/>
    <cellStyle name="Heading 1 2 3 5 2 5 2" xfId="19903"/>
    <cellStyle name="Heading 1 2 3 5 2 5 2 2" xfId="19904"/>
    <cellStyle name="Heading 1 2 3 5 2 5 2 2 2" xfId="19905"/>
    <cellStyle name="Heading 1 2 3 5 2 5 2 3" xfId="19906"/>
    <cellStyle name="Heading 1 2 3 5 2 5 3" xfId="19907"/>
    <cellStyle name="Heading 1 2 3 5 2 5 3 2" xfId="19908"/>
    <cellStyle name="Heading 1 2 3 5 2 5 3 2 2" xfId="19909"/>
    <cellStyle name="Heading 1 2 3 5 2 5 3 3" xfId="19910"/>
    <cellStyle name="Heading 1 2 3 5 2 5 4" xfId="19911"/>
    <cellStyle name="Heading 1 2 3 5 2 5 4 2" xfId="19912"/>
    <cellStyle name="Heading 1 2 3 5 2 5 4 2 2" xfId="19913"/>
    <cellStyle name="Heading 1 2 3 5 2 5 4 3" xfId="19914"/>
    <cellStyle name="Heading 1 2 3 5 2 5 5" xfId="19915"/>
    <cellStyle name="Heading 1 2 3 5 2 5 5 2" xfId="19916"/>
    <cellStyle name="Heading 1 2 3 5 2 5 5 2 2" xfId="19917"/>
    <cellStyle name="Heading 1 2 3 5 2 5 5 3" xfId="19918"/>
    <cellStyle name="Heading 1 2 3 5 2 5 6" xfId="19919"/>
    <cellStyle name="Heading 1 2 3 5 2 5 6 2" xfId="19920"/>
    <cellStyle name="Heading 1 2 3 5 2 5 6 2 2" xfId="19921"/>
    <cellStyle name="Heading 1 2 3 5 2 5 6 3" xfId="19922"/>
    <cellStyle name="Heading 1 2 3 5 2 5 7" xfId="19923"/>
    <cellStyle name="Heading 1 2 3 5 2 5 7 2" xfId="19924"/>
    <cellStyle name="Heading 1 2 3 5 2 5 7 2 2" xfId="19925"/>
    <cellStyle name="Heading 1 2 3 5 2 5 7 3" xfId="19926"/>
    <cellStyle name="Heading 1 2 3 5 2 5 8" xfId="19927"/>
    <cellStyle name="Heading 1 2 3 5 2 5 8 2" xfId="19928"/>
    <cellStyle name="Heading 1 2 3 5 2 5 9" xfId="19929"/>
    <cellStyle name="Heading 1 2 3 5 2 6" xfId="19930"/>
    <cellStyle name="Heading 1 2 3 5 2 6 2" xfId="19931"/>
    <cellStyle name="Heading 1 2 3 5 2 6 2 2" xfId="19932"/>
    <cellStyle name="Heading 1 2 3 5 2 6 2 2 2" xfId="19933"/>
    <cellStyle name="Heading 1 2 3 5 2 6 2 3" xfId="19934"/>
    <cellStyle name="Heading 1 2 3 5 2 6 3" xfId="19935"/>
    <cellStyle name="Heading 1 2 3 5 2 6 3 2" xfId="19936"/>
    <cellStyle name="Heading 1 2 3 5 2 6 3 2 2" xfId="19937"/>
    <cellStyle name="Heading 1 2 3 5 2 6 3 3" xfId="19938"/>
    <cellStyle name="Heading 1 2 3 5 2 6 4" xfId="19939"/>
    <cellStyle name="Heading 1 2 3 5 2 6 4 2" xfId="19940"/>
    <cellStyle name="Heading 1 2 3 5 2 6 4 2 2" xfId="19941"/>
    <cellStyle name="Heading 1 2 3 5 2 6 4 3" xfId="19942"/>
    <cellStyle name="Heading 1 2 3 5 2 6 5" xfId="19943"/>
    <cellStyle name="Heading 1 2 3 5 2 6 5 2" xfId="19944"/>
    <cellStyle name="Heading 1 2 3 5 2 6 5 2 2" xfId="19945"/>
    <cellStyle name="Heading 1 2 3 5 2 6 5 3" xfId="19946"/>
    <cellStyle name="Heading 1 2 3 5 2 6 6" xfId="19947"/>
    <cellStyle name="Heading 1 2 3 5 2 6 6 2" xfId="19948"/>
    <cellStyle name="Heading 1 2 3 5 2 6 6 2 2" xfId="19949"/>
    <cellStyle name="Heading 1 2 3 5 2 6 6 3" xfId="19950"/>
    <cellStyle name="Heading 1 2 3 5 2 6 7" xfId="19951"/>
    <cellStyle name="Heading 1 2 3 5 2 6 7 2" xfId="19952"/>
    <cellStyle name="Heading 1 2 3 5 2 6 7 2 2" xfId="19953"/>
    <cellStyle name="Heading 1 2 3 5 2 6 7 3" xfId="19954"/>
    <cellStyle name="Heading 1 2 3 5 2 6 8" xfId="19955"/>
    <cellStyle name="Heading 1 2 3 5 2 6 8 2" xfId="19956"/>
    <cellStyle name="Heading 1 2 3 5 2 6 9" xfId="19957"/>
    <cellStyle name="Heading 1 2 3 5 2 7" xfId="19958"/>
    <cellStyle name="Heading 1 2 3 5 2 7 2" xfId="19959"/>
    <cellStyle name="Heading 1 2 3 5 2 7 2 2" xfId="19960"/>
    <cellStyle name="Heading 1 2 3 5 2 7 2 2 2" xfId="19961"/>
    <cellStyle name="Heading 1 2 3 5 2 7 2 3" xfId="19962"/>
    <cellStyle name="Heading 1 2 3 5 2 7 3" xfId="19963"/>
    <cellStyle name="Heading 1 2 3 5 2 7 3 2" xfId="19964"/>
    <cellStyle name="Heading 1 2 3 5 2 7 3 2 2" xfId="19965"/>
    <cellStyle name="Heading 1 2 3 5 2 7 3 3" xfId="19966"/>
    <cellStyle name="Heading 1 2 3 5 2 7 4" xfId="19967"/>
    <cellStyle name="Heading 1 2 3 5 2 7 4 2" xfId="19968"/>
    <cellStyle name="Heading 1 2 3 5 2 7 4 2 2" xfId="19969"/>
    <cellStyle name="Heading 1 2 3 5 2 7 4 3" xfId="19970"/>
    <cellStyle name="Heading 1 2 3 5 2 7 5" xfId="19971"/>
    <cellStyle name="Heading 1 2 3 5 2 7 5 2" xfId="19972"/>
    <cellStyle name="Heading 1 2 3 5 2 7 5 2 2" xfId="19973"/>
    <cellStyle name="Heading 1 2 3 5 2 7 5 3" xfId="19974"/>
    <cellStyle name="Heading 1 2 3 5 2 7 6" xfId="19975"/>
    <cellStyle name="Heading 1 2 3 5 2 7 6 2" xfId="19976"/>
    <cellStyle name="Heading 1 2 3 5 2 7 6 2 2" xfId="19977"/>
    <cellStyle name="Heading 1 2 3 5 2 7 6 3" xfId="19978"/>
    <cellStyle name="Heading 1 2 3 5 2 7 7" xfId="19979"/>
    <cellStyle name="Heading 1 2 3 5 2 7 7 2" xfId="19980"/>
    <cellStyle name="Heading 1 2 3 5 2 7 7 2 2" xfId="19981"/>
    <cellStyle name="Heading 1 2 3 5 2 7 7 3" xfId="19982"/>
    <cellStyle name="Heading 1 2 3 5 2 7 8" xfId="19983"/>
    <cellStyle name="Heading 1 2 3 5 2 7 8 2" xfId="19984"/>
    <cellStyle name="Heading 1 2 3 5 2 7 9" xfId="19985"/>
    <cellStyle name="Heading 1 2 3 5 2 8" xfId="19986"/>
    <cellStyle name="Heading 1 2 3 5 2 8 2" xfId="19987"/>
    <cellStyle name="Heading 1 2 3 5 2 8 2 2" xfId="19988"/>
    <cellStyle name="Heading 1 2 3 5 2 8 2 2 2" xfId="19989"/>
    <cellStyle name="Heading 1 2 3 5 2 8 2 3" xfId="19990"/>
    <cellStyle name="Heading 1 2 3 5 2 8 3" xfId="19991"/>
    <cellStyle name="Heading 1 2 3 5 2 8 3 2" xfId="19992"/>
    <cellStyle name="Heading 1 2 3 5 2 8 3 2 2" xfId="19993"/>
    <cellStyle name="Heading 1 2 3 5 2 8 3 3" xfId="19994"/>
    <cellStyle name="Heading 1 2 3 5 2 8 4" xfId="19995"/>
    <cellStyle name="Heading 1 2 3 5 2 8 4 2" xfId="19996"/>
    <cellStyle name="Heading 1 2 3 5 2 8 4 2 2" xfId="19997"/>
    <cellStyle name="Heading 1 2 3 5 2 8 4 3" xfId="19998"/>
    <cellStyle name="Heading 1 2 3 5 2 8 5" xfId="19999"/>
    <cellStyle name="Heading 1 2 3 5 2 8 5 2" xfId="20000"/>
    <cellStyle name="Heading 1 2 3 5 2 8 5 2 2" xfId="20001"/>
    <cellStyle name="Heading 1 2 3 5 2 8 5 3" xfId="20002"/>
    <cellStyle name="Heading 1 2 3 5 2 8 6" xfId="20003"/>
    <cellStyle name="Heading 1 2 3 5 2 8 6 2" xfId="20004"/>
    <cellStyle name="Heading 1 2 3 5 2 8 6 2 2" xfId="20005"/>
    <cellStyle name="Heading 1 2 3 5 2 8 6 3" xfId="20006"/>
    <cellStyle name="Heading 1 2 3 5 2 8 7" xfId="20007"/>
    <cellStyle name="Heading 1 2 3 5 2 8 7 2" xfId="20008"/>
    <cellStyle name="Heading 1 2 3 5 2 8 7 2 2" xfId="20009"/>
    <cellStyle name="Heading 1 2 3 5 2 8 7 3" xfId="20010"/>
    <cellStyle name="Heading 1 2 3 5 2 8 8" xfId="20011"/>
    <cellStyle name="Heading 1 2 3 5 2 8 8 2" xfId="20012"/>
    <cellStyle name="Heading 1 2 3 5 2 8 9" xfId="20013"/>
    <cellStyle name="Heading 1 2 3 5 2 9" xfId="20014"/>
    <cellStyle name="Heading 1 2 3 5 2 9 2" xfId="20015"/>
    <cellStyle name="Heading 1 2 3 5 2 9 2 2" xfId="20016"/>
    <cellStyle name="Heading 1 2 3 5 2 9 2 2 2" xfId="20017"/>
    <cellStyle name="Heading 1 2 3 5 2 9 2 3" xfId="20018"/>
    <cellStyle name="Heading 1 2 3 5 2 9 3" xfId="20019"/>
    <cellStyle name="Heading 1 2 3 5 2 9 3 2" xfId="20020"/>
    <cellStyle name="Heading 1 2 3 5 2 9 3 2 2" xfId="20021"/>
    <cellStyle name="Heading 1 2 3 5 2 9 3 3" xfId="20022"/>
    <cellStyle name="Heading 1 2 3 5 2 9 4" xfId="20023"/>
    <cellStyle name="Heading 1 2 3 5 2 9 4 2" xfId="20024"/>
    <cellStyle name="Heading 1 2 3 5 2 9 4 2 2" xfId="20025"/>
    <cellStyle name="Heading 1 2 3 5 2 9 4 3" xfId="20026"/>
    <cellStyle name="Heading 1 2 3 5 2 9 5" xfId="20027"/>
    <cellStyle name="Heading 1 2 3 5 2 9 5 2" xfId="20028"/>
    <cellStyle name="Heading 1 2 3 5 2 9 5 2 2" xfId="20029"/>
    <cellStyle name="Heading 1 2 3 5 2 9 5 3" xfId="20030"/>
    <cellStyle name="Heading 1 2 3 5 2 9 6" xfId="20031"/>
    <cellStyle name="Heading 1 2 3 5 2 9 6 2" xfId="20032"/>
    <cellStyle name="Heading 1 2 3 5 2 9 6 2 2" xfId="20033"/>
    <cellStyle name="Heading 1 2 3 5 2 9 6 3" xfId="20034"/>
    <cellStyle name="Heading 1 2 3 5 2 9 7" xfId="20035"/>
    <cellStyle name="Heading 1 2 3 5 2 9 7 2" xfId="20036"/>
    <cellStyle name="Heading 1 2 3 5 2 9 7 2 2" xfId="20037"/>
    <cellStyle name="Heading 1 2 3 5 2 9 7 3" xfId="20038"/>
    <cellStyle name="Heading 1 2 3 5 2 9 8" xfId="20039"/>
    <cellStyle name="Heading 1 2 3 5 2 9 8 2" xfId="20040"/>
    <cellStyle name="Heading 1 2 3 5 2 9 9" xfId="20041"/>
    <cellStyle name="Heading 1 2 3 5 3" xfId="20042"/>
    <cellStyle name="Heading 1 2 3 5 3 10" xfId="20043"/>
    <cellStyle name="Heading 1 2 3 5 3 10 2" xfId="20044"/>
    <cellStyle name="Heading 1 2 3 5 3 10 2 2" xfId="20045"/>
    <cellStyle name="Heading 1 2 3 5 3 10 3" xfId="20046"/>
    <cellStyle name="Heading 1 2 3 5 3 11" xfId="20047"/>
    <cellStyle name="Heading 1 2 3 5 3 11 2" xfId="20048"/>
    <cellStyle name="Heading 1 2 3 5 3 11 2 2" xfId="20049"/>
    <cellStyle name="Heading 1 2 3 5 3 11 3" xfId="20050"/>
    <cellStyle name="Heading 1 2 3 5 3 12" xfId="20051"/>
    <cellStyle name="Heading 1 2 3 5 3 12 2" xfId="20052"/>
    <cellStyle name="Heading 1 2 3 5 3 12 2 2" xfId="20053"/>
    <cellStyle name="Heading 1 2 3 5 3 12 3" xfId="20054"/>
    <cellStyle name="Heading 1 2 3 5 3 13" xfId="20055"/>
    <cellStyle name="Heading 1 2 3 5 3 13 2" xfId="20056"/>
    <cellStyle name="Heading 1 2 3 5 3 13 2 2" xfId="20057"/>
    <cellStyle name="Heading 1 2 3 5 3 13 3" xfId="20058"/>
    <cellStyle name="Heading 1 2 3 5 3 14" xfId="20059"/>
    <cellStyle name="Heading 1 2 3 5 3 14 2" xfId="20060"/>
    <cellStyle name="Heading 1 2 3 5 3 14 2 2" xfId="20061"/>
    <cellStyle name="Heading 1 2 3 5 3 14 3" xfId="20062"/>
    <cellStyle name="Heading 1 2 3 5 3 15" xfId="20063"/>
    <cellStyle name="Heading 1 2 3 5 3 15 2" xfId="20064"/>
    <cellStyle name="Heading 1 2 3 5 3 15 2 2" xfId="20065"/>
    <cellStyle name="Heading 1 2 3 5 3 15 3" xfId="20066"/>
    <cellStyle name="Heading 1 2 3 5 3 16" xfId="20067"/>
    <cellStyle name="Heading 1 2 3 5 3 16 2" xfId="20068"/>
    <cellStyle name="Heading 1 2 3 5 3 16 2 2" xfId="20069"/>
    <cellStyle name="Heading 1 2 3 5 3 16 3" xfId="20070"/>
    <cellStyle name="Heading 1 2 3 5 3 17" xfId="20071"/>
    <cellStyle name="Heading 1 2 3 5 3 17 2" xfId="20072"/>
    <cellStyle name="Heading 1 2 3 5 3 17 2 2" xfId="20073"/>
    <cellStyle name="Heading 1 2 3 5 3 17 3" xfId="20074"/>
    <cellStyle name="Heading 1 2 3 5 3 18" xfId="20075"/>
    <cellStyle name="Heading 1 2 3 5 3 18 2" xfId="20076"/>
    <cellStyle name="Heading 1 2 3 5 3 18 2 2" xfId="20077"/>
    <cellStyle name="Heading 1 2 3 5 3 18 3" xfId="20078"/>
    <cellStyle name="Heading 1 2 3 5 3 19" xfId="20079"/>
    <cellStyle name="Heading 1 2 3 5 3 19 2" xfId="20080"/>
    <cellStyle name="Heading 1 2 3 5 3 2" xfId="20081"/>
    <cellStyle name="Heading 1 2 3 5 3 2 2" xfId="20082"/>
    <cellStyle name="Heading 1 2 3 5 3 2 2 2" xfId="20083"/>
    <cellStyle name="Heading 1 2 3 5 3 2 2 2 2" xfId="20084"/>
    <cellStyle name="Heading 1 2 3 5 3 2 2 3" xfId="20085"/>
    <cellStyle name="Heading 1 2 3 5 3 2 3" xfId="20086"/>
    <cellStyle name="Heading 1 2 3 5 3 2 3 2" xfId="20087"/>
    <cellStyle name="Heading 1 2 3 5 3 2 3 2 2" xfId="20088"/>
    <cellStyle name="Heading 1 2 3 5 3 2 3 3" xfId="20089"/>
    <cellStyle name="Heading 1 2 3 5 3 2 4" xfId="20090"/>
    <cellStyle name="Heading 1 2 3 5 3 2 4 2" xfId="20091"/>
    <cellStyle name="Heading 1 2 3 5 3 2 4 2 2" xfId="20092"/>
    <cellStyle name="Heading 1 2 3 5 3 2 4 3" xfId="20093"/>
    <cellStyle name="Heading 1 2 3 5 3 2 5" xfId="20094"/>
    <cellStyle name="Heading 1 2 3 5 3 2 5 2" xfId="20095"/>
    <cellStyle name="Heading 1 2 3 5 3 2 5 2 2" xfId="20096"/>
    <cellStyle name="Heading 1 2 3 5 3 2 5 3" xfId="20097"/>
    <cellStyle name="Heading 1 2 3 5 3 2 6" xfId="20098"/>
    <cellStyle name="Heading 1 2 3 5 3 2 6 2" xfId="20099"/>
    <cellStyle name="Heading 1 2 3 5 3 2 6 2 2" xfId="20100"/>
    <cellStyle name="Heading 1 2 3 5 3 2 6 3" xfId="20101"/>
    <cellStyle name="Heading 1 2 3 5 3 2 7" xfId="20102"/>
    <cellStyle name="Heading 1 2 3 5 3 2 7 2" xfId="20103"/>
    <cellStyle name="Heading 1 2 3 5 3 2 7 2 2" xfId="20104"/>
    <cellStyle name="Heading 1 2 3 5 3 2 7 3" xfId="20105"/>
    <cellStyle name="Heading 1 2 3 5 3 2 8" xfId="20106"/>
    <cellStyle name="Heading 1 2 3 5 3 2 8 2" xfId="20107"/>
    <cellStyle name="Heading 1 2 3 5 3 2 9" xfId="20108"/>
    <cellStyle name="Heading 1 2 3 5 3 20" xfId="20109"/>
    <cellStyle name="Heading 1 2 3 5 3 20 2" xfId="20110"/>
    <cellStyle name="Heading 1 2 3 5 3 21" xfId="20111"/>
    <cellStyle name="Heading 1 2 3 5 3 21 2" xfId="20112"/>
    <cellStyle name="Heading 1 2 3 5 3 22" xfId="20113"/>
    <cellStyle name="Heading 1 2 3 5 3 3" xfId="20114"/>
    <cellStyle name="Heading 1 2 3 5 3 3 2" xfId="20115"/>
    <cellStyle name="Heading 1 2 3 5 3 3 2 2" xfId="20116"/>
    <cellStyle name="Heading 1 2 3 5 3 3 2 2 2" xfId="20117"/>
    <cellStyle name="Heading 1 2 3 5 3 3 2 3" xfId="20118"/>
    <cellStyle name="Heading 1 2 3 5 3 3 3" xfId="20119"/>
    <cellStyle name="Heading 1 2 3 5 3 3 3 2" xfId="20120"/>
    <cellStyle name="Heading 1 2 3 5 3 3 3 2 2" xfId="20121"/>
    <cellStyle name="Heading 1 2 3 5 3 3 3 3" xfId="20122"/>
    <cellStyle name="Heading 1 2 3 5 3 3 4" xfId="20123"/>
    <cellStyle name="Heading 1 2 3 5 3 3 4 2" xfId="20124"/>
    <cellStyle name="Heading 1 2 3 5 3 3 4 2 2" xfId="20125"/>
    <cellStyle name="Heading 1 2 3 5 3 3 4 3" xfId="20126"/>
    <cellStyle name="Heading 1 2 3 5 3 3 5" xfId="20127"/>
    <cellStyle name="Heading 1 2 3 5 3 3 5 2" xfId="20128"/>
    <cellStyle name="Heading 1 2 3 5 3 3 5 2 2" xfId="20129"/>
    <cellStyle name="Heading 1 2 3 5 3 3 5 3" xfId="20130"/>
    <cellStyle name="Heading 1 2 3 5 3 3 6" xfId="20131"/>
    <cellStyle name="Heading 1 2 3 5 3 3 6 2" xfId="20132"/>
    <cellStyle name="Heading 1 2 3 5 3 3 6 2 2" xfId="20133"/>
    <cellStyle name="Heading 1 2 3 5 3 3 6 3" xfId="20134"/>
    <cellStyle name="Heading 1 2 3 5 3 3 7" xfId="20135"/>
    <cellStyle name="Heading 1 2 3 5 3 3 7 2" xfId="20136"/>
    <cellStyle name="Heading 1 2 3 5 3 3 7 2 2" xfId="20137"/>
    <cellStyle name="Heading 1 2 3 5 3 3 7 3" xfId="20138"/>
    <cellStyle name="Heading 1 2 3 5 3 3 8" xfId="20139"/>
    <cellStyle name="Heading 1 2 3 5 3 3 8 2" xfId="20140"/>
    <cellStyle name="Heading 1 2 3 5 3 3 9" xfId="20141"/>
    <cellStyle name="Heading 1 2 3 5 3 4" xfId="20142"/>
    <cellStyle name="Heading 1 2 3 5 3 4 2" xfId="20143"/>
    <cellStyle name="Heading 1 2 3 5 3 4 2 2" xfId="20144"/>
    <cellStyle name="Heading 1 2 3 5 3 4 2 2 2" xfId="20145"/>
    <cellStyle name="Heading 1 2 3 5 3 4 2 3" xfId="20146"/>
    <cellStyle name="Heading 1 2 3 5 3 4 3" xfId="20147"/>
    <cellStyle name="Heading 1 2 3 5 3 4 3 2" xfId="20148"/>
    <cellStyle name="Heading 1 2 3 5 3 4 3 2 2" xfId="20149"/>
    <cellStyle name="Heading 1 2 3 5 3 4 3 3" xfId="20150"/>
    <cellStyle name="Heading 1 2 3 5 3 4 4" xfId="20151"/>
    <cellStyle name="Heading 1 2 3 5 3 4 4 2" xfId="20152"/>
    <cellStyle name="Heading 1 2 3 5 3 4 4 2 2" xfId="20153"/>
    <cellStyle name="Heading 1 2 3 5 3 4 4 3" xfId="20154"/>
    <cellStyle name="Heading 1 2 3 5 3 4 5" xfId="20155"/>
    <cellStyle name="Heading 1 2 3 5 3 4 5 2" xfId="20156"/>
    <cellStyle name="Heading 1 2 3 5 3 4 5 2 2" xfId="20157"/>
    <cellStyle name="Heading 1 2 3 5 3 4 5 3" xfId="20158"/>
    <cellStyle name="Heading 1 2 3 5 3 4 6" xfId="20159"/>
    <cellStyle name="Heading 1 2 3 5 3 4 6 2" xfId="20160"/>
    <cellStyle name="Heading 1 2 3 5 3 4 6 2 2" xfId="20161"/>
    <cellStyle name="Heading 1 2 3 5 3 4 6 3" xfId="20162"/>
    <cellStyle name="Heading 1 2 3 5 3 4 7" xfId="20163"/>
    <cellStyle name="Heading 1 2 3 5 3 4 7 2" xfId="20164"/>
    <cellStyle name="Heading 1 2 3 5 3 4 7 2 2" xfId="20165"/>
    <cellStyle name="Heading 1 2 3 5 3 4 7 3" xfId="20166"/>
    <cellStyle name="Heading 1 2 3 5 3 4 8" xfId="20167"/>
    <cellStyle name="Heading 1 2 3 5 3 4 8 2" xfId="20168"/>
    <cellStyle name="Heading 1 2 3 5 3 4 9" xfId="20169"/>
    <cellStyle name="Heading 1 2 3 5 3 5" xfId="20170"/>
    <cellStyle name="Heading 1 2 3 5 3 5 2" xfId="20171"/>
    <cellStyle name="Heading 1 2 3 5 3 5 2 2" xfId="20172"/>
    <cellStyle name="Heading 1 2 3 5 3 5 2 2 2" xfId="20173"/>
    <cellStyle name="Heading 1 2 3 5 3 5 2 3" xfId="20174"/>
    <cellStyle name="Heading 1 2 3 5 3 5 3" xfId="20175"/>
    <cellStyle name="Heading 1 2 3 5 3 5 3 2" xfId="20176"/>
    <cellStyle name="Heading 1 2 3 5 3 5 3 2 2" xfId="20177"/>
    <cellStyle name="Heading 1 2 3 5 3 5 3 3" xfId="20178"/>
    <cellStyle name="Heading 1 2 3 5 3 5 4" xfId="20179"/>
    <cellStyle name="Heading 1 2 3 5 3 5 4 2" xfId="20180"/>
    <cellStyle name="Heading 1 2 3 5 3 5 4 2 2" xfId="20181"/>
    <cellStyle name="Heading 1 2 3 5 3 5 4 3" xfId="20182"/>
    <cellStyle name="Heading 1 2 3 5 3 5 5" xfId="20183"/>
    <cellStyle name="Heading 1 2 3 5 3 5 5 2" xfId="20184"/>
    <cellStyle name="Heading 1 2 3 5 3 5 5 2 2" xfId="20185"/>
    <cellStyle name="Heading 1 2 3 5 3 5 5 3" xfId="20186"/>
    <cellStyle name="Heading 1 2 3 5 3 5 6" xfId="20187"/>
    <cellStyle name="Heading 1 2 3 5 3 5 6 2" xfId="20188"/>
    <cellStyle name="Heading 1 2 3 5 3 5 6 2 2" xfId="20189"/>
    <cellStyle name="Heading 1 2 3 5 3 5 6 3" xfId="20190"/>
    <cellStyle name="Heading 1 2 3 5 3 5 7" xfId="20191"/>
    <cellStyle name="Heading 1 2 3 5 3 5 7 2" xfId="20192"/>
    <cellStyle name="Heading 1 2 3 5 3 5 7 2 2" xfId="20193"/>
    <cellStyle name="Heading 1 2 3 5 3 5 7 3" xfId="20194"/>
    <cellStyle name="Heading 1 2 3 5 3 5 8" xfId="20195"/>
    <cellStyle name="Heading 1 2 3 5 3 5 8 2" xfId="20196"/>
    <cellStyle name="Heading 1 2 3 5 3 5 9" xfId="20197"/>
    <cellStyle name="Heading 1 2 3 5 3 6" xfId="20198"/>
    <cellStyle name="Heading 1 2 3 5 3 6 2" xfId="20199"/>
    <cellStyle name="Heading 1 2 3 5 3 6 2 2" xfId="20200"/>
    <cellStyle name="Heading 1 2 3 5 3 6 2 2 2" xfId="20201"/>
    <cellStyle name="Heading 1 2 3 5 3 6 2 3" xfId="20202"/>
    <cellStyle name="Heading 1 2 3 5 3 6 3" xfId="20203"/>
    <cellStyle name="Heading 1 2 3 5 3 6 3 2" xfId="20204"/>
    <cellStyle name="Heading 1 2 3 5 3 6 3 2 2" xfId="20205"/>
    <cellStyle name="Heading 1 2 3 5 3 6 3 3" xfId="20206"/>
    <cellStyle name="Heading 1 2 3 5 3 6 4" xfId="20207"/>
    <cellStyle name="Heading 1 2 3 5 3 6 4 2" xfId="20208"/>
    <cellStyle name="Heading 1 2 3 5 3 6 4 2 2" xfId="20209"/>
    <cellStyle name="Heading 1 2 3 5 3 6 4 3" xfId="20210"/>
    <cellStyle name="Heading 1 2 3 5 3 6 5" xfId="20211"/>
    <cellStyle name="Heading 1 2 3 5 3 6 5 2" xfId="20212"/>
    <cellStyle name="Heading 1 2 3 5 3 6 5 2 2" xfId="20213"/>
    <cellStyle name="Heading 1 2 3 5 3 6 5 3" xfId="20214"/>
    <cellStyle name="Heading 1 2 3 5 3 6 6" xfId="20215"/>
    <cellStyle name="Heading 1 2 3 5 3 6 6 2" xfId="20216"/>
    <cellStyle name="Heading 1 2 3 5 3 6 6 2 2" xfId="20217"/>
    <cellStyle name="Heading 1 2 3 5 3 6 6 3" xfId="20218"/>
    <cellStyle name="Heading 1 2 3 5 3 6 7" xfId="20219"/>
    <cellStyle name="Heading 1 2 3 5 3 6 7 2" xfId="20220"/>
    <cellStyle name="Heading 1 2 3 5 3 6 7 2 2" xfId="20221"/>
    <cellStyle name="Heading 1 2 3 5 3 6 7 3" xfId="20222"/>
    <cellStyle name="Heading 1 2 3 5 3 6 8" xfId="20223"/>
    <cellStyle name="Heading 1 2 3 5 3 6 8 2" xfId="20224"/>
    <cellStyle name="Heading 1 2 3 5 3 6 9" xfId="20225"/>
    <cellStyle name="Heading 1 2 3 5 3 7" xfId="20226"/>
    <cellStyle name="Heading 1 2 3 5 3 7 2" xfId="20227"/>
    <cellStyle name="Heading 1 2 3 5 3 7 2 2" xfId="20228"/>
    <cellStyle name="Heading 1 2 3 5 3 7 2 2 2" xfId="20229"/>
    <cellStyle name="Heading 1 2 3 5 3 7 2 3" xfId="20230"/>
    <cellStyle name="Heading 1 2 3 5 3 7 3" xfId="20231"/>
    <cellStyle name="Heading 1 2 3 5 3 7 3 2" xfId="20232"/>
    <cellStyle name="Heading 1 2 3 5 3 7 3 2 2" xfId="20233"/>
    <cellStyle name="Heading 1 2 3 5 3 7 3 3" xfId="20234"/>
    <cellStyle name="Heading 1 2 3 5 3 7 4" xfId="20235"/>
    <cellStyle name="Heading 1 2 3 5 3 7 4 2" xfId="20236"/>
    <cellStyle name="Heading 1 2 3 5 3 7 4 2 2" xfId="20237"/>
    <cellStyle name="Heading 1 2 3 5 3 7 4 3" xfId="20238"/>
    <cellStyle name="Heading 1 2 3 5 3 7 5" xfId="20239"/>
    <cellStyle name="Heading 1 2 3 5 3 7 5 2" xfId="20240"/>
    <cellStyle name="Heading 1 2 3 5 3 7 5 2 2" xfId="20241"/>
    <cellStyle name="Heading 1 2 3 5 3 7 5 3" xfId="20242"/>
    <cellStyle name="Heading 1 2 3 5 3 7 6" xfId="20243"/>
    <cellStyle name="Heading 1 2 3 5 3 7 6 2" xfId="20244"/>
    <cellStyle name="Heading 1 2 3 5 3 7 6 2 2" xfId="20245"/>
    <cellStyle name="Heading 1 2 3 5 3 7 6 3" xfId="20246"/>
    <cellStyle name="Heading 1 2 3 5 3 7 7" xfId="20247"/>
    <cellStyle name="Heading 1 2 3 5 3 7 7 2" xfId="20248"/>
    <cellStyle name="Heading 1 2 3 5 3 7 7 2 2" xfId="20249"/>
    <cellStyle name="Heading 1 2 3 5 3 7 7 3" xfId="20250"/>
    <cellStyle name="Heading 1 2 3 5 3 7 8" xfId="20251"/>
    <cellStyle name="Heading 1 2 3 5 3 7 8 2" xfId="20252"/>
    <cellStyle name="Heading 1 2 3 5 3 7 9" xfId="20253"/>
    <cellStyle name="Heading 1 2 3 5 3 8" xfId="20254"/>
    <cellStyle name="Heading 1 2 3 5 3 8 2" xfId="20255"/>
    <cellStyle name="Heading 1 2 3 5 3 8 2 2" xfId="20256"/>
    <cellStyle name="Heading 1 2 3 5 3 8 2 2 2" xfId="20257"/>
    <cellStyle name="Heading 1 2 3 5 3 8 2 3" xfId="20258"/>
    <cellStyle name="Heading 1 2 3 5 3 8 3" xfId="20259"/>
    <cellStyle name="Heading 1 2 3 5 3 8 3 2" xfId="20260"/>
    <cellStyle name="Heading 1 2 3 5 3 8 3 2 2" xfId="20261"/>
    <cellStyle name="Heading 1 2 3 5 3 8 3 3" xfId="20262"/>
    <cellStyle name="Heading 1 2 3 5 3 8 4" xfId="20263"/>
    <cellStyle name="Heading 1 2 3 5 3 8 4 2" xfId="20264"/>
    <cellStyle name="Heading 1 2 3 5 3 8 4 2 2" xfId="20265"/>
    <cellStyle name="Heading 1 2 3 5 3 8 4 3" xfId="20266"/>
    <cellStyle name="Heading 1 2 3 5 3 8 5" xfId="20267"/>
    <cellStyle name="Heading 1 2 3 5 3 8 5 2" xfId="20268"/>
    <cellStyle name="Heading 1 2 3 5 3 8 5 2 2" xfId="20269"/>
    <cellStyle name="Heading 1 2 3 5 3 8 5 3" xfId="20270"/>
    <cellStyle name="Heading 1 2 3 5 3 8 6" xfId="20271"/>
    <cellStyle name="Heading 1 2 3 5 3 8 6 2" xfId="20272"/>
    <cellStyle name="Heading 1 2 3 5 3 8 6 2 2" xfId="20273"/>
    <cellStyle name="Heading 1 2 3 5 3 8 6 3" xfId="20274"/>
    <cellStyle name="Heading 1 2 3 5 3 8 7" xfId="20275"/>
    <cellStyle name="Heading 1 2 3 5 3 8 7 2" xfId="20276"/>
    <cellStyle name="Heading 1 2 3 5 3 8 7 2 2" xfId="20277"/>
    <cellStyle name="Heading 1 2 3 5 3 8 7 3" xfId="20278"/>
    <cellStyle name="Heading 1 2 3 5 3 8 8" xfId="20279"/>
    <cellStyle name="Heading 1 2 3 5 3 8 8 2" xfId="20280"/>
    <cellStyle name="Heading 1 2 3 5 3 8 9" xfId="20281"/>
    <cellStyle name="Heading 1 2 3 5 3 9" xfId="20282"/>
    <cellStyle name="Heading 1 2 3 5 3 9 2" xfId="20283"/>
    <cellStyle name="Heading 1 2 3 5 3 9 2 2" xfId="20284"/>
    <cellStyle name="Heading 1 2 3 5 3 9 3" xfId="20285"/>
    <cellStyle name="Heading 1 2 3 5 4" xfId="20286"/>
    <cellStyle name="Heading 1 2 3 5 4 2" xfId="20287"/>
    <cellStyle name="Heading 1 2 3 5 4 2 2" xfId="20288"/>
    <cellStyle name="Heading 1 2 3 5 4 3" xfId="20289"/>
    <cellStyle name="Heading 1 2 3 5 5" xfId="20290"/>
    <cellStyle name="Heading 1 2 3 5 5 2" xfId="20291"/>
    <cellStyle name="Heading 1 2 3 5 6" xfId="20292"/>
    <cellStyle name="Heading 1 2 3 6" xfId="20293"/>
    <cellStyle name="Heading 1 2 3 6 2" xfId="20294"/>
    <cellStyle name="Heading 1 2 3 6 2 10" xfId="20295"/>
    <cellStyle name="Heading 1 2 3 6 2 10 2" xfId="20296"/>
    <cellStyle name="Heading 1 2 3 6 2 10 2 2" xfId="20297"/>
    <cellStyle name="Heading 1 2 3 6 2 10 3" xfId="20298"/>
    <cellStyle name="Heading 1 2 3 6 2 11" xfId="20299"/>
    <cellStyle name="Heading 1 2 3 6 2 11 2" xfId="20300"/>
    <cellStyle name="Heading 1 2 3 6 2 11 2 2" xfId="20301"/>
    <cellStyle name="Heading 1 2 3 6 2 11 3" xfId="20302"/>
    <cellStyle name="Heading 1 2 3 6 2 12" xfId="20303"/>
    <cellStyle name="Heading 1 2 3 6 2 12 2" xfId="20304"/>
    <cellStyle name="Heading 1 2 3 6 2 12 2 2" xfId="20305"/>
    <cellStyle name="Heading 1 2 3 6 2 12 3" xfId="20306"/>
    <cellStyle name="Heading 1 2 3 6 2 13" xfId="20307"/>
    <cellStyle name="Heading 1 2 3 6 2 13 2" xfId="20308"/>
    <cellStyle name="Heading 1 2 3 6 2 13 2 2" xfId="20309"/>
    <cellStyle name="Heading 1 2 3 6 2 13 3" xfId="20310"/>
    <cellStyle name="Heading 1 2 3 6 2 14" xfId="20311"/>
    <cellStyle name="Heading 1 2 3 6 2 14 2" xfId="20312"/>
    <cellStyle name="Heading 1 2 3 6 2 14 2 2" xfId="20313"/>
    <cellStyle name="Heading 1 2 3 6 2 14 3" xfId="20314"/>
    <cellStyle name="Heading 1 2 3 6 2 15" xfId="20315"/>
    <cellStyle name="Heading 1 2 3 6 2 15 2" xfId="20316"/>
    <cellStyle name="Heading 1 2 3 6 2 15 2 2" xfId="20317"/>
    <cellStyle name="Heading 1 2 3 6 2 15 3" xfId="20318"/>
    <cellStyle name="Heading 1 2 3 6 2 16" xfId="20319"/>
    <cellStyle name="Heading 1 2 3 6 2 16 2" xfId="20320"/>
    <cellStyle name="Heading 1 2 3 6 2 16 2 2" xfId="20321"/>
    <cellStyle name="Heading 1 2 3 6 2 16 3" xfId="20322"/>
    <cellStyle name="Heading 1 2 3 6 2 17" xfId="20323"/>
    <cellStyle name="Heading 1 2 3 6 2 17 2" xfId="20324"/>
    <cellStyle name="Heading 1 2 3 6 2 17 2 2" xfId="20325"/>
    <cellStyle name="Heading 1 2 3 6 2 17 3" xfId="20326"/>
    <cellStyle name="Heading 1 2 3 6 2 18" xfId="20327"/>
    <cellStyle name="Heading 1 2 3 6 2 18 2" xfId="20328"/>
    <cellStyle name="Heading 1 2 3 6 2 18 2 2" xfId="20329"/>
    <cellStyle name="Heading 1 2 3 6 2 18 3" xfId="20330"/>
    <cellStyle name="Heading 1 2 3 6 2 19" xfId="20331"/>
    <cellStyle name="Heading 1 2 3 6 2 19 2" xfId="20332"/>
    <cellStyle name="Heading 1 2 3 6 2 19 2 2" xfId="20333"/>
    <cellStyle name="Heading 1 2 3 6 2 19 3" xfId="20334"/>
    <cellStyle name="Heading 1 2 3 6 2 2" xfId="20335"/>
    <cellStyle name="Heading 1 2 3 6 2 2 10" xfId="20336"/>
    <cellStyle name="Heading 1 2 3 6 2 2 10 2" xfId="20337"/>
    <cellStyle name="Heading 1 2 3 6 2 2 10 2 2" xfId="20338"/>
    <cellStyle name="Heading 1 2 3 6 2 2 10 3" xfId="20339"/>
    <cellStyle name="Heading 1 2 3 6 2 2 11" xfId="20340"/>
    <cellStyle name="Heading 1 2 3 6 2 2 11 2" xfId="20341"/>
    <cellStyle name="Heading 1 2 3 6 2 2 11 2 2" xfId="20342"/>
    <cellStyle name="Heading 1 2 3 6 2 2 11 3" xfId="20343"/>
    <cellStyle name="Heading 1 2 3 6 2 2 12" xfId="20344"/>
    <cellStyle name="Heading 1 2 3 6 2 2 12 2" xfId="20345"/>
    <cellStyle name="Heading 1 2 3 6 2 2 12 2 2" xfId="20346"/>
    <cellStyle name="Heading 1 2 3 6 2 2 12 3" xfId="20347"/>
    <cellStyle name="Heading 1 2 3 6 2 2 13" xfId="20348"/>
    <cellStyle name="Heading 1 2 3 6 2 2 13 2" xfId="20349"/>
    <cellStyle name="Heading 1 2 3 6 2 2 13 2 2" xfId="20350"/>
    <cellStyle name="Heading 1 2 3 6 2 2 13 3" xfId="20351"/>
    <cellStyle name="Heading 1 2 3 6 2 2 14" xfId="20352"/>
    <cellStyle name="Heading 1 2 3 6 2 2 14 2" xfId="20353"/>
    <cellStyle name="Heading 1 2 3 6 2 2 14 2 2" xfId="20354"/>
    <cellStyle name="Heading 1 2 3 6 2 2 14 3" xfId="20355"/>
    <cellStyle name="Heading 1 2 3 6 2 2 15" xfId="20356"/>
    <cellStyle name="Heading 1 2 3 6 2 2 15 2" xfId="20357"/>
    <cellStyle name="Heading 1 2 3 6 2 2 15 2 2" xfId="20358"/>
    <cellStyle name="Heading 1 2 3 6 2 2 15 3" xfId="20359"/>
    <cellStyle name="Heading 1 2 3 6 2 2 16" xfId="20360"/>
    <cellStyle name="Heading 1 2 3 6 2 2 16 2" xfId="20361"/>
    <cellStyle name="Heading 1 2 3 6 2 2 16 2 2" xfId="20362"/>
    <cellStyle name="Heading 1 2 3 6 2 2 16 3" xfId="20363"/>
    <cellStyle name="Heading 1 2 3 6 2 2 17" xfId="20364"/>
    <cellStyle name="Heading 1 2 3 6 2 2 17 2" xfId="20365"/>
    <cellStyle name="Heading 1 2 3 6 2 2 17 2 2" xfId="20366"/>
    <cellStyle name="Heading 1 2 3 6 2 2 17 3" xfId="20367"/>
    <cellStyle name="Heading 1 2 3 6 2 2 18" xfId="20368"/>
    <cellStyle name="Heading 1 2 3 6 2 2 18 2" xfId="20369"/>
    <cellStyle name="Heading 1 2 3 6 2 2 18 2 2" xfId="20370"/>
    <cellStyle name="Heading 1 2 3 6 2 2 18 3" xfId="20371"/>
    <cellStyle name="Heading 1 2 3 6 2 2 19" xfId="20372"/>
    <cellStyle name="Heading 1 2 3 6 2 2 19 2" xfId="20373"/>
    <cellStyle name="Heading 1 2 3 6 2 2 2" xfId="20374"/>
    <cellStyle name="Heading 1 2 3 6 2 2 2 2" xfId="20375"/>
    <cellStyle name="Heading 1 2 3 6 2 2 2 2 2" xfId="20376"/>
    <cellStyle name="Heading 1 2 3 6 2 2 2 2 2 2" xfId="20377"/>
    <cellStyle name="Heading 1 2 3 6 2 2 2 2 3" xfId="20378"/>
    <cellStyle name="Heading 1 2 3 6 2 2 2 3" xfId="20379"/>
    <cellStyle name="Heading 1 2 3 6 2 2 2 3 2" xfId="20380"/>
    <cellStyle name="Heading 1 2 3 6 2 2 2 3 2 2" xfId="20381"/>
    <cellStyle name="Heading 1 2 3 6 2 2 2 3 3" xfId="20382"/>
    <cellStyle name="Heading 1 2 3 6 2 2 2 4" xfId="20383"/>
    <cellStyle name="Heading 1 2 3 6 2 2 2 4 2" xfId="20384"/>
    <cellStyle name="Heading 1 2 3 6 2 2 2 4 2 2" xfId="20385"/>
    <cellStyle name="Heading 1 2 3 6 2 2 2 4 3" xfId="20386"/>
    <cellStyle name="Heading 1 2 3 6 2 2 2 5" xfId="20387"/>
    <cellStyle name="Heading 1 2 3 6 2 2 2 5 2" xfId="20388"/>
    <cellStyle name="Heading 1 2 3 6 2 2 2 5 2 2" xfId="20389"/>
    <cellStyle name="Heading 1 2 3 6 2 2 2 5 3" xfId="20390"/>
    <cellStyle name="Heading 1 2 3 6 2 2 2 6" xfId="20391"/>
    <cellStyle name="Heading 1 2 3 6 2 2 2 6 2" xfId="20392"/>
    <cellStyle name="Heading 1 2 3 6 2 2 2 6 2 2" xfId="20393"/>
    <cellStyle name="Heading 1 2 3 6 2 2 2 6 3" xfId="20394"/>
    <cellStyle name="Heading 1 2 3 6 2 2 2 7" xfId="20395"/>
    <cellStyle name="Heading 1 2 3 6 2 2 2 7 2" xfId="20396"/>
    <cellStyle name="Heading 1 2 3 6 2 2 2 7 2 2" xfId="20397"/>
    <cellStyle name="Heading 1 2 3 6 2 2 2 7 3" xfId="20398"/>
    <cellStyle name="Heading 1 2 3 6 2 2 2 8" xfId="20399"/>
    <cellStyle name="Heading 1 2 3 6 2 2 2 8 2" xfId="20400"/>
    <cellStyle name="Heading 1 2 3 6 2 2 2 9" xfId="20401"/>
    <cellStyle name="Heading 1 2 3 6 2 2 20" xfId="20402"/>
    <cellStyle name="Heading 1 2 3 6 2 2 20 2" xfId="20403"/>
    <cellStyle name="Heading 1 2 3 6 2 2 21" xfId="20404"/>
    <cellStyle name="Heading 1 2 3 6 2 2 21 2" xfId="20405"/>
    <cellStyle name="Heading 1 2 3 6 2 2 22" xfId="20406"/>
    <cellStyle name="Heading 1 2 3 6 2 2 3" xfId="20407"/>
    <cellStyle name="Heading 1 2 3 6 2 2 3 2" xfId="20408"/>
    <cellStyle name="Heading 1 2 3 6 2 2 3 2 2" xfId="20409"/>
    <cellStyle name="Heading 1 2 3 6 2 2 3 2 2 2" xfId="20410"/>
    <cellStyle name="Heading 1 2 3 6 2 2 3 2 3" xfId="20411"/>
    <cellStyle name="Heading 1 2 3 6 2 2 3 3" xfId="20412"/>
    <cellStyle name="Heading 1 2 3 6 2 2 3 3 2" xfId="20413"/>
    <cellStyle name="Heading 1 2 3 6 2 2 3 3 2 2" xfId="20414"/>
    <cellStyle name="Heading 1 2 3 6 2 2 3 3 3" xfId="20415"/>
    <cellStyle name="Heading 1 2 3 6 2 2 3 4" xfId="20416"/>
    <cellStyle name="Heading 1 2 3 6 2 2 3 4 2" xfId="20417"/>
    <cellStyle name="Heading 1 2 3 6 2 2 3 4 2 2" xfId="20418"/>
    <cellStyle name="Heading 1 2 3 6 2 2 3 4 3" xfId="20419"/>
    <cellStyle name="Heading 1 2 3 6 2 2 3 5" xfId="20420"/>
    <cellStyle name="Heading 1 2 3 6 2 2 3 5 2" xfId="20421"/>
    <cellStyle name="Heading 1 2 3 6 2 2 3 5 2 2" xfId="20422"/>
    <cellStyle name="Heading 1 2 3 6 2 2 3 5 3" xfId="20423"/>
    <cellStyle name="Heading 1 2 3 6 2 2 3 6" xfId="20424"/>
    <cellStyle name="Heading 1 2 3 6 2 2 3 6 2" xfId="20425"/>
    <cellStyle name="Heading 1 2 3 6 2 2 3 6 2 2" xfId="20426"/>
    <cellStyle name="Heading 1 2 3 6 2 2 3 6 3" xfId="20427"/>
    <cellStyle name="Heading 1 2 3 6 2 2 3 7" xfId="20428"/>
    <cellStyle name="Heading 1 2 3 6 2 2 3 7 2" xfId="20429"/>
    <cellStyle name="Heading 1 2 3 6 2 2 3 7 2 2" xfId="20430"/>
    <cellStyle name="Heading 1 2 3 6 2 2 3 7 3" xfId="20431"/>
    <cellStyle name="Heading 1 2 3 6 2 2 3 8" xfId="20432"/>
    <cellStyle name="Heading 1 2 3 6 2 2 3 8 2" xfId="20433"/>
    <cellStyle name="Heading 1 2 3 6 2 2 3 9" xfId="20434"/>
    <cellStyle name="Heading 1 2 3 6 2 2 4" xfId="20435"/>
    <cellStyle name="Heading 1 2 3 6 2 2 4 2" xfId="20436"/>
    <cellStyle name="Heading 1 2 3 6 2 2 4 2 2" xfId="20437"/>
    <cellStyle name="Heading 1 2 3 6 2 2 4 2 2 2" xfId="20438"/>
    <cellStyle name="Heading 1 2 3 6 2 2 4 2 3" xfId="20439"/>
    <cellStyle name="Heading 1 2 3 6 2 2 4 3" xfId="20440"/>
    <cellStyle name="Heading 1 2 3 6 2 2 4 3 2" xfId="20441"/>
    <cellStyle name="Heading 1 2 3 6 2 2 4 3 2 2" xfId="20442"/>
    <cellStyle name="Heading 1 2 3 6 2 2 4 3 3" xfId="20443"/>
    <cellStyle name="Heading 1 2 3 6 2 2 4 4" xfId="20444"/>
    <cellStyle name="Heading 1 2 3 6 2 2 4 4 2" xfId="20445"/>
    <cellStyle name="Heading 1 2 3 6 2 2 4 4 2 2" xfId="20446"/>
    <cellStyle name="Heading 1 2 3 6 2 2 4 4 3" xfId="20447"/>
    <cellStyle name="Heading 1 2 3 6 2 2 4 5" xfId="20448"/>
    <cellStyle name="Heading 1 2 3 6 2 2 4 5 2" xfId="20449"/>
    <cellStyle name="Heading 1 2 3 6 2 2 4 5 2 2" xfId="20450"/>
    <cellStyle name="Heading 1 2 3 6 2 2 4 5 3" xfId="20451"/>
    <cellStyle name="Heading 1 2 3 6 2 2 4 6" xfId="20452"/>
    <cellStyle name="Heading 1 2 3 6 2 2 4 6 2" xfId="20453"/>
    <cellStyle name="Heading 1 2 3 6 2 2 4 6 2 2" xfId="20454"/>
    <cellStyle name="Heading 1 2 3 6 2 2 4 6 3" xfId="20455"/>
    <cellStyle name="Heading 1 2 3 6 2 2 4 7" xfId="20456"/>
    <cellStyle name="Heading 1 2 3 6 2 2 4 7 2" xfId="20457"/>
    <cellStyle name="Heading 1 2 3 6 2 2 4 7 2 2" xfId="20458"/>
    <cellStyle name="Heading 1 2 3 6 2 2 4 7 3" xfId="20459"/>
    <cellStyle name="Heading 1 2 3 6 2 2 4 8" xfId="20460"/>
    <cellStyle name="Heading 1 2 3 6 2 2 4 8 2" xfId="20461"/>
    <cellStyle name="Heading 1 2 3 6 2 2 4 9" xfId="20462"/>
    <cellStyle name="Heading 1 2 3 6 2 2 5" xfId="20463"/>
    <cellStyle name="Heading 1 2 3 6 2 2 5 2" xfId="20464"/>
    <cellStyle name="Heading 1 2 3 6 2 2 5 2 2" xfId="20465"/>
    <cellStyle name="Heading 1 2 3 6 2 2 5 2 2 2" xfId="20466"/>
    <cellStyle name="Heading 1 2 3 6 2 2 5 2 3" xfId="20467"/>
    <cellStyle name="Heading 1 2 3 6 2 2 5 3" xfId="20468"/>
    <cellStyle name="Heading 1 2 3 6 2 2 5 3 2" xfId="20469"/>
    <cellStyle name="Heading 1 2 3 6 2 2 5 3 2 2" xfId="20470"/>
    <cellStyle name="Heading 1 2 3 6 2 2 5 3 3" xfId="20471"/>
    <cellStyle name="Heading 1 2 3 6 2 2 5 4" xfId="20472"/>
    <cellStyle name="Heading 1 2 3 6 2 2 5 4 2" xfId="20473"/>
    <cellStyle name="Heading 1 2 3 6 2 2 5 4 2 2" xfId="20474"/>
    <cellStyle name="Heading 1 2 3 6 2 2 5 4 3" xfId="20475"/>
    <cellStyle name="Heading 1 2 3 6 2 2 5 5" xfId="20476"/>
    <cellStyle name="Heading 1 2 3 6 2 2 5 5 2" xfId="20477"/>
    <cellStyle name="Heading 1 2 3 6 2 2 5 5 2 2" xfId="20478"/>
    <cellStyle name="Heading 1 2 3 6 2 2 5 5 3" xfId="20479"/>
    <cellStyle name="Heading 1 2 3 6 2 2 5 6" xfId="20480"/>
    <cellStyle name="Heading 1 2 3 6 2 2 5 6 2" xfId="20481"/>
    <cellStyle name="Heading 1 2 3 6 2 2 5 6 2 2" xfId="20482"/>
    <cellStyle name="Heading 1 2 3 6 2 2 5 6 3" xfId="20483"/>
    <cellStyle name="Heading 1 2 3 6 2 2 5 7" xfId="20484"/>
    <cellStyle name="Heading 1 2 3 6 2 2 5 7 2" xfId="20485"/>
    <cellStyle name="Heading 1 2 3 6 2 2 5 7 2 2" xfId="20486"/>
    <cellStyle name="Heading 1 2 3 6 2 2 5 7 3" xfId="20487"/>
    <cellStyle name="Heading 1 2 3 6 2 2 5 8" xfId="20488"/>
    <cellStyle name="Heading 1 2 3 6 2 2 5 8 2" xfId="20489"/>
    <cellStyle name="Heading 1 2 3 6 2 2 5 9" xfId="20490"/>
    <cellStyle name="Heading 1 2 3 6 2 2 6" xfId="20491"/>
    <cellStyle name="Heading 1 2 3 6 2 2 6 2" xfId="20492"/>
    <cellStyle name="Heading 1 2 3 6 2 2 6 2 2" xfId="20493"/>
    <cellStyle name="Heading 1 2 3 6 2 2 6 2 2 2" xfId="20494"/>
    <cellStyle name="Heading 1 2 3 6 2 2 6 2 3" xfId="20495"/>
    <cellStyle name="Heading 1 2 3 6 2 2 6 3" xfId="20496"/>
    <cellStyle name="Heading 1 2 3 6 2 2 6 3 2" xfId="20497"/>
    <cellStyle name="Heading 1 2 3 6 2 2 6 3 2 2" xfId="20498"/>
    <cellStyle name="Heading 1 2 3 6 2 2 6 3 3" xfId="20499"/>
    <cellStyle name="Heading 1 2 3 6 2 2 6 4" xfId="20500"/>
    <cellStyle name="Heading 1 2 3 6 2 2 6 4 2" xfId="20501"/>
    <cellStyle name="Heading 1 2 3 6 2 2 6 4 2 2" xfId="20502"/>
    <cellStyle name="Heading 1 2 3 6 2 2 6 4 3" xfId="20503"/>
    <cellStyle name="Heading 1 2 3 6 2 2 6 5" xfId="20504"/>
    <cellStyle name="Heading 1 2 3 6 2 2 6 5 2" xfId="20505"/>
    <cellStyle name="Heading 1 2 3 6 2 2 6 5 2 2" xfId="20506"/>
    <cellStyle name="Heading 1 2 3 6 2 2 6 5 3" xfId="20507"/>
    <cellStyle name="Heading 1 2 3 6 2 2 6 6" xfId="20508"/>
    <cellStyle name="Heading 1 2 3 6 2 2 6 6 2" xfId="20509"/>
    <cellStyle name="Heading 1 2 3 6 2 2 6 6 2 2" xfId="20510"/>
    <cellStyle name="Heading 1 2 3 6 2 2 6 6 3" xfId="20511"/>
    <cellStyle name="Heading 1 2 3 6 2 2 6 7" xfId="20512"/>
    <cellStyle name="Heading 1 2 3 6 2 2 6 7 2" xfId="20513"/>
    <cellStyle name="Heading 1 2 3 6 2 2 6 7 2 2" xfId="20514"/>
    <cellStyle name="Heading 1 2 3 6 2 2 6 7 3" xfId="20515"/>
    <cellStyle name="Heading 1 2 3 6 2 2 6 8" xfId="20516"/>
    <cellStyle name="Heading 1 2 3 6 2 2 6 8 2" xfId="20517"/>
    <cellStyle name="Heading 1 2 3 6 2 2 6 9" xfId="20518"/>
    <cellStyle name="Heading 1 2 3 6 2 2 7" xfId="20519"/>
    <cellStyle name="Heading 1 2 3 6 2 2 7 2" xfId="20520"/>
    <cellStyle name="Heading 1 2 3 6 2 2 7 2 2" xfId="20521"/>
    <cellStyle name="Heading 1 2 3 6 2 2 7 2 2 2" xfId="20522"/>
    <cellStyle name="Heading 1 2 3 6 2 2 7 2 3" xfId="20523"/>
    <cellStyle name="Heading 1 2 3 6 2 2 7 3" xfId="20524"/>
    <cellStyle name="Heading 1 2 3 6 2 2 7 3 2" xfId="20525"/>
    <cellStyle name="Heading 1 2 3 6 2 2 7 3 2 2" xfId="20526"/>
    <cellStyle name="Heading 1 2 3 6 2 2 7 3 3" xfId="20527"/>
    <cellStyle name="Heading 1 2 3 6 2 2 7 4" xfId="20528"/>
    <cellStyle name="Heading 1 2 3 6 2 2 7 4 2" xfId="20529"/>
    <cellStyle name="Heading 1 2 3 6 2 2 7 4 2 2" xfId="20530"/>
    <cellStyle name="Heading 1 2 3 6 2 2 7 4 3" xfId="20531"/>
    <cellStyle name="Heading 1 2 3 6 2 2 7 5" xfId="20532"/>
    <cellStyle name="Heading 1 2 3 6 2 2 7 5 2" xfId="20533"/>
    <cellStyle name="Heading 1 2 3 6 2 2 7 5 2 2" xfId="20534"/>
    <cellStyle name="Heading 1 2 3 6 2 2 7 5 3" xfId="20535"/>
    <cellStyle name="Heading 1 2 3 6 2 2 7 6" xfId="20536"/>
    <cellStyle name="Heading 1 2 3 6 2 2 7 6 2" xfId="20537"/>
    <cellStyle name="Heading 1 2 3 6 2 2 7 6 2 2" xfId="20538"/>
    <cellStyle name="Heading 1 2 3 6 2 2 7 6 3" xfId="20539"/>
    <cellStyle name="Heading 1 2 3 6 2 2 7 7" xfId="20540"/>
    <cellStyle name="Heading 1 2 3 6 2 2 7 7 2" xfId="20541"/>
    <cellStyle name="Heading 1 2 3 6 2 2 7 7 2 2" xfId="20542"/>
    <cellStyle name="Heading 1 2 3 6 2 2 7 7 3" xfId="20543"/>
    <cellStyle name="Heading 1 2 3 6 2 2 7 8" xfId="20544"/>
    <cellStyle name="Heading 1 2 3 6 2 2 7 8 2" xfId="20545"/>
    <cellStyle name="Heading 1 2 3 6 2 2 7 9" xfId="20546"/>
    <cellStyle name="Heading 1 2 3 6 2 2 8" xfId="20547"/>
    <cellStyle name="Heading 1 2 3 6 2 2 8 2" xfId="20548"/>
    <cellStyle name="Heading 1 2 3 6 2 2 8 2 2" xfId="20549"/>
    <cellStyle name="Heading 1 2 3 6 2 2 8 2 2 2" xfId="20550"/>
    <cellStyle name="Heading 1 2 3 6 2 2 8 2 3" xfId="20551"/>
    <cellStyle name="Heading 1 2 3 6 2 2 8 3" xfId="20552"/>
    <cellStyle name="Heading 1 2 3 6 2 2 8 3 2" xfId="20553"/>
    <cellStyle name="Heading 1 2 3 6 2 2 8 3 2 2" xfId="20554"/>
    <cellStyle name="Heading 1 2 3 6 2 2 8 3 3" xfId="20555"/>
    <cellStyle name="Heading 1 2 3 6 2 2 8 4" xfId="20556"/>
    <cellStyle name="Heading 1 2 3 6 2 2 8 4 2" xfId="20557"/>
    <cellStyle name="Heading 1 2 3 6 2 2 8 4 2 2" xfId="20558"/>
    <cellStyle name="Heading 1 2 3 6 2 2 8 4 3" xfId="20559"/>
    <cellStyle name="Heading 1 2 3 6 2 2 8 5" xfId="20560"/>
    <cellStyle name="Heading 1 2 3 6 2 2 8 5 2" xfId="20561"/>
    <cellStyle name="Heading 1 2 3 6 2 2 8 5 2 2" xfId="20562"/>
    <cellStyle name="Heading 1 2 3 6 2 2 8 5 3" xfId="20563"/>
    <cellStyle name="Heading 1 2 3 6 2 2 8 6" xfId="20564"/>
    <cellStyle name="Heading 1 2 3 6 2 2 8 6 2" xfId="20565"/>
    <cellStyle name="Heading 1 2 3 6 2 2 8 6 2 2" xfId="20566"/>
    <cellStyle name="Heading 1 2 3 6 2 2 8 6 3" xfId="20567"/>
    <cellStyle name="Heading 1 2 3 6 2 2 8 7" xfId="20568"/>
    <cellStyle name="Heading 1 2 3 6 2 2 8 7 2" xfId="20569"/>
    <cellStyle name="Heading 1 2 3 6 2 2 8 7 2 2" xfId="20570"/>
    <cellStyle name="Heading 1 2 3 6 2 2 8 7 3" xfId="20571"/>
    <cellStyle name="Heading 1 2 3 6 2 2 8 8" xfId="20572"/>
    <cellStyle name="Heading 1 2 3 6 2 2 8 8 2" xfId="20573"/>
    <cellStyle name="Heading 1 2 3 6 2 2 8 9" xfId="20574"/>
    <cellStyle name="Heading 1 2 3 6 2 2 9" xfId="20575"/>
    <cellStyle name="Heading 1 2 3 6 2 2 9 2" xfId="20576"/>
    <cellStyle name="Heading 1 2 3 6 2 2 9 2 2" xfId="20577"/>
    <cellStyle name="Heading 1 2 3 6 2 2 9 3" xfId="20578"/>
    <cellStyle name="Heading 1 2 3 6 2 20" xfId="20579"/>
    <cellStyle name="Heading 1 2 3 6 2 20 2" xfId="20580"/>
    <cellStyle name="Heading 1 2 3 6 2 21" xfId="20581"/>
    <cellStyle name="Heading 1 2 3 6 2 21 2" xfId="20582"/>
    <cellStyle name="Heading 1 2 3 6 2 22" xfId="20583"/>
    <cellStyle name="Heading 1 2 3 6 2 22 2" xfId="20584"/>
    <cellStyle name="Heading 1 2 3 6 2 23" xfId="20585"/>
    <cellStyle name="Heading 1 2 3 6 2 3" xfId="20586"/>
    <cellStyle name="Heading 1 2 3 6 2 3 2" xfId="20587"/>
    <cellStyle name="Heading 1 2 3 6 2 3 2 2" xfId="20588"/>
    <cellStyle name="Heading 1 2 3 6 2 3 2 2 2" xfId="20589"/>
    <cellStyle name="Heading 1 2 3 6 2 3 2 3" xfId="20590"/>
    <cellStyle name="Heading 1 2 3 6 2 3 3" xfId="20591"/>
    <cellStyle name="Heading 1 2 3 6 2 3 3 2" xfId="20592"/>
    <cellStyle name="Heading 1 2 3 6 2 3 3 2 2" xfId="20593"/>
    <cellStyle name="Heading 1 2 3 6 2 3 3 3" xfId="20594"/>
    <cellStyle name="Heading 1 2 3 6 2 3 4" xfId="20595"/>
    <cellStyle name="Heading 1 2 3 6 2 3 4 2" xfId="20596"/>
    <cellStyle name="Heading 1 2 3 6 2 3 4 2 2" xfId="20597"/>
    <cellStyle name="Heading 1 2 3 6 2 3 4 3" xfId="20598"/>
    <cellStyle name="Heading 1 2 3 6 2 3 5" xfId="20599"/>
    <cellStyle name="Heading 1 2 3 6 2 3 5 2" xfId="20600"/>
    <cellStyle name="Heading 1 2 3 6 2 3 5 2 2" xfId="20601"/>
    <cellStyle name="Heading 1 2 3 6 2 3 5 3" xfId="20602"/>
    <cellStyle name="Heading 1 2 3 6 2 3 6" xfId="20603"/>
    <cellStyle name="Heading 1 2 3 6 2 3 6 2" xfId="20604"/>
    <cellStyle name="Heading 1 2 3 6 2 3 6 2 2" xfId="20605"/>
    <cellStyle name="Heading 1 2 3 6 2 3 6 3" xfId="20606"/>
    <cellStyle name="Heading 1 2 3 6 2 3 7" xfId="20607"/>
    <cellStyle name="Heading 1 2 3 6 2 3 7 2" xfId="20608"/>
    <cellStyle name="Heading 1 2 3 6 2 3 7 2 2" xfId="20609"/>
    <cellStyle name="Heading 1 2 3 6 2 3 7 3" xfId="20610"/>
    <cellStyle name="Heading 1 2 3 6 2 3 8" xfId="20611"/>
    <cellStyle name="Heading 1 2 3 6 2 3 8 2" xfId="20612"/>
    <cellStyle name="Heading 1 2 3 6 2 3 9" xfId="20613"/>
    <cellStyle name="Heading 1 2 3 6 2 4" xfId="20614"/>
    <cellStyle name="Heading 1 2 3 6 2 4 2" xfId="20615"/>
    <cellStyle name="Heading 1 2 3 6 2 4 2 2" xfId="20616"/>
    <cellStyle name="Heading 1 2 3 6 2 4 2 2 2" xfId="20617"/>
    <cellStyle name="Heading 1 2 3 6 2 4 2 3" xfId="20618"/>
    <cellStyle name="Heading 1 2 3 6 2 4 3" xfId="20619"/>
    <cellStyle name="Heading 1 2 3 6 2 4 3 2" xfId="20620"/>
    <cellStyle name="Heading 1 2 3 6 2 4 3 2 2" xfId="20621"/>
    <cellStyle name="Heading 1 2 3 6 2 4 3 3" xfId="20622"/>
    <cellStyle name="Heading 1 2 3 6 2 4 4" xfId="20623"/>
    <cellStyle name="Heading 1 2 3 6 2 4 4 2" xfId="20624"/>
    <cellStyle name="Heading 1 2 3 6 2 4 4 2 2" xfId="20625"/>
    <cellStyle name="Heading 1 2 3 6 2 4 4 3" xfId="20626"/>
    <cellStyle name="Heading 1 2 3 6 2 4 5" xfId="20627"/>
    <cellStyle name="Heading 1 2 3 6 2 4 5 2" xfId="20628"/>
    <cellStyle name="Heading 1 2 3 6 2 4 5 2 2" xfId="20629"/>
    <cellStyle name="Heading 1 2 3 6 2 4 5 3" xfId="20630"/>
    <cellStyle name="Heading 1 2 3 6 2 4 6" xfId="20631"/>
    <cellStyle name="Heading 1 2 3 6 2 4 6 2" xfId="20632"/>
    <cellStyle name="Heading 1 2 3 6 2 4 6 2 2" xfId="20633"/>
    <cellStyle name="Heading 1 2 3 6 2 4 6 3" xfId="20634"/>
    <cellStyle name="Heading 1 2 3 6 2 4 7" xfId="20635"/>
    <cellStyle name="Heading 1 2 3 6 2 4 7 2" xfId="20636"/>
    <cellStyle name="Heading 1 2 3 6 2 4 7 2 2" xfId="20637"/>
    <cellStyle name="Heading 1 2 3 6 2 4 7 3" xfId="20638"/>
    <cellStyle name="Heading 1 2 3 6 2 4 8" xfId="20639"/>
    <cellStyle name="Heading 1 2 3 6 2 4 8 2" xfId="20640"/>
    <cellStyle name="Heading 1 2 3 6 2 4 9" xfId="20641"/>
    <cellStyle name="Heading 1 2 3 6 2 5" xfId="20642"/>
    <cellStyle name="Heading 1 2 3 6 2 5 2" xfId="20643"/>
    <cellStyle name="Heading 1 2 3 6 2 5 2 2" xfId="20644"/>
    <cellStyle name="Heading 1 2 3 6 2 5 2 2 2" xfId="20645"/>
    <cellStyle name="Heading 1 2 3 6 2 5 2 3" xfId="20646"/>
    <cellStyle name="Heading 1 2 3 6 2 5 3" xfId="20647"/>
    <cellStyle name="Heading 1 2 3 6 2 5 3 2" xfId="20648"/>
    <cellStyle name="Heading 1 2 3 6 2 5 3 2 2" xfId="20649"/>
    <cellStyle name="Heading 1 2 3 6 2 5 3 3" xfId="20650"/>
    <cellStyle name="Heading 1 2 3 6 2 5 4" xfId="20651"/>
    <cellStyle name="Heading 1 2 3 6 2 5 4 2" xfId="20652"/>
    <cellStyle name="Heading 1 2 3 6 2 5 4 2 2" xfId="20653"/>
    <cellStyle name="Heading 1 2 3 6 2 5 4 3" xfId="20654"/>
    <cellStyle name="Heading 1 2 3 6 2 5 5" xfId="20655"/>
    <cellStyle name="Heading 1 2 3 6 2 5 5 2" xfId="20656"/>
    <cellStyle name="Heading 1 2 3 6 2 5 5 2 2" xfId="20657"/>
    <cellStyle name="Heading 1 2 3 6 2 5 5 3" xfId="20658"/>
    <cellStyle name="Heading 1 2 3 6 2 5 6" xfId="20659"/>
    <cellStyle name="Heading 1 2 3 6 2 5 6 2" xfId="20660"/>
    <cellStyle name="Heading 1 2 3 6 2 5 6 2 2" xfId="20661"/>
    <cellStyle name="Heading 1 2 3 6 2 5 6 3" xfId="20662"/>
    <cellStyle name="Heading 1 2 3 6 2 5 7" xfId="20663"/>
    <cellStyle name="Heading 1 2 3 6 2 5 7 2" xfId="20664"/>
    <cellStyle name="Heading 1 2 3 6 2 5 7 2 2" xfId="20665"/>
    <cellStyle name="Heading 1 2 3 6 2 5 7 3" xfId="20666"/>
    <cellStyle name="Heading 1 2 3 6 2 5 8" xfId="20667"/>
    <cellStyle name="Heading 1 2 3 6 2 5 8 2" xfId="20668"/>
    <cellStyle name="Heading 1 2 3 6 2 5 9" xfId="20669"/>
    <cellStyle name="Heading 1 2 3 6 2 6" xfId="20670"/>
    <cellStyle name="Heading 1 2 3 6 2 6 2" xfId="20671"/>
    <cellStyle name="Heading 1 2 3 6 2 6 2 2" xfId="20672"/>
    <cellStyle name="Heading 1 2 3 6 2 6 2 2 2" xfId="20673"/>
    <cellStyle name="Heading 1 2 3 6 2 6 2 3" xfId="20674"/>
    <cellStyle name="Heading 1 2 3 6 2 6 3" xfId="20675"/>
    <cellStyle name="Heading 1 2 3 6 2 6 3 2" xfId="20676"/>
    <cellStyle name="Heading 1 2 3 6 2 6 3 2 2" xfId="20677"/>
    <cellStyle name="Heading 1 2 3 6 2 6 3 3" xfId="20678"/>
    <cellStyle name="Heading 1 2 3 6 2 6 4" xfId="20679"/>
    <cellStyle name="Heading 1 2 3 6 2 6 4 2" xfId="20680"/>
    <cellStyle name="Heading 1 2 3 6 2 6 4 2 2" xfId="20681"/>
    <cellStyle name="Heading 1 2 3 6 2 6 4 3" xfId="20682"/>
    <cellStyle name="Heading 1 2 3 6 2 6 5" xfId="20683"/>
    <cellStyle name="Heading 1 2 3 6 2 6 5 2" xfId="20684"/>
    <cellStyle name="Heading 1 2 3 6 2 6 5 2 2" xfId="20685"/>
    <cellStyle name="Heading 1 2 3 6 2 6 5 3" xfId="20686"/>
    <cellStyle name="Heading 1 2 3 6 2 6 6" xfId="20687"/>
    <cellStyle name="Heading 1 2 3 6 2 6 6 2" xfId="20688"/>
    <cellStyle name="Heading 1 2 3 6 2 6 6 2 2" xfId="20689"/>
    <cellStyle name="Heading 1 2 3 6 2 6 6 3" xfId="20690"/>
    <cellStyle name="Heading 1 2 3 6 2 6 7" xfId="20691"/>
    <cellStyle name="Heading 1 2 3 6 2 6 7 2" xfId="20692"/>
    <cellStyle name="Heading 1 2 3 6 2 6 7 2 2" xfId="20693"/>
    <cellStyle name="Heading 1 2 3 6 2 6 7 3" xfId="20694"/>
    <cellStyle name="Heading 1 2 3 6 2 6 8" xfId="20695"/>
    <cellStyle name="Heading 1 2 3 6 2 6 8 2" xfId="20696"/>
    <cellStyle name="Heading 1 2 3 6 2 6 9" xfId="20697"/>
    <cellStyle name="Heading 1 2 3 6 2 7" xfId="20698"/>
    <cellStyle name="Heading 1 2 3 6 2 7 2" xfId="20699"/>
    <cellStyle name="Heading 1 2 3 6 2 7 2 2" xfId="20700"/>
    <cellStyle name="Heading 1 2 3 6 2 7 2 2 2" xfId="20701"/>
    <cellStyle name="Heading 1 2 3 6 2 7 2 3" xfId="20702"/>
    <cellStyle name="Heading 1 2 3 6 2 7 3" xfId="20703"/>
    <cellStyle name="Heading 1 2 3 6 2 7 3 2" xfId="20704"/>
    <cellStyle name="Heading 1 2 3 6 2 7 3 2 2" xfId="20705"/>
    <cellStyle name="Heading 1 2 3 6 2 7 3 3" xfId="20706"/>
    <cellStyle name="Heading 1 2 3 6 2 7 4" xfId="20707"/>
    <cellStyle name="Heading 1 2 3 6 2 7 4 2" xfId="20708"/>
    <cellStyle name="Heading 1 2 3 6 2 7 4 2 2" xfId="20709"/>
    <cellStyle name="Heading 1 2 3 6 2 7 4 3" xfId="20710"/>
    <cellStyle name="Heading 1 2 3 6 2 7 5" xfId="20711"/>
    <cellStyle name="Heading 1 2 3 6 2 7 5 2" xfId="20712"/>
    <cellStyle name="Heading 1 2 3 6 2 7 5 2 2" xfId="20713"/>
    <cellStyle name="Heading 1 2 3 6 2 7 5 3" xfId="20714"/>
    <cellStyle name="Heading 1 2 3 6 2 7 6" xfId="20715"/>
    <cellStyle name="Heading 1 2 3 6 2 7 6 2" xfId="20716"/>
    <cellStyle name="Heading 1 2 3 6 2 7 6 2 2" xfId="20717"/>
    <cellStyle name="Heading 1 2 3 6 2 7 6 3" xfId="20718"/>
    <cellStyle name="Heading 1 2 3 6 2 7 7" xfId="20719"/>
    <cellStyle name="Heading 1 2 3 6 2 7 7 2" xfId="20720"/>
    <cellStyle name="Heading 1 2 3 6 2 7 7 2 2" xfId="20721"/>
    <cellStyle name="Heading 1 2 3 6 2 7 7 3" xfId="20722"/>
    <cellStyle name="Heading 1 2 3 6 2 7 8" xfId="20723"/>
    <cellStyle name="Heading 1 2 3 6 2 7 8 2" xfId="20724"/>
    <cellStyle name="Heading 1 2 3 6 2 7 9" xfId="20725"/>
    <cellStyle name="Heading 1 2 3 6 2 8" xfId="20726"/>
    <cellStyle name="Heading 1 2 3 6 2 8 2" xfId="20727"/>
    <cellStyle name="Heading 1 2 3 6 2 8 2 2" xfId="20728"/>
    <cellStyle name="Heading 1 2 3 6 2 8 2 2 2" xfId="20729"/>
    <cellStyle name="Heading 1 2 3 6 2 8 2 3" xfId="20730"/>
    <cellStyle name="Heading 1 2 3 6 2 8 3" xfId="20731"/>
    <cellStyle name="Heading 1 2 3 6 2 8 3 2" xfId="20732"/>
    <cellStyle name="Heading 1 2 3 6 2 8 3 2 2" xfId="20733"/>
    <cellStyle name="Heading 1 2 3 6 2 8 3 3" xfId="20734"/>
    <cellStyle name="Heading 1 2 3 6 2 8 4" xfId="20735"/>
    <cellStyle name="Heading 1 2 3 6 2 8 4 2" xfId="20736"/>
    <cellStyle name="Heading 1 2 3 6 2 8 4 2 2" xfId="20737"/>
    <cellStyle name="Heading 1 2 3 6 2 8 4 3" xfId="20738"/>
    <cellStyle name="Heading 1 2 3 6 2 8 5" xfId="20739"/>
    <cellStyle name="Heading 1 2 3 6 2 8 5 2" xfId="20740"/>
    <cellStyle name="Heading 1 2 3 6 2 8 5 2 2" xfId="20741"/>
    <cellStyle name="Heading 1 2 3 6 2 8 5 3" xfId="20742"/>
    <cellStyle name="Heading 1 2 3 6 2 8 6" xfId="20743"/>
    <cellStyle name="Heading 1 2 3 6 2 8 6 2" xfId="20744"/>
    <cellStyle name="Heading 1 2 3 6 2 8 6 2 2" xfId="20745"/>
    <cellStyle name="Heading 1 2 3 6 2 8 6 3" xfId="20746"/>
    <cellStyle name="Heading 1 2 3 6 2 8 7" xfId="20747"/>
    <cellStyle name="Heading 1 2 3 6 2 8 7 2" xfId="20748"/>
    <cellStyle name="Heading 1 2 3 6 2 8 7 2 2" xfId="20749"/>
    <cellStyle name="Heading 1 2 3 6 2 8 7 3" xfId="20750"/>
    <cellStyle name="Heading 1 2 3 6 2 8 8" xfId="20751"/>
    <cellStyle name="Heading 1 2 3 6 2 8 8 2" xfId="20752"/>
    <cellStyle name="Heading 1 2 3 6 2 8 9" xfId="20753"/>
    <cellStyle name="Heading 1 2 3 6 2 9" xfId="20754"/>
    <cellStyle name="Heading 1 2 3 6 2 9 2" xfId="20755"/>
    <cellStyle name="Heading 1 2 3 6 2 9 2 2" xfId="20756"/>
    <cellStyle name="Heading 1 2 3 6 2 9 2 2 2" xfId="20757"/>
    <cellStyle name="Heading 1 2 3 6 2 9 2 3" xfId="20758"/>
    <cellStyle name="Heading 1 2 3 6 2 9 3" xfId="20759"/>
    <cellStyle name="Heading 1 2 3 6 2 9 3 2" xfId="20760"/>
    <cellStyle name="Heading 1 2 3 6 2 9 3 2 2" xfId="20761"/>
    <cellStyle name="Heading 1 2 3 6 2 9 3 3" xfId="20762"/>
    <cellStyle name="Heading 1 2 3 6 2 9 4" xfId="20763"/>
    <cellStyle name="Heading 1 2 3 6 2 9 4 2" xfId="20764"/>
    <cellStyle name="Heading 1 2 3 6 2 9 4 2 2" xfId="20765"/>
    <cellStyle name="Heading 1 2 3 6 2 9 4 3" xfId="20766"/>
    <cellStyle name="Heading 1 2 3 6 2 9 5" xfId="20767"/>
    <cellStyle name="Heading 1 2 3 6 2 9 5 2" xfId="20768"/>
    <cellStyle name="Heading 1 2 3 6 2 9 5 2 2" xfId="20769"/>
    <cellStyle name="Heading 1 2 3 6 2 9 5 3" xfId="20770"/>
    <cellStyle name="Heading 1 2 3 6 2 9 6" xfId="20771"/>
    <cellStyle name="Heading 1 2 3 6 2 9 6 2" xfId="20772"/>
    <cellStyle name="Heading 1 2 3 6 2 9 6 2 2" xfId="20773"/>
    <cellStyle name="Heading 1 2 3 6 2 9 6 3" xfId="20774"/>
    <cellStyle name="Heading 1 2 3 6 2 9 7" xfId="20775"/>
    <cellStyle name="Heading 1 2 3 6 2 9 7 2" xfId="20776"/>
    <cellStyle name="Heading 1 2 3 6 2 9 7 2 2" xfId="20777"/>
    <cellStyle name="Heading 1 2 3 6 2 9 7 3" xfId="20778"/>
    <cellStyle name="Heading 1 2 3 6 2 9 8" xfId="20779"/>
    <cellStyle name="Heading 1 2 3 6 2 9 8 2" xfId="20780"/>
    <cellStyle name="Heading 1 2 3 6 2 9 9" xfId="20781"/>
    <cellStyle name="Heading 1 2 3 6 3" xfId="20782"/>
    <cellStyle name="Heading 1 2 3 6 3 10" xfId="20783"/>
    <cellStyle name="Heading 1 2 3 6 3 10 2" xfId="20784"/>
    <cellStyle name="Heading 1 2 3 6 3 10 2 2" xfId="20785"/>
    <cellStyle name="Heading 1 2 3 6 3 10 3" xfId="20786"/>
    <cellStyle name="Heading 1 2 3 6 3 11" xfId="20787"/>
    <cellStyle name="Heading 1 2 3 6 3 11 2" xfId="20788"/>
    <cellStyle name="Heading 1 2 3 6 3 11 2 2" xfId="20789"/>
    <cellStyle name="Heading 1 2 3 6 3 11 3" xfId="20790"/>
    <cellStyle name="Heading 1 2 3 6 3 12" xfId="20791"/>
    <cellStyle name="Heading 1 2 3 6 3 12 2" xfId="20792"/>
    <cellStyle name="Heading 1 2 3 6 3 12 2 2" xfId="20793"/>
    <cellStyle name="Heading 1 2 3 6 3 12 3" xfId="20794"/>
    <cellStyle name="Heading 1 2 3 6 3 13" xfId="20795"/>
    <cellStyle name="Heading 1 2 3 6 3 13 2" xfId="20796"/>
    <cellStyle name="Heading 1 2 3 6 3 13 2 2" xfId="20797"/>
    <cellStyle name="Heading 1 2 3 6 3 13 3" xfId="20798"/>
    <cellStyle name="Heading 1 2 3 6 3 14" xfId="20799"/>
    <cellStyle name="Heading 1 2 3 6 3 14 2" xfId="20800"/>
    <cellStyle name="Heading 1 2 3 6 3 14 2 2" xfId="20801"/>
    <cellStyle name="Heading 1 2 3 6 3 14 3" xfId="20802"/>
    <cellStyle name="Heading 1 2 3 6 3 15" xfId="20803"/>
    <cellStyle name="Heading 1 2 3 6 3 15 2" xfId="20804"/>
    <cellStyle name="Heading 1 2 3 6 3 15 2 2" xfId="20805"/>
    <cellStyle name="Heading 1 2 3 6 3 15 3" xfId="20806"/>
    <cellStyle name="Heading 1 2 3 6 3 16" xfId="20807"/>
    <cellStyle name="Heading 1 2 3 6 3 16 2" xfId="20808"/>
    <cellStyle name="Heading 1 2 3 6 3 16 2 2" xfId="20809"/>
    <cellStyle name="Heading 1 2 3 6 3 16 3" xfId="20810"/>
    <cellStyle name="Heading 1 2 3 6 3 17" xfId="20811"/>
    <cellStyle name="Heading 1 2 3 6 3 17 2" xfId="20812"/>
    <cellStyle name="Heading 1 2 3 6 3 17 2 2" xfId="20813"/>
    <cellStyle name="Heading 1 2 3 6 3 17 3" xfId="20814"/>
    <cellStyle name="Heading 1 2 3 6 3 18" xfId="20815"/>
    <cellStyle name="Heading 1 2 3 6 3 18 2" xfId="20816"/>
    <cellStyle name="Heading 1 2 3 6 3 18 2 2" xfId="20817"/>
    <cellStyle name="Heading 1 2 3 6 3 18 3" xfId="20818"/>
    <cellStyle name="Heading 1 2 3 6 3 19" xfId="20819"/>
    <cellStyle name="Heading 1 2 3 6 3 19 2" xfId="20820"/>
    <cellStyle name="Heading 1 2 3 6 3 2" xfId="20821"/>
    <cellStyle name="Heading 1 2 3 6 3 2 2" xfId="20822"/>
    <cellStyle name="Heading 1 2 3 6 3 2 2 2" xfId="20823"/>
    <cellStyle name="Heading 1 2 3 6 3 2 2 2 2" xfId="20824"/>
    <cellStyle name="Heading 1 2 3 6 3 2 2 3" xfId="20825"/>
    <cellStyle name="Heading 1 2 3 6 3 2 3" xfId="20826"/>
    <cellStyle name="Heading 1 2 3 6 3 2 3 2" xfId="20827"/>
    <cellStyle name="Heading 1 2 3 6 3 2 3 2 2" xfId="20828"/>
    <cellStyle name="Heading 1 2 3 6 3 2 3 3" xfId="20829"/>
    <cellStyle name="Heading 1 2 3 6 3 2 4" xfId="20830"/>
    <cellStyle name="Heading 1 2 3 6 3 2 4 2" xfId="20831"/>
    <cellStyle name="Heading 1 2 3 6 3 2 4 2 2" xfId="20832"/>
    <cellStyle name="Heading 1 2 3 6 3 2 4 3" xfId="20833"/>
    <cellStyle name="Heading 1 2 3 6 3 2 5" xfId="20834"/>
    <cellStyle name="Heading 1 2 3 6 3 2 5 2" xfId="20835"/>
    <cellStyle name="Heading 1 2 3 6 3 2 5 2 2" xfId="20836"/>
    <cellStyle name="Heading 1 2 3 6 3 2 5 3" xfId="20837"/>
    <cellStyle name="Heading 1 2 3 6 3 2 6" xfId="20838"/>
    <cellStyle name="Heading 1 2 3 6 3 2 6 2" xfId="20839"/>
    <cellStyle name="Heading 1 2 3 6 3 2 6 2 2" xfId="20840"/>
    <cellStyle name="Heading 1 2 3 6 3 2 6 3" xfId="20841"/>
    <cellStyle name="Heading 1 2 3 6 3 2 7" xfId="20842"/>
    <cellStyle name="Heading 1 2 3 6 3 2 7 2" xfId="20843"/>
    <cellStyle name="Heading 1 2 3 6 3 2 7 2 2" xfId="20844"/>
    <cellStyle name="Heading 1 2 3 6 3 2 7 3" xfId="20845"/>
    <cellStyle name="Heading 1 2 3 6 3 2 8" xfId="20846"/>
    <cellStyle name="Heading 1 2 3 6 3 2 8 2" xfId="20847"/>
    <cellStyle name="Heading 1 2 3 6 3 2 9" xfId="20848"/>
    <cellStyle name="Heading 1 2 3 6 3 20" xfId="20849"/>
    <cellStyle name="Heading 1 2 3 6 3 20 2" xfId="20850"/>
    <cellStyle name="Heading 1 2 3 6 3 21" xfId="20851"/>
    <cellStyle name="Heading 1 2 3 6 3 21 2" xfId="20852"/>
    <cellStyle name="Heading 1 2 3 6 3 22" xfId="20853"/>
    <cellStyle name="Heading 1 2 3 6 3 3" xfId="20854"/>
    <cellStyle name="Heading 1 2 3 6 3 3 2" xfId="20855"/>
    <cellStyle name="Heading 1 2 3 6 3 3 2 2" xfId="20856"/>
    <cellStyle name="Heading 1 2 3 6 3 3 2 2 2" xfId="20857"/>
    <cellStyle name="Heading 1 2 3 6 3 3 2 3" xfId="20858"/>
    <cellStyle name="Heading 1 2 3 6 3 3 3" xfId="20859"/>
    <cellStyle name="Heading 1 2 3 6 3 3 3 2" xfId="20860"/>
    <cellStyle name="Heading 1 2 3 6 3 3 3 2 2" xfId="20861"/>
    <cellStyle name="Heading 1 2 3 6 3 3 3 3" xfId="20862"/>
    <cellStyle name="Heading 1 2 3 6 3 3 4" xfId="20863"/>
    <cellStyle name="Heading 1 2 3 6 3 3 4 2" xfId="20864"/>
    <cellStyle name="Heading 1 2 3 6 3 3 4 2 2" xfId="20865"/>
    <cellStyle name="Heading 1 2 3 6 3 3 4 3" xfId="20866"/>
    <cellStyle name="Heading 1 2 3 6 3 3 5" xfId="20867"/>
    <cellStyle name="Heading 1 2 3 6 3 3 5 2" xfId="20868"/>
    <cellStyle name="Heading 1 2 3 6 3 3 5 2 2" xfId="20869"/>
    <cellStyle name="Heading 1 2 3 6 3 3 5 3" xfId="20870"/>
    <cellStyle name="Heading 1 2 3 6 3 3 6" xfId="20871"/>
    <cellStyle name="Heading 1 2 3 6 3 3 6 2" xfId="20872"/>
    <cellStyle name="Heading 1 2 3 6 3 3 6 2 2" xfId="20873"/>
    <cellStyle name="Heading 1 2 3 6 3 3 6 3" xfId="20874"/>
    <cellStyle name="Heading 1 2 3 6 3 3 7" xfId="20875"/>
    <cellStyle name="Heading 1 2 3 6 3 3 7 2" xfId="20876"/>
    <cellStyle name="Heading 1 2 3 6 3 3 7 2 2" xfId="20877"/>
    <cellStyle name="Heading 1 2 3 6 3 3 7 3" xfId="20878"/>
    <cellStyle name="Heading 1 2 3 6 3 3 8" xfId="20879"/>
    <cellStyle name="Heading 1 2 3 6 3 3 8 2" xfId="20880"/>
    <cellStyle name="Heading 1 2 3 6 3 3 9" xfId="20881"/>
    <cellStyle name="Heading 1 2 3 6 3 4" xfId="20882"/>
    <cellStyle name="Heading 1 2 3 6 3 4 2" xfId="20883"/>
    <cellStyle name="Heading 1 2 3 6 3 4 2 2" xfId="20884"/>
    <cellStyle name="Heading 1 2 3 6 3 4 2 2 2" xfId="20885"/>
    <cellStyle name="Heading 1 2 3 6 3 4 2 3" xfId="20886"/>
    <cellStyle name="Heading 1 2 3 6 3 4 3" xfId="20887"/>
    <cellStyle name="Heading 1 2 3 6 3 4 3 2" xfId="20888"/>
    <cellStyle name="Heading 1 2 3 6 3 4 3 2 2" xfId="20889"/>
    <cellStyle name="Heading 1 2 3 6 3 4 3 3" xfId="20890"/>
    <cellStyle name="Heading 1 2 3 6 3 4 4" xfId="20891"/>
    <cellStyle name="Heading 1 2 3 6 3 4 4 2" xfId="20892"/>
    <cellStyle name="Heading 1 2 3 6 3 4 4 2 2" xfId="20893"/>
    <cellStyle name="Heading 1 2 3 6 3 4 4 3" xfId="20894"/>
    <cellStyle name="Heading 1 2 3 6 3 4 5" xfId="20895"/>
    <cellStyle name="Heading 1 2 3 6 3 4 5 2" xfId="20896"/>
    <cellStyle name="Heading 1 2 3 6 3 4 5 2 2" xfId="20897"/>
    <cellStyle name="Heading 1 2 3 6 3 4 5 3" xfId="20898"/>
    <cellStyle name="Heading 1 2 3 6 3 4 6" xfId="20899"/>
    <cellStyle name="Heading 1 2 3 6 3 4 6 2" xfId="20900"/>
    <cellStyle name="Heading 1 2 3 6 3 4 6 2 2" xfId="20901"/>
    <cellStyle name="Heading 1 2 3 6 3 4 6 3" xfId="20902"/>
    <cellStyle name="Heading 1 2 3 6 3 4 7" xfId="20903"/>
    <cellStyle name="Heading 1 2 3 6 3 4 7 2" xfId="20904"/>
    <cellStyle name="Heading 1 2 3 6 3 4 7 2 2" xfId="20905"/>
    <cellStyle name="Heading 1 2 3 6 3 4 7 3" xfId="20906"/>
    <cellStyle name="Heading 1 2 3 6 3 4 8" xfId="20907"/>
    <cellStyle name="Heading 1 2 3 6 3 4 8 2" xfId="20908"/>
    <cellStyle name="Heading 1 2 3 6 3 4 9" xfId="20909"/>
    <cellStyle name="Heading 1 2 3 6 3 5" xfId="20910"/>
    <cellStyle name="Heading 1 2 3 6 3 5 2" xfId="20911"/>
    <cellStyle name="Heading 1 2 3 6 3 5 2 2" xfId="20912"/>
    <cellStyle name="Heading 1 2 3 6 3 5 2 2 2" xfId="20913"/>
    <cellStyle name="Heading 1 2 3 6 3 5 2 3" xfId="20914"/>
    <cellStyle name="Heading 1 2 3 6 3 5 3" xfId="20915"/>
    <cellStyle name="Heading 1 2 3 6 3 5 3 2" xfId="20916"/>
    <cellStyle name="Heading 1 2 3 6 3 5 3 2 2" xfId="20917"/>
    <cellStyle name="Heading 1 2 3 6 3 5 3 3" xfId="20918"/>
    <cellStyle name="Heading 1 2 3 6 3 5 4" xfId="20919"/>
    <cellStyle name="Heading 1 2 3 6 3 5 4 2" xfId="20920"/>
    <cellStyle name="Heading 1 2 3 6 3 5 4 2 2" xfId="20921"/>
    <cellStyle name="Heading 1 2 3 6 3 5 4 3" xfId="20922"/>
    <cellStyle name="Heading 1 2 3 6 3 5 5" xfId="20923"/>
    <cellStyle name="Heading 1 2 3 6 3 5 5 2" xfId="20924"/>
    <cellStyle name="Heading 1 2 3 6 3 5 5 2 2" xfId="20925"/>
    <cellStyle name="Heading 1 2 3 6 3 5 5 3" xfId="20926"/>
    <cellStyle name="Heading 1 2 3 6 3 5 6" xfId="20927"/>
    <cellStyle name="Heading 1 2 3 6 3 5 6 2" xfId="20928"/>
    <cellStyle name="Heading 1 2 3 6 3 5 6 2 2" xfId="20929"/>
    <cellStyle name="Heading 1 2 3 6 3 5 6 3" xfId="20930"/>
    <cellStyle name="Heading 1 2 3 6 3 5 7" xfId="20931"/>
    <cellStyle name="Heading 1 2 3 6 3 5 7 2" xfId="20932"/>
    <cellStyle name="Heading 1 2 3 6 3 5 7 2 2" xfId="20933"/>
    <cellStyle name="Heading 1 2 3 6 3 5 7 3" xfId="20934"/>
    <cellStyle name="Heading 1 2 3 6 3 5 8" xfId="20935"/>
    <cellStyle name="Heading 1 2 3 6 3 5 8 2" xfId="20936"/>
    <cellStyle name="Heading 1 2 3 6 3 5 9" xfId="20937"/>
    <cellStyle name="Heading 1 2 3 6 3 6" xfId="20938"/>
    <cellStyle name="Heading 1 2 3 6 3 6 2" xfId="20939"/>
    <cellStyle name="Heading 1 2 3 6 3 6 2 2" xfId="20940"/>
    <cellStyle name="Heading 1 2 3 6 3 6 2 2 2" xfId="20941"/>
    <cellStyle name="Heading 1 2 3 6 3 6 2 3" xfId="20942"/>
    <cellStyle name="Heading 1 2 3 6 3 6 3" xfId="20943"/>
    <cellStyle name="Heading 1 2 3 6 3 6 3 2" xfId="20944"/>
    <cellStyle name="Heading 1 2 3 6 3 6 3 2 2" xfId="20945"/>
    <cellStyle name="Heading 1 2 3 6 3 6 3 3" xfId="20946"/>
    <cellStyle name="Heading 1 2 3 6 3 6 4" xfId="20947"/>
    <cellStyle name="Heading 1 2 3 6 3 6 4 2" xfId="20948"/>
    <cellStyle name="Heading 1 2 3 6 3 6 4 2 2" xfId="20949"/>
    <cellStyle name="Heading 1 2 3 6 3 6 4 3" xfId="20950"/>
    <cellStyle name="Heading 1 2 3 6 3 6 5" xfId="20951"/>
    <cellStyle name="Heading 1 2 3 6 3 6 5 2" xfId="20952"/>
    <cellStyle name="Heading 1 2 3 6 3 6 5 2 2" xfId="20953"/>
    <cellStyle name="Heading 1 2 3 6 3 6 5 3" xfId="20954"/>
    <cellStyle name="Heading 1 2 3 6 3 6 6" xfId="20955"/>
    <cellStyle name="Heading 1 2 3 6 3 6 6 2" xfId="20956"/>
    <cellStyle name="Heading 1 2 3 6 3 6 6 2 2" xfId="20957"/>
    <cellStyle name="Heading 1 2 3 6 3 6 6 3" xfId="20958"/>
    <cellStyle name="Heading 1 2 3 6 3 6 7" xfId="20959"/>
    <cellStyle name="Heading 1 2 3 6 3 6 7 2" xfId="20960"/>
    <cellStyle name="Heading 1 2 3 6 3 6 7 2 2" xfId="20961"/>
    <cellStyle name="Heading 1 2 3 6 3 6 7 3" xfId="20962"/>
    <cellStyle name="Heading 1 2 3 6 3 6 8" xfId="20963"/>
    <cellStyle name="Heading 1 2 3 6 3 6 8 2" xfId="20964"/>
    <cellStyle name="Heading 1 2 3 6 3 6 9" xfId="20965"/>
    <cellStyle name="Heading 1 2 3 6 3 7" xfId="20966"/>
    <cellStyle name="Heading 1 2 3 6 3 7 2" xfId="20967"/>
    <cellStyle name="Heading 1 2 3 6 3 7 2 2" xfId="20968"/>
    <cellStyle name="Heading 1 2 3 6 3 7 2 2 2" xfId="20969"/>
    <cellStyle name="Heading 1 2 3 6 3 7 2 3" xfId="20970"/>
    <cellStyle name="Heading 1 2 3 6 3 7 3" xfId="20971"/>
    <cellStyle name="Heading 1 2 3 6 3 7 3 2" xfId="20972"/>
    <cellStyle name="Heading 1 2 3 6 3 7 3 2 2" xfId="20973"/>
    <cellStyle name="Heading 1 2 3 6 3 7 3 3" xfId="20974"/>
    <cellStyle name="Heading 1 2 3 6 3 7 4" xfId="20975"/>
    <cellStyle name="Heading 1 2 3 6 3 7 4 2" xfId="20976"/>
    <cellStyle name="Heading 1 2 3 6 3 7 4 2 2" xfId="20977"/>
    <cellStyle name="Heading 1 2 3 6 3 7 4 3" xfId="20978"/>
    <cellStyle name="Heading 1 2 3 6 3 7 5" xfId="20979"/>
    <cellStyle name="Heading 1 2 3 6 3 7 5 2" xfId="20980"/>
    <cellStyle name="Heading 1 2 3 6 3 7 5 2 2" xfId="20981"/>
    <cellStyle name="Heading 1 2 3 6 3 7 5 3" xfId="20982"/>
    <cellStyle name="Heading 1 2 3 6 3 7 6" xfId="20983"/>
    <cellStyle name="Heading 1 2 3 6 3 7 6 2" xfId="20984"/>
    <cellStyle name="Heading 1 2 3 6 3 7 6 2 2" xfId="20985"/>
    <cellStyle name="Heading 1 2 3 6 3 7 6 3" xfId="20986"/>
    <cellStyle name="Heading 1 2 3 6 3 7 7" xfId="20987"/>
    <cellStyle name="Heading 1 2 3 6 3 7 7 2" xfId="20988"/>
    <cellStyle name="Heading 1 2 3 6 3 7 7 2 2" xfId="20989"/>
    <cellStyle name="Heading 1 2 3 6 3 7 7 3" xfId="20990"/>
    <cellStyle name="Heading 1 2 3 6 3 7 8" xfId="20991"/>
    <cellStyle name="Heading 1 2 3 6 3 7 8 2" xfId="20992"/>
    <cellStyle name="Heading 1 2 3 6 3 7 9" xfId="20993"/>
    <cellStyle name="Heading 1 2 3 6 3 8" xfId="20994"/>
    <cellStyle name="Heading 1 2 3 6 3 8 2" xfId="20995"/>
    <cellStyle name="Heading 1 2 3 6 3 8 2 2" xfId="20996"/>
    <cellStyle name="Heading 1 2 3 6 3 8 2 2 2" xfId="20997"/>
    <cellStyle name="Heading 1 2 3 6 3 8 2 3" xfId="20998"/>
    <cellStyle name="Heading 1 2 3 6 3 8 3" xfId="20999"/>
    <cellStyle name="Heading 1 2 3 6 3 8 3 2" xfId="21000"/>
    <cellStyle name="Heading 1 2 3 6 3 8 3 2 2" xfId="21001"/>
    <cellStyle name="Heading 1 2 3 6 3 8 3 3" xfId="21002"/>
    <cellStyle name="Heading 1 2 3 6 3 8 4" xfId="21003"/>
    <cellStyle name="Heading 1 2 3 6 3 8 4 2" xfId="21004"/>
    <cellStyle name="Heading 1 2 3 6 3 8 4 2 2" xfId="21005"/>
    <cellStyle name="Heading 1 2 3 6 3 8 4 3" xfId="21006"/>
    <cellStyle name="Heading 1 2 3 6 3 8 5" xfId="21007"/>
    <cellStyle name="Heading 1 2 3 6 3 8 5 2" xfId="21008"/>
    <cellStyle name="Heading 1 2 3 6 3 8 5 2 2" xfId="21009"/>
    <cellStyle name="Heading 1 2 3 6 3 8 5 3" xfId="21010"/>
    <cellStyle name="Heading 1 2 3 6 3 8 6" xfId="21011"/>
    <cellStyle name="Heading 1 2 3 6 3 8 6 2" xfId="21012"/>
    <cellStyle name="Heading 1 2 3 6 3 8 6 2 2" xfId="21013"/>
    <cellStyle name="Heading 1 2 3 6 3 8 6 3" xfId="21014"/>
    <cellStyle name="Heading 1 2 3 6 3 8 7" xfId="21015"/>
    <cellStyle name="Heading 1 2 3 6 3 8 7 2" xfId="21016"/>
    <cellStyle name="Heading 1 2 3 6 3 8 7 2 2" xfId="21017"/>
    <cellStyle name="Heading 1 2 3 6 3 8 7 3" xfId="21018"/>
    <cellStyle name="Heading 1 2 3 6 3 8 8" xfId="21019"/>
    <cellStyle name="Heading 1 2 3 6 3 8 8 2" xfId="21020"/>
    <cellStyle name="Heading 1 2 3 6 3 8 9" xfId="21021"/>
    <cellStyle name="Heading 1 2 3 6 3 9" xfId="21022"/>
    <cellStyle name="Heading 1 2 3 6 3 9 2" xfId="21023"/>
    <cellStyle name="Heading 1 2 3 6 3 9 2 2" xfId="21024"/>
    <cellStyle name="Heading 1 2 3 6 3 9 3" xfId="21025"/>
    <cellStyle name="Heading 1 2 3 6 4" xfId="21026"/>
    <cellStyle name="Heading 1 2 3 6 4 2" xfId="21027"/>
    <cellStyle name="Heading 1 2 3 6 4 2 2" xfId="21028"/>
    <cellStyle name="Heading 1 2 3 6 4 3" xfId="21029"/>
    <cellStyle name="Heading 1 2 3 6 5" xfId="21030"/>
    <cellStyle name="Heading 1 2 3 6 5 2" xfId="21031"/>
    <cellStyle name="Heading 1 2 3 6 6" xfId="21032"/>
    <cellStyle name="Heading 1 2 3 7" xfId="21033"/>
    <cellStyle name="Heading 1 2 3 7 2" xfId="21034"/>
    <cellStyle name="Heading 1 2 3 7 2 10" xfId="21035"/>
    <cellStyle name="Heading 1 2 3 7 2 10 2" xfId="21036"/>
    <cellStyle name="Heading 1 2 3 7 2 10 2 2" xfId="21037"/>
    <cellStyle name="Heading 1 2 3 7 2 10 3" xfId="21038"/>
    <cellStyle name="Heading 1 2 3 7 2 11" xfId="21039"/>
    <cellStyle name="Heading 1 2 3 7 2 11 2" xfId="21040"/>
    <cellStyle name="Heading 1 2 3 7 2 11 2 2" xfId="21041"/>
    <cellStyle name="Heading 1 2 3 7 2 11 3" xfId="21042"/>
    <cellStyle name="Heading 1 2 3 7 2 12" xfId="21043"/>
    <cellStyle name="Heading 1 2 3 7 2 12 2" xfId="21044"/>
    <cellStyle name="Heading 1 2 3 7 2 12 2 2" xfId="21045"/>
    <cellStyle name="Heading 1 2 3 7 2 12 3" xfId="21046"/>
    <cellStyle name="Heading 1 2 3 7 2 13" xfId="21047"/>
    <cellStyle name="Heading 1 2 3 7 2 13 2" xfId="21048"/>
    <cellStyle name="Heading 1 2 3 7 2 13 2 2" xfId="21049"/>
    <cellStyle name="Heading 1 2 3 7 2 13 3" xfId="21050"/>
    <cellStyle name="Heading 1 2 3 7 2 14" xfId="21051"/>
    <cellStyle name="Heading 1 2 3 7 2 14 2" xfId="21052"/>
    <cellStyle name="Heading 1 2 3 7 2 14 2 2" xfId="21053"/>
    <cellStyle name="Heading 1 2 3 7 2 14 3" xfId="21054"/>
    <cellStyle name="Heading 1 2 3 7 2 15" xfId="21055"/>
    <cellStyle name="Heading 1 2 3 7 2 15 2" xfId="21056"/>
    <cellStyle name="Heading 1 2 3 7 2 15 2 2" xfId="21057"/>
    <cellStyle name="Heading 1 2 3 7 2 15 3" xfId="21058"/>
    <cellStyle name="Heading 1 2 3 7 2 16" xfId="21059"/>
    <cellStyle name="Heading 1 2 3 7 2 16 2" xfId="21060"/>
    <cellStyle name="Heading 1 2 3 7 2 16 2 2" xfId="21061"/>
    <cellStyle name="Heading 1 2 3 7 2 16 3" xfId="21062"/>
    <cellStyle name="Heading 1 2 3 7 2 17" xfId="21063"/>
    <cellStyle name="Heading 1 2 3 7 2 17 2" xfId="21064"/>
    <cellStyle name="Heading 1 2 3 7 2 17 2 2" xfId="21065"/>
    <cellStyle name="Heading 1 2 3 7 2 17 3" xfId="21066"/>
    <cellStyle name="Heading 1 2 3 7 2 18" xfId="21067"/>
    <cellStyle name="Heading 1 2 3 7 2 18 2" xfId="21068"/>
    <cellStyle name="Heading 1 2 3 7 2 18 2 2" xfId="21069"/>
    <cellStyle name="Heading 1 2 3 7 2 18 3" xfId="21070"/>
    <cellStyle name="Heading 1 2 3 7 2 19" xfId="21071"/>
    <cellStyle name="Heading 1 2 3 7 2 19 2" xfId="21072"/>
    <cellStyle name="Heading 1 2 3 7 2 19 2 2" xfId="21073"/>
    <cellStyle name="Heading 1 2 3 7 2 19 3" xfId="21074"/>
    <cellStyle name="Heading 1 2 3 7 2 2" xfId="21075"/>
    <cellStyle name="Heading 1 2 3 7 2 2 10" xfId="21076"/>
    <cellStyle name="Heading 1 2 3 7 2 2 10 2" xfId="21077"/>
    <cellStyle name="Heading 1 2 3 7 2 2 10 2 2" xfId="21078"/>
    <cellStyle name="Heading 1 2 3 7 2 2 10 3" xfId="21079"/>
    <cellStyle name="Heading 1 2 3 7 2 2 11" xfId="21080"/>
    <cellStyle name="Heading 1 2 3 7 2 2 11 2" xfId="21081"/>
    <cellStyle name="Heading 1 2 3 7 2 2 11 2 2" xfId="21082"/>
    <cellStyle name="Heading 1 2 3 7 2 2 11 3" xfId="21083"/>
    <cellStyle name="Heading 1 2 3 7 2 2 12" xfId="21084"/>
    <cellStyle name="Heading 1 2 3 7 2 2 12 2" xfId="21085"/>
    <cellStyle name="Heading 1 2 3 7 2 2 12 2 2" xfId="21086"/>
    <cellStyle name="Heading 1 2 3 7 2 2 12 3" xfId="21087"/>
    <cellStyle name="Heading 1 2 3 7 2 2 13" xfId="21088"/>
    <cellStyle name="Heading 1 2 3 7 2 2 13 2" xfId="21089"/>
    <cellStyle name="Heading 1 2 3 7 2 2 13 2 2" xfId="21090"/>
    <cellStyle name="Heading 1 2 3 7 2 2 13 3" xfId="21091"/>
    <cellStyle name="Heading 1 2 3 7 2 2 14" xfId="21092"/>
    <cellStyle name="Heading 1 2 3 7 2 2 14 2" xfId="21093"/>
    <cellStyle name="Heading 1 2 3 7 2 2 14 2 2" xfId="21094"/>
    <cellStyle name="Heading 1 2 3 7 2 2 14 3" xfId="21095"/>
    <cellStyle name="Heading 1 2 3 7 2 2 15" xfId="21096"/>
    <cellStyle name="Heading 1 2 3 7 2 2 15 2" xfId="21097"/>
    <cellStyle name="Heading 1 2 3 7 2 2 15 2 2" xfId="21098"/>
    <cellStyle name="Heading 1 2 3 7 2 2 15 3" xfId="21099"/>
    <cellStyle name="Heading 1 2 3 7 2 2 16" xfId="21100"/>
    <cellStyle name="Heading 1 2 3 7 2 2 16 2" xfId="21101"/>
    <cellStyle name="Heading 1 2 3 7 2 2 16 2 2" xfId="21102"/>
    <cellStyle name="Heading 1 2 3 7 2 2 16 3" xfId="21103"/>
    <cellStyle name="Heading 1 2 3 7 2 2 17" xfId="21104"/>
    <cellStyle name="Heading 1 2 3 7 2 2 17 2" xfId="21105"/>
    <cellStyle name="Heading 1 2 3 7 2 2 17 2 2" xfId="21106"/>
    <cellStyle name="Heading 1 2 3 7 2 2 17 3" xfId="21107"/>
    <cellStyle name="Heading 1 2 3 7 2 2 18" xfId="21108"/>
    <cellStyle name="Heading 1 2 3 7 2 2 18 2" xfId="21109"/>
    <cellStyle name="Heading 1 2 3 7 2 2 18 2 2" xfId="21110"/>
    <cellStyle name="Heading 1 2 3 7 2 2 18 3" xfId="21111"/>
    <cellStyle name="Heading 1 2 3 7 2 2 19" xfId="21112"/>
    <cellStyle name="Heading 1 2 3 7 2 2 19 2" xfId="21113"/>
    <cellStyle name="Heading 1 2 3 7 2 2 2" xfId="21114"/>
    <cellStyle name="Heading 1 2 3 7 2 2 2 2" xfId="21115"/>
    <cellStyle name="Heading 1 2 3 7 2 2 2 2 2" xfId="21116"/>
    <cellStyle name="Heading 1 2 3 7 2 2 2 2 2 2" xfId="21117"/>
    <cellStyle name="Heading 1 2 3 7 2 2 2 2 3" xfId="21118"/>
    <cellStyle name="Heading 1 2 3 7 2 2 2 3" xfId="21119"/>
    <cellStyle name="Heading 1 2 3 7 2 2 2 3 2" xfId="21120"/>
    <cellStyle name="Heading 1 2 3 7 2 2 2 3 2 2" xfId="21121"/>
    <cellStyle name="Heading 1 2 3 7 2 2 2 3 3" xfId="21122"/>
    <cellStyle name="Heading 1 2 3 7 2 2 2 4" xfId="21123"/>
    <cellStyle name="Heading 1 2 3 7 2 2 2 4 2" xfId="21124"/>
    <cellStyle name="Heading 1 2 3 7 2 2 2 4 2 2" xfId="21125"/>
    <cellStyle name="Heading 1 2 3 7 2 2 2 4 3" xfId="21126"/>
    <cellStyle name="Heading 1 2 3 7 2 2 2 5" xfId="21127"/>
    <cellStyle name="Heading 1 2 3 7 2 2 2 5 2" xfId="21128"/>
    <cellStyle name="Heading 1 2 3 7 2 2 2 5 2 2" xfId="21129"/>
    <cellStyle name="Heading 1 2 3 7 2 2 2 5 3" xfId="21130"/>
    <cellStyle name="Heading 1 2 3 7 2 2 2 6" xfId="21131"/>
    <cellStyle name="Heading 1 2 3 7 2 2 2 6 2" xfId="21132"/>
    <cellStyle name="Heading 1 2 3 7 2 2 2 6 2 2" xfId="21133"/>
    <cellStyle name="Heading 1 2 3 7 2 2 2 6 3" xfId="21134"/>
    <cellStyle name="Heading 1 2 3 7 2 2 2 7" xfId="21135"/>
    <cellStyle name="Heading 1 2 3 7 2 2 2 7 2" xfId="21136"/>
    <cellStyle name="Heading 1 2 3 7 2 2 2 7 2 2" xfId="21137"/>
    <cellStyle name="Heading 1 2 3 7 2 2 2 7 3" xfId="21138"/>
    <cellStyle name="Heading 1 2 3 7 2 2 2 8" xfId="21139"/>
    <cellStyle name="Heading 1 2 3 7 2 2 2 8 2" xfId="21140"/>
    <cellStyle name="Heading 1 2 3 7 2 2 2 9" xfId="21141"/>
    <cellStyle name="Heading 1 2 3 7 2 2 20" xfId="21142"/>
    <cellStyle name="Heading 1 2 3 7 2 2 20 2" xfId="21143"/>
    <cellStyle name="Heading 1 2 3 7 2 2 21" xfId="21144"/>
    <cellStyle name="Heading 1 2 3 7 2 2 21 2" xfId="21145"/>
    <cellStyle name="Heading 1 2 3 7 2 2 22" xfId="21146"/>
    <cellStyle name="Heading 1 2 3 7 2 2 3" xfId="21147"/>
    <cellStyle name="Heading 1 2 3 7 2 2 3 2" xfId="21148"/>
    <cellStyle name="Heading 1 2 3 7 2 2 3 2 2" xfId="21149"/>
    <cellStyle name="Heading 1 2 3 7 2 2 3 2 2 2" xfId="21150"/>
    <cellStyle name="Heading 1 2 3 7 2 2 3 2 3" xfId="21151"/>
    <cellStyle name="Heading 1 2 3 7 2 2 3 3" xfId="21152"/>
    <cellStyle name="Heading 1 2 3 7 2 2 3 3 2" xfId="21153"/>
    <cellStyle name="Heading 1 2 3 7 2 2 3 3 2 2" xfId="21154"/>
    <cellStyle name="Heading 1 2 3 7 2 2 3 3 3" xfId="21155"/>
    <cellStyle name="Heading 1 2 3 7 2 2 3 4" xfId="21156"/>
    <cellStyle name="Heading 1 2 3 7 2 2 3 4 2" xfId="21157"/>
    <cellStyle name="Heading 1 2 3 7 2 2 3 4 2 2" xfId="21158"/>
    <cellStyle name="Heading 1 2 3 7 2 2 3 4 3" xfId="21159"/>
    <cellStyle name="Heading 1 2 3 7 2 2 3 5" xfId="21160"/>
    <cellStyle name="Heading 1 2 3 7 2 2 3 5 2" xfId="21161"/>
    <cellStyle name="Heading 1 2 3 7 2 2 3 5 2 2" xfId="21162"/>
    <cellStyle name="Heading 1 2 3 7 2 2 3 5 3" xfId="21163"/>
    <cellStyle name="Heading 1 2 3 7 2 2 3 6" xfId="21164"/>
    <cellStyle name="Heading 1 2 3 7 2 2 3 6 2" xfId="21165"/>
    <cellStyle name="Heading 1 2 3 7 2 2 3 6 2 2" xfId="21166"/>
    <cellStyle name="Heading 1 2 3 7 2 2 3 6 3" xfId="21167"/>
    <cellStyle name="Heading 1 2 3 7 2 2 3 7" xfId="21168"/>
    <cellStyle name="Heading 1 2 3 7 2 2 3 7 2" xfId="21169"/>
    <cellStyle name="Heading 1 2 3 7 2 2 3 7 2 2" xfId="21170"/>
    <cellStyle name="Heading 1 2 3 7 2 2 3 7 3" xfId="21171"/>
    <cellStyle name="Heading 1 2 3 7 2 2 3 8" xfId="21172"/>
    <cellStyle name="Heading 1 2 3 7 2 2 3 8 2" xfId="21173"/>
    <cellStyle name="Heading 1 2 3 7 2 2 3 9" xfId="21174"/>
    <cellStyle name="Heading 1 2 3 7 2 2 4" xfId="21175"/>
    <cellStyle name="Heading 1 2 3 7 2 2 4 2" xfId="21176"/>
    <cellStyle name="Heading 1 2 3 7 2 2 4 2 2" xfId="21177"/>
    <cellStyle name="Heading 1 2 3 7 2 2 4 2 2 2" xfId="21178"/>
    <cellStyle name="Heading 1 2 3 7 2 2 4 2 3" xfId="21179"/>
    <cellStyle name="Heading 1 2 3 7 2 2 4 3" xfId="21180"/>
    <cellStyle name="Heading 1 2 3 7 2 2 4 3 2" xfId="21181"/>
    <cellStyle name="Heading 1 2 3 7 2 2 4 3 2 2" xfId="21182"/>
    <cellStyle name="Heading 1 2 3 7 2 2 4 3 3" xfId="21183"/>
    <cellStyle name="Heading 1 2 3 7 2 2 4 4" xfId="21184"/>
    <cellStyle name="Heading 1 2 3 7 2 2 4 4 2" xfId="21185"/>
    <cellStyle name="Heading 1 2 3 7 2 2 4 4 2 2" xfId="21186"/>
    <cellStyle name="Heading 1 2 3 7 2 2 4 4 3" xfId="21187"/>
    <cellStyle name="Heading 1 2 3 7 2 2 4 5" xfId="21188"/>
    <cellStyle name="Heading 1 2 3 7 2 2 4 5 2" xfId="21189"/>
    <cellStyle name="Heading 1 2 3 7 2 2 4 5 2 2" xfId="21190"/>
    <cellStyle name="Heading 1 2 3 7 2 2 4 5 3" xfId="21191"/>
    <cellStyle name="Heading 1 2 3 7 2 2 4 6" xfId="21192"/>
    <cellStyle name="Heading 1 2 3 7 2 2 4 6 2" xfId="21193"/>
    <cellStyle name="Heading 1 2 3 7 2 2 4 6 2 2" xfId="21194"/>
    <cellStyle name="Heading 1 2 3 7 2 2 4 6 3" xfId="21195"/>
    <cellStyle name="Heading 1 2 3 7 2 2 4 7" xfId="21196"/>
    <cellStyle name="Heading 1 2 3 7 2 2 4 7 2" xfId="21197"/>
    <cellStyle name="Heading 1 2 3 7 2 2 4 7 2 2" xfId="21198"/>
    <cellStyle name="Heading 1 2 3 7 2 2 4 7 3" xfId="21199"/>
    <cellStyle name="Heading 1 2 3 7 2 2 4 8" xfId="21200"/>
    <cellStyle name="Heading 1 2 3 7 2 2 4 8 2" xfId="21201"/>
    <cellStyle name="Heading 1 2 3 7 2 2 4 9" xfId="21202"/>
    <cellStyle name="Heading 1 2 3 7 2 2 5" xfId="21203"/>
    <cellStyle name="Heading 1 2 3 7 2 2 5 2" xfId="21204"/>
    <cellStyle name="Heading 1 2 3 7 2 2 5 2 2" xfId="21205"/>
    <cellStyle name="Heading 1 2 3 7 2 2 5 2 2 2" xfId="21206"/>
    <cellStyle name="Heading 1 2 3 7 2 2 5 2 3" xfId="21207"/>
    <cellStyle name="Heading 1 2 3 7 2 2 5 3" xfId="21208"/>
    <cellStyle name="Heading 1 2 3 7 2 2 5 3 2" xfId="21209"/>
    <cellStyle name="Heading 1 2 3 7 2 2 5 3 2 2" xfId="21210"/>
    <cellStyle name="Heading 1 2 3 7 2 2 5 3 3" xfId="21211"/>
    <cellStyle name="Heading 1 2 3 7 2 2 5 4" xfId="21212"/>
    <cellStyle name="Heading 1 2 3 7 2 2 5 4 2" xfId="21213"/>
    <cellStyle name="Heading 1 2 3 7 2 2 5 4 2 2" xfId="21214"/>
    <cellStyle name="Heading 1 2 3 7 2 2 5 4 3" xfId="21215"/>
    <cellStyle name="Heading 1 2 3 7 2 2 5 5" xfId="21216"/>
    <cellStyle name="Heading 1 2 3 7 2 2 5 5 2" xfId="21217"/>
    <cellStyle name="Heading 1 2 3 7 2 2 5 5 2 2" xfId="21218"/>
    <cellStyle name="Heading 1 2 3 7 2 2 5 5 3" xfId="21219"/>
    <cellStyle name="Heading 1 2 3 7 2 2 5 6" xfId="21220"/>
    <cellStyle name="Heading 1 2 3 7 2 2 5 6 2" xfId="21221"/>
    <cellStyle name="Heading 1 2 3 7 2 2 5 6 2 2" xfId="21222"/>
    <cellStyle name="Heading 1 2 3 7 2 2 5 6 3" xfId="21223"/>
    <cellStyle name="Heading 1 2 3 7 2 2 5 7" xfId="21224"/>
    <cellStyle name="Heading 1 2 3 7 2 2 5 7 2" xfId="21225"/>
    <cellStyle name="Heading 1 2 3 7 2 2 5 7 2 2" xfId="21226"/>
    <cellStyle name="Heading 1 2 3 7 2 2 5 7 3" xfId="21227"/>
    <cellStyle name="Heading 1 2 3 7 2 2 5 8" xfId="21228"/>
    <cellStyle name="Heading 1 2 3 7 2 2 5 8 2" xfId="21229"/>
    <cellStyle name="Heading 1 2 3 7 2 2 5 9" xfId="21230"/>
    <cellStyle name="Heading 1 2 3 7 2 2 6" xfId="21231"/>
    <cellStyle name="Heading 1 2 3 7 2 2 6 2" xfId="21232"/>
    <cellStyle name="Heading 1 2 3 7 2 2 6 2 2" xfId="21233"/>
    <cellStyle name="Heading 1 2 3 7 2 2 6 2 2 2" xfId="21234"/>
    <cellStyle name="Heading 1 2 3 7 2 2 6 2 3" xfId="21235"/>
    <cellStyle name="Heading 1 2 3 7 2 2 6 3" xfId="21236"/>
    <cellStyle name="Heading 1 2 3 7 2 2 6 3 2" xfId="21237"/>
    <cellStyle name="Heading 1 2 3 7 2 2 6 3 2 2" xfId="21238"/>
    <cellStyle name="Heading 1 2 3 7 2 2 6 3 3" xfId="21239"/>
    <cellStyle name="Heading 1 2 3 7 2 2 6 4" xfId="21240"/>
    <cellStyle name="Heading 1 2 3 7 2 2 6 4 2" xfId="21241"/>
    <cellStyle name="Heading 1 2 3 7 2 2 6 4 2 2" xfId="21242"/>
    <cellStyle name="Heading 1 2 3 7 2 2 6 4 3" xfId="21243"/>
    <cellStyle name="Heading 1 2 3 7 2 2 6 5" xfId="21244"/>
    <cellStyle name="Heading 1 2 3 7 2 2 6 5 2" xfId="21245"/>
    <cellStyle name="Heading 1 2 3 7 2 2 6 5 2 2" xfId="21246"/>
    <cellStyle name="Heading 1 2 3 7 2 2 6 5 3" xfId="21247"/>
    <cellStyle name="Heading 1 2 3 7 2 2 6 6" xfId="21248"/>
    <cellStyle name="Heading 1 2 3 7 2 2 6 6 2" xfId="21249"/>
    <cellStyle name="Heading 1 2 3 7 2 2 6 6 2 2" xfId="21250"/>
    <cellStyle name="Heading 1 2 3 7 2 2 6 6 3" xfId="21251"/>
    <cellStyle name="Heading 1 2 3 7 2 2 6 7" xfId="21252"/>
    <cellStyle name="Heading 1 2 3 7 2 2 6 7 2" xfId="21253"/>
    <cellStyle name="Heading 1 2 3 7 2 2 6 7 2 2" xfId="21254"/>
    <cellStyle name="Heading 1 2 3 7 2 2 6 7 3" xfId="21255"/>
    <cellStyle name="Heading 1 2 3 7 2 2 6 8" xfId="21256"/>
    <cellStyle name="Heading 1 2 3 7 2 2 6 8 2" xfId="21257"/>
    <cellStyle name="Heading 1 2 3 7 2 2 6 9" xfId="21258"/>
    <cellStyle name="Heading 1 2 3 7 2 2 7" xfId="21259"/>
    <cellStyle name="Heading 1 2 3 7 2 2 7 2" xfId="21260"/>
    <cellStyle name="Heading 1 2 3 7 2 2 7 2 2" xfId="21261"/>
    <cellStyle name="Heading 1 2 3 7 2 2 7 2 2 2" xfId="21262"/>
    <cellStyle name="Heading 1 2 3 7 2 2 7 2 3" xfId="21263"/>
    <cellStyle name="Heading 1 2 3 7 2 2 7 3" xfId="21264"/>
    <cellStyle name="Heading 1 2 3 7 2 2 7 3 2" xfId="21265"/>
    <cellStyle name="Heading 1 2 3 7 2 2 7 3 2 2" xfId="21266"/>
    <cellStyle name="Heading 1 2 3 7 2 2 7 3 3" xfId="21267"/>
    <cellStyle name="Heading 1 2 3 7 2 2 7 4" xfId="21268"/>
    <cellStyle name="Heading 1 2 3 7 2 2 7 4 2" xfId="21269"/>
    <cellStyle name="Heading 1 2 3 7 2 2 7 4 2 2" xfId="21270"/>
    <cellStyle name="Heading 1 2 3 7 2 2 7 4 3" xfId="21271"/>
    <cellStyle name="Heading 1 2 3 7 2 2 7 5" xfId="21272"/>
    <cellStyle name="Heading 1 2 3 7 2 2 7 5 2" xfId="21273"/>
    <cellStyle name="Heading 1 2 3 7 2 2 7 5 2 2" xfId="21274"/>
    <cellStyle name="Heading 1 2 3 7 2 2 7 5 3" xfId="21275"/>
    <cellStyle name="Heading 1 2 3 7 2 2 7 6" xfId="21276"/>
    <cellStyle name="Heading 1 2 3 7 2 2 7 6 2" xfId="21277"/>
    <cellStyle name="Heading 1 2 3 7 2 2 7 6 2 2" xfId="21278"/>
    <cellStyle name="Heading 1 2 3 7 2 2 7 6 3" xfId="21279"/>
    <cellStyle name="Heading 1 2 3 7 2 2 7 7" xfId="21280"/>
    <cellStyle name="Heading 1 2 3 7 2 2 7 7 2" xfId="21281"/>
    <cellStyle name="Heading 1 2 3 7 2 2 7 7 2 2" xfId="21282"/>
    <cellStyle name="Heading 1 2 3 7 2 2 7 7 3" xfId="21283"/>
    <cellStyle name="Heading 1 2 3 7 2 2 7 8" xfId="21284"/>
    <cellStyle name="Heading 1 2 3 7 2 2 7 8 2" xfId="21285"/>
    <cellStyle name="Heading 1 2 3 7 2 2 7 9" xfId="21286"/>
    <cellStyle name="Heading 1 2 3 7 2 2 8" xfId="21287"/>
    <cellStyle name="Heading 1 2 3 7 2 2 8 2" xfId="21288"/>
    <cellStyle name="Heading 1 2 3 7 2 2 8 2 2" xfId="21289"/>
    <cellStyle name="Heading 1 2 3 7 2 2 8 2 2 2" xfId="21290"/>
    <cellStyle name="Heading 1 2 3 7 2 2 8 2 3" xfId="21291"/>
    <cellStyle name="Heading 1 2 3 7 2 2 8 3" xfId="21292"/>
    <cellStyle name="Heading 1 2 3 7 2 2 8 3 2" xfId="21293"/>
    <cellStyle name="Heading 1 2 3 7 2 2 8 3 2 2" xfId="21294"/>
    <cellStyle name="Heading 1 2 3 7 2 2 8 3 3" xfId="21295"/>
    <cellStyle name="Heading 1 2 3 7 2 2 8 4" xfId="21296"/>
    <cellStyle name="Heading 1 2 3 7 2 2 8 4 2" xfId="21297"/>
    <cellStyle name="Heading 1 2 3 7 2 2 8 4 2 2" xfId="21298"/>
    <cellStyle name="Heading 1 2 3 7 2 2 8 4 3" xfId="21299"/>
    <cellStyle name="Heading 1 2 3 7 2 2 8 5" xfId="21300"/>
    <cellStyle name="Heading 1 2 3 7 2 2 8 5 2" xfId="21301"/>
    <cellStyle name="Heading 1 2 3 7 2 2 8 5 2 2" xfId="21302"/>
    <cellStyle name="Heading 1 2 3 7 2 2 8 5 3" xfId="21303"/>
    <cellStyle name="Heading 1 2 3 7 2 2 8 6" xfId="21304"/>
    <cellStyle name="Heading 1 2 3 7 2 2 8 6 2" xfId="21305"/>
    <cellStyle name="Heading 1 2 3 7 2 2 8 6 2 2" xfId="21306"/>
    <cellStyle name="Heading 1 2 3 7 2 2 8 6 3" xfId="21307"/>
    <cellStyle name="Heading 1 2 3 7 2 2 8 7" xfId="21308"/>
    <cellStyle name="Heading 1 2 3 7 2 2 8 7 2" xfId="21309"/>
    <cellStyle name="Heading 1 2 3 7 2 2 8 7 2 2" xfId="21310"/>
    <cellStyle name="Heading 1 2 3 7 2 2 8 7 3" xfId="21311"/>
    <cellStyle name="Heading 1 2 3 7 2 2 8 8" xfId="21312"/>
    <cellStyle name="Heading 1 2 3 7 2 2 8 8 2" xfId="21313"/>
    <cellStyle name="Heading 1 2 3 7 2 2 8 9" xfId="21314"/>
    <cellStyle name="Heading 1 2 3 7 2 2 9" xfId="21315"/>
    <cellStyle name="Heading 1 2 3 7 2 2 9 2" xfId="21316"/>
    <cellStyle name="Heading 1 2 3 7 2 2 9 2 2" xfId="21317"/>
    <cellStyle name="Heading 1 2 3 7 2 2 9 3" xfId="21318"/>
    <cellStyle name="Heading 1 2 3 7 2 20" xfId="21319"/>
    <cellStyle name="Heading 1 2 3 7 2 20 2" xfId="21320"/>
    <cellStyle name="Heading 1 2 3 7 2 21" xfId="21321"/>
    <cellStyle name="Heading 1 2 3 7 2 21 2" xfId="21322"/>
    <cellStyle name="Heading 1 2 3 7 2 22" xfId="21323"/>
    <cellStyle name="Heading 1 2 3 7 2 22 2" xfId="21324"/>
    <cellStyle name="Heading 1 2 3 7 2 23" xfId="21325"/>
    <cellStyle name="Heading 1 2 3 7 2 3" xfId="21326"/>
    <cellStyle name="Heading 1 2 3 7 2 3 2" xfId="21327"/>
    <cellStyle name="Heading 1 2 3 7 2 3 2 2" xfId="21328"/>
    <cellStyle name="Heading 1 2 3 7 2 3 2 2 2" xfId="21329"/>
    <cellStyle name="Heading 1 2 3 7 2 3 2 3" xfId="21330"/>
    <cellStyle name="Heading 1 2 3 7 2 3 3" xfId="21331"/>
    <cellStyle name="Heading 1 2 3 7 2 3 3 2" xfId="21332"/>
    <cellStyle name="Heading 1 2 3 7 2 3 3 2 2" xfId="21333"/>
    <cellStyle name="Heading 1 2 3 7 2 3 3 3" xfId="21334"/>
    <cellStyle name="Heading 1 2 3 7 2 3 4" xfId="21335"/>
    <cellStyle name="Heading 1 2 3 7 2 3 4 2" xfId="21336"/>
    <cellStyle name="Heading 1 2 3 7 2 3 4 2 2" xfId="21337"/>
    <cellStyle name="Heading 1 2 3 7 2 3 4 3" xfId="21338"/>
    <cellStyle name="Heading 1 2 3 7 2 3 5" xfId="21339"/>
    <cellStyle name="Heading 1 2 3 7 2 3 5 2" xfId="21340"/>
    <cellStyle name="Heading 1 2 3 7 2 3 5 2 2" xfId="21341"/>
    <cellStyle name="Heading 1 2 3 7 2 3 5 3" xfId="21342"/>
    <cellStyle name="Heading 1 2 3 7 2 3 6" xfId="21343"/>
    <cellStyle name="Heading 1 2 3 7 2 3 6 2" xfId="21344"/>
    <cellStyle name="Heading 1 2 3 7 2 3 6 2 2" xfId="21345"/>
    <cellStyle name="Heading 1 2 3 7 2 3 6 3" xfId="21346"/>
    <cellStyle name="Heading 1 2 3 7 2 3 7" xfId="21347"/>
    <cellStyle name="Heading 1 2 3 7 2 3 7 2" xfId="21348"/>
    <cellStyle name="Heading 1 2 3 7 2 3 7 2 2" xfId="21349"/>
    <cellStyle name="Heading 1 2 3 7 2 3 7 3" xfId="21350"/>
    <cellStyle name="Heading 1 2 3 7 2 3 8" xfId="21351"/>
    <cellStyle name="Heading 1 2 3 7 2 3 8 2" xfId="21352"/>
    <cellStyle name="Heading 1 2 3 7 2 3 9" xfId="21353"/>
    <cellStyle name="Heading 1 2 3 7 2 4" xfId="21354"/>
    <cellStyle name="Heading 1 2 3 7 2 4 2" xfId="21355"/>
    <cellStyle name="Heading 1 2 3 7 2 4 2 2" xfId="21356"/>
    <cellStyle name="Heading 1 2 3 7 2 4 2 2 2" xfId="21357"/>
    <cellStyle name="Heading 1 2 3 7 2 4 2 3" xfId="21358"/>
    <cellStyle name="Heading 1 2 3 7 2 4 3" xfId="21359"/>
    <cellStyle name="Heading 1 2 3 7 2 4 3 2" xfId="21360"/>
    <cellStyle name="Heading 1 2 3 7 2 4 3 2 2" xfId="21361"/>
    <cellStyle name="Heading 1 2 3 7 2 4 3 3" xfId="21362"/>
    <cellStyle name="Heading 1 2 3 7 2 4 4" xfId="21363"/>
    <cellStyle name="Heading 1 2 3 7 2 4 4 2" xfId="21364"/>
    <cellStyle name="Heading 1 2 3 7 2 4 4 2 2" xfId="21365"/>
    <cellStyle name="Heading 1 2 3 7 2 4 4 3" xfId="21366"/>
    <cellStyle name="Heading 1 2 3 7 2 4 5" xfId="21367"/>
    <cellStyle name="Heading 1 2 3 7 2 4 5 2" xfId="21368"/>
    <cellStyle name="Heading 1 2 3 7 2 4 5 2 2" xfId="21369"/>
    <cellStyle name="Heading 1 2 3 7 2 4 5 3" xfId="21370"/>
    <cellStyle name="Heading 1 2 3 7 2 4 6" xfId="21371"/>
    <cellStyle name="Heading 1 2 3 7 2 4 6 2" xfId="21372"/>
    <cellStyle name="Heading 1 2 3 7 2 4 6 2 2" xfId="21373"/>
    <cellStyle name="Heading 1 2 3 7 2 4 6 3" xfId="21374"/>
    <cellStyle name="Heading 1 2 3 7 2 4 7" xfId="21375"/>
    <cellStyle name="Heading 1 2 3 7 2 4 7 2" xfId="21376"/>
    <cellStyle name="Heading 1 2 3 7 2 4 7 2 2" xfId="21377"/>
    <cellStyle name="Heading 1 2 3 7 2 4 7 3" xfId="21378"/>
    <cellStyle name="Heading 1 2 3 7 2 4 8" xfId="21379"/>
    <cellStyle name="Heading 1 2 3 7 2 4 8 2" xfId="21380"/>
    <cellStyle name="Heading 1 2 3 7 2 4 9" xfId="21381"/>
    <cellStyle name="Heading 1 2 3 7 2 5" xfId="21382"/>
    <cellStyle name="Heading 1 2 3 7 2 5 2" xfId="21383"/>
    <cellStyle name="Heading 1 2 3 7 2 5 2 2" xfId="21384"/>
    <cellStyle name="Heading 1 2 3 7 2 5 2 2 2" xfId="21385"/>
    <cellStyle name="Heading 1 2 3 7 2 5 2 3" xfId="21386"/>
    <cellStyle name="Heading 1 2 3 7 2 5 3" xfId="21387"/>
    <cellStyle name="Heading 1 2 3 7 2 5 3 2" xfId="21388"/>
    <cellStyle name="Heading 1 2 3 7 2 5 3 2 2" xfId="21389"/>
    <cellStyle name="Heading 1 2 3 7 2 5 3 3" xfId="21390"/>
    <cellStyle name="Heading 1 2 3 7 2 5 4" xfId="21391"/>
    <cellStyle name="Heading 1 2 3 7 2 5 4 2" xfId="21392"/>
    <cellStyle name="Heading 1 2 3 7 2 5 4 2 2" xfId="21393"/>
    <cellStyle name="Heading 1 2 3 7 2 5 4 3" xfId="21394"/>
    <cellStyle name="Heading 1 2 3 7 2 5 5" xfId="21395"/>
    <cellStyle name="Heading 1 2 3 7 2 5 5 2" xfId="21396"/>
    <cellStyle name="Heading 1 2 3 7 2 5 5 2 2" xfId="21397"/>
    <cellStyle name="Heading 1 2 3 7 2 5 5 3" xfId="21398"/>
    <cellStyle name="Heading 1 2 3 7 2 5 6" xfId="21399"/>
    <cellStyle name="Heading 1 2 3 7 2 5 6 2" xfId="21400"/>
    <cellStyle name="Heading 1 2 3 7 2 5 6 2 2" xfId="21401"/>
    <cellStyle name="Heading 1 2 3 7 2 5 6 3" xfId="21402"/>
    <cellStyle name="Heading 1 2 3 7 2 5 7" xfId="21403"/>
    <cellStyle name="Heading 1 2 3 7 2 5 7 2" xfId="21404"/>
    <cellStyle name="Heading 1 2 3 7 2 5 7 2 2" xfId="21405"/>
    <cellStyle name="Heading 1 2 3 7 2 5 7 3" xfId="21406"/>
    <cellStyle name="Heading 1 2 3 7 2 5 8" xfId="21407"/>
    <cellStyle name="Heading 1 2 3 7 2 5 8 2" xfId="21408"/>
    <cellStyle name="Heading 1 2 3 7 2 5 9" xfId="21409"/>
    <cellStyle name="Heading 1 2 3 7 2 6" xfId="21410"/>
    <cellStyle name="Heading 1 2 3 7 2 6 2" xfId="21411"/>
    <cellStyle name="Heading 1 2 3 7 2 6 2 2" xfId="21412"/>
    <cellStyle name="Heading 1 2 3 7 2 6 2 2 2" xfId="21413"/>
    <cellStyle name="Heading 1 2 3 7 2 6 2 3" xfId="21414"/>
    <cellStyle name="Heading 1 2 3 7 2 6 3" xfId="21415"/>
    <cellStyle name="Heading 1 2 3 7 2 6 3 2" xfId="21416"/>
    <cellStyle name="Heading 1 2 3 7 2 6 3 2 2" xfId="21417"/>
    <cellStyle name="Heading 1 2 3 7 2 6 3 3" xfId="21418"/>
    <cellStyle name="Heading 1 2 3 7 2 6 4" xfId="21419"/>
    <cellStyle name="Heading 1 2 3 7 2 6 4 2" xfId="21420"/>
    <cellStyle name="Heading 1 2 3 7 2 6 4 2 2" xfId="21421"/>
    <cellStyle name="Heading 1 2 3 7 2 6 4 3" xfId="21422"/>
    <cellStyle name="Heading 1 2 3 7 2 6 5" xfId="21423"/>
    <cellStyle name="Heading 1 2 3 7 2 6 5 2" xfId="21424"/>
    <cellStyle name="Heading 1 2 3 7 2 6 5 2 2" xfId="21425"/>
    <cellStyle name="Heading 1 2 3 7 2 6 5 3" xfId="21426"/>
    <cellStyle name="Heading 1 2 3 7 2 6 6" xfId="21427"/>
    <cellStyle name="Heading 1 2 3 7 2 6 6 2" xfId="21428"/>
    <cellStyle name="Heading 1 2 3 7 2 6 6 2 2" xfId="21429"/>
    <cellStyle name="Heading 1 2 3 7 2 6 6 3" xfId="21430"/>
    <cellStyle name="Heading 1 2 3 7 2 6 7" xfId="21431"/>
    <cellStyle name="Heading 1 2 3 7 2 6 7 2" xfId="21432"/>
    <cellStyle name="Heading 1 2 3 7 2 6 7 2 2" xfId="21433"/>
    <cellStyle name="Heading 1 2 3 7 2 6 7 3" xfId="21434"/>
    <cellStyle name="Heading 1 2 3 7 2 6 8" xfId="21435"/>
    <cellStyle name="Heading 1 2 3 7 2 6 8 2" xfId="21436"/>
    <cellStyle name="Heading 1 2 3 7 2 6 9" xfId="21437"/>
    <cellStyle name="Heading 1 2 3 7 2 7" xfId="21438"/>
    <cellStyle name="Heading 1 2 3 7 2 7 2" xfId="21439"/>
    <cellStyle name="Heading 1 2 3 7 2 7 2 2" xfId="21440"/>
    <cellStyle name="Heading 1 2 3 7 2 7 2 2 2" xfId="21441"/>
    <cellStyle name="Heading 1 2 3 7 2 7 2 3" xfId="21442"/>
    <cellStyle name="Heading 1 2 3 7 2 7 3" xfId="21443"/>
    <cellStyle name="Heading 1 2 3 7 2 7 3 2" xfId="21444"/>
    <cellStyle name="Heading 1 2 3 7 2 7 3 2 2" xfId="21445"/>
    <cellStyle name="Heading 1 2 3 7 2 7 3 3" xfId="21446"/>
    <cellStyle name="Heading 1 2 3 7 2 7 4" xfId="21447"/>
    <cellStyle name="Heading 1 2 3 7 2 7 4 2" xfId="21448"/>
    <cellStyle name="Heading 1 2 3 7 2 7 4 2 2" xfId="21449"/>
    <cellStyle name="Heading 1 2 3 7 2 7 4 3" xfId="21450"/>
    <cellStyle name="Heading 1 2 3 7 2 7 5" xfId="21451"/>
    <cellStyle name="Heading 1 2 3 7 2 7 5 2" xfId="21452"/>
    <cellStyle name="Heading 1 2 3 7 2 7 5 2 2" xfId="21453"/>
    <cellStyle name="Heading 1 2 3 7 2 7 5 3" xfId="21454"/>
    <cellStyle name="Heading 1 2 3 7 2 7 6" xfId="21455"/>
    <cellStyle name="Heading 1 2 3 7 2 7 6 2" xfId="21456"/>
    <cellStyle name="Heading 1 2 3 7 2 7 6 2 2" xfId="21457"/>
    <cellStyle name="Heading 1 2 3 7 2 7 6 3" xfId="21458"/>
    <cellStyle name="Heading 1 2 3 7 2 7 7" xfId="21459"/>
    <cellStyle name="Heading 1 2 3 7 2 7 7 2" xfId="21460"/>
    <cellStyle name="Heading 1 2 3 7 2 7 7 2 2" xfId="21461"/>
    <cellStyle name="Heading 1 2 3 7 2 7 7 3" xfId="21462"/>
    <cellStyle name="Heading 1 2 3 7 2 7 8" xfId="21463"/>
    <cellStyle name="Heading 1 2 3 7 2 7 8 2" xfId="21464"/>
    <cellStyle name="Heading 1 2 3 7 2 7 9" xfId="21465"/>
    <cellStyle name="Heading 1 2 3 7 2 8" xfId="21466"/>
    <cellStyle name="Heading 1 2 3 7 2 8 2" xfId="21467"/>
    <cellStyle name="Heading 1 2 3 7 2 8 2 2" xfId="21468"/>
    <cellStyle name="Heading 1 2 3 7 2 8 2 2 2" xfId="21469"/>
    <cellStyle name="Heading 1 2 3 7 2 8 2 3" xfId="21470"/>
    <cellStyle name="Heading 1 2 3 7 2 8 3" xfId="21471"/>
    <cellStyle name="Heading 1 2 3 7 2 8 3 2" xfId="21472"/>
    <cellStyle name="Heading 1 2 3 7 2 8 3 2 2" xfId="21473"/>
    <cellStyle name="Heading 1 2 3 7 2 8 3 3" xfId="21474"/>
    <cellStyle name="Heading 1 2 3 7 2 8 4" xfId="21475"/>
    <cellStyle name="Heading 1 2 3 7 2 8 4 2" xfId="21476"/>
    <cellStyle name="Heading 1 2 3 7 2 8 4 2 2" xfId="21477"/>
    <cellStyle name="Heading 1 2 3 7 2 8 4 3" xfId="21478"/>
    <cellStyle name="Heading 1 2 3 7 2 8 5" xfId="21479"/>
    <cellStyle name="Heading 1 2 3 7 2 8 5 2" xfId="21480"/>
    <cellStyle name="Heading 1 2 3 7 2 8 5 2 2" xfId="21481"/>
    <cellStyle name="Heading 1 2 3 7 2 8 5 3" xfId="21482"/>
    <cellStyle name="Heading 1 2 3 7 2 8 6" xfId="21483"/>
    <cellStyle name="Heading 1 2 3 7 2 8 6 2" xfId="21484"/>
    <cellStyle name="Heading 1 2 3 7 2 8 6 2 2" xfId="21485"/>
    <cellStyle name="Heading 1 2 3 7 2 8 6 3" xfId="21486"/>
    <cellStyle name="Heading 1 2 3 7 2 8 7" xfId="21487"/>
    <cellStyle name="Heading 1 2 3 7 2 8 7 2" xfId="21488"/>
    <cellStyle name="Heading 1 2 3 7 2 8 7 2 2" xfId="21489"/>
    <cellStyle name="Heading 1 2 3 7 2 8 7 3" xfId="21490"/>
    <cellStyle name="Heading 1 2 3 7 2 8 8" xfId="21491"/>
    <cellStyle name="Heading 1 2 3 7 2 8 8 2" xfId="21492"/>
    <cellStyle name="Heading 1 2 3 7 2 8 9" xfId="21493"/>
    <cellStyle name="Heading 1 2 3 7 2 9" xfId="21494"/>
    <cellStyle name="Heading 1 2 3 7 2 9 2" xfId="21495"/>
    <cellStyle name="Heading 1 2 3 7 2 9 2 2" xfId="21496"/>
    <cellStyle name="Heading 1 2 3 7 2 9 2 2 2" xfId="21497"/>
    <cellStyle name="Heading 1 2 3 7 2 9 2 3" xfId="21498"/>
    <cellStyle name="Heading 1 2 3 7 2 9 3" xfId="21499"/>
    <cellStyle name="Heading 1 2 3 7 2 9 3 2" xfId="21500"/>
    <cellStyle name="Heading 1 2 3 7 2 9 3 2 2" xfId="21501"/>
    <cellStyle name="Heading 1 2 3 7 2 9 3 3" xfId="21502"/>
    <cellStyle name="Heading 1 2 3 7 2 9 4" xfId="21503"/>
    <cellStyle name="Heading 1 2 3 7 2 9 4 2" xfId="21504"/>
    <cellStyle name="Heading 1 2 3 7 2 9 4 2 2" xfId="21505"/>
    <cellStyle name="Heading 1 2 3 7 2 9 4 3" xfId="21506"/>
    <cellStyle name="Heading 1 2 3 7 2 9 5" xfId="21507"/>
    <cellStyle name="Heading 1 2 3 7 2 9 5 2" xfId="21508"/>
    <cellStyle name="Heading 1 2 3 7 2 9 5 2 2" xfId="21509"/>
    <cellStyle name="Heading 1 2 3 7 2 9 5 3" xfId="21510"/>
    <cellStyle name="Heading 1 2 3 7 2 9 6" xfId="21511"/>
    <cellStyle name="Heading 1 2 3 7 2 9 6 2" xfId="21512"/>
    <cellStyle name="Heading 1 2 3 7 2 9 6 2 2" xfId="21513"/>
    <cellStyle name="Heading 1 2 3 7 2 9 6 3" xfId="21514"/>
    <cellStyle name="Heading 1 2 3 7 2 9 7" xfId="21515"/>
    <cellStyle name="Heading 1 2 3 7 2 9 7 2" xfId="21516"/>
    <cellStyle name="Heading 1 2 3 7 2 9 7 2 2" xfId="21517"/>
    <cellStyle name="Heading 1 2 3 7 2 9 7 3" xfId="21518"/>
    <cellStyle name="Heading 1 2 3 7 2 9 8" xfId="21519"/>
    <cellStyle name="Heading 1 2 3 7 2 9 8 2" xfId="21520"/>
    <cellStyle name="Heading 1 2 3 7 2 9 9" xfId="21521"/>
    <cellStyle name="Heading 1 2 3 7 3" xfId="21522"/>
    <cellStyle name="Heading 1 2 3 7 3 10" xfId="21523"/>
    <cellStyle name="Heading 1 2 3 7 3 10 2" xfId="21524"/>
    <cellStyle name="Heading 1 2 3 7 3 10 2 2" xfId="21525"/>
    <cellStyle name="Heading 1 2 3 7 3 10 3" xfId="21526"/>
    <cellStyle name="Heading 1 2 3 7 3 11" xfId="21527"/>
    <cellStyle name="Heading 1 2 3 7 3 11 2" xfId="21528"/>
    <cellStyle name="Heading 1 2 3 7 3 11 2 2" xfId="21529"/>
    <cellStyle name="Heading 1 2 3 7 3 11 3" xfId="21530"/>
    <cellStyle name="Heading 1 2 3 7 3 12" xfId="21531"/>
    <cellStyle name="Heading 1 2 3 7 3 12 2" xfId="21532"/>
    <cellStyle name="Heading 1 2 3 7 3 12 2 2" xfId="21533"/>
    <cellStyle name="Heading 1 2 3 7 3 12 3" xfId="21534"/>
    <cellStyle name="Heading 1 2 3 7 3 13" xfId="21535"/>
    <cellStyle name="Heading 1 2 3 7 3 13 2" xfId="21536"/>
    <cellStyle name="Heading 1 2 3 7 3 13 2 2" xfId="21537"/>
    <cellStyle name="Heading 1 2 3 7 3 13 3" xfId="21538"/>
    <cellStyle name="Heading 1 2 3 7 3 14" xfId="21539"/>
    <cellStyle name="Heading 1 2 3 7 3 14 2" xfId="21540"/>
    <cellStyle name="Heading 1 2 3 7 3 14 2 2" xfId="21541"/>
    <cellStyle name="Heading 1 2 3 7 3 14 3" xfId="21542"/>
    <cellStyle name="Heading 1 2 3 7 3 15" xfId="21543"/>
    <cellStyle name="Heading 1 2 3 7 3 15 2" xfId="21544"/>
    <cellStyle name="Heading 1 2 3 7 3 15 2 2" xfId="21545"/>
    <cellStyle name="Heading 1 2 3 7 3 15 3" xfId="21546"/>
    <cellStyle name="Heading 1 2 3 7 3 16" xfId="21547"/>
    <cellStyle name="Heading 1 2 3 7 3 16 2" xfId="21548"/>
    <cellStyle name="Heading 1 2 3 7 3 16 2 2" xfId="21549"/>
    <cellStyle name="Heading 1 2 3 7 3 16 3" xfId="21550"/>
    <cellStyle name="Heading 1 2 3 7 3 17" xfId="21551"/>
    <cellStyle name="Heading 1 2 3 7 3 17 2" xfId="21552"/>
    <cellStyle name="Heading 1 2 3 7 3 17 2 2" xfId="21553"/>
    <cellStyle name="Heading 1 2 3 7 3 17 3" xfId="21554"/>
    <cellStyle name="Heading 1 2 3 7 3 18" xfId="21555"/>
    <cellStyle name="Heading 1 2 3 7 3 18 2" xfId="21556"/>
    <cellStyle name="Heading 1 2 3 7 3 18 2 2" xfId="21557"/>
    <cellStyle name="Heading 1 2 3 7 3 18 3" xfId="21558"/>
    <cellStyle name="Heading 1 2 3 7 3 19" xfId="21559"/>
    <cellStyle name="Heading 1 2 3 7 3 19 2" xfId="21560"/>
    <cellStyle name="Heading 1 2 3 7 3 2" xfId="21561"/>
    <cellStyle name="Heading 1 2 3 7 3 2 2" xfId="21562"/>
    <cellStyle name="Heading 1 2 3 7 3 2 2 2" xfId="21563"/>
    <cellStyle name="Heading 1 2 3 7 3 2 2 2 2" xfId="21564"/>
    <cellStyle name="Heading 1 2 3 7 3 2 2 3" xfId="21565"/>
    <cellStyle name="Heading 1 2 3 7 3 2 3" xfId="21566"/>
    <cellStyle name="Heading 1 2 3 7 3 2 3 2" xfId="21567"/>
    <cellStyle name="Heading 1 2 3 7 3 2 3 2 2" xfId="21568"/>
    <cellStyle name="Heading 1 2 3 7 3 2 3 3" xfId="21569"/>
    <cellStyle name="Heading 1 2 3 7 3 2 4" xfId="21570"/>
    <cellStyle name="Heading 1 2 3 7 3 2 4 2" xfId="21571"/>
    <cellStyle name="Heading 1 2 3 7 3 2 4 2 2" xfId="21572"/>
    <cellStyle name="Heading 1 2 3 7 3 2 4 3" xfId="21573"/>
    <cellStyle name="Heading 1 2 3 7 3 2 5" xfId="21574"/>
    <cellStyle name="Heading 1 2 3 7 3 2 5 2" xfId="21575"/>
    <cellStyle name="Heading 1 2 3 7 3 2 5 2 2" xfId="21576"/>
    <cellStyle name="Heading 1 2 3 7 3 2 5 3" xfId="21577"/>
    <cellStyle name="Heading 1 2 3 7 3 2 6" xfId="21578"/>
    <cellStyle name="Heading 1 2 3 7 3 2 6 2" xfId="21579"/>
    <cellStyle name="Heading 1 2 3 7 3 2 6 2 2" xfId="21580"/>
    <cellStyle name="Heading 1 2 3 7 3 2 6 3" xfId="21581"/>
    <cellStyle name="Heading 1 2 3 7 3 2 7" xfId="21582"/>
    <cellStyle name="Heading 1 2 3 7 3 2 7 2" xfId="21583"/>
    <cellStyle name="Heading 1 2 3 7 3 2 7 2 2" xfId="21584"/>
    <cellStyle name="Heading 1 2 3 7 3 2 7 3" xfId="21585"/>
    <cellStyle name="Heading 1 2 3 7 3 2 8" xfId="21586"/>
    <cellStyle name="Heading 1 2 3 7 3 2 8 2" xfId="21587"/>
    <cellStyle name="Heading 1 2 3 7 3 2 9" xfId="21588"/>
    <cellStyle name="Heading 1 2 3 7 3 20" xfId="21589"/>
    <cellStyle name="Heading 1 2 3 7 3 20 2" xfId="21590"/>
    <cellStyle name="Heading 1 2 3 7 3 21" xfId="21591"/>
    <cellStyle name="Heading 1 2 3 7 3 21 2" xfId="21592"/>
    <cellStyle name="Heading 1 2 3 7 3 22" xfId="21593"/>
    <cellStyle name="Heading 1 2 3 7 3 3" xfId="21594"/>
    <cellStyle name="Heading 1 2 3 7 3 3 2" xfId="21595"/>
    <cellStyle name="Heading 1 2 3 7 3 3 2 2" xfId="21596"/>
    <cellStyle name="Heading 1 2 3 7 3 3 2 2 2" xfId="21597"/>
    <cellStyle name="Heading 1 2 3 7 3 3 2 3" xfId="21598"/>
    <cellStyle name="Heading 1 2 3 7 3 3 3" xfId="21599"/>
    <cellStyle name="Heading 1 2 3 7 3 3 3 2" xfId="21600"/>
    <cellStyle name="Heading 1 2 3 7 3 3 3 2 2" xfId="21601"/>
    <cellStyle name="Heading 1 2 3 7 3 3 3 3" xfId="21602"/>
    <cellStyle name="Heading 1 2 3 7 3 3 4" xfId="21603"/>
    <cellStyle name="Heading 1 2 3 7 3 3 4 2" xfId="21604"/>
    <cellStyle name="Heading 1 2 3 7 3 3 4 2 2" xfId="21605"/>
    <cellStyle name="Heading 1 2 3 7 3 3 4 3" xfId="21606"/>
    <cellStyle name="Heading 1 2 3 7 3 3 5" xfId="21607"/>
    <cellStyle name="Heading 1 2 3 7 3 3 5 2" xfId="21608"/>
    <cellStyle name="Heading 1 2 3 7 3 3 5 2 2" xfId="21609"/>
    <cellStyle name="Heading 1 2 3 7 3 3 5 3" xfId="21610"/>
    <cellStyle name="Heading 1 2 3 7 3 3 6" xfId="21611"/>
    <cellStyle name="Heading 1 2 3 7 3 3 6 2" xfId="21612"/>
    <cellStyle name="Heading 1 2 3 7 3 3 6 2 2" xfId="21613"/>
    <cellStyle name="Heading 1 2 3 7 3 3 6 3" xfId="21614"/>
    <cellStyle name="Heading 1 2 3 7 3 3 7" xfId="21615"/>
    <cellStyle name="Heading 1 2 3 7 3 3 7 2" xfId="21616"/>
    <cellStyle name="Heading 1 2 3 7 3 3 7 2 2" xfId="21617"/>
    <cellStyle name="Heading 1 2 3 7 3 3 7 3" xfId="21618"/>
    <cellStyle name="Heading 1 2 3 7 3 3 8" xfId="21619"/>
    <cellStyle name="Heading 1 2 3 7 3 3 8 2" xfId="21620"/>
    <cellStyle name="Heading 1 2 3 7 3 3 9" xfId="21621"/>
    <cellStyle name="Heading 1 2 3 7 3 4" xfId="21622"/>
    <cellStyle name="Heading 1 2 3 7 3 4 2" xfId="21623"/>
    <cellStyle name="Heading 1 2 3 7 3 4 2 2" xfId="21624"/>
    <cellStyle name="Heading 1 2 3 7 3 4 2 2 2" xfId="21625"/>
    <cellStyle name="Heading 1 2 3 7 3 4 2 3" xfId="21626"/>
    <cellStyle name="Heading 1 2 3 7 3 4 3" xfId="21627"/>
    <cellStyle name="Heading 1 2 3 7 3 4 3 2" xfId="21628"/>
    <cellStyle name="Heading 1 2 3 7 3 4 3 2 2" xfId="21629"/>
    <cellStyle name="Heading 1 2 3 7 3 4 3 3" xfId="21630"/>
    <cellStyle name="Heading 1 2 3 7 3 4 4" xfId="21631"/>
    <cellStyle name="Heading 1 2 3 7 3 4 4 2" xfId="21632"/>
    <cellStyle name="Heading 1 2 3 7 3 4 4 2 2" xfId="21633"/>
    <cellStyle name="Heading 1 2 3 7 3 4 4 3" xfId="21634"/>
    <cellStyle name="Heading 1 2 3 7 3 4 5" xfId="21635"/>
    <cellStyle name="Heading 1 2 3 7 3 4 5 2" xfId="21636"/>
    <cellStyle name="Heading 1 2 3 7 3 4 5 2 2" xfId="21637"/>
    <cellStyle name="Heading 1 2 3 7 3 4 5 3" xfId="21638"/>
    <cellStyle name="Heading 1 2 3 7 3 4 6" xfId="21639"/>
    <cellStyle name="Heading 1 2 3 7 3 4 6 2" xfId="21640"/>
    <cellStyle name="Heading 1 2 3 7 3 4 6 2 2" xfId="21641"/>
    <cellStyle name="Heading 1 2 3 7 3 4 6 3" xfId="21642"/>
    <cellStyle name="Heading 1 2 3 7 3 4 7" xfId="21643"/>
    <cellStyle name="Heading 1 2 3 7 3 4 7 2" xfId="21644"/>
    <cellStyle name="Heading 1 2 3 7 3 4 7 2 2" xfId="21645"/>
    <cellStyle name="Heading 1 2 3 7 3 4 7 3" xfId="21646"/>
    <cellStyle name="Heading 1 2 3 7 3 4 8" xfId="21647"/>
    <cellStyle name="Heading 1 2 3 7 3 4 8 2" xfId="21648"/>
    <cellStyle name="Heading 1 2 3 7 3 4 9" xfId="21649"/>
    <cellStyle name="Heading 1 2 3 7 3 5" xfId="21650"/>
    <cellStyle name="Heading 1 2 3 7 3 5 2" xfId="21651"/>
    <cellStyle name="Heading 1 2 3 7 3 5 2 2" xfId="21652"/>
    <cellStyle name="Heading 1 2 3 7 3 5 2 2 2" xfId="21653"/>
    <cellStyle name="Heading 1 2 3 7 3 5 2 3" xfId="21654"/>
    <cellStyle name="Heading 1 2 3 7 3 5 3" xfId="21655"/>
    <cellStyle name="Heading 1 2 3 7 3 5 3 2" xfId="21656"/>
    <cellStyle name="Heading 1 2 3 7 3 5 3 2 2" xfId="21657"/>
    <cellStyle name="Heading 1 2 3 7 3 5 3 3" xfId="21658"/>
    <cellStyle name="Heading 1 2 3 7 3 5 4" xfId="21659"/>
    <cellStyle name="Heading 1 2 3 7 3 5 4 2" xfId="21660"/>
    <cellStyle name="Heading 1 2 3 7 3 5 4 2 2" xfId="21661"/>
    <cellStyle name="Heading 1 2 3 7 3 5 4 3" xfId="21662"/>
    <cellStyle name="Heading 1 2 3 7 3 5 5" xfId="21663"/>
    <cellStyle name="Heading 1 2 3 7 3 5 5 2" xfId="21664"/>
    <cellStyle name="Heading 1 2 3 7 3 5 5 2 2" xfId="21665"/>
    <cellStyle name="Heading 1 2 3 7 3 5 5 3" xfId="21666"/>
    <cellStyle name="Heading 1 2 3 7 3 5 6" xfId="21667"/>
    <cellStyle name="Heading 1 2 3 7 3 5 6 2" xfId="21668"/>
    <cellStyle name="Heading 1 2 3 7 3 5 6 2 2" xfId="21669"/>
    <cellStyle name="Heading 1 2 3 7 3 5 6 3" xfId="21670"/>
    <cellStyle name="Heading 1 2 3 7 3 5 7" xfId="21671"/>
    <cellStyle name="Heading 1 2 3 7 3 5 7 2" xfId="21672"/>
    <cellStyle name="Heading 1 2 3 7 3 5 7 2 2" xfId="21673"/>
    <cellStyle name="Heading 1 2 3 7 3 5 7 3" xfId="21674"/>
    <cellStyle name="Heading 1 2 3 7 3 5 8" xfId="21675"/>
    <cellStyle name="Heading 1 2 3 7 3 5 8 2" xfId="21676"/>
    <cellStyle name="Heading 1 2 3 7 3 5 9" xfId="21677"/>
    <cellStyle name="Heading 1 2 3 7 3 6" xfId="21678"/>
    <cellStyle name="Heading 1 2 3 7 3 6 2" xfId="21679"/>
    <cellStyle name="Heading 1 2 3 7 3 6 2 2" xfId="21680"/>
    <cellStyle name="Heading 1 2 3 7 3 6 2 2 2" xfId="21681"/>
    <cellStyle name="Heading 1 2 3 7 3 6 2 3" xfId="21682"/>
    <cellStyle name="Heading 1 2 3 7 3 6 3" xfId="21683"/>
    <cellStyle name="Heading 1 2 3 7 3 6 3 2" xfId="21684"/>
    <cellStyle name="Heading 1 2 3 7 3 6 3 2 2" xfId="21685"/>
    <cellStyle name="Heading 1 2 3 7 3 6 3 3" xfId="21686"/>
    <cellStyle name="Heading 1 2 3 7 3 6 4" xfId="21687"/>
    <cellStyle name="Heading 1 2 3 7 3 6 4 2" xfId="21688"/>
    <cellStyle name="Heading 1 2 3 7 3 6 4 2 2" xfId="21689"/>
    <cellStyle name="Heading 1 2 3 7 3 6 4 3" xfId="21690"/>
    <cellStyle name="Heading 1 2 3 7 3 6 5" xfId="21691"/>
    <cellStyle name="Heading 1 2 3 7 3 6 5 2" xfId="21692"/>
    <cellStyle name="Heading 1 2 3 7 3 6 5 2 2" xfId="21693"/>
    <cellStyle name="Heading 1 2 3 7 3 6 5 3" xfId="21694"/>
    <cellStyle name="Heading 1 2 3 7 3 6 6" xfId="21695"/>
    <cellStyle name="Heading 1 2 3 7 3 6 6 2" xfId="21696"/>
    <cellStyle name="Heading 1 2 3 7 3 6 6 2 2" xfId="21697"/>
    <cellStyle name="Heading 1 2 3 7 3 6 6 3" xfId="21698"/>
    <cellStyle name="Heading 1 2 3 7 3 6 7" xfId="21699"/>
    <cellStyle name="Heading 1 2 3 7 3 6 7 2" xfId="21700"/>
    <cellStyle name="Heading 1 2 3 7 3 6 7 2 2" xfId="21701"/>
    <cellStyle name="Heading 1 2 3 7 3 6 7 3" xfId="21702"/>
    <cellStyle name="Heading 1 2 3 7 3 6 8" xfId="21703"/>
    <cellStyle name="Heading 1 2 3 7 3 6 8 2" xfId="21704"/>
    <cellStyle name="Heading 1 2 3 7 3 6 9" xfId="21705"/>
    <cellStyle name="Heading 1 2 3 7 3 7" xfId="21706"/>
    <cellStyle name="Heading 1 2 3 7 3 7 2" xfId="21707"/>
    <cellStyle name="Heading 1 2 3 7 3 7 2 2" xfId="21708"/>
    <cellStyle name="Heading 1 2 3 7 3 7 2 2 2" xfId="21709"/>
    <cellStyle name="Heading 1 2 3 7 3 7 2 3" xfId="21710"/>
    <cellStyle name="Heading 1 2 3 7 3 7 3" xfId="21711"/>
    <cellStyle name="Heading 1 2 3 7 3 7 3 2" xfId="21712"/>
    <cellStyle name="Heading 1 2 3 7 3 7 3 2 2" xfId="21713"/>
    <cellStyle name="Heading 1 2 3 7 3 7 3 3" xfId="21714"/>
    <cellStyle name="Heading 1 2 3 7 3 7 4" xfId="21715"/>
    <cellStyle name="Heading 1 2 3 7 3 7 4 2" xfId="21716"/>
    <cellStyle name="Heading 1 2 3 7 3 7 4 2 2" xfId="21717"/>
    <cellStyle name="Heading 1 2 3 7 3 7 4 3" xfId="21718"/>
    <cellStyle name="Heading 1 2 3 7 3 7 5" xfId="21719"/>
    <cellStyle name="Heading 1 2 3 7 3 7 5 2" xfId="21720"/>
    <cellStyle name="Heading 1 2 3 7 3 7 5 2 2" xfId="21721"/>
    <cellStyle name="Heading 1 2 3 7 3 7 5 3" xfId="21722"/>
    <cellStyle name="Heading 1 2 3 7 3 7 6" xfId="21723"/>
    <cellStyle name="Heading 1 2 3 7 3 7 6 2" xfId="21724"/>
    <cellStyle name="Heading 1 2 3 7 3 7 6 2 2" xfId="21725"/>
    <cellStyle name="Heading 1 2 3 7 3 7 6 3" xfId="21726"/>
    <cellStyle name="Heading 1 2 3 7 3 7 7" xfId="21727"/>
    <cellStyle name="Heading 1 2 3 7 3 7 7 2" xfId="21728"/>
    <cellStyle name="Heading 1 2 3 7 3 7 7 2 2" xfId="21729"/>
    <cellStyle name="Heading 1 2 3 7 3 7 7 3" xfId="21730"/>
    <cellStyle name="Heading 1 2 3 7 3 7 8" xfId="21731"/>
    <cellStyle name="Heading 1 2 3 7 3 7 8 2" xfId="21732"/>
    <cellStyle name="Heading 1 2 3 7 3 7 9" xfId="21733"/>
    <cellStyle name="Heading 1 2 3 7 3 8" xfId="21734"/>
    <cellStyle name="Heading 1 2 3 7 3 8 2" xfId="21735"/>
    <cellStyle name="Heading 1 2 3 7 3 8 2 2" xfId="21736"/>
    <cellStyle name="Heading 1 2 3 7 3 8 2 2 2" xfId="21737"/>
    <cellStyle name="Heading 1 2 3 7 3 8 2 3" xfId="21738"/>
    <cellStyle name="Heading 1 2 3 7 3 8 3" xfId="21739"/>
    <cellStyle name="Heading 1 2 3 7 3 8 3 2" xfId="21740"/>
    <cellStyle name="Heading 1 2 3 7 3 8 3 2 2" xfId="21741"/>
    <cellStyle name="Heading 1 2 3 7 3 8 3 3" xfId="21742"/>
    <cellStyle name="Heading 1 2 3 7 3 8 4" xfId="21743"/>
    <cellStyle name="Heading 1 2 3 7 3 8 4 2" xfId="21744"/>
    <cellStyle name="Heading 1 2 3 7 3 8 4 2 2" xfId="21745"/>
    <cellStyle name="Heading 1 2 3 7 3 8 4 3" xfId="21746"/>
    <cellStyle name="Heading 1 2 3 7 3 8 5" xfId="21747"/>
    <cellStyle name="Heading 1 2 3 7 3 8 5 2" xfId="21748"/>
    <cellStyle name="Heading 1 2 3 7 3 8 5 2 2" xfId="21749"/>
    <cellStyle name="Heading 1 2 3 7 3 8 5 3" xfId="21750"/>
    <cellStyle name="Heading 1 2 3 7 3 8 6" xfId="21751"/>
    <cellStyle name="Heading 1 2 3 7 3 8 6 2" xfId="21752"/>
    <cellStyle name="Heading 1 2 3 7 3 8 6 2 2" xfId="21753"/>
    <cellStyle name="Heading 1 2 3 7 3 8 6 3" xfId="21754"/>
    <cellStyle name="Heading 1 2 3 7 3 8 7" xfId="21755"/>
    <cellStyle name="Heading 1 2 3 7 3 8 7 2" xfId="21756"/>
    <cellStyle name="Heading 1 2 3 7 3 8 7 2 2" xfId="21757"/>
    <cellStyle name="Heading 1 2 3 7 3 8 7 3" xfId="21758"/>
    <cellStyle name="Heading 1 2 3 7 3 8 8" xfId="21759"/>
    <cellStyle name="Heading 1 2 3 7 3 8 8 2" xfId="21760"/>
    <cellStyle name="Heading 1 2 3 7 3 8 9" xfId="21761"/>
    <cellStyle name="Heading 1 2 3 7 3 9" xfId="21762"/>
    <cellStyle name="Heading 1 2 3 7 3 9 2" xfId="21763"/>
    <cellStyle name="Heading 1 2 3 7 3 9 2 2" xfId="21764"/>
    <cellStyle name="Heading 1 2 3 7 3 9 3" xfId="21765"/>
    <cellStyle name="Heading 1 2 3 7 4" xfId="21766"/>
    <cellStyle name="Heading 1 2 3 7 4 2" xfId="21767"/>
    <cellStyle name="Heading 1 2 3 7 4 2 2" xfId="21768"/>
    <cellStyle name="Heading 1 2 3 7 4 3" xfId="21769"/>
    <cellStyle name="Heading 1 2 3 7 5" xfId="21770"/>
    <cellStyle name="Heading 1 2 3 7 5 2" xfId="21771"/>
    <cellStyle name="Heading 1 2 3 7 6" xfId="21772"/>
    <cellStyle name="Heading 1 2 3 8" xfId="21773"/>
    <cellStyle name="Heading 1 2 3 8 10" xfId="21774"/>
    <cellStyle name="Heading 1 2 3 8 10 2" xfId="21775"/>
    <cellStyle name="Heading 1 2 3 8 10 2 2" xfId="21776"/>
    <cellStyle name="Heading 1 2 3 8 10 3" xfId="21777"/>
    <cellStyle name="Heading 1 2 3 8 11" xfId="21778"/>
    <cellStyle name="Heading 1 2 3 8 11 2" xfId="21779"/>
    <cellStyle name="Heading 1 2 3 8 11 2 2" xfId="21780"/>
    <cellStyle name="Heading 1 2 3 8 11 3" xfId="21781"/>
    <cellStyle name="Heading 1 2 3 8 12" xfId="21782"/>
    <cellStyle name="Heading 1 2 3 8 12 2" xfId="21783"/>
    <cellStyle name="Heading 1 2 3 8 12 2 2" xfId="21784"/>
    <cellStyle name="Heading 1 2 3 8 12 3" xfId="21785"/>
    <cellStyle name="Heading 1 2 3 8 13" xfId="21786"/>
    <cellStyle name="Heading 1 2 3 8 13 2" xfId="21787"/>
    <cellStyle name="Heading 1 2 3 8 13 2 2" xfId="21788"/>
    <cellStyle name="Heading 1 2 3 8 13 3" xfId="21789"/>
    <cellStyle name="Heading 1 2 3 8 14" xfId="21790"/>
    <cellStyle name="Heading 1 2 3 8 14 2" xfId="21791"/>
    <cellStyle name="Heading 1 2 3 8 14 2 2" xfId="21792"/>
    <cellStyle name="Heading 1 2 3 8 14 3" xfId="21793"/>
    <cellStyle name="Heading 1 2 3 8 15" xfId="21794"/>
    <cellStyle name="Heading 1 2 3 8 15 2" xfId="21795"/>
    <cellStyle name="Heading 1 2 3 8 15 2 2" xfId="21796"/>
    <cellStyle name="Heading 1 2 3 8 15 3" xfId="21797"/>
    <cellStyle name="Heading 1 2 3 8 16" xfId="21798"/>
    <cellStyle name="Heading 1 2 3 8 16 2" xfId="21799"/>
    <cellStyle name="Heading 1 2 3 8 16 2 2" xfId="21800"/>
    <cellStyle name="Heading 1 2 3 8 16 3" xfId="21801"/>
    <cellStyle name="Heading 1 2 3 8 17" xfId="21802"/>
    <cellStyle name="Heading 1 2 3 8 17 2" xfId="21803"/>
    <cellStyle name="Heading 1 2 3 8 17 2 2" xfId="21804"/>
    <cellStyle name="Heading 1 2 3 8 17 3" xfId="21805"/>
    <cellStyle name="Heading 1 2 3 8 18" xfId="21806"/>
    <cellStyle name="Heading 1 2 3 8 18 2" xfId="21807"/>
    <cellStyle name="Heading 1 2 3 8 18 2 2" xfId="21808"/>
    <cellStyle name="Heading 1 2 3 8 18 3" xfId="21809"/>
    <cellStyle name="Heading 1 2 3 8 19" xfId="21810"/>
    <cellStyle name="Heading 1 2 3 8 19 2" xfId="21811"/>
    <cellStyle name="Heading 1 2 3 8 19 2 2" xfId="21812"/>
    <cellStyle name="Heading 1 2 3 8 19 3" xfId="21813"/>
    <cellStyle name="Heading 1 2 3 8 2" xfId="21814"/>
    <cellStyle name="Heading 1 2 3 8 2 10" xfId="21815"/>
    <cellStyle name="Heading 1 2 3 8 2 10 2" xfId="21816"/>
    <cellStyle name="Heading 1 2 3 8 2 10 2 2" xfId="21817"/>
    <cellStyle name="Heading 1 2 3 8 2 10 3" xfId="21818"/>
    <cellStyle name="Heading 1 2 3 8 2 11" xfId="21819"/>
    <cellStyle name="Heading 1 2 3 8 2 11 2" xfId="21820"/>
    <cellStyle name="Heading 1 2 3 8 2 11 2 2" xfId="21821"/>
    <cellStyle name="Heading 1 2 3 8 2 11 3" xfId="21822"/>
    <cellStyle name="Heading 1 2 3 8 2 12" xfId="21823"/>
    <cellStyle name="Heading 1 2 3 8 2 12 2" xfId="21824"/>
    <cellStyle name="Heading 1 2 3 8 2 12 2 2" xfId="21825"/>
    <cellStyle name="Heading 1 2 3 8 2 12 3" xfId="21826"/>
    <cellStyle name="Heading 1 2 3 8 2 13" xfId="21827"/>
    <cellStyle name="Heading 1 2 3 8 2 13 2" xfId="21828"/>
    <cellStyle name="Heading 1 2 3 8 2 13 2 2" xfId="21829"/>
    <cellStyle name="Heading 1 2 3 8 2 13 3" xfId="21830"/>
    <cellStyle name="Heading 1 2 3 8 2 14" xfId="21831"/>
    <cellStyle name="Heading 1 2 3 8 2 14 2" xfId="21832"/>
    <cellStyle name="Heading 1 2 3 8 2 14 2 2" xfId="21833"/>
    <cellStyle name="Heading 1 2 3 8 2 14 3" xfId="21834"/>
    <cellStyle name="Heading 1 2 3 8 2 15" xfId="21835"/>
    <cellStyle name="Heading 1 2 3 8 2 15 2" xfId="21836"/>
    <cellStyle name="Heading 1 2 3 8 2 15 2 2" xfId="21837"/>
    <cellStyle name="Heading 1 2 3 8 2 15 3" xfId="21838"/>
    <cellStyle name="Heading 1 2 3 8 2 16" xfId="21839"/>
    <cellStyle name="Heading 1 2 3 8 2 16 2" xfId="21840"/>
    <cellStyle name="Heading 1 2 3 8 2 16 2 2" xfId="21841"/>
    <cellStyle name="Heading 1 2 3 8 2 16 3" xfId="21842"/>
    <cellStyle name="Heading 1 2 3 8 2 17" xfId="21843"/>
    <cellStyle name="Heading 1 2 3 8 2 17 2" xfId="21844"/>
    <cellStyle name="Heading 1 2 3 8 2 17 2 2" xfId="21845"/>
    <cellStyle name="Heading 1 2 3 8 2 17 3" xfId="21846"/>
    <cellStyle name="Heading 1 2 3 8 2 18" xfId="21847"/>
    <cellStyle name="Heading 1 2 3 8 2 18 2" xfId="21848"/>
    <cellStyle name="Heading 1 2 3 8 2 18 2 2" xfId="21849"/>
    <cellStyle name="Heading 1 2 3 8 2 18 3" xfId="21850"/>
    <cellStyle name="Heading 1 2 3 8 2 19" xfId="21851"/>
    <cellStyle name="Heading 1 2 3 8 2 19 2" xfId="21852"/>
    <cellStyle name="Heading 1 2 3 8 2 2" xfId="21853"/>
    <cellStyle name="Heading 1 2 3 8 2 2 2" xfId="21854"/>
    <cellStyle name="Heading 1 2 3 8 2 2 2 2" xfId="21855"/>
    <cellStyle name="Heading 1 2 3 8 2 2 2 2 2" xfId="21856"/>
    <cellStyle name="Heading 1 2 3 8 2 2 2 3" xfId="21857"/>
    <cellStyle name="Heading 1 2 3 8 2 2 3" xfId="21858"/>
    <cellStyle name="Heading 1 2 3 8 2 2 3 2" xfId="21859"/>
    <cellStyle name="Heading 1 2 3 8 2 2 3 2 2" xfId="21860"/>
    <cellStyle name="Heading 1 2 3 8 2 2 3 3" xfId="21861"/>
    <cellStyle name="Heading 1 2 3 8 2 2 4" xfId="21862"/>
    <cellStyle name="Heading 1 2 3 8 2 2 4 2" xfId="21863"/>
    <cellStyle name="Heading 1 2 3 8 2 2 4 2 2" xfId="21864"/>
    <cellStyle name="Heading 1 2 3 8 2 2 4 3" xfId="21865"/>
    <cellStyle name="Heading 1 2 3 8 2 2 5" xfId="21866"/>
    <cellStyle name="Heading 1 2 3 8 2 2 5 2" xfId="21867"/>
    <cellStyle name="Heading 1 2 3 8 2 2 5 2 2" xfId="21868"/>
    <cellStyle name="Heading 1 2 3 8 2 2 5 3" xfId="21869"/>
    <cellStyle name="Heading 1 2 3 8 2 2 6" xfId="21870"/>
    <cellStyle name="Heading 1 2 3 8 2 2 6 2" xfId="21871"/>
    <cellStyle name="Heading 1 2 3 8 2 2 6 2 2" xfId="21872"/>
    <cellStyle name="Heading 1 2 3 8 2 2 6 3" xfId="21873"/>
    <cellStyle name="Heading 1 2 3 8 2 2 7" xfId="21874"/>
    <cellStyle name="Heading 1 2 3 8 2 2 7 2" xfId="21875"/>
    <cellStyle name="Heading 1 2 3 8 2 2 7 2 2" xfId="21876"/>
    <cellStyle name="Heading 1 2 3 8 2 2 7 3" xfId="21877"/>
    <cellStyle name="Heading 1 2 3 8 2 2 8" xfId="21878"/>
    <cellStyle name="Heading 1 2 3 8 2 2 8 2" xfId="21879"/>
    <cellStyle name="Heading 1 2 3 8 2 2 9" xfId="21880"/>
    <cellStyle name="Heading 1 2 3 8 2 20" xfId="21881"/>
    <cellStyle name="Heading 1 2 3 8 2 20 2" xfId="21882"/>
    <cellStyle name="Heading 1 2 3 8 2 21" xfId="21883"/>
    <cellStyle name="Heading 1 2 3 8 2 21 2" xfId="21884"/>
    <cellStyle name="Heading 1 2 3 8 2 22" xfId="21885"/>
    <cellStyle name="Heading 1 2 3 8 2 3" xfId="21886"/>
    <cellStyle name="Heading 1 2 3 8 2 3 2" xfId="21887"/>
    <cellStyle name="Heading 1 2 3 8 2 3 2 2" xfId="21888"/>
    <cellStyle name="Heading 1 2 3 8 2 3 2 2 2" xfId="21889"/>
    <cellStyle name="Heading 1 2 3 8 2 3 2 3" xfId="21890"/>
    <cellStyle name="Heading 1 2 3 8 2 3 3" xfId="21891"/>
    <cellStyle name="Heading 1 2 3 8 2 3 3 2" xfId="21892"/>
    <cellStyle name="Heading 1 2 3 8 2 3 3 2 2" xfId="21893"/>
    <cellStyle name="Heading 1 2 3 8 2 3 3 3" xfId="21894"/>
    <cellStyle name="Heading 1 2 3 8 2 3 4" xfId="21895"/>
    <cellStyle name="Heading 1 2 3 8 2 3 4 2" xfId="21896"/>
    <cellStyle name="Heading 1 2 3 8 2 3 4 2 2" xfId="21897"/>
    <cellStyle name="Heading 1 2 3 8 2 3 4 3" xfId="21898"/>
    <cellStyle name="Heading 1 2 3 8 2 3 5" xfId="21899"/>
    <cellStyle name="Heading 1 2 3 8 2 3 5 2" xfId="21900"/>
    <cellStyle name="Heading 1 2 3 8 2 3 5 2 2" xfId="21901"/>
    <cellStyle name="Heading 1 2 3 8 2 3 5 3" xfId="21902"/>
    <cellStyle name="Heading 1 2 3 8 2 3 6" xfId="21903"/>
    <cellStyle name="Heading 1 2 3 8 2 3 6 2" xfId="21904"/>
    <cellStyle name="Heading 1 2 3 8 2 3 6 2 2" xfId="21905"/>
    <cellStyle name="Heading 1 2 3 8 2 3 6 3" xfId="21906"/>
    <cellStyle name="Heading 1 2 3 8 2 3 7" xfId="21907"/>
    <cellStyle name="Heading 1 2 3 8 2 3 7 2" xfId="21908"/>
    <cellStyle name="Heading 1 2 3 8 2 3 7 2 2" xfId="21909"/>
    <cellStyle name="Heading 1 2 3 8 2 3 7 3" xfId="21910"/>
    <cellStyle name="Heading 1 2 3 8 2 3 8" xfId="21911"/>
    <cellStyle name="Heading 1 2 3 8 2 3 8 2" xfId="21912"/>
    <cellStyle name="Heading 1 2 3 8 2 3 9" xfId="21913"/>
    <cellStyle name="Heading 1 2 3 8 2 4" xfId="21914"/>
    <cellStyle name="Heading 1 2 3 8 2 4 2" xfId="21915"/>
    <cellStyle name="Heading 1 2 3 8 2 4 2 2" xfId="21916"/>
    <cellStyle name="Heading 1 2 3 8 2 4 2 2 2" xfId="21917"/>
    <cellStyle name="Heading 1 2 3 8 2 4 2 3" xfId="21918"/>
    <cellStyle name="Heading 1 2 3 8 2 4 3" xfId="21919"/>
    <cellStyle name="Heading 1 2 3 8 2 4 3 2" xfId="21920"/>
    <cellStyle name="Heading 1 2 3 8 2 4 3 2 2" xfId="21921"/>
    <cellStyle name="Heading 1 2 3 8 2 4 3 3" xfId="21922"/>
    <cellStyle name="Heading 1 2 3 8 2 4 4" xfId="21923"/>
    <cellStyle name="Heading 1 2 3 8 2 4 4 2" xfId="21924"/>
    <cellStyle name="Heading 1 2 3 8 2 4 4 2 2" xfId="21925"/>
    <cellStyle name="Heading 1 2 3 8 2 4 4 3" xfId="21926"/>
    <cellStyle name="Heading 1 2 3 8 2 4 5" xfId="21927"/>
    <cellStyle name="Heading 1 2 3 8 2 4 5 2" xfId="21928"/>
    <cellStyle name="Heading 1 2 3 8 2 4 5 2 2" xfId="21929"/>
    <cellStyle name="Heading 1 2 3 8 2 4 5 3" xfId="21930"/>
    <cellStyle name="Heading 1 2 3 8 2 4 6" xfId="21931"/>
    <cellStyle name="Heading 1 2 3 8 2 4 6 2" xfId="21932"/>
    <cellStyle name="Heading 1 2 3 8 2 4 6 2 2" xfId="21933"/>
    <cellStyle name="Heading 1 2 3 8 2 4 6 3" xfId="21934"/>
    <cellStyle name="Heading 1 2 3 8 2 4 7" xfId="21935"/>
    <cellStyle name="Heading 1 2 3 8 2 4 7 2" xfId="21936"/>
    <cellStyle name="Heading 1 2 3 8 2 4 7 2 2" xfId="21937"/>
    <cellStyle name="Heading 1 2 3 8 2 4 7 3" xfId="21938"/>
    <cellStyle name="Heading 1 2 3 8 2 4 8" xfId="21939"/>
    <cellStyle name="Heading 1 2 3 8 2 4 8 2" xfId="21940"/>
    <cellStyle name="Heading 1 2 3 8 2 4 9" xfId="21941"/>
    <cellStyle name="Heading 1 2 3 8 2 5" xfId="21942"/>
    <cellStyle name="Heading 1 2 3 8 2 5 2" xfId="21943"/>
    <cellStyle name="Heading 1 2 3 8 2 5 2 2" xfId="21944"/>
    <cellStyle name="Heading 1 2 3 8 2 5 2 2 2" xfId="21945"/>
    <cellStyle name="Heading 1 2 3 8 2 5 2 3" xfId="21946"/>
    <cellStyle name="Heading 1 2 3 8 2 5 3" xfId="21947"/>
    <cellStyle name="Heading 1 2 3 8 2 5 3 2" xfId="21948"/>
    <cellStyle name="Heading 1 2 3 8 2 5 3 2 2" xfId="21949"/>
    <cellStyle name="Heading 1 2 3 8 2 5 3 3" xfId="21950"/>
    <cellStyle name="Heading 1 2 3 8 2 5 4" xfId="21951"/>
    <cellStyle name="Heading 1 2 3 8 2 5 4 2" xfId="21952"/>
    <cellStyle name="Heading 1 2 3 8 2 5 4 2 2" xfId="21953"/>
    <cellStyle name="Heading 1 2 3 8 2 5 4 3" xfId="21954"/>
    <cellStyle name="Heading 1 2 3 8 2 5 5" xfId="21955"/>
    <cellStyle name="Heading 1 2 3 8 2 5 5 2" xfId="21956"/>
    <cellStyle name="Heading 1 2 3 8 2 5 5 2 2" xfId="21957"/>
    <cellStyle name="Heading 1 2 3 8 2 5 5 3" xfId="21958"/>
    <cellStyle name="Heading 1 2 3 8 2 5 6" xfId="21959"/>
    <cellStyle name="Heading 1 2 3 8 2 5 6 2" xfId="21960"/>
    <cellStyle name="Heading 1 2 3 8 2 5 6 2 2" xfId="21961"/>
    <cellStyle name="Heading 1 2 3 8 2 5 6 3" xfId="21962"/>
    <cellStyle name="Heading 1 2 3 8 2 5 7" xfId="21963"/>
    <cellStyle name="Heading 1 2 3 8 2 5 7 2" xfId="21964"/>
    <cellStyle name="Heading 1 2 3 8 2 5 7 2 2" xfId="21965"/>
    <cellStyle name="Heading 1 2 3 8 2 5 7 3" xfId="21966"/>
    <cellStyle name="Heading 1 2 3 8 2 5 8" xfId="21967"/>
    <cellStyle name="Heading 1 2 3 8 2 5 8 2" xfId="21968"/>
    <cellStyle name="Heading 1 2 3 8 2 5 9" xfId="21969"/>
    <cellStyle name="Heading 1 2 3 8 2 6" xfId="21970"/>
    <cellStyle name="Heading 1 2 3 8 2 6 2" xfId="21971"/>
    <cellStyle name="Heading 1 2 3 8 2 6 2 2" xfId="21972"/>
    <cellStyle name="Heading 1 2 3 8 2 6 2 2 2" xfId="21973"/>
    <cellStyle name="Heading 1 2 3 8 2 6 2 3" xfId="21974"/>
    <cellStyle name="Heading 1 2 3 8 2 6 3" xfId="21975"/>
    <cellStyle name="Heading 1 2 3 8 2 6 3 2" xfId="21976"/>
    <cellStyle name="Heading 1 2 3 8 2 6 3 2 2" xfId="21977"/>
    <cellStyle name="Heading 1 2 3 8 2 6 3 3" xfId="21978"/>
    <cellStyle name="Heading 1 2 3 8 2 6 4" xfId="21979"/>
    <cellStyle name="Heading 1 2 3 8 2 6 4 2" xfId="21980"/>
    <cellStyle name="Heading 1 2 3 8 2 6 4 2 2" xfId="21981"/>
    <cellStyle name="Heading 1 2 3 8 2 6 4 3" xfId="21982"/>
    <cellStyle name="Heading 1 2 3 8 2 6 5" xfId="21983"/>
    <cellStyle name="Heading 1 2 3 8 2 6 5 2" xfId="21984"/>
    <cellStyle name="Heading 1 2 3 8 2 6 5 2 2" xfId="21985"/>
    <cellStyle name="Heading 1 2 3 8 2 6 5 3" xfId="21986"/>
    <cellStyle name="Heading 1 2 3 8 2 6 6" xfId="21987"/>
    <cellStyle name="Heading 1 2 3 8 2 6 6 2" xfId="21988"/>
    <cellStyle name="Heading 1 2 3 8 2 6 6 2 2" xfId="21989"/>
    <cellStyle name="Heading 1 2 3 8 2 6 6 3" xfId="21990"/>
    <cellStyle name="Heading 1 2 3 8 2 6 7" xfId="21991"/>
    <cellStyle name="Heading 1 2 3 8 2 6 7 2" xfId="21992"/>
    <cellStyle name="Heading 1 2 3 8 2 6 7 2 2" xfId="21993"/>
    <cellStyle name="Heading 1 2 3 8 2 6 7 3" xfId="21994"/>
    <cellStyle name="Heading 1 2 3 8 2 6 8" xfId="21995"/>
    <cellStyle name="Heading 1 2 3 8 2 6 8 2" xfId="21996"/>
    <cellStyle name="Heading 1 2 3 8 2 6 9" xfId="21997"/>
    <cellStyle name="Heading 1 2 3 8 2 7" xfId="21998"/>
    <cellStyle name="Heading 1 2 3 8 2 7 2" xfId="21999"/>
    <cellStyle name="Heading 1 2 3 8 2 7 2 2" xfId="22000"/>
    <cellStyle name="Heading 1 2 3 8 2 7 2 2 2" xfId="22001"/>
    <cellStyle name="Heading 1 2 3 8 2 7 2 3" xfId="22002"/>
    <cellStyle name="Heading 1 2 3 8 2 7 3" xfId="22003"/>
    <cellStyle name="Heading 1 2 3 8 2 7 3 2" xfId="22004"/>
    <cellStyle name="Heading 1 2 3 8 2 7 3 2 2" xfId="22005"/>
    <cellStyle name="Heading 1 2 3 8 2 7 3 3" xfId="22006"/>
    <cellStyle name="Heading 1 2 3 8 2 7 4" xfId="22007"/>
    <cellStyle name="Heading 1 2 3 8 2 7 4 2" xfId="22008"/>
    <cellStyle name="Heading 1 2 3 8 2 7 4 2 2" xfId="22009"/>
    <cellStyle name="Heading 1 2 3 8 2 7 4 3" xfId="22010"/>
    <cellStyle name="Heading 1 2 3 8 2 7 5" xfId="22011"/>
    <cellStyle name="Heading 1 2 3 8 2 7 5 2" xfId="22012"/>
    <cellStyle name="Heading 1 2 3 8 2 7 5 2 2" xfId="22013"/>
    <cellStyle name="Heading 1 2 3 8 2 7 5 3" xfId="22014"/>
    <cellStyle name="Heading 1 2 3 8 2 7 6" xfId="22015"/>
    <cellStyle name="Heading 1 2 3 8 2 7 6 2" xfId="22016"/>
    <cellStyle name="Heading 1 2 3 8 2 7 6 2 2" xfId="22017"/>
    <cellStyle name="Heading 1 2 3 8 2 7 6 3" xfId="22018"/>
    <cellStyle name="Heading 1 2 3 8 2 7 7" xfId="22019"/>
    <cellStyle name="Heading 1 2 3 8 2 7 7 2" xfId="22020"/>
    <cellStyle name="Heading 1 2 3 8 2 7 7 2 2" xfId="22021"/>
    <cellStyle name="Heading 1 2 3 8 2 7 7 3" xfId="22022"/>
    <cellStyle name="Heading 1 2 3 8 2 7 8" xfId="22023"/>
    <cellStyle name="Heading 1 2 3 8 2 7 8 2" xfId="22024"/>
    <cellStyle name="Heading 1 2 3 8 2 7 9" xfId="22025"/>
    <cellStyle name="Heading 1 2 3 8 2 8" xfId="22026"/>
    <cellStyle name="Heading 1 2 3 8 2 8 2" xfId="22027"/>
    <cellStyle name="Heading 1 2 3 8 2 8 2 2" xfId="22028"/>
    <cellStyle name="Heading 1 2 3 8 2 8 2 2 2" xfId="22029"/>
    <cellStyle name="Heading 1 2 3 8 2 8 2 3" xfId="22030"/>
    <cellStyle name="Heading 1 2 3 8 2 8 3" xfId="22031"/>
    <cellStyle name="Heading 1 2 3 8 2 8 3 2" xfId="22032"/>
    <cellStyle name="Heading 1 2 3 8 2 8 3 2 2" xfId="22033"/>
    <cellStyle name="Heading 1 2 3 8 2 8 3 3" xfId="22034"/>
    <cellStyle name="Heading 1 2 3 8 2 8 4" xfId="22035"/>
    <cellStyle name="Heading 1 2 3 8 2 8 4 2" xfId="22036"/>
    <cellStyle name="Heading 1 2 3 8 2 8 4 2 2" xfId="22037"/>
    <cellStyle name="Heading 1 2 3 8 2 8 4 3" xfId="22038"/>
    <cellStyle name="Heading 1 2 3 8 2 8 5" xfId="22039"/>
    <cellStyle name="Heading 1 2 3 8 2 8 5 2" xfId="22040"/>
    <cellStyle name="Heading 1 2 3 8 2 8 5 2 2" xfId="22041"/>
    <cellStyle name="Heading 1 2 3 8 2 8 5 3" xfId="22042"/>
    <cellStyle name="Heading 1 2 3 8 2 8 6" xfId="22043"/>
    <cellStyle name="Heading 1 2 3 8 2 8 6 2" xfId="22044"/>
    <cellStyle name="Heading 1 2 3 8 2 8 6 2 2" xfId="22045"/>
    <cellStyle name="Heading 1 2 3 8 2 8 6 3" xfId="22046"/>
    <cellStyle name="Heading 1 2 3 8 2 8 7" xfId="22047"/>
    <cellStyle name="Heading 1 2 3 8 2 8 7 2" xfId="22048"/>
    <cellStyle name="Heading 1 2 3 8 2 8 7 2 2" xfId="22049"/>
    <cellStyle name="Heading 1 2 3 8 2 8 7 3" xfId="22050"/>
    <cellStyle name="Heading 1 2 3 8 2 8 8" xfId="22051"/>
    <cellStyle name="Heading 1 2 3 8 2 8 8 2" xfId="22052"/>
    <cellStyle name="Heading 1 2 3 8 2 8 9" xfId="22053"/>
    <cellStyle name="Heading 1 2 3 8 2 9" xfId="22054"/>
    <cellStyle name="Heading 1 2 3 8 2 9 2" xfId="22055"/>
    <cellStyle name="Heading 1 2 3 8 2 9 2 2" xfId="22056"/>
    <cellStyle name="Heading 1 2 3 8 2 9 3" xfId="22057"/>
    <cellStyle name="Heading 1 2 3 8 20" xfId="22058"/>
    <cellStyle name="Heading 1 2 3 8 20 2" xfId="22059"/>
    <cellStyle name="Heading 1 2 3 8 21" xfId="22060"/>
    <cellStyle name="Heading 1 2 3 8 21 2" xfId="22061"/>
    <cellStyle name="Heading 1 2 3 8 22" xfId="22062"/>
    <cellStyle name="Heading 1 2 3 8 22 2" xfId="22063"/>
    <cellStyle name="Heading 1 2 3 8 23" xfId="22064"/>
    <cellStyle name="Heading 1 2 3 8 3" xfId="22065"/>
    <cellStyle name="Heading 1 2 3 8 3 2" xfId="22066"/>
    <cellStyle name="Heading 1 2 3 8 3 2 2" xfId="22067"/>
    <cellStyle name="Heading 1 2 3 8 3 2 2 2" xfId="22068"/>
    <cellStyle name="Heading 1 2 3 8 3 2 3" xfId="22069"/>
    <cellStyle name="Heading 1 2 3 8 3 3" xfId="22070"/>
    <cellStyle name="Heading 1 2 3 8 3 3 2" xfId="22071"/>
    <cellStyle name="Heading 1 2 3 8 3 3 2 2" xfId="22072"/>
    <cellStyle name="Heading 1 2 3 8 3 3 3" xfId="22073"/>
    <cellStyle name="Heading 1 2 3 8 3 4" xfId="22074"/>
    <cellStyle name="Heading 1 2 3 8 3 4 2" xfId="22075"/>
    <cellStyle name="Heading 1 2 3 8 3 4 2 2" xfId="22076"/>
    <cellStyle name="Heading 1 2 3 8 3 4 3" xfId="22077"/>
    <cellStyle name="Heading 1 2 3 8 3 5" xfId="22078"/>
    <cellStyle name="Heading 1 2 3 8 3 5 2" xfId="22079"/>
    <cellStyle name="Heading 1 2 3 8 3 5 2 2" xfId="22080"/>
    <cellStyle name="Heading 1 2 3 8 3 5 3" xfId="22081"/>
    <cellStyle name="Heading 1 2 3 8 3 6" xfId="22082"/>
    <cellStyle name="Heading 1 2 3 8 3 6 2" xfId="22083"/>
    <cellStyle name="Heading 1 2 3 8 3 6 2 2" xfId="22084"/>
    <cellStyle name="Heading 1 2 3 8 3 6 3" xfId="22085"/>
    <cellStyle name="Heading 1 2 3 8 3 7" xfId="22086"/>
    <cellStyle name="Heading 1 2 3 8 3 7 2" xfId="22087"/>
    <cellStyle name="Heading 1 2 3 8 3 7 2 2" xfId="22088"/>
    <cellStyle name="Heading 1 2 3 8 3 7 3" xfId="22089"/>
    <cellStyle name="Heading 1 2 3 8 3 8" xfId="22090"/>
    <cellStyle name="Heading 1 2 3 8 3 8 2" xfId="22091"/>
    <cellStyle name="Heading 1 2 3 8 3 9" xfId="22092"/>
    <cellStyle name="Heading 1 2 3 8 4" xfId="22093"/>
    <cellStyle name="Heading 1 2 3 8 4 2" xfId="22094"/>
    <cellStyle name="Heading 1 2 3 8 4 2 2" xfId="22095"/>
    <cellStyle name="Heading 1 2 3 8 4 2 2 2" xfId="22096"/>
    <cellStyle name="Heading 1 2 3 8 4 2 3" xfId="22097"/>
    <cellStyle name="Heading 1 2 3 8 4 3" xfId="22098"/>
    <cellStyle name="Heading 1 2 3 8 4 3 2" xfId="22099"/>
    <cellStyle name="Heading 1 2 3 8 4 3 2 2" xfId="22100"/>
    <cellStyle name="Heading 1 2 3 8 4 3 3" xfId="22101"/>
    <cellStyle name="Heading 1 2 3 8 4 4" xfId="22102"/>
    <cellStyle name="Heading 1 2 3 8 4 4 2" xfId="22103"/>
    <cellStyle name="Heading 1 2 3 8 4 4 2 2" xfId="22104"/>
    <cellStyle name="Heading 1 2 3 8 4 4 3" xfId="22105"/>
    <cellStyle name="Heading 1 2 3 8 4 5" xfId="22106"/>
    <cellStyle name="Heading 1 2 3 8 4 5 2" xfId="22107"/>
    <cellStyle name="Heading 1 2 3 8 4 5 2 2" xfId="22108"/>
    <cellStyle name="Heading 1 2 3 8 4 5 3" xfId="22109"/>
    <cellStyle name="Heading 1 2 3 8 4 6" xfId="22110"/>
    <cellStyle name="Heading 1 2 3 8 4 6 2" xfId="22111"/>
    <cellStyle name="Heading 1 2 3 8 4 6 2 2" xfId="22112"/>
    <cellStyle name="Heading 1 2 3 8 4 6 3" xfId="22113"/>
    <cellStyle name="Heading 1 2 3 8 4 7" xfId="22114"/>
    <cellStyle name="Heading 1 2 3 8 4 7 2" xfId="22115"/>
    <cellStyle name="Heading 1 2 3 8 4 7 2 2" xfId="22116"/>
    <cellStyle name="Heading 1 2 3 8 4 7 3" xfId="22117"/>
    <cellStyle name="Heading 1 2 3 8 4 8" xfId="22118"/>
    <cellStyle name="Heading 1 2 3 8 4 8 2" xfId="22119"/>
    <cellStyle name="Heading 1 2 3 8 4 9" xfId="22120"/>
    <cellStyle name="Heading 1 2 3 8 5" xfId="22121"/>
    <cellStyle name="Heading 1 2 3 8 5 2" xfId="22122"/>
    <cellStyle name="Heading 1 2 3 8 5 2 2" xfId="22123"/>
    <cellStyle name="Heading 1 2 3 8 5 2 2 2" xfId="22124"/>
    <cellStyle name="Heading 1 2 3 8 5 2 3" xfId="22125"/>
    <cellStyle name="Heading 1 2 3 8 5 3" xfId="22126"/>
    <cellStyle name="Heading 1 2 3 8 5 3 2" xfId="22127"/>
    <cellStyle name="Heading 1 2 3 8 5 3 2 2" xfId="22128"/>
    <cellStyle name="Heading 1 2 3 8 5 3 3" xfId="22129"/>
    <cellStyle name="Heading 1 2 3 8 5 4" xfId="22130"/>
    <cellStyle name="Heading 1 2 3 8 5 4 2" xfId="22131"/>
    <cellStyle name="Heading 1 2 3 8 5 4 2 2" xfId="22132"/>
    <cellStyle name="Heading 1 2 3 8 5 4 3" xfId="22133"/>
    <cellStyle name="Heading 1 2 3 8 5 5" xfId="22134"/>
    <cellStyle name="Heading 1 2 3 8 5 5 2" xfId="22135"/>
    <cellStyle name="Heading 1 2 3 8 5 5 2 2" xfId="22136"/>
    <cellStyle name="Heading 1 2 3 8 5 5 3" xfId="22137"/>
    <cellStyle name="Heading 1 2 3 8 5 6" xfId="22138"/>
    <cellStyle name="Heading 1 2 3 8 5 6 2" xfId="22139"/>
    <cellStyle name="Heading 1 2 3 8 5 6 2 2" xfId="22140"/>
    <cellStyle name="Heading 1 2 3 8 5 6 3" xfId="22141"/>
    <cellStyle name="Heading 1 2 3 8 5 7" xfId="22142"/>
    <cellStyle name="Heading 1 2 3 8 5 7 2" xfId="22143"/>
    <cellStyle name="Heading 1 2 3 8 5 7 2 2" xfId="22144"/>
    <cellStyle name="Heading 1 2 3 8 5 7 3" xfId="22145"/>
    <cellStyle name="Heading 1 2 3 8 5 8" xfId="22146"/>
    <cellStyle name="Heading 1 2 3 8 5 8 2" xfId="22147"/>
    <cellStyle name="Heading 1 2 3 8 5 9" xfId="22148"/>
    <cellStyle name="Heading 1 2 3 8 6" xfId="22149"/>
    <cellStyle name="Heading 1 2 3 8 6 2" xfId="22150"/>
    <cellStyle name="Heading 1 2 3 8 6 2 2" xfId="22151"/>
    <cellStyle name="Heading 1 2 3 8 6 2 2 2" xfId="22152"/>
    <cellStyle name="Heading 1 2 3 8 6 2 3" xfId="22153"/>
    <cellStyle name="Heading 1 2 3 8 6 3" xfId="22154"/>
    <cellStyle name="Heading 1 2 3 8 6 3 2" xfId="22155"/>
    <cellStyle name="Heading 1 2 3 8 6 3 2 2" xfId="22156"/>
    <cellStyle name="Heading 1 2 3 8 6 3 3" xfId="22157"/>
    <cellStyle name="Heading 1 2 3 8 6 4" xfId="22158"/>
    <cellStyle name="Heading 1 2 3 8 6 4 2" xfId="22159"/>
    <cellStyle name="Heading 1 2 3 8 6 4 2 2" xfId="22160"/>
    <cellStyle name="Heading 1 2 3 8 6 4 3" xfId="22161"/>
    <cellStyle name="Heading 1 2 3 8 6 5" xfId="22162"/>
    <cellStyle name="Heading 1 2 3 8 6 5 2" xfId="22163"/>
    <cellStyle name="Heading 1 2 3 8 6 5 2 2" xfId="22164"/>
    <cellStyle name="Heading 1 2 3 8 6 5 3" xfId="22165"/>
    <cellStyle name="Heading 1 2 3 8 6 6" xfId="22166"/>
    <cellStyle name="Heading 1 2 3 8 6 6 2" xfId="22167"/>
    <cellStyle name="Heading 1 2 3 8 6 6 2 2" xfId="22168"/>
    <cellStyle name="Heading 1 2 3 8 6 6 3" xfId="22169"/>
    <cellStyle name="Heading 1 2 3 8 6 7" xfId="22170"/>
    <cellStyle name="Heading 1 2 3 8 6 7 2" xfId="22171"/>
    <cellStyle name="Heading 1 2 3 8 6 7 2 2" xfId="22172"/>
    <cellStyle name="Heading 1 2 3 8 6 7 3" xfId="22173"/>
    <cellStyle name="Heading 1 2 3 8 6 8" xfId="22174"/>
    <cellStyle name="Heading 1 2 3 8 6 8 2" xfId="22175"/>
    <cellStyle name="Heading 1 2 3 8 6 9" xfId="22176"/>
    <cellStyle name="Heading 1 2 3 8 7" xfId="22177"/>
    <cellStyle name="Heading 1 2 3 8 7 2" xfId="22178"/>
    <cellStyle name="Heading 1 2 3 8 7 2 2" xfId="22179"/>
    <cellStyle name="Heading 1 2 3 8 7 2 2 2" xfId="22180"/>
    <cellStyle name="Heading 1 2 3 8 7 2 3" xfId="22181"/>
    <cellStyle name="Heading 1 2 3 8 7 3" xfId="22182"/>
    <cellStyle name="Heading 1 2 3 8 7 3 2" xfId="22183"/>
    <cellStyle name="Heading 1 2 3 8 7 3 2 2" xfId="22184"/>
    <cellStyle name="Heading 1 2 3 8 7 3 3" xfId="22185"/>
    <cellStyle name="Heading 1 2 3 8 7 4" xfId="22186"/>
    <cellStyle name="Heading 1 2 3 8 7 4 2" xfId="22187"/>
    <cellStyle name="Heading 1 2 3 8 7 4 2 2" xfId="22188"/>
    <cellStyle name="Heading 1 2 3 8 7 4 3" xfId="22189"/>
    <cellStyle name="Heading 1 2 3 8 7 5" xfId="22190"/>
    <cellStyle name="Heading 1 2 3 8 7 5 2" xfId="22191"/>
    <cellStyle name="Heading 1 2 3 8 7 5 2 2" xfId="22192"/>
    <cellStyle name="Heading 1 2 3 8 7 5 3" xfId="22193"/>
    <cellStyle name="Heading 1 2 3 8 7 6" xfId="22194"/>
    <cellStyle name="Heading 1 2 3 8 7 6 2" xfId="22195"/>
    <cellStyle name="Heading 1 2 3 8 7 6 2 2" xfId="22196"/>
    <cellStyle name="Heading 1 2 3 8 7 6 3" xfId="22197"/>
    <cellStyle name="Heading 1 2 3 8 7 7" xfId="22198"/>
    <cellStyle name="Heading 1 2 3 8 7 7 2" xfId="22199"/>
    <cellStyle name="Heading 1 2 3 8 7 7 2 2" xfId="22200"/>
    <cellStyle name="Heading 1 2 3 8 7 7 3" xfId="22201"/>
    <cellStyle name="Heading 1 2 3 8 7 8" xfId="22202"/>
    <cellStyle name="Heading 1 2 3 8 7 8 2" xfId="22203"/>
    <cellStyle name="Heading 1 2 3 8 7 9" xfId="22204"/>
    <cellStyle name="Heading 1 2 3 8 8" xfId="22205"/>
    <cellStyle name="Heading 1 2 3 8 8 2" xfId="22206"/>
    <cellStyle name="Heading 1 2 3 8 8 2 2" xfId="22207"/>
    <cellStyle name="Heading 1 2 3 8 8 2 2 2" xfId="22208"/>
    <cellStyle name="Heading 1 2 3 8 8 2 3" xfId="22209"/>
    <cellStyle name="Heading 1 2 3 8 8 3" xfId="22210"/>
    <cellStyle name="Heading 1 2 3 8 8 3 2" xfId="22211"/>
    <cellStyle name="Heading 1 2 3 8 8 3 2 2" xfId="22212"/>
    <cellStyle name="Heading 1 2 3 8 8 3 3" xfId="22213"/>
    <cellStyle name="Heading 1 2 3 8 8 4" xfId="22214"/>
    <cellStyle name="Heading 1 2 3 8 8 4 2" xfId="22215"/>
    <cellStyle name="Heading 1 2 3 8 8 4 2 2" xfId="22216"/>
    <cellStyle name="Heading 1 2 3 8 8 4 3" xfId="22217"/>
    <cellStyle name="Heading 1 2 3 8 8 5" xfId="22218"/>
    <cellStyle name="Heading 1 2 3 8 8 5 2" xfId="22219"/>
    <cellStyle name="Heading 1 2 3 8 8 5 2 2" xfId="22220"/>
    <cellStyle name="Heading 1 2 3 8 8 5 3" xfId="22221"/>
    <cellStyle name="Heading 1 2 3 8 8 6" xfId="22222"/>
    <cellStyle name="Heading 1 2 3 8 8 6 2" xfId="22223"/>
    <cellStyle name="Heading 1 2 3 8 8 6 2 2" xfId="22224"/>
    <cellStyle name="Heading 1 2 3 8 8 6 3" xfId="22225"/>
    <cellStyle name="Heading 1 2 3 8 8 7" xfId="22226"/>
    <cellStyle name="Heading 1 2 3 8 8 7 2" xfId="22227"/>
    <cellStyle name="Heading 1 2 3 8 8 7 2 2" xfId="22228"/>
    <cellStyle name="Heading 1 2 3 8 8 7 3" xfId="22229"/>
    <cellStyle name="Heading 1 2 3 8 8 8" xfId="22230"/>
    <cellStyle name="Heading 1 2 3 8 8 8 2" xfId="22231"/>
    <cellStyle name="Heading 1 2 3 8 8 9" xfId="22232"/>
    <cellStyle name="Heading 1 2 3 8 9" xfId="22233"/>
    <cellStyle name="Heading 1 2 3 8 9 2" xfId="22234"/>
    <cellStyle name="Heading 1 2 3 8 9 2 2" xfId="22235"/>
    <cellStyle name="Heading 1 2 3 8 9 2 2 2" xfId="22236"/>
    <cellStyle name="Heading 1 2 3 8 9 2 3" xfId="22237"/>
    <cellStyle name="Heading 1 2 3 8 9 3" xfId="22238"/>
    <cellStyle name="Heading 1 2 3 8 9 3 2" xfId="22239"/>
    <cellStyle name="Heading 1 2 3 8 9 3 2 2" xfId="22240"/>
    <cellStyle name="Heading 1 2 3 8 9 3 3" xfId="22241"/>
    <cellStyle name="Heading 1 2 3 8 9 4" xfId="22242"/>
    <cellStyle name="Heading 1 2 3 8 9 4 2" xfId="22243"/>
    <cellStyle name="Heading 1 2 3 8 9 4 2 2" xfId="22244"/>
    <cellStyle name="Heading 1 2 3 8 9 4 3" xfId="22245"/>
    <cellStyle name="Heading 1 2 3 8 9 5" xfId="22246"/>
    <cellStyle name="Heading 1 2 3 8 9 5 2" xfId="22247"/>
    <cellStyle name="Heading 1 2 3 8 9 5 2 2" xfId="22248"/>
    <cellStyle name="Heading 1 2 3 8 9 5 3" xfId="22249"/>
    <cellStyle name="Heading 1 2 3 8 9 6" xfId="22250"/>
    <cellStyle name="Heading 1 2 3 8 9 6 2" xfId="22251"/>
    <cellStyle name="Heading 1 2 3 8 9 6 2 2" xfId="22252"/>
    <cellStyle name="Heading 1 2 3 8 9 6 3" xfId="22253"/>
    <cellStyle name="Heading 1 2 3 8 9 7" xfId="22254"/>
    <cellStyle name="Heading 1 2 3 8 9 7 2" xfId="22255"/>
    <cellStyle name="Heading 1 2 3 8 9 7 2 2" xfId="22256"/>
    <cellStyle name="Heading 1 2 3 8 9 7 3" xfId="22257"/>
    <cellStyle name="Heading 1 2 3 8 9 8" xfId="22258"/>
    <cellStyle name="Heading 1 2 3 8 9 8 2" xfId="22259"/>
    <cellStyle name="Heading 1 2 3 8 9 9" xfId="22260"/>
    <cellStyle name="Heading 1 2 3 9" xfId="22261"/>
    <cellStyle name="Heading 1 2 3 9 2" xfId="22262"/>
    <cellStyle name="Heading 1 2 3 9 2 2" xfId="22263"/>
    <cellStyle name="Heading 1 2 3 9 3" xfId="22264"/>
    <cellStyle name="Heading 1 2 3 9 3 2" xfId="22265"/>
    <cellStyle name="Heading 1 2 3 9 4" xfId="22266"/>
    <cellStyle name="Heading 1 2 3 9 4 2" xfId="22267"/>
    <cellStyle name="Heading 1 2 3 9 5" xfId="22268"/>
    <cellStyle name="Heading 1 2 4" xfId="22269"/>
    <cellStyle name="Heading 1 2 4 2" xfId="22270"/>
    <cellStyle name="Heading 1 2 4 3" xfId="22271"/>
    <cellStyle name="Heading 1 2 4 3 10" xfId="22272"/>
    <cellStyle name="Heading 1 2 4 3 10 2" xfId="22273"/>
    <cellStyle name="Heading 1 2 4 3 10 2 2" xfId="22274"/>
    <cellStyle name="Heading 1 2 4 3 10 3" xfId="22275"/>
    <cellStyle name="Heading 1 2 4 3 11" xfId="22276"/>
    <cellStyle name="Heading 1 2 4 3 11 2" xfId="22277"/>
    <cellStyle name="Heading 1 2 4 3 11 2 2" xfId="22278"/>
    <cellStyle name="Heading 1 2 4 3 11 3" xfId="22279"/>
    <cellStyle name="Heading 1 2 4 3 12" xfId="22280"/>
    <cellStyle name="Heading 1 2 4 3 12 2" xfId="22281"/>
    <cellStyle name="Heading 1 2 4 3 12 2 2" xfId="22282"/>
    <cellStyle name="Heading 1 2 4 3 12 3" xfId="22283"/>
    <cellStyle name="Heading 1 2 4 3 13" xfId="22284"/>
    <cellStyle name="Heading 1 2 4 3 13 2" xfId="22285"/>
    <cellStyle name="Heading 1 2 4 3 13 2 2" xfId="22286"/>
    <cellStyle name="Heading 1 2 4 3 13 3" xfId="22287"/>
    <cellStyle name="Heading 1 2 4 3 14" xfId="22288"/>
    <cellStyle name="Heading 1 2 4 3 14 2" xfId="22289"/>
    <cellStyle name="Heading 1 2 4 3 14 2 2" xfId="22290"/>
    <cellStyle name="Heading 1 2 4 3 14 3" xfId="22291"/>
    <cellStyle name="Heading 1 2 4 3 15" xfId="22292"/>
    <cellStyle name="Heading 1 2 4 3 15 2" xfId="22293"/>
    <cellStyle name="Heading 1 2 4 3 15 2 2" xfId="22294"/>
    <cellStyle name="Heading 1 2 4 3 15 3" xfId="22295"/>
    <cellStyle name="Heading 1 2 4 3 16" xfId="22296"/>
    <cellStyle name="Heading 1 2 4 3 16 2" xfId="22297"/>
    <cellStyle name="Heading 1 2 4 3 16 2 2" xfId="22298"/>
    <cellStyle name="Heading 1 2 4 3 16 3" xfId="22299"/>
    <cellStyle name="Heading 1 2 4 3 17" xfId="22300"/>
    <cellStyle name="Heading 1 2 4 3 17 2" xfId="22301"/>
    <cellStyle name="Heading 1 2 4 3 17 2 2" xfId="22302"/>
    <cellStyle name="Heading 1 2 4 3 17 3" xfId="22303"/>
    <cellStyle name="Heading 1 2 4 3 18" xfId="22304"/>
    <cellStyle name="Heading 1 2 4 3 18 2" xfId="22305"/>
    <cellStyle name="Heading 1 2 4 3 18 2 2" xfId="22306"/>
    <cellStyle name="Heading 1 2 4 3 18 3" xfId="22307"/>
    <cellStyle name="Heading 1 2 4 3 19" xfId="22308"/>
    <cellStyle name="Heading 1 2 4 3 19 2" xfId="22309"/>
    <cellStyle name="Heading 1 2 4 3 19 2 2" xfId="22310"/>
    <cellStyle name="Heading 1 2 4 3 19 3" xfId="22311"/>
    <cellStyle name="Heading 1 2 4 3 2" xfId="22312"/>
    <cellStyle name="Heading 1 2 4 3 2 10" xfId="22313"/>
    <cellStyle name="Heading 1 2 4 3 2 10 2" xfId="22314"/>
    <cellStyle name="Heading 1 2 4 3 2 10 2 2" xfId="22315"/>
    <cellStyle name="Heading 1 2 4 3 2 10 3" xfId="22316"/>
    <cellStyle name="Heading 1 2 4 3 2 11" xfId="22317"/>
    <cellStyle name="Heading 1 2 4 3 2 11 2" xfId="22318"/>
    <cellStyle name="Heading 1 2 4 3 2 11 2 2" xfId="22319"/>
    <cellStyle name="Heading 1 2 4 3 2 11 3" xfId="22320"/>
    <cellStyle name="Heading 1 2 4 3 2 12" xfId="22321"/>
    <cellStyle name="Heading 1 2 4 3 2 12 2" xfId="22322"/>
    <cellStyle name="Heading 1 2 4 3 2 12 2 2" xfId="22323"/>
    <cellStyle name="Heading 1 2 4 3 2 12 3" xfId="22324"/>
    <cellStyle name="Heading 1 2 4 3 2 13" xfId="22325"/>
    <cellStyle name="Heading 1 2 4 3 2 13 2" xfId="22326"/>
    <cellStyle name="Heading 1 2 4 3 2 13 2 2" xfId="22327"/>
    <cellStyle name="Heading 1 2 4 3 2 13 3" xfId="22328"/>
    <cellStyle name="Heading 1 2 4 3 2 14" xfId="22329"/>
    <cellStyle name="Heading 1 2 4 3 2 14 2" xfId="22330"/>
    <cellStyle name="Heading 1 2 4 3 2 14 2 2" xfId="22331"/>
    <cellStyle name="Heading 1 2 4 3 2 14 3" xfId="22332"/>
    <cellStyle name="Heading 1 2 4 3 2 15" xfId="22333"/>
    <cellStyle name="Heading 1 2 4 3 2 15 2" xfId="22334"/>
    <cellStyle name="Heading 1 2 4 3 2 15 2 2" xfId="22335"/>
    <cellStyle name="Heading 1 2 4 3 2 15 3" xfId="22336"/>
    <cellStyle name="Heading 1 2 4 3 2 16" xfId="22337"/>
    <cellStyle name="Heading 1 2 4 3 2 16 2" xfId="22338"/>
    <cellStyle name="Heading 1 2 4 3 2 16 2 2" xfId="22339"/>
    <cellStyle name="Heading 1 2 4 3 2 16 3" xfId="22340"/>
    <cellStyle name="Heading 1 2 4 3 2 17" xfId="22341"/>
    <cellStyle name="Heading 1 2 4 3 2 17 2" xfId="22342"/>
    <cellStyle name="Heading 1 2 4 3 2 17 2 2" xfId="22343"/>
    <cellStyle name="Heading 1 2 4 3 2 17 3" xfId="22344"/>
    <cellStyle name="Heading 1 2 4 3 2 18" xfId="22345"/>
    <cellStyle name="Heading 1 2 4 3 2 18 2" xfId="22346"/>
    <cellStyle name="Heading 1 2 4 3 2 18 2 2" xfId="22347"/>
    <cellStyle name="Heading 1 2 4 3 2 18 3" xfId="22348"/>
    <cellStyle name="Heading 1 2 4 3 2 19" xfId="22349"/>
    <cellStyle name="Heading 1 2 4 3 2 19 2" xfId="22350"/>
    <cellStyle name="Heading 1 2 4 3 2 2" xfId="22351"/>
    <cellStyle name="Heading 1 2 4 3 2 2 2" xfId="22352"/>
    <cellStyle name="Heading 1 2 4 3 2 2 2 2" xfId="22353"/>
    <cellStyle name="Heading 1 2 4 3 2 2 2 2 2" xfId="22354"/>
    <cellStyle name="Heading 1 2 4 3 2 2 2 3" xfId="22355"/>
    <cellStyle name="Heading 1 2 4 3 2 2 3" xfId="22356"/>
    <cellStyle name="Heading 1 2 4 3 2 2 3 2" xfId="22357"/>
    <cellStyle name="Heading 1 2 4 3 2 2 3 2 2" xfId="22358"/>
    <cellStyle name="Heading 1 2 4 3 2 2 3 3" xfId="22359"/>
    <cellStyle name="Heading 1 2 4 3 2 2 4" xfId="22360"/>
    <cellStyle name="Heading 1 2 4 3 2 2 4 2" xfId="22361"/>
    <cellStyle name="Heading 1 2 4 3 2 2 4 2 2" xfId="22362"/>
    <cellStyle name="Heading 1 2 4 3 2 2 4 3" xfId="22363"/>
    <cellStyle name="Heading 1 2 4 3 2 2 5" xfId="22364"/>
    <cellStyle name="Heading 1 2 4 3 2 2 5 2" xfId="22365"/>
    <cellStyle name="Heading 1 2 4 3 2 2 5 2 2" xfId="22366"/>
    <cellStyle name="Heading 1 2 4 3 2 2 5 3" xfId="22367"/>
    <cellStyle name="Heading 1 2 4 3 2 2 6" xfId="22368"/>
    <cellStyle name="Heading 1 2 4 3 2 2 6 2" xfId="22369"/>
    <cellStyle name="Heading 1 2 4 3 2 2 6 2 2" xfId="22370"/>
    <cellStyle name="Heading 1 2 4 3 2 2 6 3" xfId="22371"/>
    <cellStyle name="Heading 1 2 4 3 2 2 7" xfId="22372"/>
    <cellStyle name="Heading 1 2 4 3 2 2 7 2" xfId="22373"/>
    <cellStyle name="Heading 1 2 4 3 2 2 7 2 2" xfId="22374"/>
    <cellStyle name="Heading 1 2 4 3 2 2 7 3" xfId="22375"/>
    <cellStyle name="Heading 1 2 4 3 2 2 8" xfId="22376"/>
    <cellStyle name="Heading 1 2 4 3 2 2 8 2" xfId="22377"/>
    <cellStyle name="Heading 1 2 4 3 2 2 9" xfId="22378"/>
    <cellStyle name="Heading 1 2 4 3 2 20" xfId="22379"/>
    <cellStyle name="Heading 1 2 4 3 2 20 2" xfId="22380"/>
    <cellStyle name="Heading 1 2 4 3 2 21" xfId="22381"/>
    <cellStyle name="Heading 1 2 4 3 2 21 2" xfId="22382"/>
    <cellStyle name="Heading 1 2 4 3 2 22" xfId="22383"/>
    <cellStyle name="Heading 1 2 4 3 2 3" xfId="22384"/>
    <cellStyle name="Heading 1 2 4 3 2 3 2" xfId="22385"/>
    <cellStyle name="Heading 1 2 4 3 2 3 2 2" xfId="22386"/>
    <cellStyle name="Heading 1 2 4 3 2 3 2 2 2" xfId="22387"/>
    <cellStyle name="Heading 1 2 4 3 2 3 2 3" xfId="22388"/>
    <cellStyle name="Heading 1 2 4 3 2 3 3" xfId="22389"/>
    <cellStyle name="Heading 1 2 4 3 2 3 3 2" xfId="22390"/>
    <cellStyle name="Heading 1 2 4 3 2 3 3 2 2" xfId="22391"/>
    <cellStyle name="Heading 1 2 4 3 2 3 3 3" xfId="22392"/>
    <cellStyle name="Heading 1 2 4 3 2 3 4" xfId="22393"/>
    <cellStyle name="Heading 1 2 4 3 2 3 4 2" xfId="22394"/>
    <cellStyle name="Heading 1 2 4 3 2 3 4 2 2" xfId="22395"/>
    <cellStyle name="Heading 1 2 4 3 2 3 4 3" xfId="22396"/>
    <cellStyle name="Heading 1 2 4 3 2 3 5" xfId="22397"/>
    <cellStyle name="Heading 1 2 4 3 2 3 5 2" xfId="22398"/>
    <cellStyle name="Heading 1 2 4 3 2 3 5 2 2" xfId="22399"/>
    <cellStyle name="Heading 1 2 4 3 2 3 5 3" xfId="22400"/>
    <cellStyle name="Heading 1 2 4 3 2 3 6" xfId="22401"/>
    <cellStyle name="Heading 1 2 4 3 2 3 6 2" xfId="22402"/>
    <cellStyle name="Heading 1 2 4 3 2 3 6 2 2" xfId="22403"/>
    <cellStyle name="Heading 1 2 4 3 2 3 6 3" xfId="22404"/>
    <cellStyle name="Heading 1 2 4 3 2 3 7" xfId="22405"/>
    <cellStyle name="Heading 1 2 4 3 2 3 7 2" xfId="22406"/>
    <cellStyle name="Heading 1 2 4 3 2 3 7 2 2" xfId="22407"/>
    <cellStyle name="Heading 1 2 4 3 2 3 7 3" xfId="22408"/>
    <cellStyle name="Heading 1 2 4 3 2 3 8" xfId="22409"/>
    <cellStyle name="Heading 1 2 4 3 2 3 8 2" xfId="22410"/>
    <cellStyle name="Heading 1 2 4 3 2 3 9" xfId="22411"/>
    <cellStyle name="Heading 1 2 4 3 2 4" xfId="22412"/>
    <cellStyle name="Heading 1 2 4 3 2 4 2" xfId="22413"/>
    <cellStyle name="Heading 1 2 4 3 2 4 2 2" xfId="22414"/>
    <cellStyle name="Heading 1 2 4 3 2 4 2 2 2" xfId="22415"/>
    <cellStyle name="Heading 1 2 4 3 2 4 2 3" xfId="22416"/>
    <cellStyle name="Heading 1 2 4 3 2 4 3" xfId="22417"/>
    <cellStyle name="Heading 1 2 4 3 2 4 3 2" xfId="22418"/>
    <cellStyle name="Heading 1 2 4 3 2 4 3 2 2" xfId="22419"/>
    <cellStyle name="Heading 1 2 4 3 2 4 3 3" xfId="22420"/>
    <cellStyle name="Heading 1 2 4 3 2 4 4" xfId="22421"/>
    <cellStyle name="Heading 1 2 4 3 2 4 4 2" xfId="22422"/>
    <cellStyle name="Heading 1 2 4 3 2 4 4 2 2" xfId="22423"/>
    <cellStyle name="Heading 1 2 4 3 2 4 4 3" xfId="22424"/>
    <cellStyle name="Heading 1 2 4 3 2 4 5" xfId="22425"/>
    <cellStyle name="Heading 1 2 4 3 2 4 5 2" xfId="22426"/>
    <cellStyle name="Heading 1 2 4 3 2 4 5 2 2" xfId="22427"/>
    <cellStyle name="Heading 1 2 4 3 2 4 5 3" xfId="22428"/>
    <cellStyle name="Heading 1 2 4 3 2 4 6" xfId="22429"/>
    <cellStyle name="Heading 1 2 4 3 2 4 6 2" xfId="22430"/>
    <cellStyle name="Heading 1 2 4 3 2 4 6 2 2" xfId="22431"/>
    <cellStyle name="Heading 1 2 4 3 2 4 6 3" xfId="22432"/>
    <cellStyle name="Heading 1 2 4 3 2 4 7" xfId="22433"/>
    <cellStyle name="Heading 1 2 4 3 2 4 7 2" xfId="22434"/>
    <cellStyle name="Heading 1 2 4 3 2 4 7 2 2" xfId="22435"/>
    <cellStyle name="Heading 1 2 4 3 2 4 7 3" xfId="22436"/>
    <cellStyle name="Heading 1 2 4 3 2 4 8" xfId="22437"/>
    <cellStyle name="Heading 1 2 4 3 2 4 8 2" xfId="22438"/>
    <cellStyle name="Heading 1 2 4 3 2 4 9" xfId="22439"/>
    <cellStyle name="Heading 1 2 4 3 2 5" xfId="22440"/>
    <cellStyle name="Heading 1 2 4 3 2 5 2" xfId="22441"/>
    <cellStyle name="Heading 1 2 4 3 2 5 2 2" xfId="22442"/>
    <cellStyle name="Heading 1 2 4 3 2 5 2 2 2" xfId="22443"/>
    <cellStyle name="Heading 1 2 4 3 2 5 2 3" xfId="22444"/>
    <cellStyle name="Heading 1 2 4 3 2 5 3" xfId="22445"/>
    <cellStyle name="Heading 1 2 4 3 2 5 3 2" xfId="22446"/>
    <cellStyle name="Heading 1 2 4 3 2 5 3 2 2" xfId="22447"/>
    <cellStyle name="Heading 1 2 4 3 2 5 3 3" xfId="22448"/>
    <cellStyle name="Heading 1 2 4 3 2 5 4" xfId="22449"/>
    <cellStyle name="Heading 1 2 4 3 2 5 4 2" xfId="22450"/>
    <cellStyle name="Heading 1 2 4 3 2 5 4 2 2" xfId="22451"/>
    <cellStyle name="Heading 1 2 4 3 2 5 4 3" xfId="22452"/>
    <cellStyle name="Heading 1 2 4 3 2 5 5" xfId="22453"/>
    <cellStyle name="Heading 1 2 4 3 2 5 5 2" xfId="22454"/>
    <cellStyle name="Heading 1 2 4 3 2 5 5 2 2" xfId="22455"/>
    <cellStyle name="Heading 1 2 4 3 2 5 5 3" xfId="22456"/>
    <cellStyle name="Heading 1 2 4 3 2 5 6" xfId="22457"/>
    <cellStyle name="Heading 1 2 4 3 2 5 6 2" xfId="22458"/>
    <cellStyle name="Heading 1 2 4 3 2 5 6 2 2" xfId="22459"/>
    <cellStyle name="Heading 1 2 4 3 2 5 6 3" xfId="22460"/>
    <cellStyle name="Heading 1 2 4 3 2 5 7" xfId="22461"/>
    <cellStyle name="Heading 1 2 4 3 2 5 7 2" xfId="22462"/>
    <cellStyle name="Heading 1 2 4 3 2 5 7 2 2" xfId="22463"/>
    <cellStyle name="Heading 1 2 4 3 2 5 7 3" xfId="22464"/>
    <cellStyle name="Heading 1 2 4 3 2 5 8" xfId="22465"/>
    <cellStyle name="Heading 1 2 4 3 2 5 8 2" xfId="22466"/>
    <cellStyle name="Heading 1 2 4 3 2 5 9" xfId="22467"/>
    <cellStyle name="Heading 1 2 4 3 2 6" xfId="22468"/>
    <cellStyle name="Heading 1 2 4 3 2 6 2" xfId="22469"/>
    <cellStyle name="Heading 1 2 4 3 2 6 2 2" xfId="22470"/>
    <cellStyle name="Heading 1 2 4 3 2 6 2 2 2" xfId="22471"/>
    <cellStyle name="Heading 1 2 4 3 2 6 2 3" xfId="22472"/>
    <cellStyle name="Heading 1 2 4 3 2 6 3" xfId="22473"/>
    <cellStyle name="Heading 1 2 4 3 2 6 3 2" xfId="22474"/>
    <cellStyle name="Heading 1 2 4 3 2 6 3 2 2" xfId="22475"/>
    <cellStyle name="Heading 1 2 4 3 2 6 3 3" xfId="22476"/>
    <cellStyle name="Heading 1 2 4 3 2 6 4" xfId="22477"/>
    <cellStyle name="Heading 1 2 4 3 2 6 4 2" xfId="22478"/>
    <cellStyle name="Heading 1 2 4 3 2 6 4 2 2" xfId="22479"/>
    <cellStyle name="Heading 1 2 4 3 2 6 4 3" xfId="22480"/>
    <cellStyle name="Heading 1 2 4 3 2 6 5" xfId="22481"/>
    <cellStyle name="Heading 1 2 4 3 2 6 5 2" xfId="22482"/>
    <cellStyle name="Heading 1 2 4 3 2 6 5 2 2" xfId="22483"/>
    <cellStyle name="Heading 1 2 4 3 2 6 5 3" xfId="22484"/>
    <cellStyle name="Heading 1 2 4 3 2 6 6" xfId="22485"/>
    <cellStyle name="Heading 1 2 4 3 2 6 6 2" xfId="22486"/>
    <cellStyle name="Heading 1 2 4 3 2 6 6 2 2" xfId="22487"/>
    <cellStyle name="Heading 1 2 4 3 2 6 6 3" xfId="22488"/>
    <cellStyle name="Heading 1 2 4 3 2 6 7" xfId="22489"/>
    <cellStyle name="Heading 1 2 4 3 2 6 7 2" xfId="22490"/>
    <cellStyle name="Heading 1 2 4 3 2 6 7 2 2" xfId="22491"/>
    <cellStyle name="Heading 1 2 4 3 2 6 7 3" xfId="22492"/>
    <cellStyle name="Heading 1 2 4 3 2 6 8" xfId="22493"/>
    <cellStyle name="Heading 1 2 4 3 2 6 8 2" xfId="22494"/>
    <cellStyle name="Heading 1 2 4 3 2 6 9" xfId="22495"/>
    <cellStyle name="Heading 1 2 4 3 2 7" xfId="22496"/>
    <cellStyle name="Heading 1 2 4 3 2 7 2" xfId="22497"/>
    <cellStyle name="Heading 1 2 4 3 2 7 2 2" xfId="22498"/>
    <cellStyle name="Heading 1 2 4 3 2 7 2 2 2" xfId="22499"/>
    <cellStyle name="Heading 1 2 4 3 2 7 2 3" xfId="22500"/>
    <cellStyle name="Heading 1 2 4 3 2 7 3" xfId="22501"/>
    <cellStyle name="Heading 1 2 4 3 2 7 3 2" xfId="22502"/>
    <cellStyle name="Heading 1 2 4 3 2 7 3 2 2" xfId="22503"/>
    <cellStyle name="Heading 1 2 4 3 2 7 3 3" xfId="22504"/>
    <cellStyle name="Heading 1 2 4 3 2 7 4" xfId="22505"/>
    <cellStyle name="Heading 1 2 4 3 2 7 4 2" xfId="22506"/>
    <cellStyle name="Heading 1 2 4 3 2 7 4 2 2" xfId="22507"/>
    <cellStyle name="Heading 1 2 4 3 2 7 4 3" xfId="22508"/>
    <cellStyle name="Heading 1 2 4 3 2 7 5" xfId="22509"/>
    <cellStyle name="Heading 1 2 4 3 2 7 5 2" xfId="22510"/>
    <cellStyle name="Heading 1 2 4 3 2 7 5 2 2" xfId="22511"/>
    <cellStyle name="Heading 1 2 4 3 2 7 5 3" xfId="22512"/>
    <cellStyle name="Heading 1 2 4 3 2 7 6" xfId="22513"/>
    <cellStyle name="Heading 1 2 4 3 2 7 6 2" xfId="22514"/>
    <cellStyle name="Heading 1 2 4 3 2 7 6 2 2" xfId="22515"/>
    <cellStyle name="Heading 1 2 4 3 2 7 6 3" xfId="22516"/>
    <cellStyle name="Heading 1 2 4 3 2 7 7" xfId="22517"/>
    <cellStyle name="Heading 1 2 4 3 2 7 7 2" xfId="22518"/>
    <cellStyle name="Heading 1 2 4 3 2 7 7 2 2" xfId="22519"/>
    <cellStyle name="Heading 1 2 4 3 2 7 7 3" xfId="22520"/>
    <cellStyle name="Heading 1 2 4 3 2 7 8" xfId="22521"/>
    <cellStyle name="Heading 1 2 4 3 2 7 8 2" xfId="22522"/>
    <cellStyle name="Heading 1 2 4 3 2 7 9" xfId="22523"/>
    <cellStyle name="Heading 1 2 4 3 2 8" xfId="22524"/>
    <cellStyle name="Heading 1 2 4 3 2 8 2" xfId="22525"/>
    <cellStyle name="Heading 1 2 4 3 2 8 2 2" xfId="22526"/>
    <cellStyle name="Heading 1 2 4 3 2 8 2 2 2" xfId="22527"/>
    <cellStyle name="Heading 1 2 4 3 2 8 2 3" xfId="22528"/>
    <cellStyle name="Heading 1 2 4 3 2 8 3" xfId="22529"/>
    <cellStyle name="Heading 1 2 4 3 2 8 3 2" xfId="22530"/>
    <cellStyle name="Heading 1 2 4 3 2 8 3 2 2" xfId="22531"/>
    <cellStyle name="Heading 1 2 4 3 2 8 3 3" xfId="22532"/>
    <cellStyle name="Heading 1 2 4 3 2 8 4" xfId="22533"/>
    <cellStyle name="Heading 1 2 4 3 2 8 4 2" xfId="22534"/>
    <cellStyle name="Heading 1 2 4 3 2 8 4 2 2" xfId="22535"/>
    <cellStyle name="Heading 1 2 4 3 2 8 4 3" xfId="22536"/>
    <cellStyle name="Heading 1 2 4 3 2 8 5" xfId="22537"/>
    <cellStyle name="Heading 1 2 4 3 2 8 5 2" xfId="22538"/>
    <cellStyle name="Heading 1 2 4 3 2 8 5 2 2" xfId="22539"/>
    <cellStyle name="Heading 1 2 4 3 2 8 5 3" xfId="22540"/>
    <cellStyle name="Heading 1 2 4 3 2 8 6" xfId="22541"/>
    <cellStyle name="Heading 1 2 4 3 2 8 6 2" xfId="22542"/>
    <cellStyle name="Heading 1 2 4 3 2 8 6 2 2" xfId="22543"/>
    <cellStyle name="Heading 1 2 4 3 2 8 6 3" xfId="22544"/>
    <cellStyle name="Heading 1 2 4 3 2 8 7" xfId="22545"/>
    <cellStyle name="Heading 1 2 4 3 2 8 7 2" xfId="22546"/>
    <cellStyle name="Heading 1 2 4 3 2 8 7 2 2" xfId="22547"/>
    <cellStyle name="Heading 1 2 4 3 2 8 7 3" xfId="22548"/>
    <cellStyle name="Heading 1 2 4 3 2 8 8" xfId="22549"/>
    <cellStyle name="Heading 1 2 4 3 2 8 8 2" xfId="22550"/>
    <cellStyle name="Heading 1 2 4 3 2 8 9" xfId="22551"/>
    <cellStyle name="Heading 1 2 4 3 2 9" xfId="22552"/>
    <cellStyle name="Heading 1 2 4 3 2 9 2" xfId="22553"/>
    <cellStyle name="Heading 1 2 4 3 2 9 2 2" xfId="22554"/>
    <cellStyle name="Heading 1 2 4 3 2 9 3" xfId="22555"/>
    <cellStyle name="Heading 1 2 4 3 20" xfId="22556"/>
    <cellStyle name="Heading 1 2 4 3 20 2" xfId="22557"/>
    <cellStyle name="Heading 1 2 4 3 21" xfId="22558"/>
    <cellStyle name="Heading 1 2 4 3 21 2" xfId="22559"/>
    <cellStyle name="Heading 1 2 4 3 22" xfId="22560"/>
    <cellStyle name="Heading 1 2 4 3 22 2" xfId="22561"/>
    <cellStyle name="Heading 1 2 4 3 23" xfId="22562"/>
    <cellStyle name="Heading 1 2 4 3 3" xfId="22563"/>
    <cellStyle name="Heading 1 2 4 3 3 2" xfId="22564"/>
    <cellStyle name="Heading 1 2 4 3 3 2 2" xfId="22565"/>
    <cellStyle name="Heading 1 2 4 3 3 2 2 2" xfId="22566"/>
    <cellStyle name="Heading 1 2 4 3 3 2 3" xfId="22567"/>
    <cellStyle name="Heading 1 2 4 3 3 3" xfId="22568"/>
    <cellStyle name="Heading 1 2 4 3 3 3 2" xfId="22569"/>
    <cellStyle name="Heading 1 2 4 3 3 3 2 2" xfId="22570"/>
    <cellStyle name="Heading 1 2 4 3 3 3 3" xfId="22571"/>
    <cellStyle name="Heading 1 2 4 3 3 4" xfId="22572"/>
    <cellStyle name="Heading 1 2 4 3 3 4 2" xfId="22573"/>
    <cellStyle name="Heading 1 2 4 3 3 4 2 2" xfId="22574"/>
    <cellStyle name="Heading 1 2 4 3 3 4 3" xfId="22575"/>
    <cellStyle name="Heading 1 2 4 3 3 5" xfId="22576"/>
    <cellStyle name="Heading 1 2 4 3 3 5 2" xfId="22577"/>
    <cellStyle name="Heading 1 2 4 3 3 5 2 2" xfId="22578"/>
    <cellStyle name="Heading 1 2 4 3 3 5 3" xfId="22579"/>
    <cellStyle name="Heading 1 2 4 3 3 6" xfId="22580"/>
    <cellStyle name="Heading 1 2 4 3 3 6 2" xfId="22581"/>
    <cellStyle name="Heading 1 2 4 3 3 6 2 2" xfId="22582"/>
    <cellStyle name="Heading 1 2 4 3 3 6 3" xfId="22583"/>
    <cellStyle name="Heading 1 2 4 3 3 7" xfId="22584"/>
    <cellStyle name="Heading 1 2 4 3 3 7 2" xfId="22585"/>
    <cellStyle name="Heading 1 2 4 3 3 7 2 2" xfId="22586"/>
    <cellStyle name="Heading 1 2 4 3 3 7 3" xfId="22587"/>
    <cellStyle name="Heading 1 2 4 3 3 8" xfId="22588"/>
    <cellStyle name="Heading 1 2 4 3 3 8 2" xfId="22589"/>
    <cellStyle name="Heading 1 2 4 3 3 9" xfId="22590"/>
    <cellStyle name="Heading 1 2 4 3 4" xfId="22591"/>
    <cellStyle name="Heading 1 2 4 3 4 2" xfId="22592"/>
    <cellStyle name="Heading 1 2 4 3 4 2 2" xfId="22593"/>
    <cellStyle name="Heading 1 2 4 3 4 2 2 2" xfId="22594"/>
    <cellStyle name="Heading 1 2 4 3 4 2 3" xfId="22595"/>
    <cellStyle name="Heading 1 2 4 3 4 3" xfId="22596"/>
    <cellStyle name="Heading 1 2 4 3 4 3 2" xfId="22597"/>
    <cellStyle name="Heading 1 2 4 3 4 3 2 2" xfId="22598"/>
    <cellStyle name="Heading 1 2 4 3 4 3 3" xfId="22599"/>
    <cellStyle name="Heading 1 2 4 3 4 4" xfId="22600"/>
    <cellStyle name="Heading 1 2 4 3 4 4 2" xfId="22601"/>
    <cellStyle name="Heading 1 2 4 3 4 4 2 2" xfId="22602"/>
    <cellStyle name="Heading 1 2 4 3 4 4 3" xfId="22603"/>
    <cellStyle name="Heading 1 2 4 3 4 5" xfId="22604"/>
    <cellStyle name="Heading 1 2 4 3 4 5 2" xfId="22605"/>
    <cellStyle name="Heading 1 2 4 3 4 5 2 2" xfId="22606"/>
    <cellStyle name="Heading 1 2 4 3 4 5 3" xfId="22607"/>
    <cellStyle name="Heading 1 2 4 3 4 6" xfId="22608"/>
    <cellStyle name="Heading 1 2 4 3 4 6 2" xfId="22609"/>
    <cellStyle name="Heading 1 2 4 3 4 6 2 2" xfId="22610"/>
    <cellStyle name="Heading 1 2 4 3 4 6 3" xfId="22611"/>
    <cellStyle name="Heading 1 2 4 3 4 7" xfId="22612"/>
    <cellStyle name="Heading 1 2 4 3 4 7 2" xfId="22613"/>
    <cellStyle name="Heading 1 2 4 3 4 7 2 2" xfId="22614"/>
    <cellStyle name="Heading 1 2 4 3 4 7 3" xfId="22615"/>
    <cellStyle name="Heading 1 2 4 3 4 8" xfId="22616"/>
    <cellStyle name="Heading 1 2 4 3 4 8 2" xfId="22617"/>
    <cellStyle name="Heading 1 2 4 3 4 9" xfId="22618"/>
    <cellStyle name="Heading 1 2 4 3 5" xfId="22619"/>
    <cellStyle name="Heading 1 2 4 3 5 2" xfId="22620"/>
    <cellStyle name="Heading 1 2 4 3 5 2 2" xfId="22621"/>
    <cellStyle name="Heading 1 2 4 3 5 2 2 2" xfId="22622"/>
    <cellStyle name="Heading 1 2 4 3 5 2 3" xfId="22623"/>
    <cellStyle name="Heading 1 2 4 3 5 3" xfId="22624"/>
    <cellStyle name="Heading 1 2 4 3 5 3 2" xfId="22625"/>
    <cellStyle name="Heading 1 2 4 3 5 3 2 2" xfId="22626"/>
    <cellStyle name="Heading 1 2 4 3 5 3 3" xfId="22627"/>
    <cellStyle name="Heading 1 2 4 3 5 4" xfId="22628"/>
    <cellStyle name="Heading 1 2 4 3 5 4 2" xfId="22629"/>
    <cellStyle name="Heading 1 2 4 3 5 4 2 2" xfId="22630"/>
    <cellStyle name="Heading 1 2 4 3 5 4 3" xfId="22631"/>
    <cellStyle name="Heading 1 2 4 3 5 5" xfId="22632"/>
    <cellStyle name="Heading 1 2 4 3 5 5 2" xfId="22633"/>
    <cellStyle name="Heading 1 2 4 3 5 5 2 2" xfId="22634"/>
    <cellStyle name="Heading 1 2 4 3 5 5 3" xfId="22635"/>
    <cellStyle name="Heading 1 2 4 3 5 6" xfId="22636"/>
    <cellStyle name="Heading 1 2 4 3 5 6 2" xfId="22637"/>
    <cellStyle name="Heading 1 2 4 3 5 6 2 2" xfId="22638"/>
    <cellStyle name="Heading 1 2 4 3 5 6 3" xfId="22639"/>
    <cellStyle name="Heading 1 2 4 3 5 7" xfId="22640"/>
    <cellStyle name="Heading 1 2 4 3 5 7 2" xfId="22641"/>
    <cellStyle name="Heading 1 2 4 3 5 7 2 2" xfId="22642"/>
    <cellStyle name="Heading 1 2 4 3 5 7 3" xfId="22643"/>
    <cellStyle name="Heading 1 2 4 3 5 8" xfId="22644"/>
    <cellStyle name="Heading 1 2 4 3 5 8 2" xfId="22645"/>
    <cellStyle name="Heading 1 2 4 3 5 9" xfId="22646"/>
    <cellStyle name="Heading 1 2 4 3 6" xfId="22647"/>
    <cellStyle name="Heading 1 2 4 3 6 2" xfId="22648"/>
    <cellStyle name="Heading 1 2 4 3 6 2 2" xfId="22649"/>
    <cellStyle name="Heading 1 2 4 3 6 2 2 2" xfId="22650"/>
    <cellStyle name="Heading 1 2 4 3 6 2 3" xfId="22651"/>
    <cellStyle name="Heading 1 2 4 3 6 3" xfId="22652"/>
    <cellStyle name="Heading 1 2 4 3 6 3 2" xfId="22653"/>
    <cellStyle name="Heading 1 2 4 3 6 3 2 2" xfId="22654"/>
    <cellStyle name="Heading 1 2 4 3 6 3 3" xfId="22655"/>
    <cellStyle name="Heading 1 2 4 3 6 4" xfId="22656"/>
    <cellStyle name="Heading 1 2 4 3 6 4 2" xfId="22657"/>
    <cellStyle name="Heading 1 2 4 3 6 4 2 2" xfId="22658"/>
    <cellStyle name="Heading 1 2 4 3 6 4 3" xfId="22659"/>
    <cellStyle name="Heading 1 2 4 3 6 5" xfId="22660"/>
    <cellStyle name="Heading 1 2 4 3 6 5 2" xfId="22661"/>
    <cellStyle name="Heading 1 2 4 3 6 5 2 2" xfId="22662"/>
    <cellStyle name="Heading 1 2 4 3 6 5 3" xfId="22663"/>
    <cellStyle name="Heading 1 2 4 3 6 6" xfId="22664"/>
    <cellStyle name="Heading 1 2 4 3 6 6 2" xfId="22665"/>
    <cellStyle name="Heading 1 2 4 3 6 6 2 2" xfId="22666"/>
    <cellStyle name="Heading 1 2 4 3 6 6 3" xfId="22667"/>
    <cellStyle name="Heading 1 2 4 3 6 7" xfId="22668"/>
    <cellStyle name="Heading 1 2 4 3 6 7 2" xfId="22669"/>
    <cellStyle name="Heading 1 2 4 3 6 7 2 2" xfId="22670"/>
    <cellStyle name="Heading 1 2 4 3 6 7 3" xfId="22671"/>
    <cellStyle name="Heading 1 2 4 3 6 8" xfId="22672"/>
    <cellStyle name="Heading 1 2 4 3 6 8 2" xfId="22673"/>
    <cellStyle name="Heading 1 2 4 3 6 9" xfId="22674"/>
    <cellStyle name="Heading 1 2 4 3 7" xfId="22675"/>
    <cellStyle name="Heading 1 2 4 3 7 2" xfId="22676"/>
    <cellStyle name="Heading 1 2 4 3 7 2 2" xfId="22677"/>
    <cellStyle name="Heading 1 2 4 3 7 2 2 2" xfId="22678"/>
    <cellStyle name="Heading 1 2 4 3 7 2 3" xfId="22679"/>
    <cellStyle name="Heading 1 2 4 3 7 3" xfId="22680"/>
    <cellStyle name="Heading 1 2 4 3 7 3 2" xfId="22681"/>
    <cellStyle name="Heading 1 2 4 3 7 3 2 2" xfId="22682"/>
    <cellStyle name="Heading 1 2 4 3 7 3 3" xfId="22683"/>
    <cellStyle name="Heading 1 2 4 3 7 4" xfId="22684"/>
    <cellStyle name="Heading 1 2 4 3 7 4 2" xfId="22685"/>
    <cellStyle name="Heading 1 2 4 3 7 4 2 2" xfId="22686"/>
    <cellStyle name="Heading 1 2 4 3 7 4 3" xfId="22687"/>
    <cellStyle name="Heading 1 2 4 3 7 5" xfId="22688"/>
    <cellStyle name="Heading 1 2 4 3 7 5 2" xfId="22689"/>
    <cellStyle name="Heading 1 2 4 3 7 5 2 2" xfId="22690"/>
    <cellStyle name="Heading 1 2 4 3 7 5 3" xfId="22691"/>
    <cellStyle name="Heading 1 2 4 3 7 6" xfId="22692"/>
    <cellStyle name="Heading 1 2 4 3 7 6 2" xfId="22693"/>
    <cellStyle name="Heading 1 2 4 3 7 6 2 2" xfId="22694"/>
    <cellStyle name="Heading 1 2 4 3 7 6 3" xfId="22695"/>
    <cellStyle name="Heading 1 2 4 3 7 7" xfId="22696"/>
    <cellStyle name="Heading 1 2 4 3 7 7 2" xfId="22697"/>
    <cellStyle name="Heading 1 2 4 3 7 7 2 2" xfId="22698"/>
    <cellStyle name="Heading 1 2 4 3 7 7 3" xfId="22699"/>
    <cellStyle name="Heading 1 2 4 3 7 8" xfId="22700"/>
    <cellStyle name="Heading 1 2 4 3 7 8 2" xfId="22701"/>
    <cellStyle name="Heading 1 2 4 3 7 9" xfId="22702"/>
    <cellStyle name="Heading 1 2 4 3 8" xfId="22703"/>
    <cellStyle name="Heading 1 2 4 3 8 2" xfId="22704"/>
    <cellStyle name="Heading 1 2 4 3 8 2 2" xfId="22705"/>
    <cellStyle name="Heading 1 2 4 3 8 2 2 2" xfId="22706"/>
    <cellStyle name="Heading 1 2 4 3 8 2 3" xfId="22707"/>
    <cellStyle name="Heading 1 2 4 3 8 3" xfId="22708"/>
    <cellStyle name="Heading 1 2 4 3 8 3 2" xfId="22709"/>
    <cellStyle name="Heading 1 2 4 3 8 3 2 2" xfId="22710"/>
    <cellStyle name="Heading 1 2 4 3 8 3 3" xfId="22711"/>
    <cellStyle name="Heading 1 2 4 3 8 4" xfId="22712"/>
    <cellStyle name="Heading 1 2 4 3 8 4 2" xfId="22713"/>
    <cellStyle name="Heading 1 2 4 3 8 4 2 2" xfId="22714"/>
    <cellStyle name="Heading 1 2 4 3 8 4 3" xfId="22715"/>
    <cellStyle name="Heading 1 2 4 3 8 5" xfId="22716"/>
    <cellStyle name="Heading 1 2 4 3 8 5 2" xfId="22717"/>
    <cellStyle name="Heading 1 2 4 3 8 5 2 2" xfId="22718"/>
    <cellStyle name="Heading 1 2 4 3 8 5 3" xfId="22719"/>
    <cellStyle name="Heading 1 2 4 3 8 6" xfId="22720"/>
    <cellStyle name="Heading 1 2 4 3 8 6 2" xfId="22721"/>
    <cellStyle name="Heading 1 2 4 3 8 6 2 2" xfId="22722"/>
    <cellStyle name="Heading 1 2 4 3 8 6 3" xfId="22723"/>
    <cellStyle name="Heading 1 2 4 3 8 7" xfId="22724"/>
    <cellStyle name="Heading 1 2 4 3 8 7 2" xfId="22725"/>
    <cellStyle name="Heading 1 2 4 3 8 7 2 2" xfId="22726"/>
    <cellStyle name="Heading 1 2 4 3 8 7 3" xfId="22727"/>
    <cellStyle name="Heading 1 2 4 3 8 8" xfId="22728"/>
    <cellStyle name="Heading 1 2 4 3 8 8 2" xfId="22729"/>
    <cellStyle name="Heading 1 2 4 3 8 9" xfId="22730"/>
    <cellStyle name="Heading 1 2 4 3 9" xfId="22731"/>
    <cellStyle name="Heading 1 2 4 3 9 2" xfId="22732"/>
    <cellStyle name="Heading 1 2 4 3 9 2 2" xfId="22733"/>
    <cellStyle name="Heading 1 2 4 3 9 2 2 2" xfId="22734"/>
    <cellStyle name="Heading 1 2 4 3 9 2 3" xfId="22735"/>
    <cellStyle name="Heading 1 2 4 3 9 3" xfId="22736"/>
    <cellStyle name="Heading 1 2 4 3 9 3 2" xfId="22737"/>
    <cellStyle name="Heading 1 2 4 3 9 3 2 2" xfId="22738"/>
    <cellStyle name="Heading 1 2 4 3 9 3 3" xfId="22739"/>
    <cellStyle name="Heading 1 2 4 3 9 4" xfId="22740"/>
    <cellStyle name="Heading 1 2 4 3 9 4 2" xfId="22741"/>
    <cellStyle name="Heading 1 2 4 3 9 4 2 2" xfId="22742"/>
    <cellStyle name="Heading 1 2 4 3 9 4 3" xfId="22743"/>
    <cellStyle name="Heading 1 2 4 3 9 5" xfId="22744"/>
    <cellStyle name="Heading 1 2 4 3 9 5 2" xfId="22745"/>
    <cellStyle name="Heading 1 2 4 3 9 5 2 2" xfId="22746"/>
    <cellStyle name="Heading 1 2 4 3 9 5 3" xfId="22747"/>
    <cellStyle name="Heading 1 2 4 3 9 6" xfId="22748"/>
    <cellStyle name="Heading 1 2 4 3 9 6 2" xfId="22749"/>
    <cellStyle name="Heading 1 2 4 3 9 6 2 2" xfId="22750"/>
    <cellStyle name="Heading 1 2 4 3 9 6 3" xfId="22751"/>
    <cellStyle name="Heading 1 2 4 3 9 7" xfId="22752"/>
    <cellStyle name="Heading 1 2 4 3 9 7 2" xfId="22753"/>
    <cellStyle name="Heading 1 2 4 3 9 7 2 2" xfId="22754"/>
    <cellStyle name="Heading 1 2 4 3 9 7 3" xfId="22755"/>
    <cellStyle name="Heading 1 2 4 3 9 8" xfId="22756"/>
    <cellStyle name="Heading 1 2 4 3 9 8 2" xfId="22757"/>
    <cellStyle name="Heading 1 2 4 3 9 9" xfId="22758"/>
    <cellStyle name="Heading 1 2 4 4" xfId="22759"/>
    <cellStyle name="Heading 1 2 4 4 10" xfId="22760"/>
    <cellStyle name="Heading 1 2 4 4 10 2" xfId="22761"/>
    <cellStyle name="Heading 1 2 4 4 10 2 2" xfId="22762"/>
    <cellStyle name="Heading 1 2 4 4 10 3" xfId="22763"/>
    <cellStyle name="Heading 1 2 4 4 11" xfId="22764"/>
    <cellStyle name="Heading 1 2 4 4 11 2" xfId="22765"/>
    <cellStyle name="Heading 1 2 4 4 11 2 2" xfId="22766"/>
    <cellStyle name="Heading 1 2 4 4 11 3" xfId="22767"/>
    <cellStyle name="Heading 1 2 4 4 12" xfId="22768"/>
    <cellStyle name="Heading 1 2 4 4 12 2" xfId="22769"/>
    <cellStyle name="Heading 1 2 4 4 12 2 2" xfId="22770"/>
    <cellStyle name="Heading 1 2 4 4 12 3" xfId="22771"/>
    <cellStyle name="Heading 1 2 4 4 13" xfId="22772"/>
    <cellStyle name="Heading 1 2 4 4 13 2" xfId="22773"/>
    <cellStyle name="Heading 1 2 4 4 13 2 2" xfId="22774"/>
    <cellStyle name="Heading 1 2 4 4 13 3" xfId="22775"/>
    <cellStyle name="Heading 1 2 4 4 14" xfId="22776"/>
    <cellStyle name="Heading 1 2 4 4 14 2" xfId="22777"/>
    <cellStyle name="Heading 1 2 4 4 14 2 2" xfId="22778"/>
    <cellStyle name="Heading 1 2 4 4 14 3" xfId="22779"/>
    <cellStyle name="Heading 1 2 4 4 15" xfId="22780"/>
    <cellStyle name="Heading 1 2 4 4 15 2" xfId="22781"/>
    <cellStyle name="Heading 1 2 4 4 15 2 2" xfId="22782"/>
    <cellStyle name="Heading 1 2 4 4 15 3" xfId="22783"/>
    <cellStyle name="Heading 1 2 4 4 16" xfId="22784"/>
    <cellStyle name="Heading 1 2 4 4 16 2" xfId="22785"/>
    <cellStyle name="Heading 1 2 4 4 16 2 2" xfId="22786"/>
    <cellStyle name="Heading 1 2 4 4 16 3" xfId="22787"/>
    <cellStyle name="Heading 1 2 4 4 17" xfId="22788"/>
    <cellStyle name="Heading 1 2 4 4 17 2" xfId="22789"/>
    <cellStyle name="Heading 1 2 4 4 17 2 2" xfId="22790"/>
    <cellStyle name="Heading 1 2 4 4 17 3" xfId="22791"/>
    <cellStyle name="Heading 1 2 4 4 18" xfId="22792"/>
    <cellStyle name="Heading 1 2 4 4 18 2" xfId="22793"/>
    <cellStyle name="Heading 1 2 4 4 18 2 2" xfId="22794"/>
    <cellStyle name="Heading 1 2 4 4 18 3" xfId="22795"/>
    <cellStyle name="Heading 1 2 4 4 19" xfId="22796"/>
    <cellStyle name="Heading 1 2 4 4 19 2" xfId="22797"/>
    <cellStyle name="Heading 1 2 4 4 2" xfId="22798"/>
    <cellStyle name="Heading 1 2 4 4 2 2" xfId="22799"/>
    <cellStyle name="Heading 1 2 4 4 2 2 2" xfId="22800"/>
    <cellStyle name="Heading 1 2 4 4 2 2 2 2" xfId="22801"/>
    <cellStyle name="Heading 1 2 4 4 2 2 3" xfId="22802"/>
    <cellStyle name="Heading 1 2 4 4 2 3" xfId="22803"/>
    <cellStyle name="Heading 1 2 4 4 2 3 2" xfId="22804"/>
    <cellStyle name="Heading 1 2 4 4 2 3 2 2" xfId="22805"/>
    <cellStyle name="Heading 1 2 4 4 2 3 3" xfId="22806"/>
    <cellStyle name="Heading 1 2 4 4 2 4" xfId="22807"/>
    <cellStyle name="Heading 1 2 4 4 2 4 2" xfId="22808"/>
    <cellStyle name="Heading 1 2 4 4 2 4 2 2" xfId="22809"/>
    <cellStyle name="Heading 1 2 4 4 2 4 3" xfId="22810"/>
    <cellStyle name="Heading 1 2 4 4 2 5" xfId="22811"/>
    <cellStyle name="Heading 1 2 4 4 2 5 2" xfId="22812"/>
    <cellStyle name="Heading 1 2 4 4 2 5 2 2" xfId="22813"/>
    <cellStyle name="Heading 1 2 4 4 2 5 3" xfId="22814"/>
    <cellStyle name="Heading 1 2 4 4 2 6" xfId="22815"/>
    <cellStyle name="Heading 1 2 4 4 2 6 2" xfId="22816"/>
    <cellStyle name="Heading 1 2 4 4 2 6 2 2" xfId="22817"/>
    <cellStyle name="Heading 1 2 4 4 2 6 3" xfId="22818"/>
    <cellStyle name="Heading 1 2 4 4 2 7" xfId="22819"/>
    <cellStyle name="Heading 1 2 4 4 2 7 2" xfId="22820"/>
    <cellStyle name="Heading 1 2 4 4 2 7 2 2" xfId="22821"/>
    <cellStyle name="Heading 1 2 4 4 2 7 3" xfId="22822"/>
    <cellStyle name="Heading 1 2 4 4 2 8" xfId="22823"/>
    <cellStyle name="Heading 1 2 4 4 2 8 2" xfId="22824"/>
    <cellStyle name="Heading 1 2 4 4 2 9" xfId="22825"/>
    <cellStyle name="Heading 1 2 4 4 20" xfId="22826"/>
    <cellStyle name="Heading 1 2 4 4 20 2" xfId="22827"/>
    <cellStyle name="Heading 1 2 4 4 21" xfId="22828"/>
    <cellStyle name="Heading 1 2 4 4 21 2" xfId="22829"/>
    <cellStyle name="Heading 1 2 4 4 22" xfId="22830"/>
    <cellStyle name="Heading 1 2 4 4 3" xfId="22831"/>
    <cellStyle name="Heading 1 2 4 4 3 2" xfId="22832"/>
    <cellStyle name="Heading 1 2 4 4 3 2 2" xfId="22833"/>
    <cellStyle name="Heading 1 2 4 4 3 2 2 2" xfId="22834"/>
    <cellStyle name="Heading 1 2 4 4 3 2 3" xfId="22835"/>
    <cellStyle name="Heading 1 2 4 4 3 3" xfId="22836"/>
    <cellStyle name="Heading 1 2 4 4 3 3 2" xfId="22837"/>
    <cellStyle name="Heading 1 2 4 4 3 3 2 2" xfId="22838"/>
    <cellStyle name="Heading 1 2 4 4 3 3 3" xfId="22839"/>
    <cellStyle name="Heading 1 2 4 4 3 4" xfId="22840"/>
    <cellStyle name="Heading 1 2 4 4 3 4 2" xfId="22841"/>
    <cellStyle name="Heading 1 2 4 4 3 4 2 2" xfId="22842"/>
    <cellStyle name="Heading 1 2 4 4 3 4 3" xfId="22843"/>
    <cellStyle name="Heading 1 2 4 4 3 5" xfId="22844"/>
    <cellStyle name="Heading 1 2 4 4 3 5 2" xfId="22845"/>
    <cellStyle name="Heading 1 2 4 4 3 5 2 2" xfId="22846"/>
    <cellStyle name="Heading 1 2 4 4 3 5 3" xfId="22847"/>
    <cellStyle name="Heading 1 2 4 4 3 6" xfId="22848"/>
    <cellStyle name="Heading 1 2 4 4 3 6 2" xfId="22849"/>
    <cellStyle name="Heading 1 2 4 4 3 6 2 2" xfId="22850"/>
    <cellStyle name="Heading 1 2 4 4 3 6 3" xfId="22851"/>
    <cellStyle name="Heading 1 2 4 4 3 7" xfId="22852"/>
    <cellStyle name="Heading 1 2 4 4 3 7 2" xfId="22853"/>
    <cellStyle name="Heading 1 2 4 4 3 7 2 2" xfId="22854"/>
    <cellStyle name="Heading 1 2 4 4 3 7 3" xfId="22855"/>
    <cellStyle name="Heading 1 2 4 4 3 8" xfId="22856"/>
    <cellStyle name="Heading 1 2 4 4 3 8 2" xfId="22857"/>
    <cellStyle name="Heading 1 2 4 4 3 9" xfId="22858"/>
    <cellStyle name="Heading 1 2 4 4 4" xfId="22859"/>
    <cellStyle name="Heading 1 2 4 4 4 2" xfId="22860"/>
    <cellStyle name="Heading 1 2 4 4 4 2 2" xfId="22861"/>
    <cellStyle name="Heading 1 2 4 4 4 2 2 2" xfId="22862"/>
    <cellStyle name="Heading 1 2 4 4 4 2 3" xfId="22863"/>
    <cellStyle name="Heading 1 2 4 4 4 3" xfId="22864"/>
    <cellStyle name="Heading 1 2 4 4 4 3 2" xfId="22865"/>
    <cellStyle name="Heading 1 2 4 4 4 3 2 2" xfId="22866"/>
    <cellStyle name="Heading 1 2 4 4 4 3 3" xfId="22867"/>
    <cellStyle name="Heading 1 2 4 4 4 4" xfId="22868"/>
    <cellStyle name="Heading 1 2 4 4 4 4 2" xfId="22869"/>
    <cellStyle name="Heading 1 2 4 4 4 4 2 2" xfId="22870"/>
    <cellStyle name="Heading 1 2 4 4 4 4 3" xfId="22871"/>
    <cellStyle name="Heading 1 2 4 4 4 5" xfId="22872"/>
    <cellStyle name="Heading 1 2 4 4 4 5 2" xfId="22873"/>
    <cellStyle name="Heading 1 2 4 4 4 5 2 2" xfId="22874"/>
    <cellStyle name="Heading 1 2 4 4 4 5 3" xfId="22875"/>
    <cellStyle name="Heading 1 2 4 4 4 6" xfId="22876"/>
    <cellStyle name="Heading 1 2 4 4 4 6 2" xfId="22877"/>
    <cellStyle name="Heading 1 2 4 4 4 6 2 2" xfId="22878"/>
    <cellStyle name="Heading 1 2 4 4 4 6 3" xfId="22879"/>
    <cellStyle name="Heading 1 2 4 4 4 7" xfId="22880"/>
    <cellStyle name="Heading 1 2 4 4 4 7 2" xfId="22881"/>
    <cellStyle name="Heading 1 2 4 4 4 7 2 2" xfId="22882"/>
    <cellStyle name="Heading 1 2 4 4 4 7 3" xfId="22883"/>
    <cellStyle name="Heading 1 2 4 4 4 8" xfId="22884"/>
    <cellStyle name="Heading 1 2 4 4 4 8 2" xfId="22885"/>
    <cellStyle name="Heading 1 2 4 4 4 9" xfId="22886"/>
    <cellStyle name="Heading 1 2 4 4 5" xfId="22887"/>
    <cellStyle name="Heading 1 2 4 4 5 2" xfId="22888"/>
    <cellStyle name="Heading 1 2 4 4 5 2 2" xfId="22889"/>
    <cellStyle name="Heading 1 2 4 4 5 2 2 2" xfId="22890"/>
    <cellStyle name="Heading 1 2 4 4 5 2 3" xfId="22891"/>
    <cellStyle name="Heading 1 2 4 4 5 3" xfId="22892"/>
    <cellStyle name="Heading 1 2 4 4 5 3 2" xfId="22893"/>
    <cellStyle name="Heading 1 2 4 4 5 3 2 2" xfId="22894"/>
    <cellStyle name="Heading 1 2 4 4 5 3 3" xfId="22895"/>
    <cellStyle name="Heading 1 2 4 4 5 4" xfId="22896"/>
    <cellStyle name="Heading 1 2 4 4 5 4 2" xfId="22897"/>
    <cellStyle name="Heading 1 2 4 4 5 4 2 2" xfId="22898"/>
    <cellStyle name="Heading 1 2 4 4 5 4 3" xfId="22899"/>
    <cellStyle name="Heading 1 2 4 4 5 5" xfId="22900"/>
    <cellStyle name="Heading 1 2 4 4 5 5 2" xfId="22901"/>
    <cellStyle name="Heading 1 2 4 4 5 5 2 2" xfId="22902"/>
    <cellStyle name="Heading 1 2 4 4 5 5 3" xfId="22903"/>
    <cellStyle name="Heading 1 2 4 4 5 6" xfId="22904"/>
    <cellStyle name="Heading 1 2 4 4 5 6 2" xfId="22905"/>
    <cellStyle name="Heading 1 2 4 4 5 6 2 2" xfId="22906"/>
    <cellStyle name="Heading 1 2 4 4 5 6 3" xfId="22907"/>
    <cellStyle name="Heading 1 2 4 4 5 7" xfId="22908"/>
    <cellStyle name="Heading 1 2 4 4 5 7 2" xfId="22909"/>
    <cellStyle name="Heading 1 2 4 4 5 7 2 2" xfId="22910"/>
    <cellStyle name="Heading 1 2 4 4 5 7 3" xfId="22911"/>
    <cellStyle name="Heading 1 2 4 4 5 8" xfId="22912"/>
    <cellStyle name="Heading 1 2 4 4 5 8 2" xfId="22913"/>
    <cellStyle name="Heading 1 2 4 4 5 9" xfId="22914"/>
    <cellStyle name="Heading 1 2 4 4 6" xfId="22915"/>
    <cellStyle name="Heading 1 2 4 4 6 2" xfId="22916"/>
    <cellStyle name="Heading 1 2 4 4 6 2 2" xfId="22917"/>
    <cellStyle name="Heading 1 2 4 4 6 2 2 2" xfId="22918"/>
    <cellStyle name="Heading 1 2 4 4 6 2 3" xfId="22919"/>
    <cellStyle name="Heading 1 2 4 4 6 3" xfId="22920"/>
    <cellStyle name="Heading 1 2 4 4 6 3 2" xfId="22921"/>
    <cellStyle name="Heading 1 2 4 4 6 3 2 2" xfId="22922"/>
    <cellStyle name="Heading 1 2 4 4 6 3 3" xfId="22923"/>
    <cellStyle name="Heading 1 2 4 4 6 4" xfId="22924"/>
    <cellStyle name="Heading 1 2 4 4 6 4 2" xfId="22925"/>
    <cellStyle name="Heading 1 2 4 4 6 4 2 2" xfId="22926"/>
    <cellStyle name="Heading 1 2 4 4 6 4 3" xfId="22927"/>
    <cellStyle name="Heading 1 2 4 4 6 5" xfId="22928"/>
    <cellStyle name="Heading 1 2 4 4 6 5 2" xfId="22929"/>
    <cellStyle name="Heading 1 2 4 4 6 5 2 2" xfId="22930"/>
    <cellStyle name="Heading 1 2 4 4 6 5 3" xfId="22931"/>
    <cellStyle name="Heading 1 2 4 4 6 6" xfId="22932"/>
    <cellStyle name="Heading 1 2 4 4 6 6 2" xfId="22933"/>
    <cellStyle name="Heading 1 2 4 4 6 6 2 2" xfId="22934"/>
    <cellStyle name="Heading 1 2 4 4 6 6 3" xfId="22935"/>
    <cellStyle name="Heading 1 2 4 4 6 7" xfId="22936"/>
    <cellStyle name="Heading 1 2 4 4 6 7 2" xfId="22937"/>
    <cellStyle name="Heading 1 2 4 4 6 7 2 2" xfId="22938"/>
    <cellStyle name="Heading 1 2 4 4 6 7 3" xfId="22939"/>
    <cellStyle name="Heading 1 2 4 4 6 8" xfId="22940"/>
    <cellStyle name="Heading 1 2 4 4 6 8 2" xfId="22941"/>
    <cellStyle name="Heading 1 2 4 4 6 9" xfId="22942"/>
    <cellStyle name="Heading 1 2 4 4 7" xfId="22943"/>
    <cellStyle name="Heading 1 2 4 4 7 2" xfId="22944"/>
    <cellStyle name="Heading 1 2 4 4 7 2 2" xfId="22945"/>
    <cellStyle name="Heading 1 2 4 4 7 2 2 2" xfId="22946"/>
    <cellStyle name="Heading 1 2 4 4 7 2 3" xfId="22947"/>
    <cellStyle name="Heading 1 2 4 4 7 3" xfId="22948"/>
    <cellStyle name="Heading 1 2 4 4 7 3 2" xfId="22949"/>
    <cellStyle name="Heading 1 2 4 4 7 3 2 2" xfId="22950"/>
    <cellStyle name="Heading 1 2 4 4 7 3 3" xfId="22951"/>
    <cellStyle name="Heading 1 2 4 4 7 4" xfId="22952"/>
    <cellStyle name="Heading 1 2 4 4 7 4 2" xfId="22953"/>
    <cellStyle name="Heading 1 2 4 4 7 4 2 2" xfId="22954"/>
    <cellStyle name="Heading 1 2 4 4 7 4 3" xfId="22955"/>
    <cellStyle name="Heading 1 2 4 4 7 5" xfId="22956"/>
    <cellStyle name="Heading 1 2 4 4 7 5 2" xfId="22957"/>
    <cellStyle name="Heading 1 2 4 4 7 5 2 2" xfId="22958"/>
    <cellStyle name="Heading 1 2 4 4 7 5 3" xfId="22959"/>
    <cellStyle name="Heading 1 2 4 4 7 6" xfId="22960"/>
    <cellStyle name="Heading 1 2 4 4 7 6 2" xfId="22961"/>
    <cellStyle name="Heading 1 2 4 4 7 6 2 2" xfId="22962"/>
    <cellStyle name="Heading 1 2 4 4 7 6 3" xfId="22963"/>
    <cellStyle name="Heading 1 2 4 4 7 7" xfId="22964"/>
    <cellStyle name="Heading 1 2 4 4 7 7 2" xfId="22965"/>
    <cellStyle name="Heading 1 2 4 4 7 7 2 2" xfId="22966"/>
    <cellStyle name="Heading 1 2 4 4 7 7 3" xfId="22967"/>
    <cellStyle name="Heading 1 2 4 4 7 8" xfId="22968"/>
    <cellStyle name="Heading 1 2 4 4 7 8 2" xfId="22969"/>
    <cellStyle name="Heading 1 2 4 4 7 9" xfId="22970"/>
    <cellStyle name="Heading 1 2 4 4 8" xfId="22971"/>
    <cellStyle name="Heading 1 2 4 4 8 2" xfId="22972"/>
    <cellStyle name="Heading 1 2 4 4 8 2 2" xfId="22973"/>
    <cellStyle name="Heading 1 2 4 4 8 2 2 2" xfId="22974"/>
    <cellStyle name="Heading 1 2 4 4 8 2 3" xfId="22975"/>
    <cellStyle name="Heading 1 2 4 4 8 3" xfId="22976"/>
    <cellStyle name="Heading 1 2 4 4 8 3 2" xfId="22977"/>
    <cellStyle name="Heading 1 2 4 4 8 3 2 2" xfId="22978"/>
    <cellStyle name="Heading 1 2 4 4 8 3 3" xfId="22979"/>
    <cellStyle name="Heading 1 2 4 4 8 4" xfId="22980"/>
    <cellStyle name="Heading 1 2 4 4 8 4 2" xfId="22981"/>
    <cellStyle name="Heading 1 2 4 4 8 4 2 2" xfId="22982"/>
    <cellStyle name="Heading 1 2 4 4 8 4 3" xfId="22983"/>
    <cellStyle name="Heading 1 2 4 4 8 5" xfId="22984"/>
    <cellStyle name="Heading 1 2 4 4 8 5 2" xfId="22985"/>
    <cellStyle name="Heading 1 2 4 4 8 5 2 2" xfId="22986"/>
    <cellStyle name="Heading 1 2 4 4 8 5 3" xfId="22987"/>
    <cellStyle name="Heading 1 2 4 4 8 6" xfId="22988"/>
    <cellStyle name="Heading 1 2 4 4 8 6 2" xfId="22989"/>
    <cellStyle name="Heading 1 2 4 4 8 6 2 2" xfId="22990"/>
    <cellStyle name="Heading 1 2 4 4 8 6 3" xfId="22991"/>
    <cellStyle name="Heading 1 2 4 4 8 7" xfId="22992"/>
    <cellStyle name="Heading 1 2 4 4 8 7 2" xfId="22993"/>
    <cellStyle name="Heading 1 2 4 4 8 7 2 2" xfId="22994"/>
    <cellStyle name="Heading 1 2 4 4 8 7 3" xfId="22995"/>
    <cellStyle name="Heading 1 2 4 4 8 8" xfId="22996"/>
    <cellStyle name="Heading 1 2 4 4 8 8 2" xfId="22997"/>
    <cellStyle name="Heading 1 2 4 4 8 9" xfId="22998"/>
    <cellStyle name="Heading 1 2 4 4 9" xfId="22999"/>
    <cellStyle name="Heading 1 2 4 4 9 2" xfId="23000"/>
    <cellStyle name="Heading 1 2 4 4 9 2 2" xfId="23001"/>
    <cellStyle name="Heading 1 2 4 4 9 3" xfId="23002"/>
    <cellStyle name="Heading 1 2 4 5" xfId="23003"/>
    <cellStyle name="Heading 1 2 4 5 2" xfId="23004"/>
    <cellStyle name="Heading 1 2 4 5 2 2" xfId="23005"/>
    <cellStyle name="Heading 1 2 4 5 3" xfId="23006"/>
    <cellStyle name="Heading 1 2 4 6" xfId="23007"/>
    <cellStyle name="Heading 1 2 4 6 2" xfId="23008"/>
    <cellStyle name="Heading 1 2 4 7" xfId="23009"/>
    <cellStyle name="Heading 1 2 5" xfId="23010"/>
    <cellStyle name="Heading 1 2 5 2" xfId="23011"/>
    <cellStyle name="Heading 1 2 5 2 10" xfId="23012"/>
    <cellStyle name="Heading 1 2 5 2 10 2" xfId="23013"/>
    <cellStyle name="Heading 1 2 5 2 10 2 2" xfId="23014"/>
    <cellStyle name="Heading 1 2 5 2 10 3" xfId="23015"/>
    <cellStyle name="Heading 1 2 5 2 11" xfId="23016"/>
    <cellStyle name="Heading 1 2 5 2 11 2" xfId="23017"/>
    <cellStyle name="Heading 1 2 5 2 11 2 2" xfId="23018"/>
    <cellStyle name="Heading 1 2 5 2 11 3" xfId="23019"/>
    <cellStyle name="Heading 1 2 5 2 12" xfId="23020"/>
    <cellStyle name="Heading 1 2 5 2 12 2" xfId="23021"/>
    <cellStyle name="Heading 1 2 5 2 12 2 2" xfId="23022"/>
    <cellStyle name="Heading 1 2 5 2 12 3" xfId="23023"/>
    <cellStyle name="Heading 1 2 5 2 13" xfId="23024"/>
    <cellStyle name="Heading 1 2 5 2 13 2" xfId="23025"/>
    <cellStyle name="Heading 1 2 5 2 13 2 2" xfId="23026"/>
    <cellStyle name="Heading 1 2 5 2 13 3" xfId="23027"/>
    <cellStyle name="Heading 1 2 5 2 14" xfId="23028"/>
    <cellStyle name="Heading 1 2 5 2 14 2" xfId="23029"/>
    <cellStyle name="Heading 1 2 5 2 14 2 2" xfId="23030"/>
    <cellStyle name="Heading 1 2 5 2 14 3" xfId="23031"/>
    <cellStyle name="Heading 1 2 5 2 15" xfId="23032"/>
    <cellStyle name="Heading 1 2 5 2 15 2" xfId="23033"/>
    <cellStyle name="Heading 1 2 5 2 15 2 2" xfId="23034"/>
    <cellStyle name="Heading 1 2 5 2 15 3" xfId="23035"/>
    <cellStyle name="Heading 1 2 5 2 16" xfId="23036"/>
    <cellStyle name="Heading 1 2 5 2 16 2" xfId="23037"/>
    <cellStyle name="Heading 1 2 5 2 16 2 2" xfId="23038"/>
    <cellStyle name="Heading 1 2 5 2 16 3" xfId="23039"/>
    <cellStyle name="Heading 1 2 5 2 17" xfId="23040"/>
    <cellStyle name="Heading 1 2 5 2 17 2" xfId="23041"/>
    <cellStyle name="Heading 1 2 5 2 17 2 2" xfId="23042"/>
    <cellStyle name="Heading 1 2 5 2 17 3" xfId="23043"/>
    <cellStyle name="Heading 1 2 5 2 18" xfId="23044"/>
    <cellStyle name="Heading 1 2 5 2 18 2" xfId="23045"/>
    <cellStyle name="Heading 1 2 5 2 18 2 2" xfId="23046"/>
    <cellStyle name="Heading 1 2 5 2 18 3" xfId="23047"/>
    <cellStyle name="Heading 1 2 5 2 19" xfId="23048"/>
    <cellStyle name="Heading 1 2 5 2 19 2" xfId="23049"/>
    <cellStyle name="Heading 1 2 5 2 19 2 2" xfId="23050"/>
    <cellStyle name="Heading 1 2 5 2 19 3" xfId="23051"/>
    <cellStyle name="Heading 1 2 5 2 2" xfId="23052"/>
    <cellStyle name="Heading 1 2 5 2 2 10" xfId="23053"/>
    <cellStyle name="Heading 1 2 5 2 2 10 2" xfId="23054"/>
    <cellStyle name="Heading 1 2 5 2 2 10 2 2" xfId="23055"/>
    <cellStyle name="Heading 1 2 5 2 2 10 3" xfId="23056"/>
    <cellStyle name="Heading 1 2 5 2 2 11" xfId="23057"/>
    <cellStyle name="Heading 1 2 5 2 2 11 2" xfId="23058"/>
    <cellStyle name="Heading 1 2 5 2 2 11 2 2" xfId="23059"/>
    <cellStyle name="Heading 1 2 5 2 2 11 3" xfId="23060"/>
    <cellStyle name="Heading 1 2 5 2 2 12" xfId="23061"/>
    <cellStyle name="Heading 1 2 5 2 2 12 2" xfId="23062"/>
    <cellStyle name="Heading 1 2 5 2 2 12 2 2" xfId="23063"/>
    <cellStyle name="Heading 1 2 5 2 2 12 3" xfId="23064"/>
    <cellStyle name="Heading 1 2 5 2 2 13" xfId="23065"/>
    <cellStyle name="Heading 1 2 5 2 2 13 2" xfId="23066"/>
    <cellStyle name="Heading 1 2 5 2 2 13 2 2" xfId="23067"/>
    <cellStyle name="Heading 1 2 5 2 2 13 3" xfId="23068"/>
    <cellStyle name="Heading 1 2 5 2 2 14" xfId="23069"/>
    <cellStyle name="Heading 1 2 5 2 2 14 2" xfId="23070"/>
    <cellStyle name="Heading 1 2 5 2 2 14 2 2" xfId="23071"/>
    <cellStyle name="Heading 1 2 5 2 2 14 3" xfId="23072"/>
    <cellStyle name="Heading 1 2 5 2 2 15" xfId="23073"/>
    <cellStyle name="Heading 1 2 5 2 2 15 2" xfId="23074"/>
    <cellStyle name="Heading 1 2 5 2 2 15 2 2" xfId="23075"/>
    <cellStyle name="Heading 1 2 5 2 2 15 3" xfId="23076"/>
    <cellStyle name="Heading 1 2 5 2 2 16" xfId="23077"/>
    <cellStyle name="Heading 1 2 5 2 2 16 2" xfId="23078"/>
    <cellStyle name="Heading 1 2 5 2 2 16 2 2" xfId="23079"/>
    <cellStyle name="Heading 1 2 5 2 2 16 3" xfId="23080"/>
    <cellStyle name="Heading 1 2 5 2 2 17" xfId="23081"/>
    <cellStyle name="Heading 1 2 5 2 2 17 2" xfId="23082"/>
    <cellStyle name="Heading 1 2 5 2 2 17 2 2" xfId="23083"/>
    <cellStyle name="Heading 1 2 5 2 2 17 3" xfId="23084"/>
    <cellStyle name="Heading 1 2 5 2 2 18" xfId="23085"/>
    <cellStyle name="Heading 1 2 5 2 2 18 2" xfId="23086"/>
    <cellStyle name="Heading 1 2 5 2 2 18 2 2" xfId="23087"/>
    <cellStyle name="Heading 1 2 5 2 2 18 3" xfId="23088"/>
    <cellStyle name="Heading 1 2 5 2 2 19" xfId="23089"/>
    <cellStyle name="Heading 1 2 5 2 2 19 2" xfId="23090"/>
    <cellStyle name="Heading 1 2 5 2 2 2" xfId="23091"/>
    <cellStyle name="Heading 1 2 5 2 2 2 2" xfId="23092"/>
    <cellStyle name="Heading 1 2 5 2 2 2 2 2" xfId="23093"/>
    <cellStyle name="Heading 1 2 5 2 2 2 2 2 2" xfId="23094"/>
    <cellStyle name="Heading 1 2 5 2 2 2 2 3" xfId="23095"/>
    <cellStyle name="Heading 1 2 5 2 2 2 3" xfId="23096"/>
    <cellStyle name="Heading 1 2 5 2 2 2 3 2" xfId="23097"/>
    <cellStyle name="Heading 1 2 5 2 2 2 3 2 2" xfId="23098"/>
    <cellStyle name="Heading 1 2 5 2 2 2 3 3" xfId="23099"/>
    <cellStyle name="Heading 1 2 5 2 2 2 4" xfId="23100"/>
    <cellStyle name="Heading 1 2 5 2 2 2 4 2" xfId="23101"/>
    <cellStyle name="Heading 1 2 5 2 2 2 4 2 2" xfId="23102"/>
    <cellStyle name="Heading 1 2 5 2 2 2 4 3" xfId="23103"/>
    <cellStyle name="Heading 1 2 5 2 2 2 5" xfId="23104"/>
    <cellStyle name="Heading 1 2 5 2 2 2 5 2" xfId="23105"/>
    <cellStyle name="Heading 1 2 5 2 2 2 5 2 2" xfId="23106"/>
    <cellStyle name="Heading 1 2 5 2 2 2 5 3" xfId="23107"/>
    <cellStyle name="Heading 1 2 5 2 2 2 6" xfId="23108"/>
    <cellStyle name="Heading 1 2 5 2 2 2 6 2" xfId="23109"/>
    <cellStyle name="Heading 1 2 5 2 2 2 6 2 2" xfId="23110"/>
    <cellStyle name="Heading 1 2 5 2 2 2 6 3" xfId="23111"/>
    <cellStyle name="Heading 1 2 5 2 2 2 7" xfId="23112"/>
    <cellStyle name="Heading 1 2 5 2 2 2 7 2" xfId="23113"/>
    <cellStyle name="Heading 1 2 5 2 2 2 7 2 2" xfId="23114"/>
    <cellStyle name="Heading 1 2 5 2 2 2 7 3" xfId="23115"/>
    <cellStyle name="Heading 1 2 5 2 2 2 8" xfId="23116"/>
    <cellStyle name="Heading 1 2 5 2 2 2 8 2" xfId="23117"/>
    <cellStyle name="Heading 1 2 5 2 2 2 9" xfId="23118"/>
    <cellStyle name="Heading 1 2 5 2 2 20" xfId="23119"/>
    <cellStyle name="Heading 1 2 5 2 2 20 2" xfId="23120"/>
    <cellStyle name="Heading 1 2 5 2 2 21" xfId="23121"/>
    <cellStyle name="Heading 1 2 5 2 2 21 2" xfId="23122"/>
    <cellStyle name="Heading 1 2 5 2 2 22" xfId="23123"/>
    <cellStyle name="Heading 1 2 5 2 2 3" xfId="23124"/>
    <cellStyle name="Heading 1 2 5 2 2 3 2" xfId="23125"/>
    <cellStyle name="Heading 1 2 5 2 2 3 2 2" xfId="23126"/>
    <cellStyle name="Heading 1 2 5 2 2 3 2 2 2" xfId="23127"/>
    <cellStyle name="Heading 1 2 5 2 2 3 2 3" xfId="23128"/>
    <cellStyle name="Heading 1 2 5 2 2 3 3" xfId="23129"/>
    <cellStyle name="Heading 1 2 5 2 2 3 3 2" xfId="23130"/>
    <cellStyle name="Heading 1 2 5 2 2 3 3 2 2" xfId="23131"/>
    <cellStyle name="Heading 1 2 5 2 2 3 3 3" xfId="23132"/>
    <cellStyle name="Heading 1 2 5 2 2 3 4" xfId="23133"/>
    <cellStyle name="Heading 1 2 5 2 2 3 4 2" xfId="23134"/>
    <cellStyle name="Heading 1 2 5 2 2 3 4 2 2" xfId="23135"/>
    <cellStyle name="Heading 1 2 5 2 2 3 4 3" xfId="23136"/>
    <cellStyle name="Heading 1 2 5 2 2 3 5" xfId="23137"/>
    <cellStyle name="Heading 1 2 5 2 2 3 5 2" xfId="23138"/>
    <cellStyle name="Heading 1 2 5 2 2 3 5 2 2" xfId="23139"/>
    <cellStyle name="Heading 1 2 5 2 2 3 5 3" xfId="23140"/>
    <cellStyle name="Heading 1 2 5 2 2 3 6" xfId="23141"/>
    <cellStyle name="Heading 1 2 5 2 2 3 6 2" xfId="23142"/>
    <cellStyle name="Heading 1 2 5 2 2 3 6 2 2" xfId="23143"/>
    <cellStyle name="Heading 1 2 5 2 2 3 6 3" xfId="23144"/>
    <cellStyle name="Heading 1 2 5 2 2 3 7" xfId="23145"/>
    <cellStyle name="Heading 1 2 5 2 2 3 7 2" xfId="23146"/>
    <cellStyle name="Heading 1 2 5 2 2 3 7 2 2" xfId="23147"/>
    <cellStyle name="Heading 1 2 5 2 2 3 7 3" xfId="23148"/>
    <cellStyle name="Heading 1 2 5 2 2 3 8" xfId="23149"/>
    <cellStyle name="Heading 1 2 5 2 2 3 8 2" xfId="23150"/>
    <cellStyle name="Heading 1 2 5 2 2 3 9" xfId="23151"/>
    <cellStyle name="Heading 1 2 5 2 2 4" xfId="23152"/>
    <cellStyle name="Heading 1 2 5 2 2 4 2" xfId="23153"/>
    <cellStyle name="Heading 1 2 5 2 2 4 2 2" xfId="23154"/>
    <cellStyle name="Heading 1 2 5 2 2 4 2 2 2" xfId="23155"/>
    <cellStyle name="Heading 1 2 5 2 2 4 2 3" xfId="23156"/>
    <cellStyle name="Heading 1 2 5 2 2 4 3" xfId="23157"/>
    <cellStyle name="Heading 1 2 5 2 2 4 3 2" xfId="23158"/>
    <cellStyle name="Heading 1 2 5 2 2 4 3 2 2" xfId="23159"/>
    <cellStyle name="Heading 1 2 5 2 2 4 3 3" xfId="23160"/>
    <cellStyle name="Heading 1 2 5 2 2 4 4" xfId="23161"/>
    <cellStyle name="Heading 1 2 5 2 2 4 4 2" xfId="23162"/>
    <cellStyle name="Heading 1 2 5 2 2 4 4 2 2" xfId="23163"/>
    <cellStyle name="Heading 1 2 5 2 2 4 4 3" xfId="23164"/>
    <cellStyle name="Heading 1 2 5 2 2 4 5" xfId="23165"/>
    <cellStyle name="Heading 1 2 5 2 2 4 5 2" xfId="23166"/>
    <cellStyle name="Heading 1 2 5 2 2 4 5 2 2" xfId="23167"/>
    <cellStyle name="Heading 1 2 5 2 2 4 5 3" xfId="23168"/>
    <cellStyle name="Heading 1 2 5 2 2 4 6" xfId="23169"/>
    <cellStyle name="Heading 1 2 5 2 2 4 6 2" xfId="23170"/>
    <cellStyle name="Heading 1 2 5 2 2 4 6 2 2" xfId="23171"/>
    <cellStyle name="Heading 1 2 5 2 2 4 6 3" xfId="23172"/>
    <cellStyle name="Heading 1 2 5 2 2 4 7" xfId="23173"/>
    <cellStyle name="Heading 1 2 5 2 2 4 7 2" xfId="23174"/>
    <cellStyle name="Heading 1 2 5 2 2 4 7 2 2" xfId="23175"/>
    <cellStyle name="Heading 1 2 5 2 2 4 7 3" xfId="23176"/>
    <cellStyle name="Heading 1 2 5 2 2 4 8" xfId="23177"/>
    <cellStyle name="Heading 1 2 5 2 2 4 8 2" xfId="23178"/>
    <cellStyle name="Heading 1 2 5 2 2 4 9" xfId="23179"/>
    <cellStyle name="Heading 1 2 5 2 2 5" xfId="23180"/>
    <cellStyle name="Heading 1 2 5 2 2 5 2" xfId="23181"/>
    <cellStyle name="Heading 1 2 5 2 2 5 2 2" xfId="23182"/>
    <cellStyle name="Heading 1 2 5 2 2 5 2 2 2" xfId="23183"/>
    <cellStyle name="Heading 1 2 5 2 2 5 2 3" xfId="23184"/>
    <cellStyle name="Heading 1 2 5 2 2 5 3" xfId="23185"/>
    <cellStyle name="Heading 1 2 5 2 2 5 3 2" xfId="23186"/>
    <cellStyle name="Heading 1 2 5 2 2 5 3 2 2" xfId="23187"/>
    <cellStyle name="Heading 1 2 5 2 2 5 3 3" xfId="23188"/>
    <cellStyle name="Heading 1 2 5 2 2 5 4" xfId="23189"/>
    <cellStyle name="Heading 1 2 5 2 2 5 4 2" xfId="23190"/>
    <cellStyle name="Heading 1 2 5 2 2 5 4 2 2" xfId="23191"/>
    <cellStyle name="Heading 1 2 5 2 2 5 4 3" xfId="23192"/>
    <cellStyle name="Heading 1 2 5 2 2 5 5" xfId="23193"/>
    <cellStyle name="Heading 1 2 5 2 2 5 5 2" xfId="23194"/>
    <cellStyle name="Heading 1 2 5 2 2 5 5 2 2" xfId="23195"/>
    <cellStyle name="Heading 1 2 5 2 2 5 5 3" xfId="23196"/>
    <cellStyle name="Heading 1 2 5 2 2 5 6" xfId="23197"/>
    <cellStyle name="Heading 1 2 5 2 2 5 6 2" xfId="23198"/>
    <cellStyle name="Heading 1 2 5 2 2 5 6 2 2" xfId="23199"/>
    <cellStyle name="Heading 1 2 5 2 2 5 6 3" xfId="23200"/>
    <cellStyle name="Heading 1 2 5 2 2 5 7" xfId="23201"/>
    <cellStyle name="Heading 1 2 5 2 2 5 7 2" xfId="23202"/>
    <cellStyle name="Heading 1 2 5 2 2 5 7 2 2" xfId="23203"/>
    <cellStyle name="Heading 1 2 5 2 2 5 7 3" xfId="23204"/>
    <cellStyle name="Heading 1 2 5 2 2 5 8" xfId="23205"/>
    <cellStyle name="Heading 1 2 5 2 2 5 8 2" xfId="23206"/>
    <cellStyle name="Heading 1 2 5 2 2 5 9" xfId="23207"/>
    <cellStyle name="Heading 1 2 5 2 2 6" xfId="23208"/>
    <cellStyle name="Heading 1 2 5 2 2 6 2" xfId="23209"/>
    <cellStyle name="Heading 1 2 5 2 2 6 2 2" xfId="23210"/>
    <cellStyle name="Heading 1 2 5 2 2 6 2 2 2" xfId="23211"/>
    <cellStyle name="Heading 1 2 5 2 2 6 2 3" xfId="23212"/>
    <cellStyle name="Heading 1 2 5 2 2 6 3" xfId="23213"/>
    <cellStyle name="Heading 1 2 5 2 2 6 3 2" xfId="23214"/>
    <cellStyle name="Heading 1 2 5 2 2 6 3 2 2" xfId="23215"/>
    <cellStyle name="Heading 1 2 5 2 2 6 3 3" xfId="23216"/>
    <cellStyle name="Heading 1 2 5 2 2 6 4" xfId="23217"/>
    <cellStyle name="Heading 1 2 5 2 2 6 4 2" xfId="23218"/>
    <cellStyle name="Heading 1 2 5 2 2 6 4 2 2" xfId="23219"/>
    <cellStyle name="Heading 1 2 5 2 2 6 4 3" xfId="23220"/>
    <cellStyle name="Heading 1 2 5 2 2 6 5" xfId="23221"/>
    <cellStyle name="Heading 1 2 5 2 2 6 5 2" xfId="23222"/>
    <cellStyle name="Heading 1 2 5 2 2 6 5 2 2" xfId="23223"/>
    <cellStyle name="Heading 1 2 5 2 2 6 5 3" xfId="23224"/>
    <cellStyle name="Heading 1 2 5 2 2 6 6" xfId="23225"/>
    <cellStyle name="Heading 1 2 5 2 2 6 6 2" xfId="23226"/>
    <cellStyle name="Heading 1 2 5 2 2 6 6 2 2" xfId="23227"/>
    <cellStyle name="Heading 1 2 5 2 2 6 6 3" xfId="23228"/>
    <cellStyle name="Heading 1 2 5 2 2 6 7" xfId="23229"/>
    <cellStyle name="Heading 1 2 5 2 2 6 7 2" xfId="23230"/>
    <cellStyle name="Heading 1 2 5 2 2 6 7 2 2" xfId="23231"/>
    <cellStyle name="Heading 1 2 5 2 2 6 7 3" xfId="23232"/>
    <cellStyle name="Heading 1 2 5 2 2 6 8" xfId="23233"/>
    <cellStyle name="Heading 1 2 5 2 2 6 8 2" xfId="23234"/>
    <cellStyle name="Heading 1 2 5 2 2 6 9" xfId="23235"/>
    <cellStyle name="Heading 1 2 5 2 2 7" xfId="23236"/>
    <cellStyle name="Heading 1 2 5 2 2 7 2" xfId="23237"/>
    <cellStyle name="Heading 1 2 5 2 2 7 2 2" xfId="23238"/>
    <cellStyle name="Heading 1 2 5 2 2 7 2 2 2" xfId="23239"/>
    <cellStyle name="Heading 1 2 5 2 2 7 2 3" xfId="23240"/>
    <cellStyle name="Heading 1 2 5 2 2 7 3" xfId="23241"/>
    <cellStyle name="Heading 1 2 5 2 2 7 3 2" xfId="23242"/>
    <cellStyle name="Heading 1 2 5 2 2 7 3 2 2" xfId="23243"/>
    <cellStyle name="Heading 1 2 5 2 2 7 3 3" xfId="23244"/>
    <cellStyle name="Heading 1 2 5 2 2 7 4" xfId="23245"/>
    <cellStyle name="Heading 1 2 5 2 2 7 4 2" xfId="23246"/>
    <cellStyle name="Heading 1 2 5 2 2 7 4 2 2" xfId="23247"/>
    <cellStyle name="Heading 1 2 5 2 2 7 4 3" xfId="23248"/>
    <cellStyle name="Heading 1 2 5 2 2 7 5" xfId="23249"/>
    <cellStyle name="Heading 1 2 5 2 2 7 5 2" xfId="23250"/>
    <cellStyle name="Heading 1 2 5 2 2 7 5 2 2" xfId="23251"/>
    <cellStyle name="Heading 1 2 5 2 2 7 5 3" xfId="23252"/>
    <cellStyle name="Heading 1 2 5 2 2 7 6" xfId="23253"/>
    <cellStyle name="Heading 1 2 5 2 2 7 6 2" xfId="23254"/>
    <cellStyle name="Heading 1 2 5 2 2 7 6 2 2" xfId="23255"/>
    <cellStyle name="Heading 1 2 5 2 2 7 6 3" xfId="23256"/>
    <cellStyle name="Heading 1 2 5 2 2 7 7" xfId="23257"/>
    <cellStyle name="Heading 1 2 5 2 2 7 7 2" xfId="23258"/>
    <cellStyle name="Heading 1 2 5 2 2 7 7 2 2" xfId="23259"/>
    <cellStyle name="Heading 1 2 5 2 2 7 7 3" xfId="23260"/>
    <cellStyle name="Heading 1 2 5 2 2 7 8" xfId="23261"/>
    <cellStyle name="Heading 1 2 5 2 2 7 8 2" xfId="23262"/>
    <cellStyle name="Heading 1 2 5 2 2 7 9" xfId="23263"/>
    <cellStyle name="Heading 1 2 5 2 2 8" xfId="23264"/>
    <cellStyle name="Heading 1 2 5 2 2 8 2" xfId="23265"/>
    <cellStyle name="Heading 1 2 5 2 2 8 2 2" xfId="23266"/>
    <cellStyle name="Heading 1 2 5 2 2 8 2 2 2" xfId="23267"/>
    <cellStyle name="Heading 1 2 5 2 2 8 2 3" xfId="23268"/>
    <cellStyle name="Heading 1 2 5 2 2 8 3" xfId="23269"/>
    <cellStyle name="Heading 1 2 5 2 2 8 3 2" xfId="23270"/>
    <cellStyle name="Heading 1 2 5 2 2 8 3 2 2" xfId="23271"/>
    <cellStyle name="Heading 1 2 5 2 2 8 3 3" xfId="23272"/>
    <cellStyle name="Heading 1 2 5 2 2 8 4" xfId="23273"/>
    <cellStyle name="Heading 1 2 5 2 2 8 4 2" xfId="23274"/>
    <cellStyle name="Heading 1 2 5 2 2 8 4 2 2" xfId="23275"/>
    <cellStyle name="Heading 1 2 5 2 2 8 4 3" xfId="23276"/>
    <cellStyle name="Heading 1 2 5 2 2 8 5" xfId="23277"/>
    <cellStyle name="Heading 1 2 5 2 2 8 5 2" xfId="23278"/>
    <cellStyle name="Heading 1 2 5 2 2 8 5 2 2" xfId="23279"/>
    <cellStyle name="Heading 1 2 5 2 2 8 5 3" xfId="23280"/>
    <cellStyle name="Heading 1 2 5 2 2 8 6" xfId="23281"/>
    <cellStyle name="Heading 1 2 5 2 2 8 6 2" xfId="23282"/>
    <cellStyle name="Heading 1 2 5 2 2 8 6 2 2" xfId="23283"/>
    <cellStyle name="Heading 1 2 5 2 2 8 6 3" xfId="23284"/>
    <cellStyle name="Heading 1 2 5 2 2 8 7" xfId="23285"/>
    <cellStyle name="Heading 1 2 5 2 2 8 7 2" xfId="23286"/>
    <cellStyle name="Heading 1 2 5 2 2 8 7 2 2" xfId="23287"/>
    <cellStyle name="Heading 1 2 5 2 2 8 7 3" xfId="23288"/>
    <cellStyle name="Heading 1 2 5 2 2 8 8" xfId="23289"/>
    <cellStyle name="Heading 1 2 5 2 2 8 8 2" xfId="23290"/>
    <cellStyle name="Heading 1 2 5 2 2 8 9" xfId="23291"/>
    <cellStyle name="Heading 1 2 5 2 2 9" xfId="23292"/>
    <cellStyle name="Heading 1 2 5 2 2 9 2" xfId="23293"/>
    <cellStyle name="Heading 1 2 5 2 2 9 2 2" xfId="23294"/>
    <cellStyle name="Heading 1 2 5 2 2 9 3" xfId="23295"/>
    <cellStyle name="Heading 1 2 5 2 20" xfId="23296"/>
    <cellStyle name="Heading 1 2 5 2 20 2" xfId="23297"/>
    <cellStyle name="Heading 1 2 5 2 21" xfId="23298"/>
    <cellStyle name="Heading 1 2 5 2 21 2" xfId="23299"/>
    <cellStyle name="Heading 1 2 5 2 22" xfId="23300"/>
    <cellStyle name="Heading 1 2 5 2 22 2" xfId="23301"/>
    <cellStyle name="Heading 1 2 5 2 23" xfId="23302"/>
    <cellStyle name="Heading 1 2 5 2 3" xfId="23303"/>
    <cellStyle name="Heading 1 2 5 2 3 2" xfId="23304"/>
    <cellStyle name="Heading 1 2 5 2 3 2 2" xfId="23305"/>
    <cellStyle name="Heading 1 2 5 2 3 2 2 2" xfId="23306"/>
    <cellStyle name="Heading 1 2 5 2 3 2 3" xfId="23307"/>
    <cellStyle name="Heading 1 2 5 2 3 3" xfId="23308"/>
    <cellStyle name="Heading 1 2 5 2 3 3 2" xfId="23309"/>
    <cellStyle name="Heading 1 2 5 2 3 3 2 2" xfId="23310"/>
    <cellStyle name="Heading 1 2 5 2 3 3 3" xfId="23311"/>
    <cellStyle name="Heading 1 2 5 2 3 4" xfId="23312"/>
    <cellStyle name="Heading 1 2 5 2 3 4 2" xfId="23313"/>
    <cellStyle name="Heading 1 2 5 2 3 4 2 2" xfId="23314"/>
    <cellStyle name="Heading 1 2 5 2 3 4 3" xfId="23315"/>
    <cellStyle name="Heading 1 2 5 2 3 5" xfId="23316"/>
    <cellStyle name="Heading 1 2 5 2 3 5 2" xfId="23317"/>
    <cellStyle name="Heading 1 2 5 2 3 5 2 2" xfId="23318"/>
    <cellStyle name="Heading 1 2 5 2 3 5 3" xfId="23319"/>
    <cellStyle name="Heading 1 2 5 2 3 6" xfId="23320"/>
    <cellStyle name="Heading 1 2 5 2 3 6 2" xfId="23321"/>
    <cellStyle name="Heading 1 2 5 2 3 6 2 2" xfId="23322"/>
    <cellStyle name="Heading 1 2 5 2 3 6 3" xfId="23323"/>
    <cellStyle name="Heading 1 2 5 2 3 7" xfId="23324"/>
    <cellStyle name="Heading 1 2 5 2 3 7 2" xfId="23325"/>
    <cellStyle name="Heading 1 2 5 2 3 7 2 2" xfId="23326"/>
    <cellStyle name="Heading 1 2 5 2 3 7 3" xfId="23327"/>
    <cellStyle name="Heading 1 2 5 2 3 8" xfId="23328"/>
    <cellStyle name="Heading 1 2 5 2 3 8 2" xfId="23329"/>
    <cellStyle name="Heading 1 2 5 2 3 9" xfId="23330"/>
    <cellStyle name="Heading 1 2 5 2 4" xfId="23331"/>
    <cellStyle name="Heading 1 2 5 2 4 2" xfId="23332"/>
    <cellStyle name="Heading 1 2 5 2 4 2 2" xfId="23333"/>
    <cellStyle name="Heading 1 2 5 2 4 2 2 2" xfId="23334"/>
    <cellStyle name="Heading 1 2 5 2 4 2 3" xfId="23335"/>
    <cellStyle name="Heading 1 2 5 2 4 3" xfId="23336"/>
    <cellStyle name="Heading 1 2 5 2 4 3 2" xfId="23337"/>
    <cellStyle name="Heading 1 2 5 2 4 3 2 2" xfId="23338"/>
    <cellStyle name="Heading 1 2 5 2 4 3 3" xfId="23339"/>
    <cellStyle name="Heading 1 2 5 2 4 4" xfId="23340"/>
    <cellStyle name="Heading 1 2 5 2 4 4 2" xfId="23341"/>
    <cellStyle name="Heading 1 2 5 2 4 4 2 2" xfId="23342"/>
    <cellStyle name="Heading 1 2 5 2 4 4 3" xfId="23343"/>
    <cellStyle name="Heading 1 2 5 2 4 5" xfId="23344"/>
    <cellStyle name="Heading 1 2 5 2 4 5 2" xfId="23345"/>
    <cellStyle name="Heading 1 2 5 2 4 5 2 2" xfId="23346"/>
    <cellStyle name="Heading 1 2 5 2 4 5 3" xfId="23347"/>
    <cellStyle name="Heading 1 2 5 2 4 6" xfId="23348"/>
    <cellStyle name="Heading 1 2 5 2 4 6 2" xfId="23349"/>
    <cellStyle name="Heading 1 2 5 2 4 6 2 2" xfId="23350"/>
    <cellStyle name="Heading 1 2 5 2 4 6 3" xfId="23351"/>
    <cellStyle name="Heading 1 2 5 2 4 7" xfId="23352"/>
    <cellStyle name="Heading 1 2 5 2 4 7 2" xfId="23353"/>
    <cellStyle name="Heading 1 2 5 2 4 7 2 2" xfId="23354"/>
    <cellStyle name="Heading 1 2 5 2 4 7 3" xfId="23355"/>
    <cellStyle name="Heading 1 2 5 2 4 8" xfId="23356"/>
    <cellStyle name="Heading 1 2 5 2 4 8 2" xfId="23357"/>
    <cellStyle name="Heading 1 2 5 2 4 9" xfId="23358"/>
    <cellStyle name="Heading 1 2 5 2 5" xfId="23359"/>
    <cellStyle name="Heading 1 2 5 2 5 2" xfId="23360"/>
    <cellStyle name="Heading 1 2 5 2 5 2 2" xfId="23361"/>
    <cellStyle name="Heading 1 2 5 2 5 2 2 2" xfId="23362"/>
    <cellStyle name="Heading 1 2 5 2 5 2 3" xfId="23363"/>
    <cellStyle name="Heading 1 2 5 2 5 3" xfId="23364"/>
    <cellStyle name="Heading 1 2 5 2 5 3 2" xfId="23365"/>
    <cellStyle name="Heading 1 2 5 2 5 3 2 2" xfId="23366"/>
    <cellStyle name="Heading 1 2 5 2 5 3 3" xfId="23367"/>
    <cellStyle name="Heading 1 2 5 2 5 4" xfId="23368"/>
    <cellStyle name="Heading 1 2 5 2 5 4 2" xfId="23369"/>
    <cellStyle name="Heading 1 2 5 2 5 4 2 2" xfId="23370"/>
    <cellStyle name="Heading 1 2 5 2 5 4 3" xfId="23371"/>
    <cellStyle name="Heading 1 2 5 2 5 5" xfId="23372"/>
    <cellStyle name="Heading 1 2 5 2 5 5 2" xfId="23373"/>
    <cellStyle name="Heading 1 2 5 2 5 5 2 2" xfId="23374"/>
    <cellStyle name="Heading 1 2 5 2 5 5 3" xfId="23375"/>
    <cellStyle name="Heading 1 2 5 2 5 6" xfId="23376"/>
    <cellStyle name="Heading 1 2 5 2 5 6 2" xfId="23377"/>
    <cellStyle name="Heading 1 2 5 2 5 6 2 2" xfId="23378"/>
    <cellStyle name="Heading 1 2 5 2 5 6 3" xfId="23379"/>
    <cellStyle name="Heading 1 2 5 2 5 7" xfId="23380"/>
    <cellStyle name="Heading 1 2 5 2 5 7 2" xfId="23381"/>
    <cellStyle name="Heading 1 2 5 2 5 7 2 2" xfId="23382"/>
    <cellStyle name="Heading 1 2 5 2 5 7 3" xfId="23383"/>
    <cellStyle name="Heading 1 2 5 2 5 8" xfId="23384"/>
    <cellStyle name="Heading 1 2 5 2 5 8 2" xfId="23385"/>
    <cellStyle name="Heading 1 2 5 2 5 9" xfId="23386"/>
    <cellStyle name="Heading 1 2 5 2 6" xfId="23387"/>
    <cellStyle name="Heading 1 2 5 2 6 2" xfId="23388"/>
    <cellStyle name="Heading 1 2 5 2 6 2 2" xfId="23389"/>
    <cellStyle name="Heading 1 2 5 2 6 2 2 2" xfId="23390"/>
    <cellStyle name="Heading 1 2 5 2 6 2 3" xfId="23391"/>
    <cellStyle name="Heading 1 2 5 2 6 3" xfId="23392"/>
    <cellStyle name="Heading 1 2 5 2 6 3 2" xfId="23393"/>
    <cellStyle name="Heading 1 2 5 2 6 3 2 2" xfId="23394"/>
    <cellStyle name="Heading 1 2 5 2 6 3 3" xfId="23395"/>
    <cellStyle name="Heading 1 2 5 2 6 4" xfId="23396"/>
    <cellStyle name="Heading 1 2 5 2 6 4 2" xfId="23397"/>
    <cellStyle name="Heading 1 2 5 2 6 4 2 2" xfId="23398"/>
    <cellStyle name="Heading 1 2 5 2 6 4 3" xfId="23399"/>
    <cellStyle name="Heading 1 2 5 2 6 5" xfId="23400"/>
    <cellStyle name="Heading 1 2 5 2 6 5 2" xfId="23401"/>
    <cellStyle name="Heading 1 2 5 2 6 5 2 2" xfId="23402"/>
    <cellStyle name="Heading 1 2 5 2 6 5 3" xfId="23403"/>
    <cellStyle name="Heading 1 2 5 2 6 6" xfId="23404"/>
    <cellStyle name="Heading 1 2 5 2 6 6 2" xfId="23405"/>
    <cellStyle name="Heading 1 2 5 2 6 6 2 2" xfId="23406"/>
    <cellStyle name="Heading 1 2 5 2 6 6 3" xfId="23407"/>
    <cellStyle name="Heading 1 2 5 2 6 7" xfId="23408"/>
    <cellStyle name="Heading 1 2 5 2 6 7 2" xfId="23409"/>
    <cellStyle name="Heading 1 2 5 2 6 7 2 2" xfId="23410"/>
    <cellStyle name="Heading 1 2 5 2 6 7 3" xfId="23411"/>
    <cellStyle name="Heading 1 2 5 2 6 8" xfId="23412"/>
    <cellStyle name="Heading 1 2 5 2 6 8 2" xfId="23413"/>
    <cellStyle name="Heading 1 2 5 2 6 9" xfId="23414"/>
    <cellStyle name="Heading 1 2 5 2 7" xfId="23415"/>
    <cellStyle name="Heading 1 2 5 2 7 2" xfId="23416"/>
    <cellStyle name="Heading 1 2 5 2 7 2 2" xfId="23417"/>
    <cellStyle name="Heading 1 2 5 2 7 2 2 2" xfId="23418"/>
    <cellStyle name="Heading 1 2 5 2 7 2 3" xfId="23419"/>
    <cellStyle name="Heading 1 2 5 2 7 3" xfId="23420"/>
    <cellStyle name="Heading 1 2 5 2 7 3 2" xfId="23421"/>
    <cellStyle name="Heading 1 2 5 2 7 3 2 2" xfId="23422"/>
    <cellStyle name="Heading 1 2 5 2 7 3 3" xfId="23423"/>
    <cellStyle name="Heading 1 2 5 2 7 4" xfId="23424"/>
    <cellStyle name="Heading 1 2 5 2 7 4 2" xfId="23425"/>
    <cellStyle name="Heading 1 2 5 2 7 4 2 2" xfId="23426"/>
    <cellStyle name="Heading 1 2 5 2 7 4 3" xfId="23427"/>
    <cellStyle name="Heading 1 2 5 2 7 5" xfId="23428"/>
    <cellStyle name="Heading 1 2 5 2 7 5 2" xfId="23429"/>
    <cellStyle name="Heading 1 2 5 2 7 5 2 2" xfId="23430"/>
    <cellStyle name="Heading 1 2 5 2 7 5 3" xfId="23431"/>
    <cellStyle name="Heading 1 2 5 2 7 6" xfId="23432"/>
    <cellStyle name="Heading 1 2 5 2 7 6 2" xfId="23433"/>
    <cellStyle name="Heading 1 2 5 2 7 6 2 2" xfId="23434"/>
    <cellStyle name="Heading 1 2 5 2 7 6 3" xfId="23435"/>
    <cellStyle name="Heading 1 2 5 2 7 7" xfId="23436"/>
    <cellStyle name="Heading 1 2 5 2 7 7 2" xfId="23437"/>
    <cellStyle name="Heading 1 2 5 2 7 7 2 2" xfId="23438"/>
    <cellStyle name="Heading 1 2 5 2 7 7 3" xfId="23439"/>
    <cellStyle name="Heading 1 2 5 2 7 8" xfId="23440"/>
    <cellStyle name="Heading 1 2 5 2 7 8 2" xfId="23441"/>
    <cellStyle name="Heading 1 2 5 2 7 9" xfId="23442"/>
    <cellStyle name="Heading 1 2 5 2 8" xfId="23443"/>
    <cellStyle name="Heading 1 2 5 2 8 2" xfId="23444"/>
    <cellStyle name="Heading 1 2 5 2 8 2 2" xfId="23445"/>
    <cellStyle name="Heading 1 2 5 2 8 2 2 2" xfId="23446"/>
    <cellStyle name="Heading 1 2 5 2 8 2 3" xfId="23447"/>
    <cellStyle name="Heading 1 2 5 2 8 3" xfId="23448"/>
    <cellStyle name="Heading 1 2 5 2 8 3 2" xfId="23449"/>
    <cellStyle name="Heading 1 2 5 2 8 3 2 2" xfId="23450"/>
    <cellStyle name="Heading 1 2 5 2 8 3 3" xfId="23451"/>
    <cellStyle name="Heading 1 2 5 2 8 4" xfId="23452"/>
    <cellStyle name="Heading 1 2 5 2 8 4 2" xfId="23453"/>
    <cellStyle name="Heading 1 2 5 2 8 4 2 2" xfId="23454"/>
    <cellStyle name="Heading 1 2 5 2 8 4 3" xfId="23455"/>
    <cellStyle name="Heading 1 2 5 2 8 5" xfId="23456"/>
    <cellStyle name="Heading 1 2 5 2 8 5 2" xfId="23457"/>
    <cellStyle name="Heading 1 2 5 2 8 5 2 2" xfId="23458"/>
    <cellStyle name="Heading 1 2 5 2 8 5 3" xfId="23459"/>
    <cellStyle name="Heading 1 2 5 2 8 6" xfId="23460"/>
    <cellStyle name="Heading 1 2 5 2 8 6 2" xfId="23461"/>
    <cellStyle name="Heading 1 2 5 2 8 6 2 2" xfId="23462"/>
    <cellStyle name="Heading 1 2 5 2 8 6 3" xfId="23463"/>
    <cellStyle name="Heading 1 2 5 2 8 7" xfId="23464"/>
    <cellStyle name="Heading 1 2 5 2 8 7 2" xfId="23465"/>
    <cellStyle name="Heading 1 2 5 2 8 7 2 2" xfId="23466"/>
    <cellStyle name="Heading 1 2 5 2 8 7 3" xfId="23467"/>
    <cellStyle name="Heading 1 2 5 2 8 8" xfId="23468"/>
    <cellStyle name="Heading 1 2 5 2 8 8 2" xfId="23469"/>
    <cellStyle name="Heading 1 2 5 2 8 9" xfId="23470"/>
    <cellStyle name="Heading 1 2 5 2 9" xfId="23471"/>
    <cellStyle name="Heading 1 2 5 2 9 2" xfId="23472"/>
    <cellStyle name="Heading 1 2 5 2 9 2 2" xfId="23473"/>
    <cellStyle name="Heading 1 2 5 2 9 2 2 2" xfId="23474"/>
    <cellStyle name="Heading 1 2 5 2 9 2 3" xfId="23475"/>
    <cellStyle name="Heading 1 2 5 2 9 3" xfId="23476"/>
    <cellStyle name="Heading 1 2 5 2 9 3 2" xfId="23477"/>
    <cellStyle name="Heading 1 2 5 2 9 3 2 2" xfId="23478"/>
    <cellStyle name="Heading 1 2 5 2 9 3 3" xfId="23479"/>
    <cellStyle name="Heading 1 2 5 2 9 4" xfId="23480"/>
    <cellStyle name="Heading 1 2 5 2 9 4 2" xfId="23481"/>
    <cellStyle name="Heading 1 2 5 2 9 4 2 2" xfId="23482"/>
    <cellStyle name="Heading 1 2 5 2 9 4 3" xfId="23483"/>
    <cellStyle name="Heading 1 2 5 2 9 5" xfId="23484"/>
    <cellStyle name="Heading 1 2 5 2 9 5 2" xfId="23485"/>
    <cellStyle name="Heading 1 2 5 2 9 5 2 2" xfId="23486"/>
    <cellStyle name="Heading 1 2 5 2 9 5 3" xfId="23487"/>
    <cellStyle name="Heading 1 2 5 2 9 6" xfId="23488"/>
    <cellStyle name="Heading 1 2 5 2 9 6 2" xfId="23489"/>
    <cellStyle name="Heading 1 2 5 2 9 6 2 2" xfId="23490"/>
    <cellStyle name="Heading 1 2 5 2 9 6 3" xfId="23491"/>
    <cellStyle name="Heading 1 2 5 2 9 7" xfId="23492"/>
    <cellStyle name="Heading 1 2 5 2 9 7 2" xfId="23493"/>
    <cellStyle name="Heading 1 2 5 2 9 7 2 2" xfId="23494"/>
    <cellStyle name="Heading 1 2 5 2 9 7 3" xfId="23495"/>
    <cellStyle name="Heading 1 2 5 2 9 8" xfId="23496"/>
    <cellStyle name="Heading 1 2 5 2 9 8 2" xfId="23497"/>
    <cellStyle name="Heading 1 2 5 2 9 9" xfId="23498"/>
    <cellStyle name="Heading 1 2 5 3" xfId="23499"/>
    <cellStyle name="Heading 1 2 5 3 10" xfId="23500"/>
    <cellStyle name="Heading 1 2 5 3 10 2" xfId="23501"/>
    <cellStyle name="Heading 1 2 5 3 10 2 2" xfId="23502"/>
    <cellStyle name="Heading 1 2 5 3 10 3" xfId="23503"/>
    <cellStyle name="Heading 1 2 5 3 11" xfId="23504"/>
    <cellStyle name="Heading 1 2 5 3 11 2" xfId="23505"/>
    <cellStyle name="Heading 1 2 5 3 11 2 2" xfId="23506"/>
    <cellStyle name="Heading 1 2 5 3 11 3" xfId="23507"/>
    <cellStyle name="Heading 1 2 5 3 12" xfId="23508"/>
    <cellStyle name="Heading 1 2 5 3 12 2" xfId="23509"/>
    <cellStyle name="Heading 1 2 5 3 12 2 2" xfId="23510"/>
    <cellStyle name="Heading 1 2 5 3 12 3" xfId="23511"/>
    <cellStyle name="Heading 1 2 5 3 13" xfId="23512"/>
    <cellStyle name="Heading 1 2 5 3 13 2" xfId="23513"/>
    <cellStyle name="Heading 1 2 5 3 13 2 2" xfId="23514"/>
    <cellStyle name="Heading 1 2 5 3 13 3" xfId="23515"/>
    <cellStyle name="Heading 1 2 5 3 14" xfId="23516"/>
    <cellStyle name="Heading 1 2 5 3 14 2" xfId="23517"/>
    <cellStyle name="Heading 1 2 5 3 14 2 2" xfId="23518"/>
    <cellStyle name="Heading 1 2 5 3 14 3" xfId="23519"/>
    <cellStyle name="Heading 1 2 5 3 15" xfId="23520"/>
    <cellStyle name="Heading 1 2 5 3 15 2" xfId="23521"/>
    <cellStyle name="Heading 1 2 5 3 15 2 2" xfId="23522"/>
    <cellStyle name="Heading 1 2 5 3 15 3" xfId="23523"/>
    <cellStyle name="Heading 1 2 5 3 16" xfId="23524"/>
    <cellStyle name="Heading 1 2 5 3 16 2" xfId="23525"/>
    <cellStyle name="Heading 1 2 5 3 16 2 2" xfId="23526"/>
    <cellStyle name="Heading 1 2 5 3 16 3" xfId="23527"/>
    <cellStyle name="Heading 1 2 5 3 17" xfId="23528"/>
    <cellStyle name="Heading 1 2 5 3 17 2" xfId="23529"/>
    <cellStyle name="Heading 1 2 5 3 17 2 2" xfId="23530"/>
    <cellStyle name="Heading 1 2 5 3 17 3" xfId="23531"/>
    <cellStyle name="Heading 1 2 5 3 18" xfId="23532"/>
    <cellStyle name="Heading 1 2 5 3 18 2" xfId="23533"/>
    <cellStyle name="Heading 1 2 5 3 18 2 2" xfId="23534"/>
    <cellStyle name="Heading 1 2 5 3 18 3" xfId="23535"/>
    <cellStyle name="Heading 1 2 5 3 19" xfId="23536"/>
    <cellStyle name="Heading 1 2 5 3 19 2" xfId="23537"/>
    <cellStyle name="Heading 1 2 5 3 2" xfId="23538"/>
    <cellStyle name="Heading 1 2 5 3 2 2" xfId="23539"/>
    <cellStyle name="Heading 1 2 5 3 2 2 2" xfId="23540"/>
    <cellStyle name="Heading 1 2 5 3 2 2 2 2" xfId="23541"/>
    <cellStyle name="Heading 1 2 5 3 2 2 3" xfId="23542"/>
    <cellStyle name="Heading 1 2 5 3 2 3" xfId="23543"/>
    <cellStyle name="Heading 1 2 5 3 2 3 2" xfId="23544"/>
    <cellStyle name="Heading 1 2 5 3 2 3 2 2" xfId="23545"/>
    <cellStyle name="Heading 1 2 5 3 2 3 3" xfId="23546"/>
    <cellStyle name="Heading 1 2 5 3 2 4" xfId="23547"/>
    <cellStyle name="Heading 1 2 5 3 2 4 2" xfId="23548"/>
    <cellStyle name="Heading 1 2 5 3 2 4 2 2" xfId="23549"/>
    <cellStyle name="Heading 1 2 5 3 2 4 3" xfId="23550"/>
    <cellStyle name="Heading 1 2 5 3 2 5" xfId="23551"/>
    <cellStyle name="Heading 1 2 5 3 2 5 2" xfId="23552"/>
    <cellStyle name="Heading 1 2 5 3 2 5 2 2" xfId="23553"/>
    <cellStyle name="Heading 1 2 5 3 2 5 3" xfId="23554"/>
    <cellStyle name="Heading 1 2 5 3 2 6" xfId="23555"/>
    <cellStyle name="Heading 1 2 5 3 2 6 2" xfId="23556"/>
    <cellStyle name="Heading 1 2 5 3 2 6 2 2" xfId="23557"/>
    <cellStyle name="Heading 1 2 5 3 2 6 3" xfId="23558"/>
    <cellStyle name="Heading 1 2 5 3 2 7" xfId="23559"/>
    <cellStyle name="Heading 1 2 5 3 2 7 2" xfId="23560"/>
    <cellStyle name="Heading 1 2 5 3 2 7 2 2" xfId="23561"/>
    <cellStyle name="Heading 1 2 5 3 2 7 3" xfId="23562"/>
    <cellStyle name="Heading 1 2 5 3 2 8" xfId="23563"/>
    <cellStyle name="Heading 1 2 5 3 2 8 2" xfId="23564"/>
    <cellStyle name="Heading 1 2 5 3 2 9" xfId="23565"/>
    <cellStyle name="Heading 1 2 5 3 20" xfId="23566"/>
    <cellStyle name="Heading 1 2 5 3 20 2" xfId="23567"/>
    <cellStyle name="Heading 1 2 5 3 21" xfId="23568"/>
    <cellStyle name="Heading 1 2 5 3 21 2" xfId="23569"/>
    <cellStyle name="Heading 1 2 5 3 22" xfId="23570"/>
    <cellStyle name="Heading 1 2 5 3 3" xfId="23571"/>
    <cellStyle name="Heading 1 2 5 3 3 2" xfId="23572"/>
    <cellStyle name="Heading 1 2 5 3 3 2 2" xfId="23573"/>
    <cellStyle name="Heading 1 2 5 3 3 2 2 2" xfId="23574"/>
    <cellStyle name="Heading 1 2 5 3 3 2 3" xfId="23575"/>
    <cellStyle name="Heading 1 2 5 3 3 3" xfId="23576"/>
    <cellStyle name="Heading 1 2 5 3 3 3 2" xfId="23577"/>
    <cellStyle name="Heading 1 2 5 3 3 3 2 2" xfId="23578"/>
    <cellStyle name="Heading 1 2 5 3 3 3 3" xfId="23579"/>
    <cellStyle name="Heading 1 2 5 3 3 4" xfId="23580"/>
    <cellStyle name="Heading 1 2 5 3 3 4 2" xfId="23581"/>
    <cellStyle name="Heading 1 2 5 3 3 4 2 2" xfId="23582"/>
    <cellStyle name="Heading 1 2 5 3 3 4 3" xfId="23583"/>
    <cellStyle name="Heading 1 2 5 3 3 5" xfId="23584"/>
    <cellStyle name="Heading 1 2 5 3 3 5 2" xfId="23585"/>
    <cellStyle name="Heading 1 2 5 3 3 5 2 2" xfId="23586"/>
    <cellStyle name="Heading 1 2 5 3 3 5 3" xfId="23587"/>
    <cellStyle name="Heading 1 2 5 3 3 6" xfId="23588"/>
    <cellStyle name="Heading 1 2 5 3 3 6 2" xfId="23589"/>
    <cellStyle name="Heading 1 2 5 3 3 6 2 2" xfId="23590"/>
    <cellStyle name="Heading 1 2 5 3 3 6 3" xfId="23591"/>
    <cellStyle name="Heading 1 2 5 3 3 7" xfId="23592"/>
    <cellStyle name="Heading 1 2 5 3 3 7 2" xfId="23593"/>
    <cellStyle name="Heading 1 2 5 3 3 7 2 2" xfId="23594"/>
    <cellStyle name="Heading 1 2 5 3 3 7 3" xfId="23595"/>
    <cellStyle name="Heading 1 2 5 3 3 8" xfId="23596"/>
    <cellStyle name="Heading 1 2 5 3 3 8 2" xfId="23597"/>
    <cellStyle name="Heading 1 2 5 3 3 9" xfId="23598"/>
    <cellStyle name="Heading 1 2 5 3 4" xfId="23599"/>
    <cellStyle name="Heading 1 2 5 3 4 2" xfId="23600"/>
    <cellStyle name="Heading 1 2 5 3 4 2 2" xfId="23601"/>
    <cellStyle name="Heading 1 2 5 3 4 2 2 2" xfId="23602"/>
    <cellStyle name="Heading 1 2 5 3 4 2 3" xfId="23603"/>
    <cellStyle name="Heading 1 2 5 3 4 3" xfId="23604"/>
    <cellStyle name="Heading 1 2 5 3 4 3 2" xfId="23605"/>
    <cellStyle name="Heading 1 2 5 3 4 3 2 2" xfId="23606"/>
    <cellStyle name="Heading 1 2 5 3 4 3 3" xfId="23607"/>
    <cellStyle name="Heading 1 2 5 3 4 4" xfId="23608"/>
    <cellStyle name="Heading 1 2 5 3 4 4 2" xfId="23609"/>
    <cellStyle name="Heading 1 2 5 3 4 4 2 2" xfId="23610"/>
    <cellStyle name="Heading 1 2 5 3 4 4 3" xfId="23611"/>
    <cellStyle name="Heading 1 2 5 3 4 5" xfId="23612"/>
    <cellStyle name="Heading 1 2 5 3 4 5 2" xfId="23613"/>
    <cellStyle name="Heading 1 2 5 3 4 5 2 2" xfId="23614"/>
    <cellStyle name="Heading 1 2 5 3 4 5 3" xfId="23615"/>
    <cellStyle name="Heading 1 2 5 3 4 6" xfId="23616"/>
    <cellStyle name="Heading 1 2 5 3 4 6 2" xfId="23617"/>
    <cellStyle name="Heading 1 2 5 3 4 6 2 2" xfId="23618"/>
    <cellStyle name="Heading 1 2 5 3 4 6 3" xfId="23619"/>
    <cellStyle name="Heading 1 2 5 3 4 7" xfId="23620"/>
    <cellStyle name="Heading 1 2 5 3 4 7 2" xfId="23621"/>
    <cellStyle name="Heading 1 2 5 3 4 7 2 2" xfId="23622"/>
    <cellStyle name="Heading 1 2 5 3 4 7 3" xfId="23623"/>
    <cellStyle name="Heading 1 2 5 3 4 8" xfId="23624"/>
    <cellStyle name="Heading 1 2 5 3 4 8 2" xfId="23625"/>
    <cellStyle name="Heading 1 2 5 3 4 9" xfId="23626"/>
    <cellStyle name="Heading 1 2 5 3 5" xfId="23627"/>
    <cellStyle name="Heading 1 2 5 3 5 2" xfId="23628"/>
    <cellStyle name="Heading 1 2 5 3 5 2 2" xfId="23629"/>
    <cellStyle name="Heading 1 2 5 3 5 2 2 2" xfId="23630"/>
    <cellStyle name="Heading 1 2 5 3 5 2 3" xfId="23631"/>
    <cellStyle name="Heading 1 2 5 3 5 3" xfId="23632"/>
    <cellStyle name="Heading 1 2 5 3 5 3 2" xfId="23633"/>
    <cellStyle name="Heading 1 2 5 3 5 3 2 2" xfId="23634"/>
    <cellStyle name="Heading 1 2 5 3 5 3 3" xfId="23635"/>
    <cellStyle name="Heading 1 2 5 3 5 4" xfId="23636"/>
    <cellStyle name="Heading 1 2 5 3 5 4 2" xfId="23637"/>
    <cellStyle name="Heading 1 2 5 3 5 4 2 2" xfId="23638"/>
    <cellStyle name="Heading 1 2 5 3 5 4 3" xfId="23639"/>
    <cellStyle name="Heading 1 2 5 3 5 5" xfId="23640"/>
    <cellStyle name="Heading 1 2 5 3 5 5 2" xfId="23641"/>
    <cellStyle name="Heading 1 2 5 3 5 5 2 2" xfId="23642"/>
    <cellStyle name="Heading 1 2 5 3 5 5 3" xfId="23643"/>
    <cellStyle name="Heading 1 2 5 3 5 6" xfId="23644"/>
    <cellStyle name="Heading 1 2 5 3 5 6 2" xfId="23645"/>
    <cellStyle name="Heading 1 2 5 3 5 6 2 2" xfId="23646"/>
    <cellStyle name="Heading 1 2 5 3 5 6 3" xfId="23647"/>
    <cellStyle name="Heading 1 2 5 3 5 7" xfId="23648"/>
    <cellStyle name="Heading 1 2 5 3 5 7 2" xfId="23649"/>
    <cellStyle name="Heading 1 2 5 3 5 7 2 2" xfId="23650"/>
    <cellStyle name="Heading 1 2 5 3 5 7 3" xfId="23651"/>
    <cellStyle name="Heading 1 2 5 3 5 8" xfId="23652"/>
    <cellStyle name="Heading 1 2 5 3 5 8 2" xfId="23653"/>
    <cellStyle name="Heading 1 2 5 3 5 9" xfId="23654"/>
    <cellStyle name="Heading 1 2 5 3 6" xfId="23655"/>
    <cellStyle name="Heading 1 2 5 3 6 2" xfId="23656"/>
    <cellStyle name="Heading 1 2 5 3 6 2 2" xfId="23657"/>
    <cellStyle name="Heading 1 2 5 3 6 2 2 2" xfId="23658"/>
    <cellStyle name="Heading 1 2 5 3 6 2 3" xfId="23659"/>
    <cellStyle name="Heading 1 2 5 3 6 3" xfId="23660"/>
    <cellStyle name="Heading 1 2 5 3 6 3 2" xfId="23661"/>
    <cellStyle name="Heading 1 2 5 3 6 3 2 2" xfId="23662"/>
    <cellStyle name="Heading 1 2 5 3 6 3 3" xfId="23663"/>
    <cellStyle name="Heading 1 2 5 3 6 4" xfId="23664"/>
    <cellStyle name="Heading 1 2 5 3 6 4 2" xfId="23665"/>
    <cellStyle name="Heading 1 2 5 3 6 4 2 2" xfId="23666"/>
    <cellStyle name="Heading 1 2 5 3 6 4 3" xfId="23667"/>
    <cellStyle name="Heading 1 2 5 3 6 5" xfId="23668"/>
    <cellStyle name="Heading 1 2 5 3 6 5 2" xfId="23669"/>
    <cellStyle name="Heading 1 2 5 3 6 5 2 2" xfId="23670"/>
    <cellStyle name="Heading 1 2 5 3 6 5 3" xfId="23671"/>
    <cellStyle name="Heading 1 2 5 3 6 6" xfId="23672"/>
    <cellStyle name="Heading 1 2 5 3 6 6 2" xfId="23673"/>
    <cellStyle name="Heading 1 2 5 3 6 6 2 2" xfId="23674"/>
    <cellStyle name="Heading 1 2 5 3 6 6 3" xfId="23675"/>
    <cellStyle name="Heading 1 2 5 3 6 7" xfId="23676"/>
    <cellStyle name="Heading 1 2 5 3 6 7 2" xfId="23677"/>
    <cellStyle name="Heading 1 2 5 3 6 7 2 2" xfId="23678"/>
    <cellStyle name="Heading 1 2 5 3 6 7 3" xfId="23679"/>
    <cellStyle name="Heading 1 2 5 3 6 8" xfId="23680"/>
    <cellStyle name="Heading 1 2 5 3 6 8 2" xfId="23681"/>
    <cellStyle name="Heading 1 2 5 3 6 9" xfId="23682"/>
    <cellStyle name="Heading 1 2 5 3 7" xfId="23683"/>
    <cellStyle name="Heading 1 2 5 3 7 2" xfId="23684"/>
    <cellStyle name="Heading 1 2 5 3 7 2 2" xfId="23685"/>
    <cellStyle name="Heading 1 2 5 3 7 2 2 2" xfId="23686"/>
    <cellStyle name="Heading 1 2 5 3 7 2 3" xfId="23687"/>
    <cellStyle name="Heading 1 2 5 3 7 3" xfId="23688"/>
    <cellStyle name="Heading 1 2 5 3 7 3 2" xfId="23689"/>
    <cellStyle name="Heading 1 2 5 3 7 3 2 2" xfId="23690"/>
    <cellStyle name="Heading 1 2 5 3 7 3 3" xfId="23691"/>
    <cellStyle name="Heading 1 2 5 3 7 4" xfId="23692"/>
    <cellStyle name="Heading 1 2 5 3 7 4 2" xfId="23693"/>
    <cellStyle name="Heading 1 2 5 3 7 4 2 2" xfId="23694"/>
    <cellStyle name="Heading 1 2 5 3 7 4 3" xfId="23695"/>
    <cellStyle name="Heading 1 2 5 3 7 5" xfId="23696"/>
    <cellStyle name="Heading 1 2 5 3 7 5 2" xfId="23697"/>
    <cellStyle name="Heading 1 2 5 3 7 5 2 2" xfId="23698"/>
    <cellStyle name="Heading 1 2 5 3 7 5 3" xfId="23699"/>
    <cellStyle name="Heading 1 2 5 3 7 6" xfId="23700"/>
    <cellStyle name="Heading 1 2 5 3 7 6 2" xfId="23701"/>
    <cellStyle name="Heading 1 2 5 3 7 6 2 2" xfId="23702"/>
    <cellStyle name="Heading 1 2 5 3 7 6 3" xfId="23703"/>
    <cellStyle name="Heading 1 2 5 3 7 7" xfId="23704"/>
    <cellStyle name="Heading 1 2 5 3 7 7 2" xfId="23705"/>
    <cellStyle name="Heading 1 2 5 3 7 7 2 2" xfId="23706"/>
    <cellStyle name="Heading 1 2 5 3 7 7 3" xfId="23707"/>
    <cellStyle name="Heading 1 2 5 3 7 8" xfId="23708"/>
    <cellStyle name="Heading 1 2 5 3 7 8 2" xfId="23709"/>
    <cellStyle name="Heading 1 2 5 3 7 9" xfId="23710"/>
    <cellStyle name="Heading 1 2 5 3 8" xfId="23711"/>
    <cellStyle name="Heading 1 2 5 3 8 2" xfId="23712"/>
    <cellStyle name="Heading 1 2 5 3 8 2 2" xfId="23713"/>
    <cellStyle name="Heading 1 2 5 3 8 2 2 2" xfId="23714"/>
    <cellStyle name="Heading 1 2 5 3 8 2 3" xfId="23715"/>
    <cellStyle name="Heading 1 2 5 3 8 3" xfId="23716"/>
    <cellStyle name="Heading 1 2 5 3 8 3 2" xfId="23717"/>
    <cellStyle name="Heading 1 2 5 3 8 3 2 2" xfId="23718"/>
    <cellStyle name="Heading 1 2 5 3 8 3 3" xfId="23719"/>
    <cellStyle name="Heading 1 2 5 3 8 4" xfId="23720"/>
    <cellStyle name="Heading 1 2 5 3 8 4 2" xfId="23721"/>
    <cellStyle name="Heading 1 2 5 3 8 4 2 2" xfId="23722"/>
    <cellStyle name="Heading 1 2 5 3 8 4 3" xfId="23723"/>
    <cellStyle name="Heading 1 2 5 3 8 5" xfId="23724"/>
    <cellStyle name="Heading 1 2 5 3 8 5 2" xfId="23725"/>
    <cellStyle name="Heading 1 2 5 3 8 5 2 2" xfId="23726"/>
    <cellStyle name="Heading 1 2 5 3 8 5 3" xfId="23727"/>
    <cellStyle name="Heading 1 2 5 3 8 6" xfId="23728"/>
    <cellStyle name="Heading 1 2 5 3 8 6 2" xfId="23729"/>
    <cellStyle name="Heading 1 2 5 3 8 6 2 2" xfId="23730"/>
    <cellStyle name="Heading 1 2 5 3 8 6 3" xfId="23731"/>
    <cellStyle name="Heading 1 2 5 3 8 7" xfId="23732"/>
    <cellStyle name="Heading 1 2 5 3 8 7 2" xfId="23733"/>
    <cellStyle name="Heading 1 2 5 3 8 7 2 2" xfId="23734"/>
    <cellStyle name="Heading 1 2 5 3 8 7 3" xfId="23735"/>
    <cellStyle name="Heading 1 2 5 3 8 8" xfId="23736"/>
    <cellStyle name="Heading 1 2 5 3 8 8 2" xfId="23737"/>
    <cellStyle name="Heading 1 2 5 3 8 9" xfId="23738"/>
    <cellStyle name="Heading 1 2 5 3 9" xfId="23739"/>
    <cellStyle name="Heading 1 2 5 3 9 2" xfId="23740"/>
    <cellStyle name="Heading 1 2 5 3 9 2 2" xfId="23741"/>
    <cellStyle name="Heading 1 2 5 3 9 3" xfId="23742"/>
    <cellStyle name="Heading 1 2 5 4" xfId="23743"/>
    <cellStyle name="Heading 1 2 5 4 2" xfId="23744"/>
    <cellStyle name="Heading 1 2 5 4 2 2" xfId="23745"/>
    <cellStyle name="Heading 1 2 5 4 3" xfId="23746"/>
    <cellStyle name="Heading 1 2 5 5" xfId="23747"/>
    <cellStyle name="Heading 1 2 5 5 2" xfId="23748"/>
    <cellStyle name="Heading 1 2 5 6" xfId="23749"/>
    <cellStyle name="Heading 1 2 6" xfId="23750"/>
    <cellStyle name="Heading 1 2 6 2" xfId="23751"/>
    <cellStyle name="Heading 1 2 6 2 10" xfId="23752"/>
    <cellStyle name="Heading 1 2 6 2 10 2" xfId="23753"/>
    <cellStyle name="Heading 1 2 6 2 10 2 2" xfId="23754"/>
    <cellStyle name="Heading 1 2 6 2 10 3" xfId="23755"/>
    <cellStyle name="Heading 1 2 6 2 11" xfId="23756"/>
    <cellStyle name="Heading 1 2 6 2 11 2" xfId="23757"/>
    <cellStyle name="Heading 1 2 6 2 11 2 2" xfId="23758"/>
    <cellStyle name="Heading 1 2 6 2 11 3" xfId="23759"/>
    <cellStyle name="Heading 1 2 6 2 12" xfId="23760"/>
    <cellStyle name="Heading 1 2 6 2 12 2" xfId="23761"/>
    <cellStyle name="Heading 1 2 6 2 12 2 2" xfId="23762"/>
    <cellStyle name="Heading 1 2 6 2 12 3" xfId="23763"/>
    <cellStyle name="Heading 1 2 6 2 13" xfId="23764"/>
    <cellStyle name="Heading 1 2 6 2 13 2" xfId="23765"/>
    <cellStyle name="Heading 1 2 6 2 13 2 2" xfId="23766"/>
    <cellStyle name="Heading 1 2 6 2 13 3" xfId="23767"/>
    <cellStyle name="Heading 1 2 6 2 14" xfId="23768"/>
    <cellStyle name="Heading 1 2 6 2 14 2" xfId="23769"/>
    <cellStyle name="Heading 1 2 6 2 14 2 2" xfId="23770"/>
    <cellStyle name="Heading 1 2 6 2 14 3" xfId="23771"/>
    <cellStyle name="Heading 1 2 6 2 15" xfId="23772"/>
    <cellStyle name="Heading 1 2 6 2 15 2" xfId="23773"/>
    <cellStyle name="Heading 1 2 6 2 15 2 2" xfId="23774"/>
    <cellStyle name="Heading 1 2 6 2 15 3" xfId="23775"/>
    <cellStyle name="Heading 1 2 6 2 16" xfId="23776"/>
    <cellStyle name="Heading 1 2 6 2 16 2" xfId="23777"/>
    <cellStyle name="Heading 1 2 6 2 16 2 2" xfId="23778"/>
    <cellStyle name="Heading 1 2 6 2 16 3" xfId="23779"/>
    <cellStyle name="Heading 1 2 6 2 17" xfId="23780"/>
    <cellStyle name="Heading 1 2 6 2 17 2" xfId="23781"/>
    <cellStyle name="Heading 1 2 6 2 17 2 2" xfId="23782"/>
    <cellStyle name="Heading 1 2 6 2 17 3" xfId="23783"/>
    <cellStyle name="Heading 1 2 6 2 18" xfId="23784"/>
    <cellStyle name="Heading 1 2 6 2 18 2" xfId="23785"/>
    <cellStyle name="Heading 1 2 6 2 18 2 2" xfId="23786"/>
    <cellStyle name="Heading 1 2 6 2 18 3" xfId="23787"/>
    <cellStyle name="Heading 1 2 6 2 19" xfId="23788"/>
    <cellStyle name="Heading 1 2 6 2 19 2" xfId="23789"/>
    <cellStyle name="Heading 1 2 6 2 19 2 2" xfId="23790"/>
    <cellStyle name="Heading 1 2 6 2 19 3" xfId="23791"/>
    <cellStyle name="Heading 1 2 6 2 2" xfId="23792"/>
    <cellStyle name="Heading 1 2 6 2 2 10" xfId="23793"/>
    <cellStyle name="Heading 1 2 6 2 2 10 2" xfId="23794"/>
    <cellStyle name="Heading 1 2 6 2 2 10 2 2" xfId="23795"/>
    <cellStyle name="Heading 1 2 6 2 2 10 3" xfId="23796"/>
    <cellStyle name="Heading 1 2 6 2 2 11" xfId="23797"/>
    <cellStyle name="Heading 1 2 6 2 2 11 2" xfId="23798"/>
    <cellStyle name="Heading 1 2 6 2 2 11 2 2" xfId="23799"/>
    <cellStyle name="Heading 1 2 6 2 2 11 3" xfId="23800"/>
    <cellStyle name="Heading 1 2 6 2 2 12" xfId="23801"/>
    <cellStyle name="Heading 1 2 6 2 2 12 2" xfId="23802"/>
    <cellStyle name="Heading 1 2 6 2 2 12 2 2" xfId="23803"/>
    <cellStyle name="Heading 1 2 6 2 2 12 3" xfId="23804"/>
    <cellStyle name="Heading 1 2 6 2 2 13" xfId="23805"/>
    <cellStyle name="Heading 1 2 6 2 2 13 2" xfId="23806"/>
    <cellStyle name="Heading 1 2 6 2 2 13 2 2" xfId="23807"/>
    <cellStyle name="Heading 1 2 6 2 2 13 3" xfId="23808"/>
    <cellStyle name="Heading 1 2 6 2 2 14" xfId="23809"/>
    <cellStyle name="Heading 1 2 6 2 2 14 2" xfId="23810"/>
    <cellStyle name="Heading 1 2 6 2 2 14 2 2" xfId="23811"/>
    <cellStyle name="Heading 1 2 6 2 2 14 3" xfId="23812"/>
    <cellStyle name="Heading 1 2 6 2 2 15" xfId="23813"/>
    <cellStyle name="Heading 1 2 6 2 2 15 2" xfId="23814"/>
    <cellStyle name="Heading 1 2 6 2 2 15 2 2" xfId="23815"/>
    <cellStyle name="Heading 1 2 6 2 2 15 3" xfId="23816"/>
    <cellStyle name="Heading 1 2 6 2 2 16" xfId="23817"/>
    <cellStyle name="Heading 1 2 6 2 2 16 2" xfId="23818"/>
    <cellStyle name="Heading 1 2 6 2 2 16 2 2" xfId="23819"/>
    <cellStyle name="Heading 1 2 6 2 2 16 3" xfId="23820"/>
    <cellStyle name="Heading 1 2 6 2 2 17" xfId="23821"/>
    <cellStyle name="Heading 1 2 6 2 2 17 2" xfId="23822"/>
    <cellStyle name="Heading 1 2 6 2 2 17 2 2" xfId="23823"/>
    <cellStyle name="Heading 1 2 6 2 2 17 3" xfId="23824"/>
    <cellStyle name="Heading 1 2 6 2 2 18" xfId="23825"/>
    <cellStyle name="Heading 1 2 6 2 2 18 2" xfId="23826"/>
    <cellStyle name="Heading 1 2 6 2 2 18 2 2" xfId="23827"/>
    <cellStyle name="Heading 1 2 6 2 2 18 3" xfId="23828"/>
    <cellStyle name="Heading 1 2 6 2 2 19" xfId="23829"/>
    <cellStyle name="Heading 1 2 6 2 2 19 2" xfId="23830"/>
    <cellStyle name="Heading 1 2 6 2 2 2" xfId="23831"/>
    <cellStyle name="Heading 1 2 6 2 2 2 2" xfId="23832"/>
    <cellStyle name="Heading 1 2 6 2 2 2 2 2" xfId="23833"/>
    <cellStyle name="Heading 1 2 6 2 2 2 2 2 2" xfId="23834"/>
    <cellStyle name="Heading 1 2 6 2 2 2 2 3" xfId="23835"/>
    <cellStyle name="Heading 1 2 6 2 2 2 3" xfId="23836"/>
    <cellStyle name="Heading 1 2 6 2 2 2 3 2" xfId="23837"/>
    <cellStyle name="Heading 1 2 6 2 2 2 3 2 2" xfId="23838"/>
    <cellStyle name="Heading 1 2 6 2 2 2 3 3" xfId="23839"/>
    <cellStyle name="Heading 1 2 6 2 2 2 4" xfId="23840"/>
    <cellStyle name="Heading 1 2 6 2 2 2 4 2" xfId="23841"/>
    <cellStyle name="Heading 1 2 6 2 2 2 4 2 2" xfId="23842"/>
    <cellStyle name="Heading 1 2 6 2 2 2 4 3" xfId="23843"/>
    <cellStyle name="Heading 1 2 6 2 2 2 5" xfId="23844"/>
    <cellStyle name="Heading 1 2 6 2 2 2 5 2" xfId="23845"/>
    <cellStyle name="Heading 1 2 6 2 2 2 5 2 2" xfId="23846"/>
    <cellStyle name="Heading 1 2 6 2 2 2 5 3" xfId="23847"/>
    <cellStyle name="Heading 1 2 6 2 2 2 6" xfId="23848"/>
    <cellStyle name="Heading 1 2 6 2 2 2 6 2" xfId="23849"/>
    <cellStyle name="Heading 1 2 6 2 2 2 6 2 2" xfId="23850"/>
    <cellStyle name="Heading 1 2 6 2 2 2 6 3" xfId="23851"/>
    <cellStyle name="Heading 1 2 6 2 2 2 7" xfId="23852"/>
    <cellStyle name="Heading 1 2 6 2 2 2 7 2" xfId="23853"/>
    <cellStyle name="Heading 1 2 6 2 2 2 7 2 2" xfId="23854"/>
    <cellStyle name="Heading 1 2 6 2 2 2 7 3" xfId="23855"/>
    <cellStyle name="Heading 1 2 6 2 2 2 8" xfId="23856"/>
    <cellStyle name="Heading 1 2 6 2 2 2 8 2" xfId="23857"/>
    <cellStyle name="Heading 1 2 6 2 2 2 9" xfId="23858"/>
    <cellStyle name="Heading 1 2 6 2 2 20" xfId="23859"/>
    <cellStyle name="Heading 1 2 6 2 2 20 2" xfId="23860"/>
    <cellStyle name="Heading 1 2 6 2 2 21" xfId="23861"/>
    <cellStyle name="Heading 1 2 6 2 2 21 2" xfId="23862"/>
    <cellStyle name="Heading 1 2 6 2 2 22" xfId="23863"/>
    <cellStyle name="Heading 1 2 6 2 2 3" xfId="23864"/>
    <cellStyle name="Heading 1 2 6 2 2 3 2" xfId="23865"/>
    <cellStyle name="Heading 1 2 6 2 2 3 2 2" xfId="23866"/>
    <cellStyle name="Heading 1 2 6 2 2 3 2 2 2" xfId="23867"/>
    <cellStyle name="Heading 1 2 6 2 2 3 2 3" xfId="23868"/>
    <cellStyle name="Heading 1 2 6 2 2 3 3" xfId="23869"/>
    <cellStyle name="Heading 1 2 6 2 2 3 3 2" xfId="23870"/>
    <cellStyle name="Heading 1 2 6 2 2 3 3 2 2" xfId="23871"/>
    <cellStyle name="Heading 1 2 6 2 2 3 3 3" xfId="23872"/>
    <cellStyle name="Heading 1 2 6 2 2 3 4" xfId="23873"/>
    <cellStyle name="Heading 1 2 6 2 2 3 4 2" xfId="23874"/>
    <cellStyle name="Heading 1 2 6 2 2 3 4 2 2" xfId="23875"/>
    <cellStyle name="Heading 1 2 6 2 2 3 4 3" xfId="23876"/>
    <cellStyle name="Heading 1 2 6 2 2 3 5" xfId="23877"/>
    <cellStyle name="Heading 1 2 6 2 2 3 5 2" xfId="23878"/>
    <cellStyle name="Heading 1 2 6 2 2 3 5 2 2" xfId="23879"/>
    <cellStyle name="Heading 1 2 6 2 2 3 5 3" xfId="23880"/>
    <cellStyle name="Heading 1 2 6 2 2 3 6" xfId="23881"/>
    <cellStyle name="Heading 1 2 6 2 2 3 6 2" xfId="23882"/>
    <cellStyle name="Heading 1 2 6 2 2 3 6 2 2" xfId="23883"/>
    <cellStyle name="Heading 1 2 6 2 2 3 6 3" xfId="23884"/>
    <cellStyle name="Heading 1 2 6 2 2 3 7" xfId="23885"/>
    <cellStyle name="Heading 1 2 6 2 2 3 7 2" xfId="23886"/>
    <cellStyle name="Heading 1 2 6 2 2 3 7 2 2" xfId="23887"/>
    <cellStyle name="Heading 1 2 6 2 2 3 7 3" xfId="23888"/>
    <cellStyle name="Heading 1 2 6 2 2 3 8" xfId="23889"/>
    <cellStyle name="Heading 1 2 6 2 2 3 8 2" xfId="23890"/>
    <cellStyle name="Heading 1 2 6 2 2 3 9" xfId="23891"/>
    <cellStyle name="Heading 1 2 6 2 2 4" xfId="23892"/>
    <cellStyle name="Heading 1 2 6 2 2 4 2" xfId="23893"/>
    <cellStyle name="Heading 1 2 6 2 2 4 2 2" xfId="23894"/>
    <cellStyle name="Heading 1 2 6 2 2 4 2 2 2" xfId="23895"/>
    <cellStyle name="Heading 1 2 6 2 2 4 2 3" xfId="23896"/>
    <cellStyle name="Heading 1 2 6 2 2 4 3" xfId="23897"/>
    <cellStyle name="Heading 1 2 6 2 2 4 3 2" xfId="23898"/>
    <cellStyle name="Heading 1 2 6 2 2 4 3 2 2" xfId="23899"/>
    <cellStyle name="Heading 1 2 6 2 2 4 3 3" xfId="23900"/>
    <cellStyle name="Heading 1 2 6 2 2 4 4" xfId="23901"/>
    <cellStyle name="Heading 1 2 6 2 2 4 4 2" xfId="23902"/>
    <cellStyle name="Heading 1 2 6 2 2 4 4 2 2" xfId="23903"/>
    <cellStyle name="Heading 1 2 6 2 2 4 4 3" xfId="23904"/>
    <cellStyle name="Heading 1 2 6 2 2 4 5" xfId="23905"/>
    <cellStyle name="Heading 1 2 6 2 2 4 5 2" xfId="23906"/>
    <cellStyle name="Heading 1 2 6 2 2 4 5 2 2" xfId="23907"/>
    <cellStyle name="Heading 1 2 6 2 2 4 5 3" xfId="23908"/>
    <cellStyle name="Heading 1 2 6 2 2 4 6" xfId="23909"/>
    <cellStyle name="Heading 1 2 6 2 2 4 6 2" xfId="23910"/>
    <cellStyle name="Heading 1 2 6 2 2 4 6 2 2" xfId="23911"/>
    <cellStyle name="Heading 1 2 6 2 2 4 6 3" xfId="23912"/>
    <cellStyle name="Heading 1 2 6 2 2 4 7" xfId="23913"/>
    <cellStyle name="Heading 1 2 6 2 2 4 7 2" xfId="23914"/>
    <cellStyle name="Heading 1 2 6 2 2 4 7 2 2" xfId="23915"/>
    <cellStyle name="Heading 1 2 6 2 2 4 7 3" xfId="23916"/>
    <cellStyle name="Heading 1 2 6 2 2 4 8" xfId="23917"/>
    <cellStyle name="Heading 1 2 6 2 2 4 8 2" xfId="23918"/>
    <cellStyle name="Heading 1 2 6 2 2 4 9" xfId="23919"/>
    <cellStyle name="Heading 1 2 6 2 2 5" xfId="23920"/>
    <cellStyle name="Heading 1 2 6 2 2 5 2" xfId="23921"/>
    <cellStyle name="Heading 1 2 6 2 2 5 2 2" xfId="23922"/>
    <cellStyle name="Heading 1 2 6 2 2 5 2 2 2" xfId="23923"/>
    <cellStyle name="Heading 1 2 6 2 2 5 2 3" xfId="23924"/>
    <cellStyle name="Heading 1 2 6 2 2 5 3" xfId="23925"/>
    <cellStyle name="Heading 1 2 6 2 2 5 3 2" xfId="23926"/>
    <cellStyle name="Heading 1 2 6 2 2 5 3 2 2" xfId="23927"/>
    <cellStyle name="Heading 1 2 6 2 2 5 3 3" xfId="23928"/>
    <cellStyle name="Heading 1 2 6 2 2 5 4" xfId="23929"/>
    <cellStyle name="Heading 1 2 6 2 2 5 4 2" xfId="23930"/>
    <cellStyle name="Heading 1 2 6 2 2 5 4 2 2" xfId="23931"/>
    <cellStyle name="Heading 1 2 6 2 2 5 4 3" xfId="23932"/>
    <cellStyle name="Heading 1 2 6 2 2 5 5" xfId="23933"/>
    <cellStyle name="Heading 1 2 6 2 2 5 5 2" xfId="23934"/>
    <cellStyle name="Heading 1 2 6 2 2 5 5 2 2" xfId="23935"/>
    <cellStyle name="Heading 1 2 6 2 2 5 5 3" xfId="23936"/>
    <cellStyle name="Heading 1 2 6 2 2 5 6" xfId="23937"/>
    <cellStyle name="Heading 1 2 6 2 2 5 6 2" xfId="23938"/>
    <cellStyle name="Heading 1 2 6 2 2 5 6 2 2" xfId="23939"/>
    <cellStyle name="Heading 1 2 6 2 2 5 6 3" xfId="23940"/>
    <cellStyle name="Heading 1 2 6 2 2 5 7" xfId="23941"/>
    <cellStyle name="Heading 1 2 6 2 2 5 7 2" xfId="23942"/>
    <cellStyle name="Heading 1 2 6 2 2 5 7 2 2" xfId="23943"/>
    <cellStyle name="Heading 1 2 6 2 2 5 7 3" xfId="23944"/>
    <cellStyle name="Heading 1 2 6 2 2 5 8" xfId="23945"/>
    <cellStyle name="Heading 1 2 6 2 2 5 8 2" xfId="23946"/>
    <cellStyle name="Heading 1 2 6 2 2 5 9" xfId="23947"/>
    <cellStyle name="Heading 1 2 6 2 2 6" xfId="23948"/>
    <cellStyle name="Heading 1 2 6 2 2 6 2" xfId="23949"/>
    <cellStyle name="Heading 1 2 6 2 2 6 2 2" xfId="23950"/>
    <cellStyle name="Heading 1 2 6 2 2 6 2 2 2" xfId="23951"/>
    <cellStyle name="Heading 1 2 6 2 2 6 2 3" xfId="23952"/>
    <cellStyle name="Heading 1 2 6 2 2 6 3" xfId="23953"/>
    <cellStyle name="Heading 1 2 6 2 2 6 3 2" xfId="23954"/>
    <cellStyle name="Heading 1 2 6 2 2 6 3 2 2" xfId="23955"/>
    <cellStyle name="Heading 1 2 6 2 2 6 3 3" xfId="23956"/>
    <cellStyle name="Heading 1 2 6 2 2 6 4" xfId="23957"/>
    <cellStyle name="Heading 1 2 6 2 2 6 4 2" xfId="23958"/>
    <cellStyle name="Heading 1 2 6 2 2 6 4 2 2" xfId="23959"/>
    <cellStyle name="Heading 1 2 6 2 2 6 4 3" xfId="23960"/>
    <cellStyle name="Heading 1 2 6 2 2 6 5" xfId="23961"/>
    <cellStyle name="Heading 1 2 6 2 2 6 5 2" xfId="23962"/>
    <cellStyle name="Heading 1 2 6 2 2 6 5 2 2" xfId="23963"/>
    <cellStyle name="Heading 1 2 6 2 2 6 5 3" xfId="23964"/>
    <cellStyle name="Heading 1 2 6 2 2 6 6" xfId="23965"/>
    <cellStyle name="Heading 1 2 6 2 2 6 6 2" xfId="23966"/>
    <cellStyle name="Heading 1 2 6 2 2 6 6 2 2" xfId="23967"/>
    <cellStyle name="Heading 1 2 6 2 2 6 6 3" xfId="23968"/>
    <cellStyle name="Heading 1 2 6 2 2 6 7" xfId="23969"/>
    <cellStyle name="Heading 1 2 6 2 2 6 7 2" xfId="23970"/>
    <cellStyle name="Heading 1 2 6 2 2 6 7 2 2" xfId="23971"/>
    <cellStyle name="Heading 1 2 6 2 2 6 7 3" xfId="23972"/>
    <cellStyle name="Heading 1 2 6 2 2 6 8" xfId="23973"/>
    <cellStyle name="Heading 1 2 6 2 2 6 8 2" xfId="23974"/>
    <cellStyle name="Heading 1 2 6 2 2 6 9" xfId="23975"/>
    <cellStyle name="Heading 1 2 6 2 2 7" xfId="23976"/>
    <cellStyle name="Heading 1 2 6 2 2 7 2" xfId="23977"/>
    <cellStyle name="Heading 1 2 6 2 2 7 2 2" xfId="23978"/>
    <cellStyle name="Heading 1 2 6 2 2 7 2 2 2" xfId="23979"/>
    <cellStyle name="Heading 1 2 6 2 2 7 2 3" xfId="23980"/>
    <cellStyle name="Heading 1 2 6 2 2 7 3" xfId="23981"/>
    <cellStyle name="Heading 1 2 6 2 2 7 3 2" xfId="23982"/>
    <cellStyle name="Heading 1 2 6 2 2 7 3 2 2" xfId="23983"/>
    <cellStyle name="Heading 1 2 6 2 2 7 3 3" xfId="23984"/>
    <cellStyle name="Heading 1 2 6 2 2 7 4" xfId="23985"/>
    <cellStyle name="Heading 1 2 6 2 2 7 4 2" xfId="23986"/>
    <cellStyle name="Heading 1 2 6 2 2 7 4 2 2" xfId="23987"/>
    <cellStyle name="Heading 1 2 6 2 2 7 4 3" xfId="23988"/>
    <cellStyle name="Heading 1 2 6 2 2 7 5" xfId="23989"/>
    <cellStyle name="Heading 1 2 6 2 2 7 5 2" xfId="23990"/>
    <cellStyle name="Heading 1 2 6 2 2 7 5 2 2" xfId="23991"/>
    <cellStyle name="Heading 1 2 6 2 2 7 5 3" xfId="23992"/>
    <cellStyle name="Heading 1 2 6 2 2 7 6" xfId="23993"/>
    <cellStyle name="Heading 1 2 6 2 2 7 6 2" xfId="23994"/>
    <cellStyle name="Heading 1 2 6 2 2 7 6 2 2" xfId="23995"/>
    <cellStyle name="Heading 1 2 6 2 2 7 6 3" xfId="23996"/>
    <cellStyle name="Heading 1 2 6 2 2 7 7" xfId="23997"/>
    <cellStyle name="Heading 1 2 6 2 2 7 7 2" xfId="23998"/>
    <cellStyle name="Heading 1 2 6 2 2 7 7 2 2" xfId="23999"/>
    <cellStyle name="Heading 1 2 6 2 2 7 7 3" xfId="24000"/>
    <cellStyle name="Heading 1 2 6 2 2 7 8" xfId="24001"/>
    <cellStyle name="Heading 1 2 6 2 2 7 8 2" xfId="24002"/>
    <cellStyle name="Heading 1 2 6 2 2 7 9" xfId="24003"/>
    <cellStyle name="Heading 1 2 6 2 2 8" xfId="24004"/>
    <cellStyle name="Heading 1 2 6 2 2 8 2" xfId="24005"/>
    <cellStyle name="Heading 1 2 6 2 2 8 2 2" xfId="24006"/>
    <cellStyle name="Heading 1 2 6 2 2 8 2 2 2" xfId="24007"/>
    <cellStyle name="Heading 1 2 6 2 2 8 2 3" xfId="24008"/>
    <cellStyle name="Heading 1 2 6 2 2 8 3" xfId="24009"/>
    <cellStyle name="Heading 1 2 6 2 2 8 3 2" xfId="24010"/>
    <cellStyle name="Heading 1 2 6 2 2 8 3 2 2" xfId="24011"/>
    <cellStyle name="Heading 1 2 6 2 2 8 3 3" xfId="24012"/>
    <cellStyle name="Heading 1 2 6 2 2 8 4" xfId="24013"/>
    <cellStyle name="Heading 1 2 6 2 2 8 4 2" xfId="24014"/>
    <cellStyle name="Heading 1 2 6 2 2 8 4 2 2" xfId="24015"/>
    <cellStyle name="Heading 1 2 6 2 2 8 4 3" xfId="24016"/>
    <cellStyle name="Heading 1 2 6 2 2 8 5" xfId="24017"/>
    <cellStyle name="Heading 1 2 6 2 2 8 5 2" xfId="24018"/>
    <cellStyle name="Heading 1 2 6 2 2 8 5 2 2" xfId="24019"/>
    <cellStyle name="Heading 1 2 6 2 2 8 5 3" xfId="24020"/>
    <cellStyle name="Heading 1 2 6 2 2 8 6" xfId="24021"/>
    <cellStyle name="Heading 1 2 6 2 2 8 6 2" xfId="24022"/>
    <cellStyle name="Heading 1 2 6 2 2 8 6 2 2" xfId="24023"/>
    <cellStyle name="Heading 1 2 6 2 2 8 6 3" xfId="24024"/>
    <cellStyle name="Heading 1 2 6 2 2 8 7" xfId="24025"/>
    <cellStyle name="Heading 1 2 6 2 2 8 7 2" xfId="24026"/>
    <cellStyle name="Heading 1 2 6 2 2 8 7 2 2" xfId="24027"/>
    <cellStyle name="Heading 1 2 6 2 2 8 7 3" xfId="24028"/>
    <cellStyle name="Heading 1 2 6 2 2 8 8" xfId="24029"/>
    <cellStyle name="Heading 1 2 6 2 2 8 8 2" xfId="24030"/>
    <cellStyle name="Heading 1 2 6 2 2 8 9" xfId="24031"/>
    <cellStyle name="Heading 1 2 6 2 2 9" xfId="24032"/>
    <cellStyle name="Heading 1 2 6 2 2 9 2" xfId="24033"/>
    <cellStyle name="Heading 1 2 6 2 2 9 2 2" xfId="24034"/>
    <cellStyle name="Heading 1 2 6 2 2 9 3" xfId="24035"/>
    <cellStyle name="Heading 1 2 6 2 20" xfId="24036"/>
    <cellStyle name="Heading 1 2 6 2 20 2" xfId="24037"/>
    <cellStyle name="Heading 1 2 6 2 21" xfId="24038"/>
    <cellStyle name="Heading 1 2 6 2 21 2" xfId="24039"/>
    <cellStyle name="Heading 1 2 6 2 22" xfId="24040"/>
    <cellStyle name="Heading 1 2 6 2 22 2" xfId="24041"/>
    <cellStyle name="Heading 1 2 6 2 23" xfId="24042"/>
    <cellStyle name="Heading 1 2 6 2 3" xfId="24043"/>
    <cellStyle name="Heading 1 2 6 2 3 2" xfId="24044"/>
    <cellStyle name="Heading 1 2 6 2 3 2 2" xfId="24045"/>
    <cellStyle name="Heading 1 2 6 2 3 2 2 2" xfId="24046"/>
    <cellStyle name="Heading 1 2 6 2 3 2 3" xfId="24047"/>
    <cellStyle name="Heading 1 2 6 2 3 3" xfId="24048"/>
    <cellStyle name="Heading 1 2 6 2 3 3 2" xfId="24049"/>
    <cellStyle name="Heading 1 2 6 2 3 3 2 2" xfId="24050"/>
    <cellStyle name="Heading 1 2 6 2 3 3 3" xfId="24051"/>
    <cellStyle name="Heading 1 2 6 2 3 4" xfId="24052"/>
    <cellStyle name="Heading 1 2 6 2 3 4 2" xfId="24053"/>
    <cellStyle name="Heading 1 2 6 2 3 4 2 2" xfId="24054"/>
    <cellStyle name="Heading 1 2 6 2 3 4 3" xfId="24055"/>
    <cellStyle name="Heading 1 2 6 2 3 5" xfId="24056"/>
    <cellStyle name="Heading 1 2 6 2 3 5 2" xfId="24057"/>
    <cellStyle name="Heading 1 2 6 2 3 5 2 2" xfId="24058"/>
    <cellStyle name="Heading 1 2 6 2 3 5 3" xfId="24059"/>
    <cellStyle name="Heading 1 2 6 2 3 6" xfId="24060"/>
    <cellStyle name="Heading 1 2 6 2 3 6 2" xfId="24061"/>
    <cellStyle name="Heading 1 2 6 2 3 6 2 2" xfId="24062"/>
    <cellStyle name="Heading 1 2 6 2 3 6 3" xfId="24063"/>
    <cellStyle name="Heading 1 2 6 2 3 7" xfId="24064"/>
    <cellStyle name="Heading 1 2 6 2 3 7 2" xfId="24065"/>
    <cellStyle name="Heading 1 2 6 2 3 7 2 2" xfId="24066"/>
    <cellStyle name="Heading 1 2 6 2 3 7 3" xfId="24067"/>
    <cellStyle name="Heading 1 2 6 2 3 8" xfId="24068"/>
    <cellStyle name="Heading 1 2 6 2 3 8 2" xfId="24069"/>
    <cellStyle name="Heading 1 2 6 2 3 9" xfId="24070"/>
    <cellStyle name="Heading 1 2 6 2 4" xfId="24071"/>
    <cellStyle name="Heading 1 2 6 2 4 2" xfId="24072"/>
    <cellStyle name="Heading 1 2 6 2 4 2 2" xfId="24073"/>
    <cellStyle name="Heading 1 2 6 2 4 2 2 2" xfId="24074"/>
    <cellStyle name="Heading 1 2 6 2 4 2 3" xfId="24075"/>
    <cellStyle name="Heading 1 2 6 2 4 3" xfId="24076"/>
    <cellStyle name="Heading 1 2 6 2 4 3 2" xfId="24077"/>
    <cellStyle name="Heading 1 2 6 2 4 3 2 2" xfId="24078"/>
    <cellStyle name="Heading 1 2 6 2 4 3 3" xfId="24079"/>
    <cellStyle name="Heading 1 2 6 2 4 4" xfId="24080"/>
    <cellStyle name="Heading 1 2 6 2 4 4 2" xfId="24081"/>
    <cellStyle name="Heading 1 2 6 2 4 4 2 2" xfId="24082"/>
    <cellStyle name="Heading 1 2 6 2 4 4 3" xfId="24083"/>
    <cellStyle name="Heading 1 2 6 2 4 5" xfId="24084"/>
    <cellStyle name="Heading 1 2 6 2 4 5 2" xfId="24085"/>
    <cellStyle name="Heading 1 2 6 2 4 5 2 2" xfId="24086"/>
    <cellStyle name="Heading 1 2 6 2 4 5 3" xfId="24087"/>
    <cellStyle name="Heading 1 2 6 2 4 6" xfId="24088"/>
    <cellStyle name="Heading 1 2 6 2 4 6 2" xfId="24089"/>
    <cellStyle name="Heading 1 2 6 2 4 6 2 2" xfId="24090"/>
    <cellStyle name="Heading 1 2 6 2 4 6 3" xfId="24091"/>
    <cellStyle name="Heading 1 2 6 2 4 7" xfId="24092"/>
    <cellStyle name="Heading 1 2 6 2 4 7 2" xfId="24093"/>
    <cellStyle name="Heading 1 2 6 2 4 7 2 2" xfId="24094"/>
    <cellStyle name="Heading 1 2 6 2 4 7 3" xfId="24095"/>
    <cellStyle name="Heading 1 2 6 2 4 8" xfId="24096"/>
    <cellStyle name="Heading 1 2 6 2 4 8 2" xfId="24097"/>
    <cellStyle name="Heading 1 2 6 2 4 9" xfId="24098"/>
    <cellStyle name="Heading 1 2 6 2 5" xfId="24099"/>
    <cellStyle name="Heading 1 2 6 2 5 2" xfId="24100"/>
    <cellStyle name="Heading 1 2 6 2 5 2 2" xfId="24101"/>
    <cellStyle name="Heading 1 2 6 2 5 2 2 2" xfId="24102"/>
    <cellStyle name="Heading 1 2 6 2 5 2 3" xfId="24103"/>
    <cellStyle name="Heading 1 2 6 2 5 3" xfId="24104"/>
    <cellStyle name="Heading 1 2 6 2 5 3 2" xfId="24105"/>
    <cellStyle name="Heading 1 2 6 2 5 3 2 2" xfId="24106"/>
    <cellStyle name="Heading 1 2 6 2 5 3 3" xfId="24107"/>
    <cellStyle name="Heading 1 2 6 2 5 4" xfId="24108"/>
    <cellStyle name="Heading 1 2 6 2 5 4 2" xfId="24109"/>
    <cellStyle name="Heading 1 2 6 2 5 4 2 2" xfId="24110"/>
    <cellStyle name="Heading 1 2 6 2 5 4 3" xfId="24111"/>
    <cellStyle name="Heading 1 2 6 2 5 5" xfId="24112"/>
    <cellStyle name="Heading 1 2 6 2 5 5 2" xfId="24113"/>
    <cellStyle name="Heading 1 2 6 2 5 5 2 2" xfId="24114"/>
    <cellStyle name="Heading 1 2 6 2 5 5 3" xfId="24115"/>
    <cellStyle name="Heading 1 2 6 2 5 6" xfId="24116"/>
    <cellStyle name="Heading 1 2 6 2 5 6 2" xfId="24117"/>
    <cellStyle name="Heading 1 2 6 2 5 6 2 2" xfId="24118"/>
    <cellStyle name="Heading 1 2 6 2 5 6 3" xfId="24119"/>
    <cellStyle name="Heading 1 2 6 2 5 7" xfId="24120"/>
    <cellStyle name="Heading 1 2 6 2 5 7 2" xfId="24121"/>
    <cellStyle name="Heading 1 2 6 2 5 7 2 2" xfId="24122"/>
    <cellStyle name="Heading 1 2 6 2 5 7 3" xfId="24123"/>
    <cellStyle name="Heading 1 2 6 2 5 8" xfId="24124"/>
    <cellStyle name="Heading 1 2 6 2 5 8 2" xfId="24125"/>
    <cellStyle name="Heading 1 2 6 2 5 9" xfId="24126"/>
    <cellStyle name="Heading 1 2 6 2 6" xfId="24127"/>
    <cellStyle name="Heading 1 2 6 2 6 2" xfId="24128"/>
    <cellStyle name="Heading 1 2 6 2 6 2 2" xfId="24129"/>
    <cellStyle name="Heading 1 2 6 2 6 2 2 2" xfId="24130"/>
    <cellStyle name="Heading 1 2 6 2 6 2 3" xfId="24131"/>
    <cellStyle name="Heading 1 2 6 2 6 3" xfId="24132"/>
    <cellStyle name="Heading 1 2 6 2 6 3 2" xfId="24133"/>
    <cellStyle name="Heading 1 2 6 2 6 3 2 2" xfId="24134"/>
    <cellStyle name="Heading 1 2 6 2 6 3 3" xfId="24135"/>
    <cellStyle name="Heading 1 2 6 2 6 4" xfId="24136"/>
    <cellStyle name="Heading 1 2 6 2 6 4 2" xfId="24137"/>
    <cellStyle name="Heading 1 2 6 2 6 4 2 2" xfId="24138"/>
    <cellStyle name="Heading 1 2 6 2 6 4 3" xfId="24139"/>
    <cellStyle name="Heading 1 2 6 2 6 5" xfId="24140"/>
    <cellStyle name="Heading 1 2 6 2 6 5 2" xfId="24141"/>
    <cellStyle name="Heading 1 2 6 2 6 5 2 2" xfId="24142"/>
    <cellStyle name="Heading 1 2 6 2 6 5 3" xfId="24143"/>
    <cellStyle name="Heading 1 2 6 2 6 6" xfId="24144"/>
    <cellStyle name="Heading 1 2 6 2 6 6 2" xfId="24145"/>
    <cellStyle name="Heading 1 2 6 2 6 6 2 2" xfId="24146"/>
    <cellStyle name="Heading 1 2 6 2 6 6 3" xfId="24147"/>
    <cellStyle name="Heading 1 2 6 2 6 7" xfId="24148"/>
    <cellStyle name="Heading 1 2 6 2 6 7 2" xfId="24149"/>
    <cellStyle name="Heading 1 2 6 2 6 7 2 2" xfId="24150"/>
    <cellStyle name="Heading 1 2 6 2 6 7 3" xfId="24151"/>
    <cellStyle name="Heading 1 2 6 2 6 8" xfId="24152"/>
    <cellStyle name="Heading 1 2 6 2 6 8 2" xfId="24153"/>
    <cellStyle name="Heading 1 2 6 2 6 9" xfId="24154"/>
    <cellStyle name="Heading 1 2 6 2 7" xfId="24155"/>
    <cellStyle name="Heading 1 2 6 2 7 2" xfId="24156"/>
    <cellStyle name="Heading 1 2 6 2 7 2 2" xfId="24157"/>
    <cellStyle name="Heading 1 2 6 2 7 2 2 2" xfId="24158"/>
    <cellStyle name="Heading 1 2 6 2 7 2 3" xfId="24159"/>
    <cellStyle name="Heading 1 2 6 2 7 3" xfId="24160"/>
    <cellStyle name="Heading 1 2 6 2 7 3 2" xfId="24161"/>
    <cellStyle name="Heading 1 2 6 2 7 3 2 2" xfId="24162"/>
    <cellStyle name="Heading 1 2 6 2 7 3 3" xfId="24163"/>
    <cellStyle name="Heading 1 2 6 2 7 4" xfId="24164"/>
    <cellStyle name="Heading 1 2 6 2 7 4 2" xfId="24165"/>
    <cellStyle name="Heading 1 2 6 2 7 4 2 2" xfId="24166"/>
    <cellStyle name="Heading 1 2 6 2 7 4 3" xfId="24167"/>
    <cellStyle name="Heading 1 2 6 2 7 5" xfId="24168"/>
    <cellStyle name="Heading 1 2 6 2 7 5 2" xfId="24169"/>
    <cellStyle name="Heading 1 2 6 2 7 5 2 2" xfId="24170"/>
    <cellStyle name="Heading 1 2 6 2 7 5 3" xfId="24171"/>
    <cellStyle name="Heading 1 2 6 2 7 6" xfId="24172"/>
    <cellStyle name="Heading 1 2 6 2 7 6 2" xfId="24173"/>
    <cellStyle name="Heading 1 2 6 2 7 6 2 2" xfId="24174"/>
    <cellStyle name="Heading 1 2 6 2 7 6 3" xfId="24175"/>
    <cellStyle name="Heading 1 2 6 2 7 7" xfId="24176"/>
    <cellStyle name="Heading 1 2 6 2 7 7 2" xfId="24177"/>
    <cellStyle name="Heading 1 2 6 2 7 7 2 2" xfId="24178"/>
    <cellStyle name="Heading 1 2 6 2 7 7 3" xfId="24179"/>
    <cellStyle name="Heading 1 2 6 2 7 8" xfId="24180"/>
    <cellStyle name="Heading 1 2 6 2 7 8 2" xfId="24181"/>
    <cellStyle name="Heading 1 2 6 2 7 9" xfId="24182"/>
    <cellStyle name="Heading 1 2 6 2 8" xfId="24183"/>
    <cellStyle name="Heading 1 2 6 2 8 2" xfId="24184"/>
    <cellStyle name="Heading 1 2 6 2 8 2 2" xfId="24185"/>
    <cellStyle name="Heading 1 2 6 2 8 2 2 2" xfId="24186"/>
    <cellStyle name="Heading 1 2 6 2 8 2 3" xfId="24187"/>
    <cellStyle name="Heading 1 2 6 2 8 3" xfId="24188"/>
    <cellStyle name="Heading 1 2 6 2 8 3 2" xfId="24189"/>
    <cellStyle name="Heading 1 2 6 2 8 3 2 2" xfId="24190"/>
    <cellStyle name="Heading 1 2 6 2 8 3 3" xfId="24191"/>
    <cellStyle name="Heading 1 2 6 2 8 4" xfId="24192"/>
    <cellStyle name="Heading 1 2 6 2 8 4 2" xfId="24193"/>
    <cellStyle name="Heading 1 2 6 2 8 4 2 2" xfId="24194"/>
    <cellStyle name="Heading 1 2 6 2 8 4 3" xfId="24195"/>
    <cellStyle name="Heading 1 2 6 2 8 5" xfId="24196"/>
    <cellStyle name="Heading 1 2 6 2 8 5 2" xfId="24197"/>
    <cellStyle name="Heading 1 2 6 2 8 5 2 2" xfId="24198"/>
    <cellStyle name="Heading 1 2 6 2 8 5 3" xfId="24199"/>
    <cellStyle name="Heading 1 2 6 2 8 6" xfId="24200"/>
    <cellStyle name="Heading 1 2 6 2 8 6 2" xfId="24201"/>
    <cellStyle name="Heading 1 2 6 2 8 6 2 2" xfId="24202"/>
    <cellStyle name="Heading 1 2 6 2 8 6 3" xfId="24203"/>
    <cellStyle name="Heading 1 2 6 2 8 7" xfId="24204"/>
    <cellStyle name="Heading 1 2 6 2 8 7 2" xfId="24205"/>
    <cellStyle name="Heading 1 2 6 2 8 7 2 2" xfId="24206"/>
    <cellStyle name="Heading 1 2 6 2 8 7 3" xfId="24207"/>
    <cellStyle name="Heading 1 2 6 2 8 8" xfId="24208"/>
    <cellStyle name="Heading 1 2 6 2 8 8 2" xfId="24209"/>
    <cellStyle name="Heading 1 2 6 2 8 9" xfId="24210"/>
    <cellStyle name="Heading 1 2 6 2 9" xfId="24211"/>
    <cellStyle name="Heading 1 2 6 2 9 2" xfId="24212"/>
    <cellStyle name="Heading 1 2 6 2 9 2 2" xfId="24213"/>
    <cellStyle name="Heading 1 2 6 2 9 2 2 2" xfId="24214"/>
    <cellStyle name="Heading 1 2 6 2 9 2 3" xfId="24215"/>
    <cellStyle name="Heading 1 2 6 2 9 3" xfId="24216"/>
    <cellStyle name="Heading 1 2 6 2 9 3 2" xfId="24217"/>
    <cellStyle name="Heading 1 2 6 2 9 3 2 2" xfId="24218"/>
    <cellStyle name="Heading 1 2 6 2 9 3 3" xfId="24219"/>
    <cellStyle name="Heading 1 2 6 2 9 4" xfId="24220"/>
    <cellStyle name="Heading 1 2 6 2 9 4 2" xfId="24221"/>
    <cellStyle name="Heading 1 2 6 2 9 4 2 2" xfId="24222"/>
    <cellStyle name="Heading 1 2 6 2 9 4 3" xfId="24223"/>
    <cellStyle name="Heading 1 2 6 2 9 5" xfId="24224"/>
    <cellStyle name="Heading 1 2 6 2 9 5 2" xfId="24225"/>
    <cellStyle name="Heading 1 2 6 2 9 5 2 2" xfId="24226"/>
    <cellStyle name="Heading 1 2 6 2 9 5 3" xfId="24227"/>
    <cellStyle name="Heading 1 2 6 2 9 6" xfId="24228"/>
    <cellStyle name="Heading 1 2 6 2 9 6 2" xfId="24229"/>
    <cellStyle name="Heading 1 2 6 2 9 6 2 2" xfId="24230"/>
    <cellStyle name="Heading 1 2 6 2 9 6 3" xfId="24231"/>
    <cellStyle name="Heading 1 2 6 2 9 7" xfId="24232"/>
    <cellStyle name="Heading 1 2 6 2 9 7 2" xfId="24233"/>
    <cellStyle name="Heading 1 2 6 2 9 7 2 2" xfId="24234"/>
    <cellStyle name="Heading 1 2 6 2 9 7 3" xfId="24235"/>
    <cellStyle name="Heading 1 2 6 2 9 8" xfId="24236"/>
    <cellStyle name="Heading 1 2 6 2 9 8 2" xfId="24237"/>
    <cellStyle name="Heading 1 2 6 2 9 9" xfId="24238"/>
    <cellStyle name="Heading 1 2 6 3" xfId="24239"/>
    <cellStyle name="Heading 1 2 6 3 10" xfId="24240"/>
    <cellStyle name="Heading 1 2 6 3 10 2" xfId="24241"/>
    <cellStyle name="Heading 1 2 6 3 10 2 2" xfId="24242"/>
    <cellStyle name="Heading 1 2 6 3 10 3" xfId="24243"/>
    <cellStyle name="Heading 1 2 6 3 11" xfId="24244"/>
    <cellStyle name="Heading 1 2 6 3 11 2" xfId="24245"/>
    <cellStyle name="Heading 1 2 6 3 11 2 2" xfId="24246"/>
    <cellStyle name="Heading 1 2 6 3 11 3" xfId="24247"/>
    <cellStyle name="Heading 1 2 6 3 12" xfId="24248"/>
    <cellStyle name="Heading 1 2 6 3 12 2" xfId="24249"/>
    <cellStyle name="Heading 1 2 6 3 12 2 2" xfId="24250"/>
    <cellStyle name="Heading 1 2 6 3 12 3" xfId="24251"/>
    <cellStyle name="Heading 1 2 6 3 13" xfId="24252"/>
    <cellStyle name="Heading 1 2 6 3 13 2" xfId="24253"/>
    <cellStyle name="Heading 1 2 6 3 13 2 2" xfId="24254"/>
    <cellStyle name="Heading 1 2 6 3 13 3" xfId="24255"/>
    <cellStyle name="Heading 1 2 6 3 14" xfId="24256"/>
    <cellStyle name="Heading 1 2 6 3 14 2" xfId="24257"/>
    <cellStyle name="Heading 1 2 6 3 14 2 2" xfId="24258"/>
    <cellStyle name="Heading 1 2 6 3 14 3" xfId="24259"/>
    <cellStyle name="Heading 1 2 6 3 15" xfId="24260"/>
    <cellStyle name="Heading 1 2 6 3 15 2" xfId="24261"/>
    <cellStyle name="Heading 1 2 6 3 15 2 2" xfId="24262"/>
    <cellStyle name="Heading 1 2 6 3 15 3" xfId="24263"/>
    <cellStyle name="Heading 1 2 6 3 16" xfId="24264"/>
    <cellStyle name="Heading 1 2 6 3 16 2" xfId="24265"/>
    <cellStyle name="Heading 1 2 6 3 16 2 2" xfId="24266"/>
    <cellStyle name="Heading 1 2 6 3 16 3" xfId="24267"/>
    <cellStyle name="Heading 1 2 6 3 17" xfId="24268"/>
    <cellStyle name="Heading 1 2 6 3 17 2" xfId="24269"/>
    <cellStyle name="Heading 1 2 6 3 17 2 2" xfId="24270"/>
    <cellStyle name="Heading 1 2 6 3 17 3" xfId="24271"/>
    <cellStyle name="Heading 1 2 6 3 18" xfId="24272"/>
    <cellStyle name="Heading 1 2 6 3 18 2" xfId="24273"/>
    <cellStyle name="Heading 1 2 6 3 18 2 2" xfId="24274"/>
    <cellStyle name="Heading 1 2 6 3 18 3" xfId="24275"/>
    <cellStyle name="Heading 1 2 6 3 19" xfId="24276"/>
    <cellStyle name="Heading 1 2 6 3 19 2" xfId="24277"/>
    <cellStyle name="Heading 1 2 6 3 2" xfId="24278"/>
    <cellStyle name="Heading 1 2 6 3 2 2" xfId="24279"/>
    <cellStyle name="Heading 1 2 6 3 2 2 2" xfId="24280"/>
    <cellStyle name="Heading 1 2 6 3 2 2 2 2" xfId="24281"/>
    <cellStyle name="Heading 1 2 6 3 2 2 3" xfId="24282"/>
    <cellStyle name="Heading 1 2 6 3 2 3" xfId="24283"/>
    <cellStyle name="Heading 1 2 6 3 2 3 2" xfId="24284"/>
    <cellStyle name="Heading 1 2 6 3 2 3 2 2" xfId="24285"/>
    <cellStyle name="Heading 1 2 6 3 2 3 3" xfId="24286"/>
    <cellStyle name="Heading 1 2 6 3 2 4" xfId="24287"/>
    <cellStyle name="Heading 1 2 6 3 2 4 2" xfId="24288"/>
    <cellStyle name="Heading 1 2 6 3 2 4 2 2" xfId="24289"/>
    <cellStyle name="Heading 1 2 6 3 2 4 3" xfId="24290"/>
    <cellStyle name="Heading 1 2 6 3 2 5" xfId="24291"/>
    <cellStyle name="Heading 1 2 6 3 2 5 2" xfId="24292"/>
    <cellStyle name="Heading 1 2 6 3 2 5 2 2" xfId="24293"/>
    <cellStyle name="Heading 1 2 6 3 2 5 3" xfId="24294"/>
    <cellStyle name="Heading 1 2 6 3 2 6" xfId="24295"/>
    <cellStyle name="Heading 1 2 6 3 2 6 2" xfId="24296"/>
    <cellStyle name="Heading 1 2 6 3 2 6 2 2" xfId="24297"/>
    <cellStyle name="Heading 1 2 6 3 2 6 3" xfId="24298"/>
    <cellStyle name="Heading 1 2 6 3 2 7" xfId="24299"/>
    <cellStyle name="Heading 1 2 6 3 2 7 2" xfId="24300"/>
    <cellStyle name="Heading 1 2 6 3 2 7 2 2" xfId="24301"/>
    <cellStyle name="Heading 1 2 6 3 2 7 3" xfId="24302"/>
    <cellStyle name="Heading 1 2 6 3 2 8" xfId="24303"/>
    <cellStyle name="Heading 1 2 6 3 2 8 2" xfId="24304"/>
    <cellStyle name="Heading 1 2 6 3 2 9" xfId="24305"/>
    <cellStyle name="Heading 1 2 6 3 20" xfId="24306"/>
    <cellStyle name="Heading 1 2 6 3 20 2" xfId="24307"/>
    <cellStyle name="Heading 1 2 6 3 21" xfId="24308"/>
    <cellStyle name="Heading 1 2 6 3 21 2" xfId="24309"/>
    <cellStyle name="Heading 1 2 6 3 22" xfId="24310"/>
    <cellStyle name="Heading 1 2 6 3 3" xfId="24311"/>
    <cellStyle name="Heading 1 2 6 3 3 2" xfId="24312"/>
    <cellStyle name="Heading 1 2 6 3 3 2 2" xfId="24313"/>
    <cellStyle name="Heading 1 2 6 3 3 2 2 2" xfId="24314"/>
    <cellStyle name="Heading 1 2 6 3 3 2 3" xfId="24315"/>
    <cellStyle name="Heading 1 2 6 3 3 3" xfId="24316"/>
    <cellStyle name="Heading 1 2 6 3 3 3 2" xfId="24317"/>
    <cellStyle name="Heading 1 2 6 3 3 3 2 2" xfId="24318"/>
    <cellStyle name="Heading 1 2 6 3 3 3 3" xfId="24319"/>
    <cellStyle name="Heading 1 2 6 3 3 4" xfId="24320"/>
    <cellStyle name="Heading 1 2 6 3 3 4 2" xfId="24321"/>
    <cellStyle name="Heading 1 2 6 3 3 4 2 2" xfId="24322"/>
    <cellStyle name="Heading 1 2 6 3 3 4 3" xfId="24323"/>
    <cellStyle name="Heading 1 2 6 3 3 5" xfId="24324"/>
    <cellStyle name="Heading 1 2 6 3 3 5 2" xfId="24325"/>
    <cellStyle name="Heading 1 2 6 3 3 5 2 2" xfId="24326"/>
    <cellStyle name="Heading 1 2 6 3 3 5 3" xfId="24327"/>
    <cellStyle name="Heading 1 2 6 3 3 6" xfId="24328"/>
    <cellStyle name="Heading 1 2 6 3 3 6 2" xfId="24329"/>
    <cellStyle name="Heading 1 2 6 3 3 6 2 2" xfId="24330"/>
    <cellStyle name="Heading 1 2 6 3 3 6 3" xfId="24331"/>
    <cellStyle name="Heading 1 2 6 3 3 7" xfId="24332"/>
    <cellStyle name="Heading 1 2 6 3 3 7 2" xfId="24333"/>
    <cellStyle name="Heading 1 2 6 3 3 7 2 2" xfId="24334"/>
    <cellStyle name="Heading 1 2 6 3 3 7 3" xfId="24335"/>
    <cellStyle name="Heading 1 2 6 3 3 8" xfId="24336"/>
    <cellStyle name="Heading 1 2 6 3 3 8 2" xfId="24337"/>
    <cellStyle name="Heading 1 2 6 3 3 9" xfId="24338"/>
    <cellStyle name="Heading 1 2 6 3 4" xfId="24339"/>
    <cellStyle name="Heading 1 2 6 3 4 2" xfId="24340"/>
    <cellStyle name="Heading 1 2 6 3 4 2 2" xfId="24341"/>
    <cellStyle name="Heading 1 2 6 3 4 2 2 2" xfId="24342"/>
    <cellStyle name="Heading 1 2 6 3 4 2 3" xfId="24343"/>
    <cellStyle name="Heading 1 2 6 3 4 3" xfId="24344"/>
    <cellStyle name="Heading 1 2 6 3 4 3 2" xfId="24345"/>
    <cellStyle name="Heading 1 2 6 3 4 3 2 2" xfId="24346"/>
    <cellStyle name="Heading 1 2 6 3 4 3 3" xfId="24347"/>
    <cellStyle name="Heading 1 2 6 3 4 4" xfId="24348"/>
    <cellStyle name="Heading 1 2 6 3 4 4 2" xfId="24349"/>
    <cellStyle name="Heading 1 2 6 3 4 4 2 2" xfId="24350"/>
    <cellStyle name="Heading 1 2 6 3 4 4 3" xfId="24351"/>
    <cellStyle name="Heading 1 2 6 3 4 5" xfId="24352"/>
    <cellStyle name="Heading 1 2 6 3 4 5 2" xfId="24353"/>
    <cellStyle name="Heading 1 2 6 3 4 5 2 2" xfId="24354"/>
    <cellStyle name="Heading 1 2 6 3 4 5 3" xfId="24355"/>
    <cellStyle name="Heading 1 2 6 3 4 6" xfId="24356"/>
    <cellStyle name="Heading 1 2 6 3 4 6 2" xfId="24357"/>
    <cellStyle name="Heading 1 2 6 3 4 6 2 2" xfId="24358"/>
    <cellStyle name="Heading 1 2 6 3 4 6 3" xfId="24359"/>
    <cellStyle name="Heading 1 2 6 3 4 7" xfId="24360"/>
    <cellStyle name="Heading 1 2 6 3 4 7 2" xfId="24361"/>
    <cellStyle name="Heading 1 2 6 3 4 7 2 2" xfId="24362"/>
    <cellStyle name="Heading 1 2 6 3 4 7 3" xfId="24363"/>
    <cellStyle name="Heading 1 2 6 3 4 8" xfId="24364"/>
    <cellStyle name="Heading 1 2 6 3 4 8 2" xfId="24365"/>
    <cellStyle name="Heading 1 2 6 3 4 9" xfId="24366"/>
    <cellStyle name="Heading 1 2 6 3 5" xfId="24367"/>
    <cellStyle name="Heading 1 2 6 3 5 2" xfId="24368"/>
    <cellStyle name="Heading 1 2 6 3 5 2 2" xfId="24369"/>
    <cellStyle name="Heading 1 2 6 3 5 2 2 2" xfId="24370"/>
    <cellStyle name="Heading 1 2 6 3 5 2 3" xfId="24371"/>
    <cellStyle name="Heading 1 2 6 3 5 3" xfId="24372"/>
    <cellStyle name="Heading 1 2 6 3 5 3 2" xfId="24373"/>
    <cellStyle name="Heading 1 2 6 3 5 3 2 2" xfId="24374"/>
    <cellStyle name="Heading 1 2 6 3 5 3 3" xfId="24375"/>
    <cellStyle name="Heading 1 2 6 3 5 4" xfId="24376"/>
    <cellStyle name="Heading 1 2 6 3 5 4 2" xfId="24377"/>
    <cellStyle name="Heading 1 2 6 3 5 4 2 2" xfId="24378"/>
    <cellStyle name="Heading 1 2 6 3 5 4 3" xfId="24379"/>
    <cellStyle name="Heading 1 2 6 3 5 5" xfId="24380"/>
    <cellStyle name="Heading 1 2 6 3 5 5 2" xfId="24381"/>
    <cellStyle name="Heading 1 2 6 3 5 5 2 2" xfId="24382"/>
    <cellStyle name="Heading 1 2 6 3 5 5 3" xfId="24383"/>
    <cellStyle name="Heading 1 2 6 3 5 6" xfId="24384"/>
    <cellStyle name="Heading 1 2 6 3 5 6 2" xfId="24385"/>
    <cellStyle name="Heading 1 2 6 3 5 6 2 2" xfId="24386"/>
    <cellStyle name="Heading 1 2 6 3 5 6 3" xfId="24387"/>
    <cellStyle name="Heading 1 2 6 3 5 7" xfId="24388"/>
    <cellStyle name="Heading 1 2 6 3 5 7 2" xfId="24389"/>
    <cellStyle name="Heading 1 2 6 3 5 7 2 2" xfId="24390"/>
    <cellStyle name="Heading 1 2 6 3 5 7 3" xfId="24391"/>
    <cellStyle name="Heading 1 2 6 3 5 8" xfId="24392"/>
    <cellStyle name="Heading 1 2 6 3 5 8 2" xfId="24393"/>
    <cellStyle name="Heading 1 2 6 3 5 9" xfId="24394"/>
    <cellStyle name="Heading 1 2 6 3 6" xfId="24395"/>
    <cellStyle name="Heading 1 2 6 3 6 2" xfId="24396"/>
    <cellStyle name="Heading 1 2 6 3 6 2 2" xfId="24397"/>
    <cellStyle name="Heading 1 2 6 3 6 2 2 2" xfId="24398"/>
    <cellStyle name="Heading 1 2 6 3 6 2 3" xfId="24399"/>
    <cellStyle name="Heading 1 2 6 3 6 3" xfId="24400"/>
    <cellStyle name="Heading 1 2 6 3 6 3 2" xfId="24401"/>
    <cellStyle name="Heading 1 2 6 3 6 3 2 2" xfId="24402"/>
    <cellStyle name="Heading 1 2 6 3 6 3 3" xfId="24403"/>
    <cellStyle name="Heading 1 2 6 3 6 4" xfId="24404"/>
    <cellStyle name="Heading 1 2 6 3 6 4 2" xfId="24405"/>
    <cellStyle name="Heading 1 2 6 3 6 4 2 2" xfId="24406"/>
    <cellStyle name="Heading 1 2 6 3 6 4 3" xfId="24407"/>
    <cellStyle name="Heading 1 2 6 3 6 5" xfId="24408"/>
    <cellStyle name="Heading 1 2 6 3 6 5 2" xfId="24409"/>
    <cellStyle name="Heading 1 2 6 3 6 5 2 2" xfId="24410"/>
    <cellStyle name="Heading 1 2 6 3 6 5 3" xfId="24411"/>
    <cellStyle name="Heading 1 2 6 3 6 6" xfId="24412"/>
    <cellStyle name="Heading 1 2 6 3 6 6 2" xfId="24413"/>
    <cellStyle name="Heading 1 2 6 3 6 6 2 2" xfId="24414"/>
    <cellStyle name="Heading 1 2 6 3 6 6 3" xfId="24415"/>
    <cellStyle name="Heading 1 2 6 3 6 7" xfId="24416"/>
    <cellStyle name="Heading 1 2 6 3 6 7 2" xfId="24417"/>
    <cellStyle name="Heading 1 2 6 3 6 7 2 2" xfId="24418"/>
    <cellStyle name="Heading 1 2 6 3 6 7 3" xfId="24419"/>
    <cellStyle name="Heading 1 2 6 3 6 8" xfId="24420"/>
    <cellStyle name="Heading 1 2 6 3 6 8 2" xfId="24421"/>
    <cellStyle name="Heading 1 2 6 3 6 9" xfId="24422"/>
    <cellStyle name="Heading 1 2 6 3 7" xfId="24423"/>
    <cellStyle name="Heading 1 2 6 3 7 2" xfId="24424"/>
    <cellStyle name="Heading 1 2 6 3 7 2 2" xfId="24425"/>
    <cellStyle name="Heading 1 2 6 3 7 2 2 2" xfId="24426"/>
    <cellStyle name="Heading 1 2 6 3 7 2 3" xfId="24427"/>
    <cellStyle name="Heading 1 2 6 3 7 3" xfId="24428"/>
    <cellStyle name="Heading 1 2 6 3 7 3 2" xfId="24429"/>
    <cellStyle name="Heading 1 2 6 3 7 3 2 2" xfId="24430"/>
    <cellStyle name="Heading 1 2 6 3 7 3 3" xfId="24431"/>
    <cellStyle name="Heading 1 2 6 3 7 4" xfId="24432"/>
    <cellStyle name="Heading 1 2 6 3 7 4 2" xfId="24433"/>
    <cellStyle name="Heading 1 2 6 3 7 4 2 2" xfId="24434"/>
    <cellStyle name="Heading 1 2 6 3 7 4 3" xfId="24435"/>
    <cellStyle name="Heading 1 2 6 3 7 5" xfId="24436"/>
    <cellStyle name="Heading 1 2 6 3 7 5 2" xfId="24437"/>
    <cellStyle name="Heading 1 2 6 3 7 5 2 2" xfId="24438"/>
    <cellStyle name="Heading 1 2 6 3 7 5 3" xfId="24439"/>
    <cellStyle name="Heading 1 2 6 3 7 6" xfId="24440"/>
    <cellStyle name="Heading 1 2 6 3 7 6 2" xfId="24441"/>
    <cellStyle name="Heading 1 2 6 3 7 6 2 2" xfId="24442"/>
    <cellStyle name="Heading 1 2 6 3 7 6 3" xfId="24443"/>
    <cellStyle name="Heading 1 2 6 3 7 7" xfId="24444"/>
    <cellStyle name="Heading 1 2 6 3 7 7 2" xfId="24445"/>
    <cellStyle name="Heading 1 2 6 3 7 7 2 2" xfId="24446"/>
    <cellStyle name="Heading 1 2 6 3 7 7 3" xfId="24447"/>
    <cellStyle name="Heading 1 2 6 3 7 8" xfId="24448"/>
    <cellStyle name="Heading 1 2 6 3 7 8 2" xfId="24449"/>
    <cellStyle name="Heading 1 2 6 3 7 9" xfId="24450"/>
    <cellStyle name="Heading 1 2 6 3 8" xfId="24451"/>
    <cellStyle name="Heading 1 2 6 3 8 2" xfId="24452"/>
    <cellStyle name="Heading 1 2 6 3 8 2 2" xfId="24453"/>
    <cellStyle name="Heading 1 2 6 3 8 2 2 2" xfId="24454"/>
    <cellStyle name="Heading 1 2 6 3 8 2 3" xfId="24455"/>
    <cellStyle name="Heading 1 2 6 3 8 3" xfId="24456"/>
    <cellStyle name="Heading 1 2 6 3 8 3 2" xfId="24457"/>
    <cellStyle name="Heading 1 2 6 3 8 3 2 2" xfId="24458"/>
    <cellStyle name="Heading 1 2 6 3 8 3 3" xfId="24459"/>
    <cellStyle name="Heading 1 2 6 3 8 4" xfId="24460"/>
    <cellStyle name="Heading 1 2 6 3 8 4 2" xfId="24461"/>
    <cellStyle name="Heading 1 2 6 3 8 4 2 2" xfId="24462"/>
    <cellStyle name="Heading 1 2 6 3 8 4 3" xfId="24463"/>
    <cellStyle name="Heading 1 2 6 3 8 5" xfId="24464"/>
    <cellStyle name="Heading 1 2 6 3 8 5 2" xfId="24465"/>
    <cellStyle name="Heading 1 2 6 3 8 5 2 2" xfId="24466"/>
    <cellStyle name="Heading 1 2 6 3 8 5 3" xfId="24467"/>
    <cellStyle name="Heading 1 2 6 3 8 6" xfId="24468"/>
    <cellStyle name="Heading 1 2 6 3 8 6 2" xfId="24469"/>
    <cellStyle name="Heading 1 2 6 3 8 6 2 2" xfId="24470"/>
    <cellStyle name="Heading 1 2 6 3 8 6 3" xfId="24471"/>
    <cellStyle name="Heading 1 2 6 3 8 7" xfId="24472"/>
    <cellStyle name="Heading 1 2 6 3 8 7 2" xfId="24473"/>
    <cellStyle name="Heading 1 2 6 3 8 7 2 2" xfId="24474"/>
    <cellStyle name="Heading 1 2 6 3 8 7 3" xfId="24475"/>
    <cellStyle name="Heading 1 2 6 3 8 8" xfId="24476"/>
    <cellStyle name="Heading 1 2 6 3 8 8 2" xfId="24477"/>
    <cellStyle name="Heading 1 2 6 3 8 9" xfId="24478"/>
    <cellStyle name="Heading 1 2 6 3 9" xfId="24479"/>
    <cellStyle name="Heading 1 2 6 3 9 2" xfId="24480"/>
    <cellStyle name="Heading 1 2 6 3 9 2 2" xfId="24481"/>
    <cellStyle name="Heading 1 2 6 3 9 3" xfId="24482"/>
    <cellStyle name="Heading 1 2 6 4" xfId="24483"/>
    <cellStyle name="Heading 1 2 6 4 2" xfId="24484"/>
    <cellStyle name="Heading 1 2 6 4 2 2" xfId="24485"/>
    <cellStyle name="Heading 1 2 6 4 3" xfId="24486"/>
    <cellStyle name="Heading 1 2 6 5" xfId="24487"/>
    <cellStyle name="Heading 1 2 6 5 2" xfId="24488"/>
    <cellStyle name="Heading 1 2 6 6" xfId="24489"/>
    <cellStyle name="Heading 1 2 7" xfId="24490"/>
    <cellStyle name="Heading 1 2 7 2" xfId="24491"/>
    <cellStyle name="Heading 1 2 7 2 10" xfId="24492"/>
    <cellStyle name="Heading 1 2 7 2 10 2" xfId="24493"/>
    <cellStyle name="Heading 1 2 7 2 10 2 2" xfId="24494"/>
    <cellStyle name="Heading 1 2 7 2 10 3" xfId="24495"/>
    <cellStyle name="Heading 1 2 7 2 11" xfId="24496"/>
    <cellStyle name="Heading 1 2 7 2 11 2" xfId="24497"/>
    <cellStyle name="Heading 1 2 7 2 11 2 2" xfId="24498"/>
    <cellStyle name="Heading 1 2 7 2 11 3" xfId="24499"/>
    <cellStyle name="Heading 1 2 7 2 12" xfId="24500"/>
    <cellStyle name="Heading 1 2 7 2 12 2" xfId="24501"/>
    <cellStyle name="Heading 1 2 7 2 12 2 2" xfId="24502"/>
    <cellStyle name="Heading 1 2 7 2 12 3" xfId="24503"/>
    <cellStyle name="Heading 1 2 7 2 13" xfId="24504"/>
    <cellStyle name="Heading 1 2 7 2 13 2" xfId="24505"/>
    <cellStyle name="Heading 1 2 7 2 13 2 2" xfId="24506"/>
    <cellStyle name="Heading 1 2 7 2 13 3" xfId="24507"/>
    <cellStyle name="Heading 1 2 7 2 14" xfId="24508"/>
    <cellStyle name="Heading 1 2 7 2 14 2" xfId="24509"/>
    <cellStyle name="Heading 1 2 7 2 14 2 2" xfId="24510"/>
    <cellStyle name="Heading 1 2 7 2 14 3" xfId="24511"/>
    <cellStyle name="Heading 1 2 7 2 15" xfId="24512"/>
    <cellStyle name="Heading 1 2 7 2 15 2" xfId="24513"/>
    <cellStyle name="Heading 1 2 7 2 15 2 2" xfId="24514"/>
    <cellStyle name="Heading 1 2 7 2 15 3" xfId="24515"/>
    <cellStyle name="Heading 1 2 7 2 16" xfId="24516"/>
    <cellStyle name="Heading 1 2 7 2 16 2" xfId="24517"/>
    <cellStyle name="Heading 1 2 7 2 16 2 2" xfId="24518"/>
    <cellStyle name="Heading 1 2 7 2 16 3" xfId="24519"/>
    <cellStyle name="Heading 1 2 7 2 17" xfId="24520"/>
    <cellStyle name="Heading 1 2 7 2 17 2" xfId="24521"/>
    <cellStyle name="Heading 1 2 7 2 17 2 2" xfId="24522"/>
    <cellStyle name="Heading 1 2 7 2 17 3" xfId="24523"/>
    <cellStyle name="Heading 1 2 7 2 18" xfId="24524"/>
    <cellStyle name="Heading 1 2 7 2 18 2" xfId="24525"/>
    <cellStyle name="Heading 1 2 7 2 18 2 2" xfId="24526"/>
    <cellStyle name="Heading 1 2 7 2 18 3" xfId="24527"/>
    <cellStyle name="Heading 1 2 7 2 19" xfId="24528"/>
    <cellStyle name="Heading 1 2 7 2 19 2" xfId="24529"/>
    <cellStyle name="Heading 1 2 7 2 19 2 2" xfId="24530"/>
    <cellStyle name="Heading 1 2 7 2 19 3" xfId="24531"/>
    <cellStyle name="Heading 1 2 7 2 2" xfId="24532"/>
    <cellStyle name="Heading 1 2 7 2 2 10" xfId="24533"/>
    <cellStyle name="Heading 1 2 7 2 2 10 2" xfId="24534"/>
    <cellStyle name="Heading 1 2 7 2 2 10 2 2" xfId="24535"/>
    <cellStyle name="Heading 1 2 7 2 2 10 3" xfId="24536"/>
    <cellStyle name="Heading 1 2 7 2 2 11" xfId="24537"/>
    <cellStyle name="Heading 1 2 7 2 2 11 2" xfId="24538"/>
    <cellStyle name="Heading 1 2 7 2 2 11 2 2" xfId="24539"/>
    <cellStyle name="Heading 1 2 7 2 2 11 3" xfId="24540"/>
    <cellStyle name="Heading 1 2 7 2 2 12" xfId="24541"/>
    <cellStyle name="Heading 1 2 7 2 2 12 2" xfId="24542"/>
    <cellStyle name="Heading 1 2 7 2 2 12 2 2" xfId="24543"/>
    <cellStyle name="Heading 1 2 7 2 2 12 3" xfId="24544"/>
    <cellStyle name="Heading 1 2 7 2 2 13" xfId="24545"/>
    <cellStyle name="Heading 1 2 7 2 2 13 2" xfId="24546"/>
    <cellStyle name="Heading 1 2 7 2 2 13 2 2" xfId="24547"/>
    <cellStyle name="Heading 1 2 7 2 2 13 3" xfId="24548"/>
    <cellStyle name="Heading 1 2 7 2 2 14" xfId="24549"/>
    <cellStyle name="Heading 1 2 7 2 2 14 2" xfId="24550"/>
    <cellStyle name="Heading 1 2 7 2 2 14 2 2" xfId="24551"/>
    <cellStyle name="Heading 1 2 7 2 2 14 3" xfId="24552"/>
    <cellStyle name="Heading 1 2 7 2 2 15" xfId="24553"/>
    <cellStyle name="Heading 1 2 7 2 2 15 2" xfId="24554"/>
    <cellStyle name="Heading 1 2 7 2 2 15 2 2" xfId="24555"/>
    <cellStyle name="Heading 1 2 7 2 2 15 3" xfId="24556"/>
    <cellStyle name="Heading 1 2 7 2 2 16" xfId="24557"/>
    <cellStyle name="Heading 1 2 7 2 2 16 2" xfId="24558"/>
    <cellStyle name="Heading 1 2 7 2 2 16 2 2" xfId="24559"/>
    <cellStyle name="Heading 1 2 7 2 2 16 3" xfId="24560"/>
    <cellStyle name="Heading 1 2 7 2 2 17" xfId="24561"/>
    <cellStyle name="Heading 1 2 7 2 2 17 2" xfId="24562"/>
    <cellStyle name="Heading 1 2 7 2 2 17 2 2" xfId="24563"/>
    <cellStyle name="Heading 1 2 7 2 2 17 3" xfId="24564"/>
    <cellStyle name="Heading 1 2 7 2 2 18" xfId="24565"/>
    <cellStyle name="Heading 1 2 7 2 2 18 2" xfId="24566"/>
    <cellStyle name="Heading 1 2 7 2 2 18 2 2" xfId="24567"/>
    <cellStyle name="Heading 1 2 7 2 2 18 3" xfId="24568"/>
    <cellStyle name="Heading 1 2 7 2 2 19" xfId="24569"/>
    <cellStyle name="Heading 1 2 7 2 2 19 2" xfId="24570"/>
    <cellStyle name="Heading 1 2 7 2 2 2" xfId="24571"/>
    <cellStyle name="Heading 1 2 7 2 2 2 2" xfId="24572"/>
    <cellStyle name="Heading 1 2 7 2 2 2 2 2" xfId="24573"/>
    <cellStyle name="Heading 1 2 7 2 2 2 2 2 2" xfId="24574"/>
    <cellStyle name="Heading 1 2 7 2 2 2 2 3" xfId="24575"/>
    <cellStyle name="Heading 1 2 7 2 2 2 3" xfId="24576"/>
    <cellStyle name="Heading 1 2 7 2 2 2 3 2" xfId="24577"/>
    <cellStyle name="Heading 1 2 7 2 2 2 3 2 2" xfId="24578"/>
    <cellStyle name="Heading 1 2 7 2 2 2 3 3" xfId="24579"/>
    <cellStyle name="Heading 1 2 7 2 2 2 4" xfId="24580"/>
    <cellStyle name="Heading 1 2 7 2 2 2 4 2" xfId="24581"/>
    <cellStyle name="Heading 1 2 7 2 2 2 4 2 2" xfId="24582"/>
    <cellStyle name="Heading 1 2 7 2 2 2 4 3" xfId="24583"/>
    <cellStyle name="Heading 1 2 7 2 2 2 5" xfId="24584"/>
    <cellStyle name="Heading 1 2 7 2 2 2 5 2" xfId="24585"/>
    <cellStyle name="Heading 1 2 7 2 2 2 5 2 2" xfId="24586"/>
    <cellStyle name="Heading 1 2 7 2 2 2 5 3" xfId="24587"/>
    <cellStyle name="Heading 1 2 7 2 2 2 6" xfId="24588"/>
    <cellStyle name="Heading 1 2 7 2 2 2 6 2" xfId="24589"/>
    <cellStyle name="Heading 1 2 7 2 2 2 6 2 2" xfId="24590"/>
    <cellStyle name="Heading 1 2 7 2 2 2 6 3" xfId="24591"/>
    <cellStyle name="Heading 1 2 7 2 2 2 7" xfId="24592"/>
    <cellStyle name="Heading 1 2 7 2 2 2 7 2" xfId="24593"/>
    <cellStyle name="Heading 1 2 7 2 2 2 7 2 2" xfId="24594"/>
    <cellStyle name="Heading 1 2 7 2 2 2 7 3" xfId="24595"/>
    <cellStyle name="Heading 1 2 7 2 2 2 8" xfId="24596"/>
    <cellStyle name="Heading 1 2 7 2 2 2 8 2" xfId="24597"/>
    <cellStyle name="Heading 1 2 7 2 2 2 9" xfId="24598"/>
    <cellStyle name="Heading 1 2 7 2 2 20" xfId="24599"/>
    <cellStyle name="Heading 1 2 7 2 2 20 2" xfId="24600"/>
    <cellStyle name="Heading 1 2 7 2 2 21" xfId="24601"/>
    <cellStyle name="Heading 1 2 7 2 2 21 2" xfId="24602"/>
    <cellStyle name="Heading 1 2 7 2 2 22" xfId="24603"/>
    <cellStyle name="Heading 1 2 7 2 2 3" xfId="24604"/>
    <cellStyle name="Heading 1 2 7 2 2 3 2" xfId="24605"/>
    <cellStyle name="Heading 1 2 7 2 2 3 2 2" xfId="24606"/>
    <cellStyle name="Heading 1 2 7 2 2 3 2 2 2" xfId="24607"/>
    <cellStyle name="Heading 1 2 7 2 2 3 2 3" xfId="24608"/>
    <cellStyle name="Heading 1 2 7 2 2 3 3" xfId="24609"/>
    <cellStyle name="Heading 1 2 7 2 2 3 3 2" xfId="24610"/>
    <cellStyle name="Heading 1 2 7 2 2 3 3 2 2" xfId="24611"/>
    <cellStyle name="Heading 1 2 7 2 2 3 3 3" xfId="24612"/>
    <cellStyle name="Heading 1 2 7 2 2 3 4" xfId="24613"/>
    <cellStyle name="Heading 1 2 7 2 2 3 4 2" xfId="24614"/>
    <cellStyle name="Heading 1 2 7 2 2 3 4 2 2" xfId="24615"/>
    <cellStyle name="Heading 1 2 7 2 2 3 4 3" xfId="24616"/>
    <cellStyle name="Heading 1 2 7 2 2 3 5" xfId="24617"/>
    <cellStyle name="Heading 1 2 7 2 2 3 5 2" xfId="24618"/>
    <cellStyle name="Heading 1 2 7 2 2 3 5 2 2" xfId="24619"/>
    <cellStyle name="Heading 1 2 7 2 2 3 5 3" xfId="24620"/>
    <cellStyle name="Heading 1 2 7 2 2 3 6" xfId="24621"/>
    <cellStyle name="Heading 1 2 7 2 2 3 6 2" xfId="24622"/>
    <cellStyle name="Heading 1 2 7 2 2 3 6 2 2" xfId="24623"/>
    <cellStyle name="Heading 1 2 7 2 2 3 6 3" xfId="24624"/>
    <cellStyle name="Heading 1 2 7 2 2 3 7" xfId="24625"/>
    <cellStyle name="Heading 1 2 7 2 2 3 7 2" xfId="24626"/>
    <cellStyle name="Heading 1 2 7 2 2 3 7 2 2" xfId="24627"/>
    <cellStyle name="Heading 1 2 7 2 2 3 7 3" xfId="24628"/>
    <cellStyle name="Heading 1 2 7 2 2 3 8" xfId="24629"/>
    <cellStyle name="Heading 1 2 7 2 2 3 8 2" xfId="24630"/>
    <cellStyle name="Heading 1 2 7 2 2 3 9" xfId="24631"/>
    <cellStyle name="Heading 1 2 7 2 2 4" xfId="24632"/>
    <cellStyle name="Heading 1 2 7 2 2 4 2" xfId="24633"/>
    <cellStyle name="Heading 1 2 7 2 2 4 2 2" xfId="24634"/>
    <cellStyle name="Heading 1 2 7 2 2 4 2 2 2" xfId="24635"/>
    <cellStyle name="Heading 1 2 7 2 2 4 2 3" xfId="24636"/>
    <cellStyle name="Heading 1 2 7 2 2 4 3" xfId="24637"/>
    <cellStyle name="Heading 1 2 7 2 2 4 3 2" xfId="24638"/>
    <cellStyle name="Heading 1 2 7 2 2 4 3 2 2" xfId="24639"/>
    <cellStyle name="Heading 1 2 7 2 2 4 3 3" xfId="24640"/>
    <cellStyle name="Heading 1 2 7 2 2 4 4" xfId="24641"/>
    <cellStyle name="Heading 1 2 7 2 2 4 4 2" xfId="24642"/>
    <cellStyle name="Heading 1 2 7 2 2 4 4 2 2" xfId="24643"/>
    <cellStyle name="Heading 1 2 7 2 2 4 4 3" xfId="24644"/>
    <cellStyle name="Heading 1 2 7 2 2 4 5" xfId="24645"/>
    <cellStyle name="Heading 1 2 7 2 2 4 5 2" xfId="24646"/>
    <cellStyle name="Heading 1 2 7 2 2 4 5 2 2" xfId="24647"/>
    <cellStyle name="Heading 1 2 7 2 2 4 5 3" xfId="24648"/>
    <cellStyle name="Heading 1 2 7 2 2 4 6" xfId="24649"/>
    <cellStyle name="Heading 1 2 7 2 2 4 6 2" xfId="24650"/>
    <cellStyle name="Heading 1 2 7 2 2 4 6 2 2" xfId="24651"/>
    <cellStyle name="Heading 1 2 7 2 2 4 6 3" xfId="24652"/>
    <cellStyle name="Heading 1 2 7 2 2 4 7" xfId="24653"/>
    <cellStyle name="Heading 1 2 7 2 2 4 7 2" xfId="24654"/>
    <cellStyle name="Heading 1 2 7 2 2 4 7 2 2" xfId="24655"/>
    <cellStyle name="Heading 1 2 7 2 2 4 7 3" xfId="24656"/>
    <cellStyle name="Heading 1 2 7 2 2 4 8" xfId="24657"/>
    <cellStyle name="Heading 1 2 7 2 2 4 8 2" xfId="24658"/>
    <cellStyle name="Heading 1 2 7 2 2 4 9" xfId="24659"/>
    <cellStyle name="Heading 1 2 7 2 2 5" xfId="24660"/>
    <cellStyle name="Heading 1 2 7 2 2 5 2" xfId="24661"/>
    <cellStyle name="Heading 1 2 7 2 2 5 2 2" xfId="24662"/>
    <cellStyle name="Heading 1 2 7 2 2 5 2 2 2" xfId="24663"/>
    <cellStyle name="Heading 1 2 7 2 2 5 2 3" xfId="24664"/>
    <cellStyle name="Heading 1 2 7 2 2 5 3" xfId="24665"/>
    <cellStyle name="Heading 1 2 7 2 2 5 3 2" xfId="24666"/>
    <cellStyle name="Heading 1 2 7 2 2 5 3 2 2" xfId="24667"/>
    <cellStyle name="Heading 1 2 7 2 2 5 3 3" xfId="24668"/>
    <cellStyle name="Heading 1 2 7 2 2 5 4" xfId="24669"/>
    <cellStyle name="Heading 1 2 7 2 2 5 4 2" xfId="24670"/>
    <cellStyle name="Heading 1 2 7 2 2 5 4 2 2" xfId="24671"/>
    <cellStyle name="Heading 1 2 7 2 2 5 4 3" xfId="24672"/>
    <cellStyle name="Heading 1 2 7 2 2 5 5" xfId="24673"/>
    <cellStyle name="Heading 1 2 7 2 2 5 5 2" xfId="24674"/>
    <cellStyle name="Heading 1 2 7 2 2 5 5 2 2" xfId="24675"/>
    <cellStyle name="Heading 1 2 7 2 2 5 5 3" xfId="24676"/>
    <cellStyle name="Heading 1 2 7 2 2 5 6" xfId="24677"/>
    <cellStyle name="Heading 1 2 7 2 2 5 6 2" xfId="24678"/>
    <cellStyle name="Heading 1 2 7 2 2 5 6 2 2" xfId="24679"/>
    <cellStyle name="Heading 1 2 7 2 2 5 6 3" xfId="24680"/>
    <cellStyle name="Heading 1 2 7 2 2 5 7" xfId="24681"/>
    <cellStyle name="Heading 1 2 7 2 2 5 7 2" xfId="24682"/>
    <cellStyle name="Heading 1 2 7 2 2 5 7 2 2" xfId="24683"/>
    <cellStyle name="Heading 1 2 7 2 2 5 7 3" xfId="24684"/>
    <cellStyle name="Heading 1 2 7 2 2 5 8" xfId="24685"/>
    <cellStyle name="Heading 1 2 7 2 2 5 8 2" xfId="24686"/>
    <cellStyle name="Heading 1 2 7 2 2 5 9" xfId="24687"/>
    <cellStyle name="Heading 1 2 7 2 2 6" xfId="24688"/>
    <cellStyle name="Heading 1 2 7 2 2 6 2" xfId="24689"/>
    <cellStyle name="Heading 1 2 7 2 2 6 2 2" xfId="24690"/>
    <cellStyle name="Heading 1 2 7 2 2 6 2 2 2" xfId="24691"/>
    <cellStyle name="Heading 1 2 7 2 2 6 2 3" xfId="24692"/>
    <cellStyle name="Heading 1 2 7 2 2 6 3" xfId="24693"/>
    <cellStyle name="Heading 1 2 7 2 2 6 3 2" xfId="24694"/>
    <cellStyle name="Heading 1 2 7 2 2 6 3 2 2" xfId="24695"/>
    <cellStyle name="Heading 1 2 7 2 2 6 3 3" xfId="24696"/>
    <cellStyle name="Heading 1 2 7 2 2 6 4" xfId="24697"/>
    <cellStyle name="Heading 1 2 7 2 2 6 4 2" xfId="24698"/>
    <cellStyle name="Heading 1 2 7 2 2 6 4 2 2" xfId="24699"/>
    <cellStyle name="Heading 1 2 7 2 2 6 4 3" xfId="24700"/>
    <cellStyle name="Heading 1 2 7 2 2 6 5" xfId="24701"/>
    <cellStyle name="Heading 1 2 7 2 2 6 5 2" xfId="24702"/>
    <cellStyle name="Heading 1 2 7 2 2 6 5 2 2" xfId="24703"/>
    <cellStyle name="Heading 1 2 7 2 2 6 5 3" xfId="24704"/>
    <cellStyle name="Heading 1 2 7 2 2 6 6" xfId="24705"/>
    <cellStyle name="Heading 1 2 7 2 2 6 6 2" xfId="24706"/>
    <cellStyle name="Heading 1 2 7 2 2 6 6 2 2" xfId="24707"/>
    <cellStyle name="Heading 1 2 7 2 2 6 6 3" xfId="24708"/>
    <cellStyle name="Heading 1 2 7 2 2 6 7" xfId="24709"/>
    <cellStyle name="Heading 1 2 7 2 2 6 7 2" xfId="24710"/>
    <cellStyle name="Heading 1 2 7 2 2 6 7 2 2" xfId="24711"/>
    <cellStyle name="Heading 1 2 7 2 2 6 7 3" xfId="24712"/>
    <cellStyle name="Heading 1 2 7 2 2 6 8" xfId="24713"/>
    <cellStyle name="Heading 1 2 7 2 2 6 8 2" xfId="24714"/>
    <cellStyle name="Heading 1 2 7 2 2 6 9" xfId="24715"/>
    <cellStyle name="Heading 1 2 7 2 2 7" xfId="24716"/>
    <cellStyle name="Heading 1 2 7 2 2 7 2" xfId="24717"/>
    <cellStyle name="Heading 1 2 7 2 2 7 2 2" xfId="24718"/>
    <cellStyle name="Heading 1 2 7 2 2 7 2 2 2" xfId="24719"/>
    <cellStyle name="Heading 1 2 7 2 2 7 2 3" xfId="24720"/>
    <cellStyle name="Heading 1 2 7 2 2 7 3" xfId="24721"/>
    <cellStyle name="Heading 1 2 7 2 2 7 3 2" xfId="24722"/>
    <cellStyle name="Heading 1 2 7 2 2 7 3 2 2" xfId="24723"/>
    <cellStyle name="Heading 1 2 7 2 2 7 3 3" xfId="24724"/>
    <cellStyle name="Heading 1 2 7 2 2 7 4" xfId="24725"/>
    <cellStyle name="Heading 1 2 7 2 2 7 4 2" xfId="24726"/>
    <cellStyle name="Heading 1 2 7 2 2 7 4 2 2" xfId="24727"/>
    <cellStyle name="Heading 1 2 7 2 2 7 4 3" xfId="24728"/>
    <cellStyle name="Heading 1 2 7 2 2 7 5" xfId="24729"/>
    <cellStyle name="Heading 1 2 7 2 2 7 5 2" xfId="24730"/>
    <cellStyle name="Heading 1 2 7 2 2 7 5 2 2" xfId="24731"/>
    <cellStyle name="Heading 1 2 7 2 2 7 5 3" xfId="24732"/>
    <cellStyle name="Heading 1 2 7 2 2 7 6" xfId="24733"/>
    <cellStyle name="Heading 1 2 7 2 2 7 6 2" xfId="24734"/>
    <cellStyle name="Heading 1 2 7 2 2 7 6 2 2" xfId="24735"/>
    <cellStyle name="Heading 1 2 7 2 2 7 6 3" xfId="24736"/>
    <cellStyle name="Heading 1 2 7 2 2 7 7" xfId="24737"/>
    <cellStyle name="Heading 1 2 7 2 2 7 7 2" xfId="24738"/>
    <cellStyle name="Heading 1 2 7 2 2 7 7 2 2" xfId="24739"/>
    <cellStyle name="Heading 1 2 7 2 2 7 7 3" xfId="24740"/>
    <cellStyle name="Heading 1 2 7 2 2 7 8" xfId="24741"/>
    <cellStyle name="Heading 1 2 7 2 2 7 8 2" xfId="24742"/>
    <cellStyle name="Heading 1 2 7 2 2 7 9" xfId="24743"/>
    <cellStyle name="Heading 1 2 7 2 2 8" xfId="24744"/>
    <cellStyle name="Heading 1 2 7 2 2 8 2" xfId="24745"/>
    <cellStyle name="Heading 1 2 7 2 2 8 2 2" xfId="24746"/>
    <cellStyle name="Heading 1 2 7 2 2 8 2 2 2" xfId="24747"/>
    <cellStyle name="Heading 1 2 7 2 2 8 2 3" xfId="24748"/>
    <cellStyle name="Heading 1 2 7 2 2 8 3" xfId="24749"/>
    <cellStyle name="Heading 1 2 7 2 2 8 3 2" xfId="24750"/>
    <cellStyle name="Heading 1 2 7 2 2 8 3 2 2" xfId="24751"/>
    <cellStyle name="Heading 1 2 7 2 2 8 3 3" xfId="24752"/>
    <cellStyle name="Heading 1 2 7 2 2 8 4" xfId="24753"/>
    <cellStyle name="Heading 1 2 7 2 2 8 4 2" xfId="24754"/>
    <cellStyle name="Heading 1 2 7 2 2 8 4 2 2" xfId="24755"/>
    <cellStyle name="Heading 1 2 7 2 2 8 4 3" xfId="24756"/>
    <cellStyle name="Heading 1 2 7 2 2 8 5" xfId="24757"/>
    <cellStyle name="Heading 1 2 7 2 2 8 5 2" xfId="24758"/>
    <cellStyle name="Heading 1 2 7 2 2 8 5 2 2" xfId="24759"/>
    <cellStyle name="Heading 1 2 7 2 2 8 5 3" xfId="24760"/>
    <cellStyle name="Heading 1 2 7 2 2 8 6" xfId="24761"/>
    <cellStyle name="Heading 1 2 7 2 2 8 6 2" xfId="24762"/>
    <cellStyle name="Heading 1 2 7 2 2 8 6 2 2" xfId="24763"/>
    <cellStyle name="Heading 1 2 7 2 2 8 6 3" xfId="24764"/>
    <cellStyle name="Heading 1 2 7 2 2 8 7" xfId="24765"/>
    <cellStyle name="Heading 1 2 7 2 2 8 7 2" xfId="24766"/>
    <cellStyle name="Heading 1 2 7 2 2 8 7 2 2" xfId="24767"/>
    <cellStyle name="Heading 1 2 7 2 2 8 7 3" xfId="24768"/>
    <cellStyle name="Heading 1 2 7 2 2 8 8" xfId="24769"/>
    <cellStyle name="Heading 1 2 7 2 2 8 8 2" xfId="24770"/>
    <cellStyle name="Heading 1 2 7 2 2 8 9" xfId="24771"/>
    <cellStyle name="Heading 1 2 7 2 2 9" xfId="24772"/>
    <cellStyle name="Heading 1 2 7 2 2 9 2" xfId="24773"/>
    <cellStyle name="Heading 1 2 7 2 2 9 2 2" xfId="24774"/>
    <cellStyle name="Heading 1 2 7 2 2 9 3" xfId="24775"/>
    <cellStyle name="Heading 1 2 7 2 20" xfId="24776"/>
    <cellStyle name="Heading 1 2 7 2 20 2" xfId="24777"/>
    <cellStyle name="Heading 1 2 7 2 21" xfId="24778"/>
    <cellStyle name="Heading 1 2 7 2 21 2" xfId="24779"/>
    <cellStyle name="Heading 1 2 7 2 22" xfId="24780"/>
    <cellStyle name="Heading 1 2 7 2 22 2" xfId="24781"/>
    <cellStyle name="Heading 1 2 7 2 23" xfId="24782"/>
    <cellStyle name="Heading 1 2 7 2 3" xfId="24783"/>
    <cellStyle name="Heading 1 2 7 2 3 2" xfId="24784"/>
    <cellStyle name="Heading 1 2 7 2 3 2 2" xfId="24785"/>
    <cellStyle name="Heading 1 2 7 2 3 2 2 2" xfId="24786"/>
    <cellStyle name="Heading 1 2 7 2 3 2 3" xfId="24787"/>
    <cellStyle name="Heading 1 2 7 2 3 3" xfId="24788"/>
    <cellStyle name="Heading 1 2 7 2 3 3 2" xfId="24789"/>
    <cellStyle name="Heading 1 2 7 2 3 3 2 2" xfId="24790"/>
    <cellStyle name="Heading 1 2 7 2 3 3 3" xfId="24791"/>
    <cellStyle name="Heading 1 2 7 2 3 4" xfId="24792"/>
    <cellStyle name="Heading 1 2 7 2 3 4 2" xfId="24793"/>
    <cellStyle name="Heading 1 2 7 2 3 4 2 2" xfId="24794"/>
    <cellStyle name="Heading 1 2 7 2 3 4 3" xfId="24795"/>
    <cellStyle name="Heading 1 2 7 2 3 5" xfId="24796"/>
    <cellStyle name="Heading 1 2 7 2 3 5 2" xfId="24797"/>
    <cellStyle name="Heading 1 2 7 2 3 5 2 2" xfId="24798"/>
    <cellStyle name="Heading 1 2 7 2 3 5 3" xfId="24799"/>
    <cellStyle name="Heading 1 2 7 2 3 6" xfId="24800"/>
    <cellStyle name="Heading 1 2 7 2 3 6 2" xfId="24801"/>
    <cellStyle name="Heading 1 2 7 2 3 6 2 2" xfId="24802"/>
    <cellStyle name="Heading 1 2 7 2 3 6 3" xfId="24803"/>
    <cellStyle name="Heading 1 2 7 2 3 7" xfId="24804"/>
    <cellStyle name="Heading 1 2 7 2 3 7 2" xfId="24805"/>
    <cellStyle name="Heading 1 2 7 2 3 7 2 2" xfId="24806"/>
    <cellStyle name="Heading 1 2 7 2 3 7 3" xfId="24807"/>
    <cellStyle name="Heading 1 2 7 2 3 8" xfId="24808"/>
    <cellStyle name="Heading 1 2 7 2 3 8 2" xfId="24809"/>
    <cellStyle name="Heading 1 2 7 2 3 9" xfId="24810"/>
    <cellStyle name="Heading 1 2 7 2 4" xfId="24811"/>
    <cellStyle name="Heading 1 2 7 2 4 2" xfId="24812"/>
    <cellStyle name="Heading 1 2 7 2 4 2 2" xfId="24813"/>
    <cellStyle name="Heading 1 2 7 2 4 2 2 2" xfId="24814"/>
    <cellStyle name="Heading 1 2 7 2 4 2 3" xfId="24815"/>
    <cellStyle name="Heading 1 2 7 2 4 3" xfId="24816"/>
    <cellStyle name="Heading 1 2 7 2 4 3 2" xfId="24817"/>
    <cellStyle name="Heading 1 2 7 2 4 3 2 2" xfId="24818"/>
    <cellStyle name="Heading 1 2 7 2 4 3 3" xfId="24819"/>
    <cellStyle name="Heading 1 2 7 2 4 4" xfId="24820"/>
    <cellStyle name="Heading 1 2 7 2 4 4 2" xfId="24821"/>
    <cellStyle name="Heading 1 2 7 2 4 4 2 2" xfId="24822"/>
    <cellStyle name="Heading 1 2 7 2 4 4 3" xfId="24823"/>
    <cellStyle name="Heading 1 2 7 2 4 5" xfId="24824"/>
    <cellStyle name="Heading 1 2 7 2 4 5 2" xfId="24825"/>
    <cellStyle name="Heading 1 2 7 2 4 5 2 2" xfId="24826"/>
    <cellStyle name="Heading 1 2 7 2 4 5 3" xfId="24827"/>
    <cellStyle name="Heading 1 2 7 2 4 6" xfId="24828"/>
    <cellStyle name="Heading 1 2 7 2 4 6 2" xfId="24829"/>
    <cellStyle name="Heading 1 2 7 2 4 6 2 2" xfId="24830"/>
    <cellStyle name="Heading 1 2 7 2 4 6 3" xfId="24831"/>
    <cellStyle name="Heading 1 2 7 2 4 7" xfId="24832"/>
    <cellStyle name="Heading 1 2 7 2 4 7 2" xfId="24833"/>
    <cellStyle name="Heading 1 2 7 2 4 7 2 2" xfId="24834"/>
    <cellStyle name="Heading 1 2 7 2 4 7 3" xfId="24835"/>
    <cellStyle name="Heading 1 2 7 2 4 8" xfId="24836"/>
    <cellStyle name="Heading 1 2 7 2 4 8 2" xfId="24837"/>
    <cellStyle name="Heading 1 2 7 2 4 9" xfId="24838"/>
    <cellStyle name="Heading 1 2 7 2 5" xfId="24839"/>
    <cellStyle name="Heading 1 2 7 2 5 2" xfId="24840"/>
    <cellStyle name="Heading 1 2 7 2 5 2 2" xfId="24841"/>
    <cellStyle name="Heading 1 2 7 2 5 2 2 2" xfId="24842"/>
    <cellStyle name="Heading 1 2 7 2 5 2 3" xfId="24843"/>
    <cellStyle name="Heading 1 2 7 2 5 3" xfId="24844"/>
    <cellStyle name="Heading 1 2 7 2 5 3 2" xfId="24845"/>
    <cellStyle name="Heading 1 2 7 2 5 3 2 2" xfId="24846"/>
    <cellStyle name="Heading 1 2 7 2 5 3 3" xfId="24847"/>
    <cellStyle name="Heading 1 2 7 2 5 4" xfId="24848"/>
    <cellStyle name="Heading 1 2 7 2 5 4 2" xfId="24849"/>
    <cellStyle name="Heading 1 2 7 2 5 4 2 2" xfId="24850"/>
    <cellStyle name="Heading 1 2 7 2 5 4 3" xfId="24851"/>
    <cellStyle name="Heading 1 2 7 2 5 5" xfId="24852"/>
    <cellStyle name="Heading 1 2 7 2 5 5 2" xfId="24853"/>
    <cellStyle name="Heading 1 2 7 2 5 5 2 2" xfId="24854"/>
    <cellStyle name="Heading 1 2 7 2 5 5 3" xfId="24855"/>
    <cellStyle name="Heading 1 2 7 2 5 6" xfId="24856"/>
    <cellStyle name="Heading 1 2 7 2 5 6 2" xfId="24857"/>
    <cellStyle name="Heading 1 2 7 2 5 6 2 2" xfId="24858"/>
    <cellStyle name="Heading 1 2 7 2 5 6 3" xfId="24859"/>
    <cellStyle name="Heading 1 2 7 2 5 7" xfId="24860"/>
    <cellStyle name="Heading 1 2 7 2 5 7 2" xfId="24861"/>
    <cellStyle name="Heading 1 2 7 2 5 7 2 2" xfId="24862"/>
    <cellStyle name="Heading 1 2 7 2 5 7 3" xfId="24863"/>
    <cellStyle name="Heading 1 2 7 2 5 8" xfId="24864"/>
    <cellStyle name="Heading 1 2 7 2 5 8 2" xfId="24865"/>
    <cellStyle name="Heading 1 2 7 2 5 9" xfId="24866"/>
    <cellStyle name="Heading 1 2 7 2 6" xfId="24867"/>
    <cellStyle name="Heading 1 2 7 2 6 2" xfId="24868"/>
    <cellStyle name="Heading 1 2 7 2 6 2 2" xfId="24869"/>
    <cellStyle name="Heading 1 2 7 2 6 2 2 2" xfId="24870"/>
    <cellStyle name="Heading 1 2 7 2 6 2 3" xfId="24871"/>
    <cellStyle name="Heading 1 2 7 2 6 3" xfId="24872"/>
    <cellStyle name="Heading 1 2 7 2 6 3 2" xfId="24873"/>
    <cellStyle name="Heading 1 2 7 2 6 3 2 2" xfId="24874"/>
    <cellStyle name="Heading 1 2 7 2 6 3 3" xfId="24875"/>
    <cellStyle name="Heading 1 2 7 2 6 4" xfId="24876"/>
    <cellStyle name="Heading 1 2 7 2 6 4 2" xfId="24877"/>
    <cellStyle name="Heading 1 2 7 2 6 4 2 2" xfId="24878"/>
    <cellStyle name="Heading 1 2 7 2 6 4 3" xfId="24879"/>
    <cellStyle name="Heading 1 2 7 2 6 5" xfId="24880"/>
    <cellStyle name="Heading 1 2 7 2 6 5 2" xfId="24881"/>
    <cellStyle name="Heading 1 2 7 2 6 5 2 2" xfId="24882"/>
    <cellStyle name="Heading 1 2 7 2 6 5 3" xfId="24883"/>
    <cellStyle name="Heading 1 2 7 2 6 6" xfId="24884"/>
    <cellStyle name="Heading 1 2 7 2 6 6 2" xfId="24885"/>
    <cellStyle name="Heading 1 2 7 2 6 6 2 2" xfId="24886"/>
    <cellStyle name="Heading 1 2 7 2 6 6 3" xfId="24887"/>
    <cellStyle name="Heading 1 2 7 2 6 7" xfId="24888"/>
    <cellStyle name="Heading 1 2 7 2 6 7 2" xfId="24889"/>
    <cellStyle name="Heading 1 2 7 2 6 7 2 2" xfId="24890"/>
    <cellStyle name="Heading 1 2 7 2 6 7 3" xfId="24891"/>
    <cellStyle name="Heading 1 2 7 2 6 8" xfId="24892"/>
    <cellStyle name="Heading 1 2 7 2 6 8 2" xfId="24893"/>
    <cellStyle name="Heading 1 2 7 2 6 9" xfId="24894"/>
    <cellStyle name="Heading 1 2 7 2 7" xfId="24895"/>
    <cellStyle name="Heading 1 2 7 2 7 2" xfId="24896"/>
    <cellStyle name="Heading 1 2 7 2 7 2 2" xfId="24897"/>
    <cellStyle name="Heading 1 2 7 2 7 2 2 2" xfId="24898"/>
    <cellStyle name="Heading 1 2 7 2 7 2 3" xfId="24899"/>
    <cellStyle name="Heading 1 2 7 2 7 3" xfId="24900"/>
    <cellStyle name="Heading 1 2 7 2 7 3 2" xfId="24901"/>
    <cellStyle name="Heading 1 2 7 2 7 3 2 2" xfId="24902"/>
    <cellStyle name="Heading 1 2 7 2 7 3 3" xfId="24903"/>
    <cellStyle name="Heading 1 2 7 2 7 4" xfId="24904"/>
    <cellStyle name="Heading 1 2 7 2 7 4 2" xfId="24905"/>
    <cellStyle name="Heading 1 2 7 2 7 4 2 2" xfId="24906"/>
    <cellStyle name="Heading 1 2 7 2 7 4 3" xfId="24907"/>
    <cellStyle name="Heading 1 2 7 2 7 5" xfId="24908"/>
    <cellStyle name="Heading 1 2 7 2 7 5 2" xfId="24909"/>
    <cellStyle name="Heading 1 2 7 2 7 5 2 2" xfId="24910"/>
    <cellStyle name="Heading 1 2 7 2 7 5 3" xfId="24911"/>
    <cellStyle name="Heading 1 2 7 2 7 6" xfId="24912"/>
    <cellStyle name="Heading 1 2 7 2 7 6 2" xfId="24913"/>
    <cellStyle name="Heading 1 2 7 2 7 6 2 2" xfId="24914"/>
    <cellStyle name="Heading 1 2 7 2 7 6 3" xfId="24915"/>
    <cellStyle name="Heading 1 2 7 2 7 7" xfId="24916"/>
    <cellStyle name="Heading 1 2 7 2 7 7 2" xfId="24917"/>
    <cellStyle name="Heading 1 2 7 2 7 7 2 2" xfId="24918"/>
    <cellStyle name="Heading 1 2 7 2 7 7 3" xfId="24919"/>
    <cellStyle name="Heading 1 2 7 2 7 8" xfId="24920"/>
    <cellStyle name="Heading 1 2 7 2 7 8 2" xfId="24921"/>
    <cellStyle name="Heading 1 2 7 2 7 9" xfId="24922"/>
    <cellStyle name="Heading 1 2 7 2 8" xfId="24923"/>
    <cellStyle name="Heading 1 2 7 2 8 2" xfId="24924"/>
    <cellStyle name="Heading 1 2 7 2 8 2 2" xfId="24925"/>
    <cellStyle name="Heading 1 2 7 2 8 2 2 2" xfId="24926"/>
    <cellStyle name="Heading 1 2 7 2 8 2 3" xfId="24927"/>
    <cellStyle name="Heading 1 2 7 2 8 3" xfId="24928"/>
    <cellStyle name="Heading 1 2 7 2 8 3 2" xfId="24929"/>
    <cellStyle name="Heading 1 2 7 2 8 3 2 2" xfId="24930"/>
    <cellStyle name="Heading 1 2 7 2 8 3 3" xfId="24931"/>
    <cellStyle name="Heading 1 2 7 2 8 4" xfId="24932"/>
    <cellStyle name="Heading 1 2 7 2 8 4 2" xfId="24933"/>
    <cellStyle name="Heading 1 2 7 2 8 4 2 2" xfId="24934"/>
    <cellStyle name="Heading 1 2 7 2 8 4 3" xfId="24935"/>
    <cellStyle name="Heading 1 2 7 2 8 5" xfId="24936"/>
    <cellStyle name="Heading 1 2 7 2 8 5 2" xfId="24937"/>
    <cellStyle name="Heading 1 2 7 2 8 5 2 2" xfId="24938"/>
    <cellStyle name="Heading 1 2 7 2 8 5 3" xfId="24939"/>
    <cellStyle name="Heading 1 2 7 2 8 6" xfId="24940"/>
    <cellStyle name="Heading 1 2 7 2 8 6 2" xfId="24941"/>
    <cellStyle name="Heading 1 2 7 2 8 6 2 2" xfId="24942"/>
    <cellStyle name="Heading 1 2 7 2 8 6 3" xfId="24943"/>
    <cellStyle name="Heading 1 2 7 2 8 7" xfId="24944"/>
    <cellStyle name="Heading 1 2 7 2 8 7 2" xfId="24945"/>
    <cellStyle name="Heading 1 2 7 2 8 7 2 2" xfId="24946"/>
    <cellStyle name="Heading 1 2 7 2 8 7 3" xfId="24947"/>
    <cellStyle name="Heading 1 2 7 2 8 8" xfId="24948"/>
    <cellStyle name="Heading 1 2 7 2 8 8 2" xfId="24949"/>
    <cellStyle name="Heading 1 2 7 2 8 9" xfId="24950"/>
    <cellStyle name="Heading 1 2 7 2 9" xfId="24951"/>
    <cellStyle name="Heading 1 2 7 2 9 2" xfId="24952"/>
    <cellStyle name="Heading 1 2 7 2 9 2 2" xfId="24953"/>
    <cellStyle name="Heading 1 2 7 2 9 2 2 2" xfId="24954"/>
    <cellStyle name="Heading 1 2 7 2 9 2 3" xfId="24955"/>
    <cellStyle name="Heading 1 2 7 2 9 3" xfId="24956"/>
    <cellStyle name="Heading 1 2 7 2 9 3 2" xfId="24957"/>
    <cellStyle name="Heading 1 2 7 2 9 3 2 2" xfId="24958"/>
    <cellStyle name="Heading 1 2 7 2 9 3 3" xfId="24959"/>
    <cellStyle name="Heading 1 2 7 2 9 4" xfId="24960"/>
    <cellStyle name="Heading 1 2 7 2 9 4 2" xfId="24961"/>
    <cellStyle name="Heading 1 2 7 2 9 4 2 2" xfId="24962"/>
    <cellStyle name="Heading 1 2 7 2 9 4 3" xfId="24963"/>
    <cellStyle name="Heading 1 2 7 2 9 5" xfId="24964"/>
    <cellStyle name="Heading 1 2 7 2 9 5 2" xfId="24965"/>
    <cellStyle name="Heading 1 2 7 2 9 5 2 2" xfId="24966"/>
    <cellStyle name="Heading 1 2 7 2 9 5 3" xfId="24967"/>
    <cellStyle name="Heading 1 2 7 2 9 6" xfId="24968"/>
    <cellStyle name="Heading 1 2 7 2 9 6 2" xfId="24969"/>
    <cellStyle name="Heading 1 2 7 2 9 6 2 2" xfId="24970"/>
    <cellStyle name="Heading 1 2 7 2 9 6 3" xfId="24971"/>
    <cellStyle name="Heading 1 2 7 2 9 7" xfId="24972"/>
    <cellStyle name="Heading 1 2 7 2 9 7 2" xfId="24973"/>
    <cellStyle name="Heading 1 2 7 2 9 7 2 2" xfId="24974"/>
    <cellStyle name="Heading 1 2 7 2 9 7 3" xfId="24975"/>
    <cellStyle name="Heading 1 2 7 2 9 8" xfId="24976"/>
    <cellStyle name="Heading 1 2 7 2 9 8 2" xfId="24977"/>
    <cellStyle name="Heading 1 2 7 2 9 9" xfId="24978"/>
    <cellStyle name="Heading 1 2 7 3" xfId="24979"/>
    <cellStyle name="Heading 1 2 7 3 10" xfId="24980"/>
    <cellStyle name="Heading 1 2 7 3 10 2" xfId="24981"/>
    <cellStyle name="Heading 1 2 7 3 10 2 2" xfId="24982"/>
    <cellStyle name="Heading 1 2 7 3 10 3" xfId="24983"/>
    <cellStyle name="Heading 1 2 7 3 11" xfId="24984"/>
    <cellStyle name="Heading 1 2 7 3 11 2" xfId="24985"/>
    <cellStyle name="Heading 1 2 7 3 11 2 2" xfId="24986"/>
    <cellStyle name="Heading 1 2 7 3 11 3" xfId="24987"/>
    <cellStyle name="Heading 1 2 7 3 12" xfId="24988"/>
    <cellStyle name="Heading 1 2 7 3 12 2" xfId="24989"/>
    <cellStyle name="Heading 1 2 7 3 12 2 2" xfId="24990"/>
    <cellStyle name="Heading 1 2 7 3 12 3" xfId="24991"/>
    <cellStyle name="Heading 1 2 7 3 13" xfId="24992"/>
    <cellStyle name="Heading 1 2 7 3 13 2" xfId="24993"/>
    <cellStyle name="Heading 1 2 7 3 13 2 2" xfId="24994"/>
    <cellStyle name="Heading 1 2 7 3 13 3" xfId="24995"/>
    <cellStyle name="Heading 1 2 7 3 14" xfId="24996"/>
    <cellStyle name="Heading 1 2 7 3 14 2" xfId="24997"/>
    <cellStyle name="Heading 1 2 7 3 14 2 2" xfId="24998"/>
    <cellStyle name="Heading 1 2 7 3 14 3" xfId="24999"/>
    <cellStyle name="Heading 1 2 7 3 15" xfId="25000"/>
    <cellStyle name="Heading 1 2 7 3 15 2" xfId="25001"/>
    <cellStyle name="Heading 1 2 7 3 15 2 2" xfId="25002"/>
    <cellStyle name="Heading 1 2 7 3 15 3" xfId="25003"/>
    <cellStyle name="Heading 1 2 7 3 16" xfId="25004"/>
    <cellStyle name="Heading 1 2 7 3 16 2" xfId="25005"/>
    <cellStyle name="Heading 1 2 7 3 16 2 2" xfId="25006"/>
    <cellStyle name="Heading 1 2 7 3 16 3" xfId="25007"/>
    <cellStyle name="Heading 1 2 7 3 17" xfId="25008"/>
    <cellStyle name="Heading 1 2 7 3 17 2" xfId="25009"/>
    <cellStyle name="Heading 1 2 7 3 17 2 2" xfId="25010"/>
    <cellStyle name="Heading 1 2 7 3 17 3" xfId="25011"/>
    <cellStyle name="Heading 1 2 7 3 18" xfId="25012"/>
    <cellStyle name="Heading 1 2 7 3 18 2" xfId="25013"/>
    <cellStyle name="Heading 1 2 7 3 18 2 2" xfId="25014"/>
    <cellStyle name="Heading 1 2 7 3 18 3" xfId="25015"/>
    <cellStyle name="Heading 1 2 7 3 19" xfId="25016"/>
    <cellStyle name="Heading 1 2 7 3 19 2" xfId="25017"/>
    <cellStyle name="Heading 1 2 7 3 2" xfId="25018"/>
    <cellStyle name="Heading 1 2 7 3 2 2" xfId="25019"/>
    <cellStyle name="Heading 1 2 7 3 2 2 2" xfId="25020"/>
    <cellStyle name="Heading 1 2 7 3 2 2 2 2" xfId="25021"/>
    <cellStyle name="Heading 1 2 7 3 2 2 3" xfId="25022"/>
    <cellStyle name="Heading 1 2 7 3 2 3" xfId="25023"/>
    <cellStyle name="Heading 1 2 7 3 2 3 2" xfId="25024"/>
    <cellStyle name="Heading 1 2 7 3 2 3 2 2" xfId="25025"/>
    <cellStyle name="Heading 1 2 7 3 2 3 3" xfId="25026"/>
    <cellStyle name="Heading 1 2 7 3 2 4" xfId="25027"/>
    <cellStyle name="Heading 1 2 7 3 2 4 2" xfId="25028"/>
    <cellStyle name="Heading 1 2 7 3 2 4 2 2" xfId="25029"/>
    <cellStyle name="Heading 1 2 7 3 2 4 3" xfId="25030"/>
    <cellStyle name="Heading 1 2 7 3 2 5" xfId="25031"/>
    <cellStyle name="Heading 1 2 7 3 2 5 2" xfId="25032"/>
    <cellStyle name="Heading 1 2 7 3 2 5 2 2" xfId="25033"/>
    <cellStyle name="Heading 1 2 7 3 2 5 3" xfId="25034"/>
    <cellStyle name="Heading 1 2 7 3 2 6" xfId="25035"/>
    <cellStyle name="Heading 1 2 7 3 2 6 2" xfId="25036"/>
    <cellStyle name="Heading 1 2 7 3 2 6 2 2" xfId="25037"/>
    <cellStyle name="Heading 1 2 7 3 2 6 3" xfId="25038"/>
    <cellStyle name="Heading 1 2 7 3 2 7" xfId="25039"/>
    <cellStyle name="Heading 1 2 7 3 2 7 2" xfId="25040"/>
    <cellStyle name="Heading 1 2 7 3 2 7 2 2" xfId="25041"/>
    <cellStyle name="Heading 1 2 7 3 2 7 3" xfId="25042"/>
    <cellStyle name="Heading 1 2 7 3 2 8" xfId="25043"/>
    <cellStyle name="Heading 1 2 7 3 2 8 2" xfId="25044"/>
    <cellStyle name="Heading 1 2 7 3 2 9" xfId="25045"/>
    <cellStyle name="Heading 1 2 7 3 20" xfId="25046"/>
    <cellStyle name="Heading 1 2 7 3 20 2" xfId="25047"/>
    <cellStyle name="Heading 1 2 7 3 21" xfId="25048"/>
    <cellStyle name="Heading 1 2 7 3 21 2" xfId="25049"/>
    <cellStyle name="Heading 1 2 7 3 22" xfId="25050"/>
    <cellStyle name="Heading 1 2 7 3 3" xfId="25051"/>
    <cellStyle name="Heading 1 2 7 3 3 2" xfId="25052"/>
    <cellStyle name="Heading 1 2 7 3 3 2 2" xfId="25053"/>
    <cellStyle name="Heading 1 2 7 3 3 2 2 2" xfId="25054"/>
    <cellStyle name="Heading 1 2 7 3 3 2 3" xfId="25055"/>
    <cellStyle name="Heading 1 2 7 3 3 3" xfId="25056"/>
    <cellStyle name="Heading 1 2 7 3 3 3 2" xfId="25057"/>
    <cellStyle name="Heading 1 2 7 3 3 3 2 2" xfId="25058"/>
    <cellStyle name="Heading 1 2 7 3 3 3 3" xfId="25059"/>
    <cellStyle name="Heading 1 2 7 3 3 4" xfId="25060"/>
    <cellStyle name="Heading 1 2 7 3 3 4 2" xfId="25061"/>
    <cellStyle name="Heading 1 2 7 3 3 4 2 2" xfId="25062"/>
    <cellStyle name="Heading 1 2 7 3 3 4 3" xfId="25063"/>
    <cellStyle name="Heading 1 2 7 3 3 5" xfId="25064"/>
    <cellStyle name="Heading 1 2 7 3 3 5 2" xfId="25065"/>
    <cellStyle name="Heading 1 2 7 3 3 5 2 2" xfId="25066"/>
    <cellStyle name="Heading 1 2 7 3 3 5 3" xfId="25067"/>
    <cellStyle name="Heading 1 2 7 3 3 6" xfId="25068"/>
    <cellStyle name="Heading 1 2 7 3 3 6 2" xfId="25069"/>
    <cellStyle name="Heading 1 2 7 3 3 6 2 2" xfId="25070"/>
    <cellStyle name="Heading 1 2 7 3 3 6 3" xfId="25071"/>
    <cellStyle name="Heading 1 2 7 3 3 7" xfId="25072"/>
    <cellStyle name="Heading 1 2 7 3 3 7 2" xfId="25073"/>
    <cellStyle name="Heading 1 2 7 3 3 7 2 2" xfId="25074"/>
    <cellStyle name="Heading 1 2 7 3 3 7 3" xfId="25075"/>
    <cellStyle name="Heading 1 2 7 3 3 8" xfId="25076"/>
    <cellStyle name="Heading 1 2 7 3 3 8 2" xfId="25077"/>
    <cellStyle name="Heading 1 2 7 3 3 9" xfId="25078"/>
    <cellStyle name="Heading 1 2 7 3 4" xfId="25079"/>
    <cellStyle name="Heading 1 2 7 3 4 2" xfId="25080"/>
    <cellStyle name="Heading 1 2 7 3 4 2 2" xfId="25081"/>
    <cellStyle name="Heading 1 2 7 3 4 2 2 2" xfId="25082"/>
    <cellStyle name="Heading 1 2 7 3 4 2 3" xfId="25083"/>
    <cellStyle name="Heading 1 2 7 3 4 3" xfId="25084"/>
    <cellStyle name="Heading 1 2 7 3 4 3 2" xfId="25085"/>
    <cellStyle name="Heading 1 2 7 3 4 3 2 2" xfId="25086"/>
    <cellStyle name="Heading 1 2 7 3 4 3 3" xfId="25087"/>
    <cellStyle name="Heading 1 2 7 3 4 4" xfId="25088"/>
    <cellStyle name="Heading 1 2 7 3 4 4 2" xfId="25089"/>
    <cellStyle name="Heading 1 2 7 3 4 4 2 2" xfId="25090"/>
    <cellStyle name="Heading 1 2 7 3 4 4 3" xfId="25091"/>
    <cellStyle name="Heading 1 2 7 3 4 5" xfId="25092"/>
    <cellStyle name="Heading 1 2 7 3 4 5 2" xfId="25093"/>
    <cellStyle name="Heading 1 2 7 3 4 5 2 2" xfId="25094"/>
    <cellStyle name="Heading 1 2 7 3 4 5 3" xfId="25095"/>
    <cellStyle name="Heading 1 2 7 3 4 6" xfId="25096"/>
    <cellStyle name="Heading 1 2 7 3 4 6 2" xfId="25097"/>
    <cellStyle name="Heading 1 2 7 3 4 6 2 2" xfId="25098"/>
    <cellStyle name="Heading 1 2 7 3 4 6 3" xfId="25099"/>
    <cellStyle name="Heading 1 2 7 3 4 7" xfId="25100"/>
    <cellStyle name="Heading 1 2 7 3 4 7 2" xfId="25101"/>
    <cellStyle name="Heading 1 2 7 3 4 7 2 2" xfId="25102"/>
    <cellStyle name="Heading 1 2 7 3 4 7 3" xfId="25103"/>
    <cellStyle name="Heading 1 2 7 3 4 8" xfId="25104"/>
    <cellStyle name="Heading 1 2 7 3 4 8 2" xfId="25105"/>
    <cellStyle name="Heading 1 2 7 3 4 9" xfId="25106"/>
    <cellStyle name="Heading 1 2 7 3 5" xfId="25107"/>
    <cellStyle name="Heading 1 2 7 3 5 2" xfId="25108"/>
    <cellStyle name="Heading 1 2 7 3 5 2 2" xfId="25109"/>
    <cellStyle name="Heading 1 2 7 3 5 2 2 2" xfId="25110"/>
    <cellStyle name="Heading 1 2 7 3 5 2 3" xfId="25111"/>
    <cellStyle name="Heading 1 2 7 3 5 3" xfId="25112"/>
    <cellStyle name="Heading 1 2 7 3 5 3 2" xfId="25113"/>
    <cellStyle name="Heading 1 2 7 3 5 3 2 2" xfId="25114"/>
    <cellStyle name="Heading 1 2 7 3 5 3 3" xfId="25115"/>
    <cellStyle name="Heading 1 2 7 3 5 4" xfId="25116"/>
    <cellStyle name="Heading 1 2 7 3 5 4 2" xfId="25117"/>
    <cellStyle name="Heading 1 2 7 3 5 4 2 2" xfId="25118"/>
    <cellStyle name="Heading 1 2 7 3 5 4 3" xfId="25119"/>
    <cellStyle name="Heading 1 2 7 3 5 5" xfId="25120"/>
    <cellStyle name="Heading 1 2 7 3 5 5 2" xfId="25121"/>
    <cellStyle name="Heading 1 2 7 3 5 5 2 2" xfId="25122"/>
    <cellStyle name="Heading 1 2 7 3 5 5 3" xfId="25123"/>
    <cellStyle name="Heading 1 2 7 3 5 6" xfId="25124"/>
    <cellStyle name="Heading 1 2 7 3 5 6 2" xfId="25125"/>
    <cellStyle name="Heading 1 2 7 3 5 6 2 2" xfId="25126"/>
    <cellStyle name="Heading 1 2 7 3 5 6 3" xfId="25127"/>
    <cellStyle name="Heading 1 2 7 3 5 7" xfId="25128"/>
    <cellStyle name="Heading 1 2 7 3 5 7 2" xfId="25129"/>
    <cellStyle name="Heading 1 2 7 3 5 7 2 2" xfId="25130"/>
    <cellStyle name="Heading 1 2 7 3 5 7 3" xfId="25131"/>
    <cellStyle name="Heading 1 2 7 3 5 8" xfId="25132"/>
    <cellStyle name="Heading 1 2 7 3 5 8 2" xfId="25133"/>
    <cellStyle name="Heading 1 2 7 3 5 9" xfId="25134"/>
    <cellStyle name="Heading 1 2 7 3 6" xfId="25135"/>
    <cellStyle name="Heading 1 2 7 3 6 2" xfId="25136"/>
    <cellStyle name="Heading 1 2 7 3 6 2 2" xfId="25137"/>
    <cellStyle name="Heading 1 2 7 3 6 2 2 2" xfId="25138"/>
    <cellStyle name="Heading 1 2 7 3 6 2 3" xfId="25139"/>
    <cellStyle name="Heading 1 2 7 3 6 3" xfId="25140"/>
    <cellStyle name="Heading 1 2 7 3 6 3 2" xfId="25141"/>
    <cellStyle name="Heading 1 2 7 3 6 3 2 2" xfId="25142"/>
    <cellStyle name="Heading 1 2 7 3 6 3 3" xfId="25143"/>
    <cellStyle name="Heading 1 2 7 3 6 4" xfId="25144"/>
    <cellStyle name="Heading 1 2 7 3 6 4 2" xfId="25145"/>
    <cellStyle name="Heading 1 2 7 3 6 4 2 2" xfId="25146"/>
    <cellStyle name="Heading 1 2 7 3 6 4 3" xfId="25147"/>
    <cellStyle name="Heading 1 2 7 3 6 5" xfId="25148"/>
    <cellStyle name="Heading 1 2 7 3 6 5 2" xfId="25149"/>
    <cellStyle name="Heading 1 2 7 3 6 5 2 2" xfId="25150"/>
    <cellStyle name="Heading 1 2 7 3 6 5 3" xfId="25151"/>
    <cellStyle name="Heading 1 2 7 3 6 6" xfId="25152"/>
    <cellStyle name="Heading 1 2 7 3 6 6 2" xfId="25153"/>
    <cellStyle name="Heading 1 2 7 3 6 6 2 2" xfId="25154"/>
    <cellStyle name="Heading 1 2 7 3 6 6 3" xfId="25155"/>
    <cellStyle name="Heading 1 2 7 3 6 7" xfId="25156"/>
    <cellStyle name="Heading 1 2 7 3 6 7 2" xfId="25157"/>
    <cellStyle name="Heading 1 2 7 3 6 7 2 2" xfId="25158"/>
    <cellStyle name="Heading 1 2 7 3 6 7 3" xfId="25159"/>
    <cellStyle name="Heading 1 2 7 3 6 8" xfId="25160"/>
    <cellStyle name="Heading 1 2 7 3 6 8 2" xfId="25161"/>
    <cellStyle name="Heading 1 2 7 3 6 9" xfId="25162"/>
    <cellStyle name="Heading 1 2 7 3 7" xfId="25163"/>
    <cellStyle name="Heading 1 2 7 3 7 2" xfId="25164"/>
    <cellStyle name="Heading 1 2 7 3 7 2 2" xfId="25165"/>
    <cellStyle name="Heading 1 2 7 3 7 2 2 2" xfId="25166"/>
    <cellStyle name="Heading 1 2 7 3 7 2 3" xfId="25167"/>
    <cellStyle name="Heading 1 2 7 3 7 3" xfId="25168"/>
    <cellStyle name="Heading 1 2 7 3 7 3 2" xfId="25169"/>
    <cellStyle name="Heading 1 2 7 3 7 3 2 2" xfId="25170"/>
    <cellStyle name="Heading 1 2 7 3 7 3 3" xfId="25171"/>
    <cellStyle name="Heading 1 2 7 3 7 4" xfId="25172"/>
    <cellStyle name="Heading 1 2 7 3 7 4 2" xfId="25173"/>
    <cellStyle name="Heading 1 2 7 3 7 4 2 2" xfId="25174"/>
    <cellStyle name="Heading 1 2 7 3 7 4 3" xfId="25175"/>
    <cellStyle name="Heading 1 2 7 3 7 5" xfId="25176"/>
    <cellStyle name="Heading 1 2 7 3 7 5 2" xfId="25177"/>
    <cellStyle name="Heading 1 2 7 3 7 5 2 2" xfId="25178"/>
    <cellStyle name="Heading 1 2 7 3 7 5 3" xfId="25179"/>
    <cellStyle name="Heading 1 2 7 3 7 6" xfId="25180"/>
    <cellStyle name="Heading 1 2 7 3 7 6 2" xfId="25181"/>
    <cellStyle name="Heading 1 2 7 3 7 6 2 2" xfId="25182"/>
    <cellStyle name="Heading 1 2 7 3 7 6 3" xfId="25183"/>
    <cellStyle name="Heading 1 2 7 3 7 7" xfId="25184"/>
    <cellStyle name="Heading 1 2 7 3 7 7 2" xfId="25185"/>
    <cellStyle name="Heading 1 2 7 3 7 7 2 2" xfId="25186"/>
    <cellStyle name="Heading 1 2 7 3 7 7 3" xfId="25187"/>
    <cellStyle name="Heading 1 2 7 3 7 8" xfId="25188"/>
    <cellStyle name="Heading 1 2 7 3 7 8 2" xfId="25189"/>
    <cellStyle name="Heading 1 2 7 3 7 9" xfId="25190"/>
    <cellStyle name="Heading 1 2 7 3 8" xfId="25191"/>
    <cellStyle name="Heading 1 2 7 3 8 2" xfId="25192"/>
    <cellStyle name="Heading 1 2 7 3 8 2 2" xfId="25193"/>
    <cellStyle name="Heading 1 2 7 3 8 2 2 2" xfId="25194"/>
    <cellStyle name="Heading 1 2 7 3 8 2 3" xfId="25195"/>
    <cellStyle name="Heading 1 2 7 3 8 3" xfId="25196"/>
    <cellStyle name="Heading 1 2 7 3 8 3 2" xfId="25197"/>
    <cellStyle name="Heading 1 2 7 3 8 3 2 2" xfId="25198"/>
    <cellStyle name="Heading 1 2 7 3 8 3 3" xfId="25199"/>
    <cellStyle name="Heading 1 2 7 3 8 4" xfId="25200"/>
    <cellStyle name="Heading 1 2 7 3 8 4 2" xfId="25201"/>
    <cellStyle name="Heading 1 2 7 3 8 4 2 2" xfId="25202"/>
    <cellStyle name="Heading 1 2 7 3 8 4 3" xfId="25203"/>
    <cellStyle name="Heading 1 2 7 3 8 5" xfId="25204"/>
    <cellStyle name="Heading 1 2 7 3 8 5 2" xfId="25205"/>
    <cellStyle name="Heading 1 2 7 3 8 5 2 2" xfId="25206"/>
    <cellStyle name="Heading 1 2 7 3 8 5 3" xfId="25207"/>
    <cellStyle name="Heading 1 2 7 3 8 6" xfId="25208"/>
    <cellStyle name="Heading 1 2 7 3 8 6 2" xfId="25209"/>
    <cellStyle name="Heading 1 2 7 3 8 6 2 2" xfId="25210"/>
    <cellStyle name="Heading 1 2 7 3 8 6 3" xfId="25211"/>
    <cellStyle name="Heading 1 2 7 3 8 7" xfId="25212"/>
    <cellStyle name="Heading 1 2 7 3 8 7 2" xfId="25213"/>
    <cellStyle name="Heading 1 2 7 3 8 7 2 2" xfId="25214"/>
    <cellStyle name="Heading 1 2 7 3 8 7 3" xfId="25215"/>
    <cellStyle name="Heading 1 2 7 3 8 8" xfId="25216"/>
    <cellStyle name="Heading 1 2 7 3 8 8 2" xfId="25217"/>
    <cellStyle name="Heading 1 2 7 3 8 9" xfId="25218"/>
    <cellStyle name="Heading 1 2 7 3 9" xfId="25219"/>
    <cellStyle name="Heading 1 2 7 3 9 2" xfId="25220"/>
    <cellStyle name="Heading 1 2 7 3 9 2 2" xfId="25221"/>
    <cellStyle name="Heading 1 2 7 3 9 3" xfId="25222"/>
    <cellStyle name="Heading 1 2 7 4" xfId="25223"/>
    <cellStyle name="Heading 1 2 7 4 2" xfId="25224"/>
    <cellStyle name="Heading 1 2 7 4 2 2" xfId="25225"/>
    <cellStyle name="Heading 1 2 7 4 3" xfId="25226"/>
    <cellStyle name="Heading 1 2 7 5" xfId="25227"/>
    <cellStyle name="Heading 1 2 7 5 2" xfId="25228"/>
    <cellStyle name="Heading 1 2 7 6" xfId="25229"/>
    <cellStyle name="Heading 1 2 8" xfId="25230"/>
    <cellStyle name="Heading 1 2 8 2" xfId="25231"/>
    <cellStyle name="Heading 1 2 8 2 10" xfId="25232"/>
    <cellStyle name="Heading 1 2 8 2 10 2" xfId="25233"/>
    <cellStyle name="Heading 1 2 8 2 10 2 2" xfId="25234"/>
    <cellStyle name="Heading 1 2 8 2 10 3" xfId="25235"/>
    <cellStyle name="Heading 1 2 8 2 11" xfId="25236"/>
    <cellStyle name="Heading 1 2 8 2 11 2" xfId="25237"/>
    <cellStyle name="Heading 1 2 8 2 11 2 2" xfId="25238"/>
    <cellStyle name="Heading 1 2 8 2 11 3" xfId="25239"/>
    <cellStyle name="Heading 1 2 8 2 12" xfId="25240"/>
    <cellStyle name="Heading 1 2 8 2 12 2" xfId="25241"/>
    <cellStyle name="Heading 1 2 8 2 12 2 2" xfId="25242"/>
    <cellStyle name="Heading 1 2 8 2 12 3" xfId="25243"/>
    <cellStyle name="Heading 1 2 8 2 13" xfId="25244"/>
    <cellStyle name="Heading 1 2 8 2 13 2" xfId="25245"/>
    <cellStyle name="Heading 1 2 8 2 13 2 2" xfId="25246"/>
    <cellStyle name="Heading 1 2 8 2 13 3" xfId="25247"/>
    <cellStyle name="Heading 1 2 8 2 14" xfId="25248"/>
    <cellStyle name="Heading 1 2 8 2 14 2" xfId="25249"/>
    <cellStyle name="Heading 1 2 8 2 14 2 2" xfId="25250"/>
    <cellStyle name="Heading 1 2 8 2 14 3" xfId="25251"/>
    <cellStyle name="Heading 1 2 8 2 15" xfId="25252"/>
    <cellStyle name="Heading 1 2 8 2 15 2" xfId="25253"/>
    <cellStyle name="Heading 1 2 8 2 15 2 2" xfId="25254"/>
    <cellStyle name="Heading 1 2 8 2 15 3" xfId="25255"/>
    <cellStyle name="Heading 1 2 8 2 16" xfId="25256"/>
    <cellStyle name="Heading 1 2 8 2 16 2" xfId="25257"/>
    <cellStyle name="Heading 1 2 8 2 16 2 2" xfId="25258"/>
    <cellStyle name="Heading 1 2 8 2 16 3" xfId="25259"/>
    <cellStyle name="Heading 1 2 8 2 17" xfId="25260"/>
    <cellStyle name="Heading 1 2 8 2 17 2" xfId="25261"/>
    <cellStyle name="Heading 1 2 8 2 17 2 2" xfId="25262"/>
    <cellStyle name="Heading 1 2 8 2 17 3" xfId="25263"/>
    <cellStyle name="Heading 1 2 8 2 18" xfId="25264"/>
    <cellStyle name="Heading 1 2 8 2 18 2" xfId="25265"/>
    <cellStyle name="Heading 1 2 8 2 18 2 2" xfId="25266"/>
    <cellStyle name="Heading 1 2 8 2 18 3" xfId="25267"/>
    <cellStyle name="Heading 1 2 8 2 19" xfId="25268"/>
    <cellStyle name="Heading 1 2 8 2 19 2" xfId="25269"/>
    <cellStyle name="Heading 1 2 8 2 19 2 2" xfId="25270"/>
    <cellStyle name="Heading 1 2 8 2 19 3" xfId="25271"/>
    <cellStyle name="Heading 1 2 8 2 2" xfId="25272"/>
    <cellStyle name="Heading 1 2 8 2 2 10" xfId="25273"/>
    <cellStyle name="Heading 1 2 8 2 2 10 2" xfId="25274"/>
    <cellStyle name="Heading 1 2 8 2 2 10 2 2" xfId="25275"/>
    <cellStyle name="Heading 1 2 8 2 2 10 3" xfId="25276"/>
    <cellStyle name="Heading 1 2 8 2 2 11" xfId="25277"/>
    <cellStyle name="Heading 1 2 8 2 2 11 2" xfId="25278"/>
    <cellStyle name="Heading 1 2 8 2 2 11 2 2" xfId="25279"/>
    <cellStyle name="Heading 1 2 8 2 2 11 3" xfId="25280"/>
    <cellStyle name="Heading 1 2 8 2 2 12" xfId="25281"/>
    <cellStyle name="Heading 1 2 8 2 2 12 2" xfId="25282"/>
    <cellStyle name="Heading 1 2 8 2 2 12 2 2" xfId="25283"/>
    <cellStyle name="Heading 1 2 8 2 2 12 3" xfId="25284"/>
    <cellStyle name="Heading 1 2 8 2 2 13" xfId="25285"/>
    <cellStyle name="Heading 1 2 8 2 2 13 2" xfId="25286"/>
    <cellStyle name="Heading 1 2 8 2 2 13 2 2" xfId="25287"/>
    <cellStyle name="Heading 1 2 8 2 2 13 3" xfId="25288"/>
    <cellStyle name="Heading 1 2 8 2 2 14" xfId="25289"/>
    <cellStyle name="Heading 1 2 8 2 2 14 2" xfId="25290"/>
    <cellStyle name="Heading 1 2 8 2 2 14 2 2" xfId="25291"/>
    <cellStyle name="Heading 1 2 8 2 2 14 3" xfId="25292"/>
    <cellStyle name="Heading 1 2 8 2 2 15" xfId="25293"/>
    <cellStyle name="Heading 1 2 8 2 2 15 2" xfId="25294"/>
    <cellStyle name="Heading 1 2 8 2 2 15 2 2" xfId="25295"/>
    <cellStyle name="Heading 1 2 8 2 2 15 3" xfId="25296"/>
    <cellStyle name="Heading 1 2 8 2 2 16" xfId="25297"/>
    <cellStyle name="Heading 1 2 8 2 2 16 2" xfId="25298"/>
    <cellStyle name="Heading 1 2 8 2 2 16 2 2" xfId="25299"/>
    <cellStyle name="Heading 1 2 8 2 2 16 3" xfId="25300"/>
    <cellStyle name="Heading 1 2 8 2 2 17" xfId="25301"/>
    <cellStyle name="Heading 1 2 8 2 2 17 2" xfId="25302"/>
    <cellStyle name="Heading 1 2 8 2 2 17 2 2" xfId="25303"/>
    <cellStyle name="Heading 1 2 8 2 2 17 3" xfId="25304"/>
    <cellStyle name="Heading 1 2 8 2 2 18" xfId="25305"/>
    <cellStyle name="Heading 1 2 8 2 2 18 2" xfId="25306"/>
    <cellStyle name="Heading 1 2 8 2 2 18 2 2" xfId="25307"/>
    <cellStyle name="Heading 1 2 8 2 2 18 3" xfId="25308"/>
    <cellStyle name="Heading 1 2 8 2 2 19" xfId="25309"/>
    <cellStyle name="Heading 1 2 8 2 2 19 2" xfId="25310"/>
    <cellStyle name="Heading 1 2 8 2 2 2" xfId="25311"/>
    <cellStyle name="Heading 1 2 8 2 2 2 2" xfId="25312"/>
    <cellStyle name="Heading 1 2 8 2 2 2 2 2" xfId="25313"/>
    <cellStyle name="Heading 1 2 8 2 2 2 2 2 2" xfId="25314"/>
    <cellStyle name="Heading 1 2 8 2 2 2 2 3" xfId="25315"/>
    <cellStyle name="Heading 1 2 8 2 2 2 3" xfId="25316"/>
    <cellStyle name="Heading 1 2 8 2 2 2 3 2" xfId="25317"/>
    <cellStyle name="Heading 1 2 8 2 2 2 3 2 2" xfId="25318"/>
    <cellStyle name="Heading 1 2 8 2 2 2 3 3" xfId="25319"/>
    <cellStyle name="Heading 1 2 8 2 2 2 4" xfId="25320"/>
    <cellStyle name="Heading 1 2 8 2 2 2 4 2" xfId="25321"/>
    <cellStyle name="Heading 1 2 8 2 2 2 4 2 2" xfId="25322"/>
    <cellStyle name="Heading 1 2 8 2 2 2 4 3" xfId="25323"/>
    <cellStyle name="Heading 1 2 8 2 2 2 5" xfId="25324"/>
    <cellStyle name="Heading 1 2 8 2 2 2 5 2" xfId="25325"/>
    <cellStyle name="Heading 1 2 8 2 2 2 5 2 2" xfId="25326"/>
    <cellStyle name="Heading 1 2 8 2 2 2 5 3" xfId="25327"/>
    <cellStyle name="Heading 1 2 8 2 2 2 6" xfId="25328"/>
    <cellStyle name="Heading 1 2 8 2 2 2 6 2" xfId="25329"/>
    <cellStyle name="Heading 1 2 8 2 2 2 6 2 2" xfId="25330"/>
    <cellStyle name="Heading 1 2 8 2 2 2 6 3" xfId="25331"/>
    <cellStyle name="Heading 1 2 8 2 2 2 7" xfId="25332"/>
    <cellStyle name="Heading 1 2 8 2 2 2 7 2" xfId="25333"/>
    <cellStyle name="Heading 1 2 8 2 2 2 7 2 2" xfId="25334"/>
    <cellStyle name="Heading 1 2 8 2 2 2 7 3" xfId="25335"/>
    <cellStyle name="Heading 1 2 8 2 2 2 8" xfId="25336"/>
    <cellStyle name="Heading 1 2 8 2 2 2 8 2" xfId="25337"/>
    <cellStyle name="Heading 1 2 8 2 2 2 9" xfId="25338"/>
    <cellStyle name="Heading 1 2 8 2 2 20" xfId="25339"/>
    <cellStyle name="Heading 1 2 8 2 2 20 2" xfId="25340"/>
    <cellStyle name="Heading 1 2 8 2 2 21" xfId="25341"/>
    <cellStyle name="Heading 1 2 8 2 2 21 2" xfId="25342"/>
    <cellStyle name="Heading 1 2 8 2 2 22" xfId="25343"/>
    <cellStyle name="Heading 1 2 8 2 2 3" xfId="25344"/>
    <cellStyle name="Heading 1 2 8 2 2 3 2" xfId="25345"/>
    <cellStyle name="Heading 1 2 8 2 2 3 2 2" xfId="25346"/>
    <cellStyle name="Heading 1 2 8 2 2 3 2 2 2" xfId="25347"/>
    <cellStyle name="Heading 1 2 8 2 2 3 2 3" xfId="25348"/>
    <cellStyle name="Heading 1 2 8 2 2 3 3" xfId="25349"/>
    <cellStyle name="Heading 1 2 8 2 2 3 3 2" xfId="25350"/>
    <cellStyle name="Heading 1 2 8 2 2 3 3 2 2" xfId="25351"/>
    <cellStyle name="Heading 1 2 8 2 2 3 3 3" xfId="25352"/>
    <cellStyle name="Heading 1 2 8 2 2 3 4" xfId="25353"/>
    <cellStyle name="Heading 1 2 8 2 2 3 4 2" xfId="25354"/>
    <cellStyle name="Heading 1 2 8 2 2 3 4 2 2" xfId="25355"/>
    <cellStyle name="Heading 1 2 8 2 2 3 4 3" xfId="25356"/>
    <cellStyle name="Heading 1 2 8 2 2 3 5" xfId="25357"/>
    <cellStyle name="Heading 1 2 8 2 2 3 5 2" xfId="25358"/>
    <cellStyle name="Heading 1 2 8 2 2 3 5 2 2" xfId="25359"/>
    <cellStyle name="Heading 1 2 8 2 2 3 5 3" xfId="25360"/>
    <cellStyle name="Heading 1 2 8 2 2 3 6" xfId="25361"/>
    <cellStyle name="Heading 1 2 8 2 2 3 6 2" xfId="25362"/>
    <cellStyle name="Heading 1 2 8 2 2 3 6 2 2" xfId="25363"/>
    <cellStyle name="Heading 1 2 8 2 2 3 6 3" xfId="25364"/>
    <cellStyle name="Heading 1 2 8 2 2 3 7" xfId="25365"/>
    <cellStyle name="Heading 1 2 8 2 2 3 7 2" xfId="25366"/>
    <cellStyle name="Heading 1 2 8 2 2 3 7 2 2" xfId="25367"/>
    <cellStyle name="Heading 1 2 8 2 2 3 7 3" xfId="25368"/>
    <cellStyle name="Heading 1 2 8 2 2 3 8" xfId="25369"/>
    <cellStyle name="Heading 1 2 8 2 2 3 8 2" xfId="25370"/>
    <cellStyle name="Heading 1 2 8 2 2 3 9" xfId="25371"/>
    <cellStyle name="Heading 1 2 8 2 2 4" xfId="25372"/>
    <cellStyle name="Heading 1 2 8 2 2 4 2" xfId="25373"/>
    <cellStyle name="Heading 1 2 8 2 2 4 2 2" xfId="25374"/>
    <cellStyle name="Heading 1 2 8 2 2 4 2 2 2" xfId="25375"/>
    <cellStyle name="Heading 1 2 8 2 2 4 2 3" xfId="25376"/>
    <cellStyle name="Heading 1 2 8 2 2 4 3" xfId="25377"/>
    <cellStyle name="Heading 1 2 8 2 2 4 3 2" xfId="25378"/>
    <cellStyle name="Heading 1 2 8 2 2 4 3 2 2" xfId="25379"/>
    <cellStyle name="Heading 1 2 8 2 2 4 3 3" xfId="25380"/>
    <cellStyle name="Heading 1 2 8 2 2 4 4" xfId="25381"/>
    <cellStyle name="Heading 1 2 8 2 2 4 4 2" xfId="25382"/>
    <cellStyle name="Heading 1 2 8 2 2 4 4 2 2" xfId="25383"/>
    <cellStyle name="Heading 1 2 8 2 2 4 4 3" xfId="25384"/>
    <cellStyle name="Heading 1 2 8 2 2 4 5" xfId="25385"/>
    <cellStyle name="Heading 1 2 8 2 2 4 5 2" xfId="25386"/>
    <cellStyle name="Heading 1 2 8 2 2 4 5 2 2" xfId="25387"/>
    <cellStyle name="Heading 1 2 8 2 2 4 5 3" xfId="25388"/>
    <cellStyle name="Heading 1 2 8 2 2 4 6" xfId="25389"/>
    <cellStyle name="Heading 1 2 8 2 2 4 6 2" xfId="25390"/>
    <cellStyle name="Heading 1 2 8 2 2 4 6 2 2" xfId="25391"/>
    <cellStyle name="Heading 1 2 8 2 2 4 6 3" xfId="25392"/>
    <cellStyle name="Heading 1 2 8 2 2 4 7" xfId="25393"/>
    <cellStyle name="Heading 1 2 8 2 2 4 7 2" xfId="25394"/>
    <cellStyle name="Heading 1 2 8 2 2 4 7 2 2" xfId="25395"/>
    <cellStyle name="Heading 1 2 8 2 2 4 7 3" xfId="25396"/>
    <cellStyle name="Heading 1 2 8 2 2 4 8" xfId="25397"/>
    <cellStyle name="Heading 1 2 8 2 2 4 8 2" xfId="25398"/>
    <cellStyle name="Heading 1 2 8 2 2 4 9" xfId="25399"/>
    <cellStyle name="Heading 1 2 8 2 2 5" xfId="25400"/>
    <cellStyle name="Heading 1 2 8 2 2 5 2" xfId="25401"/>
    <cellStyle name="Heading 1 2 8 2 2 5 2 2" xfId="25402"/>
    <cellStyle name="Heading 1 2 8 2 2 5 2 2 2" xfId="25403"/>
    <cellStyle name="Heading 1 2 8 2 2 5 2 3" xfId="25404"/>
    <cellStyle name="Heading 1 2 8 2 2 5 3" xfId="25405"/>
    <cellStyle name="Heading 1 2 8 2 2 5 3 2" xfId="25406"/>
    <cellStyle name="Heading 1 2 8 2 2 5 3 2 2" xfId="25407"/>
    <cellStyle name="Heading 1 2 8 2 2 5 3 3" xfId="25408"/>
    <cellStyle name="Heading 1 2 8 2 2 5 4" xfId="25409"/>
    <cellStyle name="Heading 1 2 8 2 2 5 4 2" xfId="25410"/>
    <cellStyle name="Heading 1 2 8 2 2 5 4 2 2" xfId="25411"/>
    <cellStyle name="Heading 1 2 8 2 2 5 4 3" xfId="25412"/>
    <cellStyle name="Heading 1 2 8 2 2 5 5" xfId="25413"/>
    <cellStyle name="Heading 1 2 8 2 2 5 5 2" xfId="25414"/>
    <cellStyle name="Heading 1 2 8 2 2 5 5 2 2" xfId="25415"/>
    <cellStyle name="Heading 1 2 8 2 2 5 5 3" xfId="25416"/>
    <cellStyle name="Heading 1 2 8 2 2 5 6" xfId="25417"/>
    <cellStyle name="Heading 1 2 8 2 2 5 6 2" xfId="25418"/>
    <cellStyle name="Heading 1 2 8 2 2 5 6 2 2" xfId="25419"/>
    <cellStyle name="Heading 1 2 8 2 2 5 6 3" xfId="25420"/>
    <cellStyle name="Heading 1 2 8 2 2 5 7" xfId="25421"/>
    <cellStyle name="Heading 1 2 8 2 2 5 7 2" xfId="25422"/>
    <cellStyle name="Heading 1 2 8 2 2 5 7 2 2" xfId="25423"/>
    <cellStyle name="Heading 1 2 8 2 2 5 7 3" xfId="25424"/>
    <cellStyle name="Heading 1 2 8 2 2 5 8" xfId="25425"/>
    <cellStyle name="Heading 1 2 8 2 2 5 8 2" xfId="25426"/>
    <cellStyle name="Heading 1 2 8 2 2 5 9" xfId="25427"/>
    <cellStyle name="Heading 1 2 8 2 2 6" xfId="25428"/>
    <cellStyle name="Heading 1 2 8 2 2 6 2" xfId="25429"/>
    <cellStyle name="Heading 1 2 8 2 2 6 2 2" xfId="25430"/>
    <cellStyle name="Heading 1 2 8 2 2 6 2 2 2" xfId="25431"/>
    <cellStyle name="Heading 1 2 8 2 2 6 2 3" xfId="25432"/>
    <cellStyle name="Heading 1 2 8 2 2 6 3" xfId="25433"/>
    <cellStyle name="Heading 1 2 8 2 2 6 3 2" xfId="25434"/>
    <cellStyle name="Heading 1 2 8 2 2 6 3 2 2" xfId="25435"/>
    <cellStyle name="Heading 1 2 8 2 2 6 3 3" xfId="25436"/>
    <cellStyle name="Heading 1 2 8 2 2 6 4" xfId="25437"/>
    <cellStyle name="Heading 1 2 8 2 2 6 4 2" xfId="25438"/>
    <cellStyle name="Heading 1 2 8 2 2 6 4 2 2" xfId="25439"/>
    <cellStyle name="Heading 1 2 8 2 2 6 4 3" xfId="25440"/>
    <cellStyle name="Heading 1 2 8 2 2 6 5" xfId="25441"/>
    <cellStyle name="Heading 1 2 8 2 2 6 5 2" xfId="25442"/>
    <cellStyle name="Heading 1 2 8 2 2 6 5 2 2" xfId="25443"/>
    <cellStyle name="Heading 1 2 8 2 2 6 5 3" xfId="25444"/>
    <cellStyle name="Heading 1 2 8 2 2 6 6" xfId="25445"/>
    <cellStyle name="Heading 1 2 8 2 2 6 6 2" xfId="25446"/>
    <cellStyle name="Heading 1 2 8 2 2 6 6 2 2" xfId="25447"/>
    <cellStyle name="Heading 1 2 8 2 2 6 6 3" xfId="25448"/>
    <cellStyle name="Heading 1 2 8 2 2 6 7" xfId="25449"/>
    <cellStyle name="Heading 1 2 8 2 2 6 7 2" xfId="25450"/>
    <cellStyle name="Heading 1 2 8 2 2 6 7 2 2" xfId="25451"/>
    <cellStyle name="Heading 1 2 8 2 2 6 7 3" xfId="25452"/>
    <cellStyle name="Heading 1 2 8 2 2 6 8" xfId="25453"/>
    <cellStyle name="Heading 1 2 8 2 2 6 8 2" xfId="25454"/>
    <cellStyle name="Heading 1 2 8 2 2 6 9" xfId="25455"/>
    <cellStyle name="Heading 1 2 8 2 2 7" xfId="25456"/>
    <cellStyle name="Heading 1 2 8 2 2 7 2" xfId="25457"/>
    <cellStyle name="Heading 1 2 8 2 2 7 2 2" xfId="25458"/>
    <cellStyle name="Heading 1 2 8 2 2 7 2 2 2" xfId="25459"/>
    <cellStyle name="Heading 1 2 8 2 2 7 2 3" xfId="25460"/>
    <cellStyle name="Heading 1 2 8 2 2 7 3" xfId="25461"/>
    <cellStyle name="Heading 1 2 8 2 2 7 3 2" xfId="25462"/>
    <cellStyle name="Heading 1 2 8 2 2 7 3 2 2" xfId="25463"/>
    <cellStyle name="Heading 1 2 8 2 2 7 3 3" xfId="25464"/>
    <cellStyle name="Heading 1 2 8 2 2 7 4" xfId="25465"/>
    <cellStyle name="Heading 1 2 8 2 2 7 4 2" xfId="25466"/>
    <cellStyle name="Heading 1 2 8 2 2 7 4 2 2" xfId="25467"/>
    <cellStyle name="Heading 1 2 8 2 2 7 4 3" xfId="25468"/>
    <cellStyle name="Heading 1 2 8 2 2 7 5" xfId="25469"/>
    <cellStyle name="Heading 1 2 8 2 2 7 5 2" xfId="25470"/>
    <cellStyle name="Heading 1 2 8 2 2 7 5 2 2" xfId="25471"/>
    <cellStyle name="Heading 1 2 8 2 2 7 5 3" xfId="25472"/>
    <cellStyle name="Heading 1 2 8 2 2 7 6" xfId="25473"/>
    <cellStyle name="Heading 1 2 8 2 2 7 6 2" xfId="25474"/>
    <cellStyle name="Heading 1 2 8 2 2 7 6 2 2" xfId="25475"/>
    <cellStyle name="Heading 1 2 8 2 2 7 6 3" xfId="25476"/>
    <cellStyle name="Heading 1 2 8 2 2 7 7" xfId="25477"/>
    <cellStyle name="Heading 1 2 8 2 2 7 7 2" xfId="25478"/>
    <cellStyle name="Heading 1 2 8 2 2 7 7 2 2" xfId="25479"/>
    <cellStyle name="Heading 1 2 8 2 2 7 7 3" xfId="25480"/>
    <cellStyle name="Heading 1 2 8 2 2 7 8" xfId="25481"/>
    <cellStyle name="Heading 1 2 8 2 2 7 8 2" xfId="25482"/>
    <cellStyle name="Heading 1 2 8 2 2 7 9" xfId="25483"/>
    <cellStyle name="Heading 1 2 8 2 2 8" xfId="25484"/>
    <cellStyle name="Heading 1 2 8 2 2 8 2" xfId="25485"/>
    <cellStyle name="Heading 1 2 8 2 2 8 2 2" xfId="25486"/>
    <cellStyle name="Heading 1 2 8 2 2 8 2 2 2" xfId="25487"/>
    <cellStyle name="Heading 1 2 8 2 2 8 2 3" xfId="25488"/>
    <cellStyle name="Heading 1 2 8 2 2 8 3" xfId="25489"/>
    <cellStyle name="Heading 1 2 8 2 2 8 3 2" xfId="25490"/>
    <cellStyle name="Heading 1 2 8 2 2 8 3 2 2" xfId="25491"/>
    <cellStyle name="Heading 1 2 8 2 2 8 3 3" xfId="25492"/>
    <cellStyle name="Heading 1 2 8 2 2 8 4" xfId="25493"/>
    <cellStyle name="Heading 1 2 8 2 2 8 4 2" xfId="25494"/>
    <cellStyle name="Heading 1 2 8 2 2 8 4 2 2" xfId="25495"/>
    <cellStyle name="Heading 1 2 8 2 2 8 4 3" xfId="25496"/>
    <cellStyle name="Heading 1 2 8 2 2 8 5" xfId="25497"/>
    <cellStyle name="Heading 1 2 8 2 2 8 5 2" xfId="25498"/>
    <cellStyle name="Heading 1 2 8 2 2 8 5 2 2" xfId="25499"/>
    <cellStyle name="Heading 1 2 8 2 2 8 5 3" xfId="25500"/>
    <cellStyle name="Heading 1 2 8 2 2 8 6" xfId="25501"/>
    <cellStyle name="Heading 1 2 8 2 2 8 6 2" xfId="25502"/>
    <cellStyle name="Heading 1 2 8 2 2 8 6 2 2" xfId="25503"/>
    <cellStyle name="Heading 1 2 8 2 2 8 6 3" xfId="25504"/>
    <cellStyle name="Heading 1 2 8 2 2 8 7" xfId="25505"/>
    <cellStyle name="Heading 1 2 8 2 2 8 7 2" xfId="25506"/>
    <cellStyle name="Heading 1 2 8 2 2 8 7 2 2" xfId="25507"/>
    <cellStyle name="Heading 1 2 8 2 2 8 7 3" xfId="25508"/>
    <cellStyle name="Heading 1 2 8 2 2 8 8" xfId="25509"/>
    <cellStyle name="Heading 1 2 8 2 2 8 8 2" xfId="25510"/>
    <cellStyle name="Heading 1 2 8 2 2 8 9" xfId="25511"/>
    <cellStyle name="Heading 1 2 8 2 2 9" xfId="25512"/>
    <cellStyle name="Heading 1 2 8 2 2 9 2" xfId="25513"/>
    <cellStyle name="Heading 1 2 8 2 2 9 2 2" xfId="25514"/>
    <cellStyle name="Heading 1 2 8 2 2 9 3" xfId="25515"/>
    <cellStyle name="Heading 1 2 8 2 20" xfId="25516"/>
    <cellStyle name="Heading 1 2 8 2 20 2" xfId="25517"/>
    <cellStyle name="Heading 1 2 8 2 21" xfId="25518"/>
    <cellStyle name="Heading 1 2 8 2 21 2" xfId="25519"/>
    <cellStyle name="Heading 1 2 8 2 22" xfId="25520"/>
    <cellStyle name="Heading 1 2 8 2 22 2" xfId="25521"/>
    <cellStyle name="Heading 1 2 8 2 23" xfId="25522"/>
    <cellStyle name="Heading 1 2 8 2 3" xfId="25523"/>
    <cellStyle name="Heading 1 2 8 2 3 2" xfId="25524"/>
    <cellStyle name="Heading 1 2 8 2 3 2 2" xfId="25525"/>
    <cellStyle name="Heading 1 2 8 2 3 2 2 2" xfId="25526"/>
    <cellStyle name="Heading 1 2 8 2 3 2 3" xfId="25527"/>
    <cellStyle name="Heading 1 2 8 2 3 3" xfId="25528"/>
    <cellStyle name="Heading 1 2 8 2 3 3 2" xfId="25529"/>
    <cellStyle name="Heading 1 2 8 2 3 3 2 2" xfId="25530"/>
    <cellStyle name="Heading 1 2 8 2 3 3 3" xfId="25531"/>
    <cellStyle name="Heading 1 2 8 2 3 4" xfId="25532"/>
    <cellStyle name="Heading 1 2 8 2 3 4 2" xfId="25533"/>
    <cellStyle name="Heading 1 2 8 2 3 4 2 2" xfId="25534"/>
    <cellStyle name="Heading 1 2 8 2 3 4 3" xfId="25535"/>
    <cellStyle name="Heading 1 2 8 2 3 5" xfId="25536"/>
    <cellStyle name="Heading 1 2 8 2 3 5 2" xfId="25537"/>
    <cellStyle name="Heading 1 2 8 2 3 5 2 2" xfId="25538"/>
    <cellStyle name="Heading 1 2 8 2 3 5 3" xfId="25539"/>
    <cellStyle name="Heading 1 2 8 2 3 6" xfId="25540"/>
    <cellStyle name="Heading 1 2 8 2 3 6 2" xfId="25541"/>
    <cellStyle name="Heading 1 2 8 2 3 6 2 2" xfId="25542"/>
    <cellStyle name="Heading 1 2 8 2 3 6 3" xfId="25543"/>
    <cellStyle name="Heading 1 2 8 2 3 7" xfId="25544"/>
    <cellStyle name="Heading 1 2 8 2 3 7 2" xfId="25545"/>
    <cellStyle name="Heading 1 2 8 2 3 7 2 2" xfId="25546"/>
    <cellStyle name="Heading 1 2 8 2 3 7 3" xfId="25547"/>
    <cellStyle name="Heading 1 2 8 2 3 8" xfId="25548"/>
    <cellStyle name="Heading 1 2 8 2 3 8 2" xfId="25549"/>
    <cellStyle name="Heading 1 2 8 2 3 9" xfId="25550"/>
    <cellStyle name="Heading 1 2 8 2 4" xfId="25551"/>
    <cellStyle name="Heading 1 2 8 2 4 2" xfId="25552"/>
    <cellStyle name="Heading 1 2 8 2 4 2 2" xfId="25553"/>
    <cellStyle name="Heading 1 2 8 2 4 2 2 2" xfId="25554"/>
    <cellStyle name="Heading 1 2 8 2 4 2 3" xfId="25555"/>
    <cellStyle name="Heading 1 2 8 2 4 3" xfId="25556"/>
    <cellStyle name="Heading 1 2 8 2 4 3 2" xfId="25557"/>
    <cellStyle name="Heading 1 2 8 2 4 3 2 2" xfId="25558"/>
    <cellStyle name="Heading 1 2 8 2 4 3 3" xfId="25559"/>
    <cellStyle name="Heading 1 2 8 2 4 4" xfId="25560"/>
    <cellStyle name="Heading 1 2 8 2 4 4 2" xfId="25561"/>
    <cellStyle name="Heading 1 2 8 2 4 4 2 2" xfId="25562"/>
    <cellStyle name="Heading 1 2 8 2 4 4 3" xfId="25563"/>
    <cellStyle name="Heading 1 2 8 2 4 5" xfId="25564"/>
    <cellStyle name="Heading 1 2 8 2 4 5 2" xfId="25565"/>
    <cellStyle name="Heading 1 2 8 2 4 5 2 2" xfId="25566"/>
    <cellStyle name="Heading 1 2 8 2 4 5 3" xfId="25567"/>
    <cellStyle name="Heading 1 2 8 2 4 6" xfId="25568"/>
    <cellStyle name="Heading 1 2 8 2 4 6 2" xfId="25569"/>
    <cellStyle name="Heading 1 2 8 2 4 6 2 2" xfId="25570"/>
    <cellStyle name="Heading 1 2 8 2 4 6 3" xfId="25571"/>
    <cellStyle name="Heading 1 2 8 2 4 7" xfId="25572"/>
    <cellStyle name="Heading 1 2 8 2 4 7 2" xfId="25573"/>
    <cellStyle name="Heading 1 2 8 2 4 7 2 2" xfId="25574"/>
    <cellStyle name="Heading 1 2 8 2 4 7 3" xfId="25575"/>
    <cellStyle name="Heading 1 2 8 2 4 8" xfId="25576"/>
    <cellStyle name="Heading 1 2 8 2 4 8 2" xfId="25577"/>
    <cellStyle name="Heading 1 2 8 2 4 9" xfId="25578"/>
    <cellStyle name="Heading 1 2 8 2 5" xfId="25579"/>
    <cellStyle name="Heading 1 2 8 2 5 2" xfId="25580"/>
    <cellStyle name="Heading 1 2 8 2 5 2 2" xfId="25581"/>
    <cellStyle name="Heading 1 2 8 2 5 2 2 2" xfId="25582"/>
    <cellStyle name="Heading 1 2 8 2 5 2 3" xfId="25583"/>
    <cellStyle name="Heading 1 2 8 2 5 3" xfId="25584"/>
    <cellStyle name="Heading 1 2 8 2 5 3 2" xfId="25585"/>
    <cellStyle name="Heading 1 2 8 2 5 3 2 2" xfId="25586"/>
    <cellStyle name="Heading 1 2 8 2 5 3 3" xfId="25587"/>
    <cellStyle name="Heading 1 2 8 2 5 4" xfId="25588"/>
    <cellStyle name="Heading 1 2 8 2 5 4 2" xfId="25589"/>
    <cellStyle name="Heading 1 2 8 2 5 4 2 2" xfId="25590"/>
    <cellStyle name="Heading 1 2 8 2 5 4 3" xfId="25591"/>
    <cellStyle name="Heading 1 2 8 2 5 5" xfId="25592"/>
    <cellStyle name="Heading 1 2 8 2 5 5 2" xfId="25593"/>
    <cellStyle name="Heading 1 2 8 2 5 5 2 2" xfId="25594"/>
    <cellStyle name="Heading 1 2 8 2 5 5 3" xfId="25595"/>
    <cellStyle name="Heading 1 2 8 2 5 6" xfId="25596"/>
    <cellStyle name="Heading 1 2 8 2 5 6 2" xfId="25597"/>
    <cellStyle name="Heading 1 2 8 2 5 6 2 2" xfId="25598"/>
    <cellStyle name="Heading 1 2 8 2 5 6 3" xfId="25599"/>
    <cellStyle name="Heading 1 2 8 2 5 7" xfId="25600"/>
    <cellStyle name="Heading 1 2 8 2 5 7 2" xfId="25601"/>
    <cellStyle name="Heading 1 2 8 2 5 7 2 2" xfId="25602"/>
    <cellStyle name="Heading 1 2 8 2 5 7 3" xfId="25603"/>
    <cellStyle name="Heading 1 2 8 2 5 8" xfId="25604"/>
    <cellStyle name="Heading 1 2 8 2 5 8 2" xfId="25605"/>
    <cellStyle name="Heading 1 2 8 2 5 9" xfId="25606"/>
    <cellStyle name="Heading 1 2 8 2 6" xfId="25607"/>
    <cellStyle name="Heading 1 2 8 2 6 2" xfId="25608"/>
    <cellStyle name="Heading 1 2 8 2 6 2 2" xfId="25609"/>
    <cellStyle name="Heading 1 2 8 2 6 2 2 2" xfId="25610"/>
    <cellStyle name="Heading 1 2 8 2 6 2 3" xfId="25611"/>
    <cellStyle name="Heading 1 2 8 2 6 3" xfId="25612"/>
    <cellStyle name="Heading 1 2 8 2 6 3 2" xfId="25613"/>
    <cellStyle name="Heading 1 2 8 2 6 3 2 2" xfId="25614"/>
    <cellStyle name="Heading 1 2 8 2 6 3 3" xfId="25615"/>
    <cellStyle name="Heading 1 2 8 2 6 4" xfId="25616"/>
    <cellStyle name="Heading 1 2 8 2 6 4 2" xfId="25617"/>
    <cellStyle name="Heading 1 2 8 2 6 4 2 2" xfId="25618"/>
    <cellStyle name="Heading 1 2 8 2 6 4 3" xfId="25619"/>
    <cellStyle name="Heading 1 2 8 2 6 5" xfId="25620"/>
    <cellStyle name="Heading 1 2 8 2 6 5 2" xfId="25621"/>
    <cellStyle name="Heading 1 2 8 2 6 5 2 2" xfId="25622"/>
    <cellStyle name="Heading 1 2 8 2 6 5 3" xfId="25623"/>
    <cellStyle name="Heading 1 2 8 2 6 6" xfId="25624"/>
    <cellStyle name="Heading 1 2 8 2 6 6 2" xfId="25625"/>
    <cellStyle name="Heading 1 2 8 2 6 6 2 2" xfId="25626"/>
    <cellStyle name="Heading 1 2 8 2 6 6 3" xfId="25627"/>
    <cellStyle name="Heading 1 2 8 2 6 7" xfId="25628"/>
    <cellStyle name="Heading 1 2 8 2 6 7 2" xfId="25629"/>
    <cellStyle name="Heading 1 2 8 2 6 7 2 2" xfId="25630"/>
    <cellStyle name="Heading 1 2 8 2 6 7 3" xfId="25631"/>
    <cellStyle name="Heading 1 2 8 2 6 8" xfId="25632"/>
    <cellStyle name="Heading 1 2 8 2 6 8 2" xfId="25633"/>
    <cellStyle name="Heading 1 2 8 2 6 9" xfId="25634"/>
    <cellStyle name="Heading 1 2 8 2 7" xfId="25635"/>
    <cellStyle name="Heading 1 2 8 2 7 2" xfId="25636"/>
    <cellStyle name="Heading 1 2 8 2 7 2 2" xfId="25637"/>
    <cellStyle name="Heading 1 2 8 2 7 2 2 2" xfId="25638"/>
    <cellStyle name="Heading 1 2 8 2 7 2 3" xfId="25639"/>
    <cellStyle name="Heading 1 2 8 2 7 3" xfId="25640"/>
    <cellStyle name="Heading 1 2 8 2 7 3 2" xfId="25641"/>
    <cellStyle name="Heading 1 2 8 2 7 3 2 2" xfId="25642"/>
    <cellStyle name="Heading 1 2 8 2 7 3 3" xfId="25643"/>
    <cellStyle name="Heading 1 2 8 2 7 4" xfId="25644"/>
    <cellStyle name="Heading 1 2 8 2 7 4 2" xfId="25645"/>
    <cellStyle name="Heading 1 2 8 2 7 4 2 2" xfId="25646"/>
    <cellStyle name="Heading 1 2 8 2 7 4 3" xfId="25647"/>
    <cellStyle name="Heading 1 2 8 2 7 5" xfId="25648"/>
    <cellStyle name="Heading 1 2 8 2 7 5 2" xfId="25649"/>
    <cellStyle name="Heading 1 2 8 2 7 5 2 2" xfId="25650"/>
    <cellStyle name="Heading 1 2 8 2 7 5 3" xfId="25651"/>
    <cellStyle name="Heading 1 2 8 2 7 6" xfId="25652"/>
    <cellStyle name="Heading 1 2 8 2 7 6 2" xfId="25653"/>
    <cellStyle name="Heading 1 2 8 2 7 6 2 2" xfId="25654"/>
    <cellStyle name="Heading 1 2 8 2 7 6 3" xfId="25655"/>
    <cellStyle name="Heading 1 2 8 2 7 7" xfId="25656"/>
    <cellStyle name="Heading 1 2 8 2 7 7 2" xfId="25657"/>
    <cellStyle name="Heading 1 2 8 2 7 7 2 2" xfId="25658"/>
    <cellStyle name="Heading 1 2 8 2 7 7 3" xfId="25659"/>
    <cellStyle name="Heading 1 2 8 2 7 8" xfId="25660"/>
    <cellStyle name="Heading 1 2 8 2 7 8 2" xfId="25661"/>
    <cellStyle name="Heading 1 2 8 2 7 9" xfId="25662"/>
    <cellStyle name="Heading 1 2 8 2 8" xfId="25663"/>
    <cellStyle name="Heading 1 2 8 2 8 2" xfId="25664"/>
    <cellStyle name="Heading 1 2 8 2 8 2 2" xfId="25665"/>
    <cellStyle name="Heading 1 2 8 2 8 2 2 2" xfId="25666"/>
    <cellStyle name="Heading 1 2 8 2 8 2 3" xfId="25667"/>
    <cellStyle name="Heading 1 2 8 2 8 3" xfId="25668"/>
    <cellStyle name="Heading 1 2 8 2 8 3 2" xfId="25669"/>
    <cellStyle name="Heading 1 2 8 2 8 3 2 2" xfId="25670"/>
    <cellStyle name="Heading 1 2 8 2 8 3 3" xfId="25671"/>
    <cellStyle name="Heading 1 2 8 2 8 4" xfId="25672"/>
    <cellStyle name="Heading 1 2 8 2 8 4 2" xfId="25673"/>
    <cellStyle name="Heading 1 2 8 2 8 4 2 2" xfId="25674"/>
    <cellStyle name="Heading 1 2 8 2 8 4 3" xfId="25675"/>
    <cellStyle name="Heading 1 2 8 2 8 5" xfId="25676"/>
    <cellStyle name="Heading 1 2 8 2 8 5 2" xfId="25677"/>
    <cellStyle name="Heading 1 2 8 2 8 5 2 2" xfId="25678"/>
    <cellStyle name="Heading 1 2 8 2 8 5 3" xfId="25679"/>
    <cellStyle name="Heading 1 2 8 2 8 6" xfId="25680"/>
    <cellStyle name="Heading 1 2 8 2 8 6 2" xfId="25681"/>
    <cellStyle name="Heading 1 2 8 2 8 6 2 2" xfId="25682"/>
    <cellStyle name="Heading 1 2 8 2 8 6 3" xfId="25683"/>
    <cellStyle name="Heading 1 2 8 2 8 7" xfId="25684"/>
    <cellStyle name="Heading 1 2 8 2 8 7 2" xfId="25685"/>
    <cellStyle name="Heading 1 2 8 2 8 7 2 2" xfId="25686"/>
    <cellStyle name="Heading 1 2 8 2 8 7 3" xfId="25687"/>
    <cellStyle name="Heading 1 2 8 2 8 8" xfId="25688"/>
    <cellStyle name="Heading 1 2 8 2 8 8 2" xfId="25689"/>
    <cellStyle name="Heading 1 2 8 2 8 9" xfId="25690"/>
    <cellStyle name="Heading 1 2 8 2 9" xfId="25691"/>
    <cellStyle name="Heading 1 2 8 2 9 2" xfId="25692"/>
    <cellStyle name="Heading 1 2 8 2 9 2 2" xfId="25693"/>
    <cellStyle name="Heading 1 2 8 2 9 2 2 2" xfId="25694"/>
    <cellStyle name="Heading 1 2 8 2 9 2 3" xfId="25695"/>
    <cellStyle name="Heading 1 2 8 2 9 3" xfId="25696"/>
    <cellStyle name="Heading 1 2 8 2 9 3 2" xfId="25697"/>
    <cellStyle name="Heading 1 2 8 2 9 3 2 2" xfId="25698"/>
    <cellStyle name="Heading 1 2 8 2 9 3 3" xfId="25699"/>
    <cellStyle name="Heading 1 2 8 2 9 4" xfId="25700"/>
    <cellStyle name="Heading 1 2 8 2 9 4 2" xfId="25701"/>
    <cellStyle name="Heading 1 2 8 2 9 4 2 2" xfId="25702"/>
    <cellStyle name="Heading 1 2 8 2 9 4 3" xfId="25703"/>
    <cellStyle name="Heading 1 2 8 2 9 5" xfId="25704"/>
    <cellStyle name="Heading 1 2 8 2 9 5 2" xfId="25705"/>
    <cellStyle name="Heading 1 2 8 2 9 5 2 2" xfId="25706"/>
    <cellStyle name="Heading 1 2 8 2 9 5 3" xfId="25707"/>
    <cellStyle name="Heading 1 2 8 2 9 6" xfId="25708"/>
    <cellStyle name="Heading 1 2 8 2 9 6 2" xfId="25709"/>
    <cellStyle name="Heading 1 2 8 2 9 6 2 2" xfId="25710"/>
    <cellStyle name="Heading 1 2 8 2 9 6 3" xfId="25711"/>
    <cellStyle name="Heading 1 2 8 2 9 7" xfId="25712"/>
    <cellStyle name="Heading 1 2 8 2 9 7 2" xfId="25713"/>
    <cellStyle name="Heading 1 2 8 2 9 7 2 2" xfId="25714"/>
    <cellStyle name="Heading 1 2 8 2 9 7 3" xfId="25715"/>
    <cellStyle name="Heading 1 2 8 2 9 8" xfId="25716"/>
    <cellStyle name="Heading 1 2 8 2 9 8 2" xfId="25717"/>
    <cellStyle name="Heading 1 2 8 2 9 9" xfId="25718"/>
    <cellStyle name="Heading 1 2 8 3" xfId="25719"/>
    <cellStyle name="Heading 1 2 8 3 10" xfId="25720"/>
    <cellStyle name="Heading 1 2 8 3 10 2" xfId="25721"/>
    <cellStyle name="Heading 1 2 8 3 10 2 2" xfId="25722"/>
    <cellStyle name="Heading 1 2 8 3 10 3" xfId="25723"/>
    <cellStyle name="Heading 1 2 8 3 11" xfId="25724"/>
    <cellStyle name="Heading 1 2 8 3 11 2" xfId="25725"/>
    <cellStyle name="Heading 1 2 8 3 11 2 2" xfId="25726"/>
    <cellStyle name="Heading 1 2 8 3 11 3" xfId="25727"/>
    <cellStyle name="Heading 1 2 8 3 12" xfId="25728"/>
    <cellStyle name="Heading 1 2 8 3 12 2" xfId="25729"/>
    <cellStyle name="Heading 1 2 8 3 12 2 2" xfId="25730"/>
    <cellStyle name="Heading 1 2 8 3 12 3" xfId="25731"/>
    <cellStyle name="Heading 1 2 8 3 13" xfId="25732"/>
    <cellStyle name="Heading 1 2 8 3 13 2" xfId="25733"/>
    <cellStyle name="Heading 1 2 8 3 13 2 2" xfId="25734"/>
    <cellStyle name="Heading 1 2 8 3 13 3" xfId="25735"/>
    <cellStyle name="Heading 1 2 8 3 14" xfId="25736"/>
    <cellStyle name="Heading 1 2 8 3 14 2" xfId="25737"/>
    <cellStyle name="Heading 1 2 8 3 14 2 2" xfId="25738"/>
    <cellStyle name="Heading 1 2 8 3 14 3" xfId="25739"/>
    <cellStyle name="Heading 1 2 8 3 15" xfId="25740"/>
    <cellStyle name="Heading 1 2 8 3 15 2" xfId="25741"/>
    <cellStyle name="Heading 1 2 8 3 15 2 2" xfId="25742"/>
    <cellStyle name="Heading 1 2 8 3 15 3" xfId="25743"/>
    <cellStyle name="Heading 1 2 8 3 16" xfId="25744"/>
    <cellStyle name="Heading 1 2 8 3 16 2" xfId="25745"/>
    <cellStyle name="Heading 1 2 8 3 16 2 2" xfId="25746"/>
    <cellStyle name="Heading 1 2 8 3 16 3" xfId="25747"/>
    <cellStyle name="Heading 1 2 8 3 17" xfId="25748"/>
    <cellStyle name="Heading 1 2 8 3 17 2" xfId="25749"/>
    <cellStyle name="Heading 1 2 8 3 17 2 2" xfId="25750"/>
    <cellStyle name="Heading 1 2 8 3 17 3" xfId="25751"/>
    <cellStyle name="Heading 1 2 8 3 18" xfId="25752"/>
    <cellStyle name="Heading 1 2 8 3 18 2" xfId="25753"/>
    <cellStyle name="Heading 1 2 8 3 18 2 2" xfId="25754"/>
    <cellStyle name="Heading 1 2 8 3 18 3" xfId="25755"/>
    <cellStyle name="Heading 1 2 8 3 19" xfId="25756"/>
    <cellStyle name="Heading 1 2 8 3 19 2" xfId="25757"/>
    <cellStyle name="Heading 1 2 8 3 2" xfId="25758"/>
    <cellStyle name="Heading 1 2 8 3 2 2" xfId="25759"/>
    <cellStyle name="Heading 1 2 8 3 2 2 2" xfId="25760"/>
    <cellStyle name="Heading 1 2 8 3 2 2 2 2" xfId="25761"/>
    <cellStyle name="Heading 1 2 8 3 2 2 3" xfId="25762"/>
    <cellStyle name="Heading 1 2 8 3 2 3" xfId="25763"/>
    <cellStyle name="Heading 1 2 8 3 2 3 2" xfId="25764"/>
    <cellStyle name="Heading 1 2 8 3 2 3 2 2" xfId="25765"/>
    <cellStyle name="Heading 1 2 8 3 2 3 3" xfId="25766"/>
    <cellStyle name="Heading 1 2 8 3 2 4" xfId="25767"/>
    <cellStyle name="Heading 1 2 8 3 2 4 2" xfId="25768"/>
    <cellStyle name="Heading 1 2 8 3 2 4 2 2" xfId="25769"/>
    <cellStyle name="Heading 1 2 8 3 2 4 3" xfId="25770"/>
    <cellStyle name="Heading 1 2 8 3 2 5" xfId="25771"/>
    <cellStyle name="Heading 1 2 8 3 2 5 2" xfId="25772"/>
    <cellStyle name="Heading 1 2 8 3 2 5 2 2" xfId="25773"/>
    <cellStyle name="Heading 1 2 8 3 2 5 3" xfId="25774"/>
    <cellStyle name="Heading 1 2 8 3 2 6" xfId="25775"/>
    <cellStyle name="Heading 1 2 8 3 2 6 2" xfId="25776"/>
    <cellStyle name="Heading 1 2 8 3 2 6 2 2" xfId="25777"/>
    <cellStyle name="Heading 1 2 8 3 2 6 3" xfId="25778"/>
    <cellStyle name="Heading 1 2 8 3 2 7" xfId="25779"/>
    <cellStyle name="Heading 1 2 8 3 2 7 2" xfId="25780"/>
    <cellStyle name="Heading 1 2 8 3 2 7 2 2" xfId="25781"/>
    <cellStyle name="Heading 1 2 8 3 2 7 3" xfId="25782"/>
    <cellStyle name="Heading 1 2 8 3 2 8" xfId="25783"/>
    <cellStyle name="Heading 1 2 8 3 2 8 2" xfId="25784"/>
    <cellStyle name="Heading 1 2 8 3 2 9" xfId="25785"/>
    <cellStyle name="Heading 1 2 8 3 20" xfId="25786"/>
    <cellStyle name="Heading 1 2 8 3 20 2" xfId="25787"/>
    <cellStyle name="Heading 1 2 8 3 21" xfId="25788"/>
    <cellStyle name="Heading 1 2 8 3 21 2" xfId="25789"/>
    <cellStyle name="Heading 1 2 8 3 22" xfId="25790"/>
    <cellStyle name="Heading 1 2 8 3 3" xfId="25791"/>
    <cellStyle name="Heading 1 2 8 3 3 2" xfId="25792"/>
    <cellStyle name="Heading 1 2 8 3 3 2 2" xfId="25793"/>
    <cellStyle name="Heading 1 2 8 3 3 2 2 2" xfId="25794"/>
    <cellStyle name="Heading 1 2 8 3 3 2 3" xfId="25795"/>
    <cellStyle name="Heading 1 2 8 3 3 3" xfId="25796"/>
    <cellStyle name="Heading 1 2 8 3 3 3 2" xfId="25797"/>
    <cellStyle name="Heading 1 2 8 3 3 3 2 2" xfId="25798"/>
    <cellStyle name="Heading 1 2 8 3 3 3 3" xfId="25799"/>
    <cellStyle name="Heading 1 2 8 3 3 4" xfId="25800"/>
    <cellStyle name="Heading 1 2 8 3 3 4 2" xfId="25801"/>
    <cellStyle name="Heading 1 2 8 3 3 4 2 2" xfId="25802"/>
    <cellStyle name="Heading 1 2 8 3 3 4 3" xfId="25803"/>
    <cellStyle name="Heading 1 2 8 3 3 5" xfId="25804"/>
    <cellStyle name="Heading 1 2 8 3 3 5 2" xfId="25805"/>
    <cellStyle name="Heading 1 2 8 3 3 5 2 2" xfId="25806"/>
    <cellStyle name="Heading 1 2 8 3 3 5 3" xfId="25807"/>
    <cellStyle name="Heading 1 2 8 3 3 6" xfId="25808"/>
    <cellStyle name="Heading 1 2 8 3 3 6 2" xfId="25809"/>
    <cellStyle name="Heading 1 2 8 3 3 6 2 2" xfId="25810"/>
    <cellStyle name="Heading 1 2 8 3 3 6 3" xfId="25811"/>
    <cellStyle name="Heading 1 2 8 3 3 7" xfId="25812"/>
    <cellStyle name="Heading 1 2 8 3 3 7 2" xfId="25813"/>
    <cellStyle name="Heading 1 2 8 3 3 7 2 2" xfId="25814"/>
    <cellStyle name="Heading 1 2 8 3 3 7 3" xfId="25815"/>
    <cellStyle name="Heading 1 2 8 3 3 8" xfId="25816"/>
    <cellStyle name="Heading 1 2 8 3 3 8 2" xfId="25817"/>
    <cellStyle name="Heading 1 2 8 3 3 9" xfId="25818"/>
    <cellStyle name="Heading 1 2 8 3 4" xfId="25819"/>
    <cellStyle name="Heading 1 2 8 3 4 2" xfId="25820"/>
    <cellStyle name="Heading 1 2 8 3 4 2 2" xfId="25821"/>
    <cellStyle name="Heading 1 2 8 3 4 2 2 2" xfId="25822"/>
    <cellStyle name="Heading 1 2 8 3 4 2 3" xfId="25823"/>
    <cellStyle name="Heading 1 2 8 3 4 3" xfId="25824"/>
    <cellStyle name="Heading 1 2 8 3 4 3 2" xfId="25825"/>
    <cellStyle name="Heading 1 2 8 3 4 3 2 2" xfId="25826"/>
    <cellStyle name="Heading 1 2 8 3 4 3 3" xfId="25827"/>
    <cellStyle name="Heading 1 2 8 3 4 4" xfId="25828"/>
    <cellStyle name="Heading 1 2 8 3 4 4 2" xfId="25829"/>
    <cellStyle name="Heading 1 2 8 3 4 4 2 2" xfId="25830"/>
    <cellStyle name="Heading 1 2 8 3 4 4 3" xfId="25831"/>
    <cellStyle name="Heading 1 2 8 3 4 5" xfId="25832"/>
    <cellStyle name="Heading 1 2 8 3 4 5 2" xfId="25833"/>
    <cellStyle name="Heading 1 2 8 3 4 5 2 2" xfId="25834"/>
    <cellStyle name="Heading 1 2 8 3 4 5 3" xfId="25835"/>
    <cellStyle name="Heading 1 2 8 3 4 6" xfId="25836"/>
    <cellStyle name="Heading 1 2 8 3 4 6 2" xfId="25837"/>
    <cellStyle name="Heading 1 2 8 3 4 6 2 2" xfId="25838"/>
    <cellStyle name="Heading 1 2 8 3 4 6 3" xfId="25839"/>
    <cellStyle name="Heading 1 2 8 3 4 7" xfId="25840"/>
    <cellStyle name="Heading 1 2 8 3 4 7 2" xfId="25841"/>
    <cellStyle name="Heading 1 2 8 3 4 7 2 2" xfId="25842"/>
    <cellStyle name="Heading 1 2 8 3 4 7 3" xfId="25843"/>
    <cellStyle name="Heading 1 2 8 3 4 8" xfId="25844"/>
    <cellStyle name="Heading 1 2 8 3 4 8 2" xfId="25845"/>
    <cellStyle name="Heading 1 2 8 3 4 9" xfId="25846"/>
    <cellStyle name="Heading 1 2 8 3 5" xfId="25847"/>
    <cellStyle name="Heading 1 2 8 3 5 2" xfId="25848"/>
    <cellStyle name="Heading 1 2 8 3 5 2 2" xfId="25849"/>
    <cellStyle name="Heading 1 2 8 3 5 2 2 2" xfId="25850"/>
    <cellStyle name="Heading 1 2 8 3 5 2 3" xfId="25851"/>
    <cellStyle name="Heading 1 2 8 3 5 3" xfId="25852"/>
    <cellStyle name="Heading 1 2 8 3 5 3 2" xfId="25853"/>
    <cellStyle name="Heading 1 2 8 3 5 3 2 2" xfId="25854"/>
    <cellStyle name="Heading 1 2 8 3 5 3 3" xfId="25855"/>
    <cellStyle name="Heading 1 2 8 3 5 4" xfId="25856"/>
    <cellStyle name="Heading 1 2 8 3 5 4 2" xfId="25857"/>
    <cellStyle name="Heading 1 2 8 3 5 4 2 2" xfId="25858"/>
    <cellStyle name="Heading 1 2 8 3 5 4 3" xfId="25859"/>
    <cellStyle name="Heading 1 2 8 3 5 5" xfId="25860"/>
    <cellStyle name="Heading 1 2 8 3 5 5 2" xfId="25861"/>
    <cellStyle name="Heading 1 2 8 3 5 5 2 2" xfId="25862"/>
    <cellStyle name="Heading 1 2 8 3 5 5 3" xfId="25863"/>
    <cellStyle name="Heading 1 2 8 3 5 6" xfId="25864"/>
    <cellStyle name="Heading 1 2 8 3 5 6 2" xfId="25865"/>
    <cellStyle name="Heading 1 2 8 3 5 6 2 2" xfId="25866"/>
    <cellStyle name="Heading 1 2 8 3 5 6 3" xfId="25867"/>
    <cellStyle name="Heading 1 2 8 3 5 7" xfId="25868"/>
    <cellStyle name="Heading 1 2 8 3 5 7 2" xfId="25869"/>
    <cellStyle name="Heading 1 2 8 3 5 7 2 2" xfId="25870"/>
    <cellStyle name="Heading 1 2 8 3 5 7 3" xfId="25871"/>
    <cellStyle name="Heading 1 2 8 3 5 8" xfId="25872"/>
    <cellStyle name="Heading 1 2 8 3 5 8 2" xfId="25873"/>
    <cellStyle name="Heading 1 2 8 3 5 9" xfId="25874"/>
    <cellStyle name="Heading 1 2 8 3 6" xfId="25875"/>
    <cellStyle name="Heading 1 2 8 3 6 2" xfId="25876"/>
    <cellStyle name="Heading 1 2 8 3 6 2 2" xfId="25877"/>
    <cellStyle name="Heading 1 2 8 3 6 2 2 2" xfId="25878"/>
    <cellStyle name="Heading 1 2 8 3 6 2 3" xfId="25879"/>
    <cellStyle name="Heading 1 2 8 3 6 3" xfId="25880"/>
    <cellStyle name="Heading 1 2 8 3 6 3 2" xfId="25881"/>
    <cellStyle name="Heading 1 2 8 3 6 3 2 2" xfId="25882"/>
    <cellStyle name="Heading 1 2 8 3 6 3 3" xfId="25883"/>
    <cellStyle name="Heading 1 2 8 3 6 4" xfId="25884"/>
    <cellStyle name="Heading 1 2 8 3 6 4 2" xfId="25885"/>
    <cellStyle name="Heading 1 2 8 3 6 4 2 2" xfId="25886"/>
    <cellStyle name="Heading 1 2 8 3 6 4 3" xfId="25887"/>
    <cellStyle name="Heading 1 2 8 3 6 5" xfId="25888"/>
    <cellStyle name="Heading 1 2 8 3 6 5 2" xfId="25889"/>
    <cellStyle name="Heading 1 2 8 3 6 5 2 2" xfId="25890"/>
    <cellStyle name="Heading 1 2 8 3 6 5 3" xfId="25891"/>
    <cellStyle name="Heading 1 2 8 3 6 6" xfId="25892"/>
    <cellStyle name="Heading 1 2 8 3 6 6 2" xfId="25893"/>
    <cellStyle name="Heading 1 2 8 3 6 6 2 2" xfId="25894"/>
    <cellStyle name="Heading 1 2 8 3 6 6 3" xfId="25895"/>
    <cellStyle name="Heading 1 2 8 3 6 7" xfId="25896"/>
    <cellStyle name="Heading 1 2 8 3 6 7 2" xfId="25897"/>
    <cellStyle name="Heading 1 2 8 3 6 7 2 2" xfId="25898"/>
    <cellStyle name="Heading 1 2 8 3 6 7 3" xfId="25899"/>
    <cellStyle name="Heading 1 2 8 3 6 8" xfId="25900"/>
    <cellStyle name="Heading 1 2 8 3 6 8 2" xfId="25901"/>
    <cellStyle name="Heading 1 2 8 3 6 9" xfId="25902"/>
    <cellStyle name="Heading 1 2 8 3 7" xfId="25903"/>
    <cellStyle name="Heading 1 2 8 3 7 2" xfId="25904"/>
    <cellStyle name="Heading 1 2 8 3 7 2 2" xfId="25905"/>
    <cellStyle name="Heading 1 2 8 3 7 2 2 2" xfId="25906"/>
    <cellStyle name="Heading 1 2 8 3 7 2 3" xfId="25907"/>
    <cellStyle name="Heading 1 2 8 3 7 3" xfId="25908"/>
    <cellStyle name="Heading 1 2 8 3 7 3 2" xfId="25909"/>
    <cellStyle name="Heading 1 2 8 3 7 3 2 2" xfId="25910"/>
    <cellStyle name="Heading 1 2 8 3 7 3 3" xfId="25911"/>
    <cellStyle name="Heading 1 2 8 3 7 4" xfId="25912"/>
    <cellStyle name="Heading 1 2 8 3 7 4 2" xfId="25913"/>
    <cellStyle name="Heading 1 2 8 3 7 4 2 2" xfId="25914"/>
    <cellStyle name="Heading 1 2 8 3 7 4 3" xfId="25915"/>
    <cellStyle name="Heading 1 2 8 3 7 5" xfId="25916"/>
    <cellStyle name="Heading 1 2 8 3 7 5 2" xfId="25917"/>
    <cellStyle name="Heading 1 2 8 3 7 5 2 2" xfId="25918"/>
    <cellStyle name="Heading 1 2 8 3 7 5 3" xfId="25919"/>
    <cellStyle name="Heading 1 2 8 3 7 6" xfId="25920"/>
    <cellStyle name="Heading 1 2 8 3 7 6 2" xfId="25921"/>
    <cellStyle name="Heading 1 2 8 3 7 6 2 2" xfId="25922"/>
    <cellStyle name="Heading 1 2 8 3 7 6 3" xfId="25923"/>
    <cellStyle name="Heading 1 2 8 3 7 7" xfId="25924"/>
    <cellStyle name="Heading 1 2 8 3 7 7 2" xfId="25925"/>
    <cellStyle name="Heading 1 2 8 3 7 7 2 2" xfId="25926"/>
    <cellStyle name="Heading 1 2 8 3 7 7 3" xfId="25927"/>
    <cellStyle name="Heading 1 2 8 3 7 8" xfId="25928"/>
    <cellStyle name="Heading 1 2 8 3 7 8 2" xfId="25929"/>
    <cellStyle name="Heading 1 2 8 3 7 9" xfId="25930"/>
    <cellStyle name="Heading 1 2 8 3 8" xfId="25931"/>
    <cellStyle name="Heading 1 2 8 3 8 2" xfId="25932"/>
    <cellStyle name="Heading 1 2 8 3 8 2 2" xfId="25933"/>
    <cellStyle name="Heading 1 2 8 3 8 2 2 2" xfId="25934"/>
    <cellStyle name="Heading 1 2 8 3 8 2 3" xfId="25935"/>
    <cellStyle name="Heading 1 2 8 3 8 3" xfId="25936"/>
    <cellStyle name="Heading 1 2 8 3 8 3 2" xfId="25937"/>
    <cellStyle name="Heading 1 2 8 3 8 3 2 2" xfId="25938"/>
    <cellStyle name="Heading 1 2 8 3 8 3 3" xfId="25939"/>
    <cellStyle name="Heading 1 2 8 3 8 4" xfId="25940"/>
    <cellStyle name="Heading 1 2 8 3 8 4 2" xfId="25941"/>
    <cellStyle name="Heading 1 2 8 3 8 4 2 2" xfId="25942"/>
    <cellStyle name="Heading 1 2 8 3 8 4 3" xfId="25943"/>
    <cellStyle name="Heading 1 2 8 3 8 5" xfId="25944"/>
    <cellStyle name="Heading 1 2 8 3 8 5 2" xfId="25945"/>
    <cellStyle name="Heading 1 2 8 3 8 5 2 2" xfId="25946"/>
    <cellStyle name="Heading 1 2 8 3 8 5 3" xfId="25947"/>
    <cellStyle name="Heading 1 2 8 3 8 6" xfId="25948"/>
    <cellStyle name="Heading 1 2 8 3 8 6 2" xfId="25949"/>
    <cellStyle name="Heading 1 2 8 3 8 6 2 2" xfId="25950"/>
    <cellStyle name="Heading 1 2 8 3 8 6 3" xfId="25951"/>
    <cellStyle name="Heading 1 2 8 3 8 7" xfId="25952"/>
    <cellStyle name="Heading 1 2 8 3 8 7 2" xfId="25953"/>
    <cellStyle name="Heading 1 2 8 3 8 7 2 2" xfId="25954"/>
    <cellStyle name="Heading 1 2 8 3 8 7 3" xfId="25955"/>
    <cellStyle name="Heading 1 2 8 3 8 8" xfId="25956"/>
    <cellStyle name="Heading 1 2 8 3 8 8 2" xfId="25957"/>
    <cellStyle name="Heading 1 2 8 3 8 9" xfId="25958"/>
    <cellStyle name="Heading 1 2 8 3 9" xfId="25959"/>
    <cellStyle name="Heading 1 2 8 3 9 2" xfId="25960"/>
    <cellStyle name="Heading 1 2 8 3 9 2 2" xfId="25961"/>
    <cellStyle name="Heading 1 2 8 3 9 3" xfId="25962"/>
    <cellStyle name="Heading 1 2 8 4" xfId="25963"/>
    <cellStyle name="Heading 1 2 8 4 2" xfId="25964"/>
    <cellStyle name="Heading 1 2 8 4 2 2" xfId="25965"/>
    <cellStyle name="Heading 1 2 8 4 3" xfId="25966"/>
    <cellStyle name="Heading 1 2 8 5" xfId="25967"/>
    <cellStyle name="Heading 1 2 8 5 2" xfId="25968"/>
    <cellStyle name="Heading 1 2 8 6" xfId="25969"/>
    <cellStyle name="Heading 1 2 9" xfId="25970"/>
    <cellStyle name="Heading 1 2 9 2" xfId="25971"/>
    <cellStyle name="Heading 1 2 9 2 10" xfId="25972"/>
    <cellStyle name="Heading 1 2 9 2 10 2" xfId="25973"/>
    <cellStyle name="Heading 1 2 9 2 10 2 2" xfId="25974"/>
    <cellStyle name="Heading 1 2 9 2 10 3" xfId="25975"/>
    <cellStyle name="Heading 1 2 9 2 11" xfId="25976"/>
    <cellStyle name="Heading 1 2 9 2 11 2" xfId="25977"/>
    <cellStyle name="Heading 1 2 9 2 11 2 2" xfId="25978"/>
    <cellStyle name="Heading 1 2 9 2 11 3" xfId="25979"/>
    <cellStyle name="Heading 1 2 9 2 12" xfId="25980"/>
    <cellStyle name="Heading 1 2 9 2 12 2" xfId="25981"/>
    <cellStyle name="Heading 1 2 9 2 12 2 2" xfId="25982"/>
    <cellStyle name="Heading 1 2 9 2 12 3" xfId="25983"/>
    <cellStyle name="Heading 1 2 9 2 13" xfId="25984"/>
    <cellStyle name="Heading 1 2 9 2 13 2" xfId="25985"/>
    <cellStyle name="Heading 1 2 9 2 13 2 2" xfId="25986"/>
    <cellStyle name="Heading 1 2 9 2 13 3" xfId="25987"/>
    <cellStyle name="Heading 1 2 9 2 14" xfId="25988"/>
    <cellStyle name="Heading 1 2 9 2 14 2" xfId="25989"/>
    <cellStyle name="Heading 1 2 9 2 14 2 2" xfId="25990"/>
    <cellStyle name="Heading 1 2 9 2 14 3" xfId="25991"/>
    <cellStyle name="Heading 1 2 9 2 15" xfId="25992"/>
    <cellStyle name="Heading 1 2 9 2 15 2" xfId="25993"/>
    <cellStyle name="Heading 1 2 9 2 15 2 2" xfId="25994"/>
    <cellStyle name="Heading 1 2 9 2 15 3" xfId="25995"/>
    <cellStyle name="Heading 1 2 9 2 16" xfId="25996"/>
    <cellStyle name="Heading 1 2 9 2 16 2" xfId="25997"/>
    <cellStyle name="Heading 1 2 9 2 16 2 2" xfId="25998"/>
    <cellStyle name="Heading 1 2 9 2 16 3" xfId="25999"/>
    <cellStyle name="Heading 1 2 9 2 17" xfId="26000"/>
    <cellStyle name="Heading 1 2 9 2 17 2" xfId="26001"/>
    <cellStyle name="Heading 1 2 9 2 17 2 2" xfId="26002"/>
    <cellStyle name="Heading 1 2 9 2 17 3" xfId="26003"/>
    <cellStyle name="Heading 1 2 9 2 18" xfId="26004"/>
    <cellStyle name="Heading 1 2 9 2 18 2" xfId="26005"/>
    <cellStyle name="Heading 1 2 9 2 18 2 2" xfId="26006"/>
    <cellStyle name="Heading 1 2 9 2 18 3" xfId="26007"/>
    <cellStyle name="Heading 1 2 9 2 19" xfId="26008"/>
    <cellStyle name="Heading 1 2 9 2 19 2" xfId="26009"/>
    <cellStyle name="Heading 1 2 9 2 19 2 2" xfId="26010"/>
    <cellStyle name="Heading 1 2 9 2 19 3" xfId="26011"/>
    <cellStyle name="Heading 1 2 9 2 2" xfId="26012"/>
    <cellStyle name="Heading 1 2 9 2 2 10" xfId="26013"/>
    <cellStyle name="Heading 1 2 9 2 2 10 2" xfId="26014"/>
    <cellStyle name="Heading 1 2 9 2 2 10 2 2" xfId="26015"/>
    <cellStyle name="Heading 1 2 9 2 2 10 3" xfId="26016"/>
    <cellStyle name="Heading 1 2 9 2 2 11" xfId="26017"/>
    <cellStyle name="Heading 1 2 9 2 2 11 2" xfId="26018"/>
    <cellStyle name="Heading 1 2 9 2 2 11 2 2" xfId="26019"/>
    <cellStyle name="Heading 1 2 9 2 2 11 3" xfId="26020"/>
    <cellStyle name="Heading 1 2 9 2 2 12" xfId="26021"/>
    <cellStyle name="Heading 1 2 9 2 2 12 2" xfId="26022"/>
    <cellStyle name="Heading 1 2 9 2 2 12 2 2" xfId="26023"/>
    <cellStyle name="Heading 1 2 9 2 2 12 3" xfId="26024"/>
    <cellStyle name="Heading 1 2 9 2 2 13" xfId="26025"/>
    <cellStyle name="Heading 1 2 9 2 2 13 2" xfId="26026"/>
    <cellStyle name="Heading 1 2 9 2 2 13 2 2" xfId="26027"/>
    <cellStyle name="Heading 1 2 9 2 2 13 3" xfId="26028"/>
    <cellStyle name="Heading 1 2 9 2 2 14" xfId="26029"/>
    <cellStyle name="Heading 1 2 9 2 2 14 2" xfId="26030"/>
    <cellStyle name="Heading 1 2 9 2 2 14 2 2" xfId="26031"/>
    <cellStyle name="Heading 1 2 9 2 2 14 3" xfId="26032"/>
    <cellStyle name="Heading 1 2 9 2 2 15" xfId="26033"/>
    <cellStyle name="Heading 1 2 9 2 2 15 2" xfId="26034"/>
    <cellStyle name="Heading 1 2 9 2 2 15 2 2" xfId="26035"/>
    <cellStyle name="Heading 1 2 9 2 2 15 3" xfId="26036"/>
    <cellStyle name="Heading 1 2 9 2 2 16" xfId="26037"/>
    <cellStyle name="Heading 1 2 9 2 2 16 2" xfId="26038"/>
    <cellStyle name="Heading 1 2 9 2 2 16 2 2" xfId="26039"/>
    <cellStyle name="Heading 1 2 9 2 2 16 3" xfId="26040"/>
    <cellStyle name="Heading 1 2 9 2 2 17" xfId="26041"/>
    <cellStyle name="Heading 1 2 9 2 2 17 2" xfId="26042"/>
    <cellStyle name="Heading 1 2 9 2 2 17 2 2" xfId="26043"/>
    <cellStyle name="Heading 1 2 9 2 2 17 3" xfId="26044"/>
    <cellStyle name="Heading 1 2 9 2 2 18" xfId="26045"/>
    <cellStyle name="Heading 1 2 9 2 2 18 2" xfId="26046"/>
    <cellStyle name="Heading 1 2 9 2 2 18 2 2" xfId="26047"/>
    <cellStyle name="Heading 1 2 9 2 2 18 3" xfId="26048"/>
    <cellStyle name="Heading 1 2 9 2 2 19" xfId="26049"/>
    <cellStyle name="Heading 1 2 9 2 2 19 2" xfId="26050"/>
    <cellStyle name="Heading 1 2 9 2 2 2" xfId="26051"/>
    <cellStyle name="Heading 1 2 9 2 2 2 2" xfId="26052"/>
    <cellStyle name="Heading 1 2 9 2 2 2 2 2" xfId="26053"/>
    <cellStyle name="Heading 1 2 9 2 2 2 2 2 2" xfId="26054"/>
    <cellStyle name="Heading 1 2 9 2 2 2 2 3" xfId="26055"/>
    <cellStyle name="Heading 1 2 9 2 2 2 3" xfId="26056"/>
    <cellStyle name="Heading 1 2 9 2 2 2 3 2" xfId="26057"/>
    <cellStyle name="Heading 1 2 9 2 2 2 3 2 2" xfId="26058"/>
    <cellStyle name="Heading 1 2 9 2 2 2 3 3" xfId="26059"/>
    <cellStyle name="Heading 1 2 9 2 2 2 4" xfId="26060"/>
    <cellStyle name="Heading 1 2 9 2 2 2 4 2" xfId="26061"/>
    <cellStyle name="Heading 1 2 9 2 2 2 4 2 2" xfId="26062"/>
    <cellStyle name="Heading 1 2 9 2 2 2 4 3" xfId="26063"/>
    <cellStyle name="Heading 1 2 9 2 2 2 5" xfId="26064"/>
    <cellStyle name="Heading 1 2 9 2 2 2 5 2" xfId="26065"/>
    <cellStyle name="Heading 1 2 9 2 2 2 5 2 2" xfId="26066"/>
    <cellStyle name="Heading 1 2 9 2 2 2 5 3" xfId="26067"/>
    <cellStyle name="Heading 1 2 9 2 2 2 6" xfId="26068"/>
    <cellStyle name="Heading 1 2 9 2 2 2 6 2" xfId="26069"/>
    <cellStyle name="Heading 1 2 9 2 2 2 6 2 2" xfId="26070"/>
    <cellStyle name="Heading 1 2 9 2 2 2 6 3" xfId="26071"/>
    <cellStyle name="Heading 1 2 9 2 2 2 7" xfId="26072"/>
    <cellStyle name="Heading 1 2 9 2 2 2 7 2" xfId="26073"/>
    <cellStyle name="Heading 1 2 9 2 2 2 7 2 2" xfId="26074"/>
    <cellStyle name="Heading 1 2 9 2 2 2 7 3" xfId="26075"/>
    <cellStyle name="Heading 1 2 9 2 2 2 8" xfId="26076"/>
    <cellStyle name="Heading 1 2 9 2 2 2 8 2" xfId="26077"/>
    <cellStyle name="Heading 1 2 9 2 2 2 9" xfId="26078"/>
    <cellStyle name="Heading 1 2 9 2 2 20" xfId="26079"/>
    <cellStyle name="Heading 1 2 9 2 2 20 2" xfId="26080"/>
    <cellStyle name="Heading 1 2 9 2 2 21" xfId="26081"/>
    <cellStyle name="Heading 1 2 9 2 2 21 2" xfId="26082"/>
    <cellStyle name="Heading 1 2 9 2 2 22" xfId="26083"/>
    <cellStyle name="Heading 1 2 9 2 2 3" xfId="26084"/>
    <cellStyle name="Heading 1 2 9 2 2 3 2" xfId="26085"/>
    <cellStyle name="Heading 1 2 9 2 2 3 2 2" xfId="26086"/>
    <cellStyle name="Heading 1 2 9 2 2 3 2 2 2" xfId="26087"/>
    <cellStyle name="Heading 1 2 9 2 2 3 2 3" xfId="26088"/>
    <cellStyle name="Heading 1 2 9 2 2 3 3" xfId="26089"/>
    <cellStyle name="Heading 1 2 9 2 2 3 3 2" xfId="26090"/>
    <cellStyle name="Heading 1 2 9 2 2 3 3 2 2" xfId="26091"/>
    <cellStyle name="Heading 1 2 9 2 2 3 3 3" xfId="26092"/>
    <cellStyle name="Heading 1 2 9 2 2 3 4" xfId="26093"/>
    <cellStyle name="Heading 1 2 9 2 2 3 4 2" xfId="26094"/>
    <cellStyle name="Heading 1 2 9 2 2 3 4 2 2" xfId="26095"/>
    <cellStyle name="Heading 1 2 9 2 2 3 4 3" xfId="26096"/>
    <cellStyle name="Heading 1 2 9 2 2 3 5" xfId="26097"/>
    <cellStyle name="Heading 1 2 9 2 2 3 5 2" xfId="26098"/>
    <cellStyle name="Heading 1 2 9 2 2 3 5 2 2" xfId="26099"/>
    <cellStyle name="Heading 1 2 9 2 2 3 5 3" xfId="26100"/>
    <cellStyle name="Heading 1 2 9 2 2 3 6" xfId="26101"/>
    <cellStyle name="Heading 1 2 9 2 2 3 6 2" xfId="26102"/>
    <cellStyle name="Heading 1 2 9 2 2 3 6 2 2" xfId="26103"/>
    <cellStyle name="Heading 1 2 9 2 2 3 6 3" xfId="26104"/>
    <cellStyle name="Heading 1 2 9 2 2 3 7" xfId="26105"/>
    <cellStyle name="Heading 1 2 9 2 2 3 7 2" xfId="26106"/>
    <cellStyle name="Heading 1 2 9 2 2 3 7 2 2" xfId="26107"/>
    <cellStyle name="Heading 1 2 9 2 2 3 7 3" xfId="26108"/>
    <cellStyle name="Heading 1 2 9 2 2 3 8" xfId="26109"/>
    <cellStyle name="Heading 1 2 9 2 2 3 8 2" xfId="26110"/>
    <cellStyle name="Heading 1 2 9 2 2 3 9" xfId="26111"/>
    <cellStyle name="Heading 1 2 9 2 2 4" xfId="26112"/>
    <cellStyle name="Heading 1 2 9 2 2 4 2" xfId="26113"/>
    <cellStyle name="Heading 1 2 9 2 2 4 2 2" xfId="26114"/>
    <cellStyle name="Heading 1 2 9 2 2 4 2 2 2" xfId="26115"/>
    <cellStyle name="Heading 1 2 9 2 2 4 2 3" xfId="26116"/>
    <cellStyle name="Heading 1 2 9 2 2 4 3" xfId="26117"/>
    <cellStyle name="Heading 1 2 9 2 2 4 3 2" xfId="26118"/>
    <cellStyle name="Heading 1 2 9 2 2 4 3 2 2" xfId="26119"/>
    <cellStyle name="Heading 1 2 9 2 2 4 3 3" xfId="26120"/>
    <cellStyle name="Heading 1 2 9 2 2 4 4" xfId="26121"/>
    <cellStyle name="Heading 1 2 9 2 2 4 4 2" xfId="26122"/>
    <cellStyle name="Heading 1 2 9 2 2 4 4 2 2" xfId="26123"/>
    <cellStyle name="Heading 1 2 9 2 2 4 4 3" xfId="26124"/>
    <cellStyle name="Heading 1 2 9 2 2 4 5" xfId="26125"/>
    <cellStyle name="Heading 1 2 9 2 2 4 5 2" xfId="26126"/>
    <cellStyle name="Heading 1 2 9 2 2 4 5 2 2" xfId="26127"/>
    <cellStyle name="Heading 1 2 9 2 2 4 5 3" xfId="26128"/>
    <cellStyle name="Heading 1 2 9 2 2 4 6" xfId="26129"/>
    <cellStyle name="Heading 1 2 9 2 2 4 6 2" xfId="26130"/>
    <cellStyle name="Heading 1 2 9 2 2 4 6 2 2" xfId="26131"/>
    <cellStyle name="Heading 1 2 9 2 2 4 6 3" xfId="26132"/>
    <cellStyle name="Heading 1 2 9 2 2 4 7" xfId="26133"/>
    <cellStyle name="Heading 1 2 9 2 2 4 7 2" xfId="26134"/>
    <cellStyle name="Heading 1 2 9 2 2 4 7 2 2" xfId="26135"/>
    <cellStyle name="Heading 1 2 9 2 2 4 7 3" xfId="26136"/>
    <cellStyle name="Heading 1 2 9 2 2 4 8" xfId="26137"/>
    <cellStyle name="Heading 1 2 9 2 2 4 8 2" xfId="26138"/>
    <cellStyle name="Heading 1 2 9 2 2 4 9" xfId="26139"/>
    <cellStyle name="Heading 1 2 9 2 2 5" xfId="26140"/>
    <cellStyle name="Heading 1 2 9 2 2 5 2" xfId="26141"/>
    <cellStyle name="Heading 1 2 9 2 2 5 2 2" xfId="26142"/>
    <cellStyle name="Heading 1 2 9 2 2 5 2 2 2" xfId="26143"/>
    <cellStyle name="Heading 1 2 9 2 2 5 2 3" xfId="26144"/>
    <cellStyle name="Heading 1 2 9 2 2 5 3" xfId="26145"/>
    <cellStyle name="Heading 1 2 9 2 2 5 3 2" xfId="26146"/>
    <cellStyle name="Heading 1 2 9 2 2 5 3 2 2" xfId="26147"/>
    <cellStyle name="Heading 1 2 9 2 2 5 3 3" xfId="26148"/>
    <cellStyle name="Heading 1 2 9 2 2 5 4" xfId="26149"/>
    <cellStyle name="Heading 1 2 9 2 2 5 4 2" xfId="26150"/>
    <cellStyle name="Heading 1 2 9 2 2 5 4 2 2" xfId="26151"/>
    <cellStyle name="Heading 1 2 9 2 2 5 4 3" xfId="26152"/>
    <cellStyle name="Heading 1 2 9 2 2 5 5" xfId="26153"/>
    <cellStyle name="Heading 1 2 9 2 2 5 5 2" xfId="26154"/>
    <cellStyle name="Heading 1 2 9 2 2 5 5 2 2" xfId="26155"/>
    <cellStyle name="Heading 1 2 9 2 2 5 5 3" xfId="26156"/>
    <cellStyle name="Heading 1 2 9 2 2 5 6" xfId="26157"/>
    <cellStyle name="Heading 1 2 9 2 2 5 6 2" xfId="26158"/>
    <cellStyle name="Heading 1 2 9 2 2 5 6 2 2" xfId="26159"/>
    <cellStyle name="Heading 1 2 9 2 2 5 6 3" xfId="26160"/>
    <cellStyle name="Heading 1 2 9 2 2 5 7" xfId="26161"/>
    <cellStyle name="Heading 1 2 9 2 2 5 7 2" xfId="26162"/>
    <cellStyle name="Heading 1 2 9 2 2 5 7 2 2" xfId="26163"/>
    <cellStyle name="Heading 1 2 9 2 2 5 7 3" xfId="26164"/>
    <cellStyle name="Heading 1 2 9 2 2 5 8" xfId="26165"/>
    <cellStyle name="Heading 1 2 9 2 2 5 8 2" xfId="26166"/>
    <cellStyle name="Heading 1 2 9 2 2 5 9" xfId="26167"/>
    <cellStyle name="Heading 1 2 9 2 2 6" xfId="26168"/>
    <cellStyle name="Heading 1 2 9 2 2 6 2" xfId="26169"/>
    <cellStyle name="Heading 1 2 9 2 2 6 2 2" xfId="26170"/>
    <cellStyle name="Heading 1 2 9 2 2 6 2 2 2" xfId="26171"/>
    <cellStyle name="Heading 1 2 9 2 2 6 2 3" xfId="26172"/>
    <cellStyle name="Heading 1 2 9 2 2 6 3" xfId="26173"/>
    <cellStyle name="Heading 1 2 9 2 2 6 3 2" xfId="26174"/>
    <cellStyle name="Heading 1 2 9 2 2 6 3 2 2" xfId="26175"/>
    <cellStyle name="Heading 1 2 9 2 2 6 3 3" xfId="26176"/>
    <cellStyle name="Heading 1 2 9 2 2 6 4" xfId="26177"/>
    <cellStyle name="Heading 1 2 9 2 2 6 4 2" xfId="26178"/>
    <cellStyle name="Heading 1 2 9 2 2 6 4 2 2" xfId="26179"/>
    <cellStyle name="Heading 1 2 9 2 2 6 4 3" xfId="26180"/>
    <cellStyle name="Heading 1 2 9 2 2 6 5" xfId="26181"/>
    <cellStyle name="Heading 1 2 9 2 2 6 5 2" xfId="26182"/>
    <cellStyle name="Heading 1 2 9 2 2 6 5 2 2" xfId="26183"/>
    <cellStyle name="Heading 1 2 9 2 2 6 5 3" xfId="26184"/>
    <cellStyle name="Heading 1 2 9 2 2 6 6" xfId="26185"/>
    <cellStyle name="Heading 1 2 9 2 2 6 6 2" xfId="26186"/>
    <cellStyle name="Heading 1 2 9 2 2 6 6 2 2" xfId="26187"/>
    <cellStyle name="Heading 1 2 9 2 2 6 6 3" xfId="26188"/>
    <cellStyle name="Heading 1 2 9 2 2 6 7" xfId="26189"/>
    <cellStyle name="Heading 1 2 9 2 2 6 7 2" xfId="26190"/>
    <cellStyle name="Heading 1 2 9 2 2 6 7 2 2" xfId="26191"/>
    <cellStyle name="Heading 1 2 9 2 2 6 7 3" xfId="26192"/>
    <cellStyle name="Heading 1 2 9 2 2 6 8" xfId="26193"/>
    <cellStyle name="Heading 1 2 9 2 2 6 8 2" xfId="26194"/>
    <cellStyle name="Heading 1 2 9 2 2 6 9" xfId="26195"/>
    <cellStyle name="Heading 1 2 9 2 2 7" xfId="26196"/>
    <cellStyle name="Heading 1 2 9 2 2 7 2" xfId="26197"/>
    <cellStyle name="Heading 1 2 9 2 2 7 2 2" xfId="26198"/>
    <cellStyle name="Heading 1 2 9 2 2 7 2 2 2" xfId="26199"/>
    <cellStyle name="Heading 1 2 9 2 2 7 2 3" xfId="26200"/>
    <cellStyle name="Heading 1 2 9 2 2 7 3" xfId="26201"/>
    <cellStyle name="Heading 1 2 9 2 2 7 3 2" xfId="26202"/>
    <cellStyle name="Heading 1 2 9 2 2 7 3 2 2" xfId="26203"/>
    <cellStyle name="Heading 1 2 9 2 2 7 3 3" xfId="26204"/>
    <cellStyle name="Heading 1 2 9 2 2 7 4" xfId="26205"/>
    <cellStyle name="Heading 1 2 9 2 2 7 4 2" xfId="26206"/>
    <cellStyle name="Heading 1 2 9 2 2 7 4 2 2" xfId="26207"/>
    <cellStyle name="Heading 1 2 9 2 2 7 4 3" xfId="26208"/>
    <cellStyle name="Heading 1 2 9 2 2 7 5" xfId="26209"/>
    <cellStyle name="Heading 1 2 9 2 2 7 5 2" xfId="26210"/>
    <cellStyle name="Heading 1 2 9 2 2 7 5 2 2" xfId="26211"/>
    <cellStyle name="Heading 1 2 9 2 2 7 5 3" xfId="26212"/>
    <cellStyle name="Heading 1 2 9 2 2 7 6" xfId="26213"/>
    <cellStyle name="Heading 1 2 9 2 2 7 6 2" xfId="26214"/>
    <cellStyle name="Heading 1 2 9 2 2 7 6 2 2" xfId="26215"/>
    <cellStyle name="Heading 1 2 9 2 2 7 6 3" xfId="26216"/>
    <cellStyle name="Heading 1 2 9 2 2 7 7" xfId="26217"/>
    <cellStyle name="Heading 1 2 9 2 2 7 7 2" xfId="26218"/>
    <cellStyle name="Heading 1 2 9 2 2 7 7 2 2" xfId="26219"/>
    <cellStyle name="Heading 1 2 9 2 2 7 7 3" xfId="26220"/>
    <cellStyle name="Heading 1 2 9 2 2 7 8" xfId="26221"/>
    <cellStyle name="Heading 1 2 9 2 2 7 8 2" xfId="26222"/>
    <cellStyle name="Heading 1 2 9 2 2 7 9" xfId="26223"/>
    <cellStyle name="Heading 1 2 9 2 2 8" xfId="26224"/>
    <cellStyle name="Heading 1 2 9 2 2 8 2" xfId="26225"/>
    <cellStyle name="Heading 1 2 9 2 2 8 2 2" xfId="26226"/>
    <cellStyle name="Heading 1 2 9 2 2 8 2 2 2" xfId="26227"/>
    <cellStyle name="Heading 1 2 9 2 2 8 2 3" xfId="26228"/>
    <cellStyle name="Heading 1 2 9 2 2 8 3" xfId="26229"/>
    <cellStyle name="Heading 1 2 9 2 2 8 3 2" xfId="26230"/>
    <cellStyle name="Heading 1 2 9 2 2 8 3 2 2" xfId="26231"/>
    <cellStyle name="Heading 1 2 9 2 2 8 3 3" xfId="26232"/>
    <cellStyle name="Heading 1 2 9 2 2 8 4" xfId="26233"/>
    <cellStyle name="Heading 1 2 9 2 2 8 4 2" xfId="26234"/>
    <cellStyle name="Heading 1 2 9 2 2 8 4 2 2" xfId="26235"/>
    <cellStyle name="Heading 1 2 9 2 2 8 4 3" xfId="26236"/>
    <cellStyle name="Heading 1 2 9 2 2 8 5" xfId="26237"/>
    <cellStyle name="Heading 1 2 9 2 2 8 5 2" xfId="26238"/>
    <cellStyle name="Heading 1 2 9 2 2 8 5 2 2" xfId="26239"/>
    <cellStyle name="Heading 1 2 9 2 2 8 5 3" xfId="26240"/>
    <cellStyle name="Heading 1 2 9 2 2 8 6" xfId="26241"/>
    <cellStyle name="Heading 1 2 9 2 2 8 6 2" xfId="26242"/>
    <cellStyle name="Heading 1 2 9 2 2 8 6 2 2" xfId="26243"/>
    <cellStyle name="Heading 1 2 9 2 2 8 6 3" xfId="26244"/>
    <cellStyle name="Heading 1 2 9 2 2 8 7" xfId="26245"/>
    <cellStyle name="Heading 1 2 9 2 2 8 7 2" xfId="26246"/>
    <cellStyle name="Heading 1 2 9 2 2 8 7 2 2" xfId="26247"/>
    <cellStyle name="Heading 1 2 9 2 2 8 7 3" xfId="26248"/>
    <cellStyle name="Heading 1 2 9 2 2 8 8" xfId="26249"/>
    <cellStyle name="Heading 1 2 9 2 2 8 8 2" xfId="26250"/>
    <cellStyle name="Heading 1 2 9 2 2 8 9" xfId="26251"/>
    <cellStyle name="Heading 1 2 9 2 2 9" xfId="26252"/>
    <cellStyle name="Heading 1 2 9 2 2 9 2" xfId="26253"/>
    <cellStyle name="Heading 1 2 9 2 2 9 2 2" xfId="26254"/>
    <cellStyle name="Heading 1 2 9 2 2 9 3" xfId="26255"/>
    <cellStyle name="Heading 1 2 9 2 20" xfId="26256"/>
    <cellStyle name="Heading 1 2 9 2 20 2" xfId="26257"/>
    <cellStyle name="Heading 1 2 9 2 21" xfId="26258"/>
    <cellStyle name="Heading 1 2 9 2 21 2" xfId="26259"/>
    <cellStyle name="Heading 1 2 9 2 22" xfId="26260"/>
    <cellStyle name="Heading 1 2 9 2 22 2" xfId="26261"/>
    <cellStyle name="Heading 1 2 9 2 23" xfId="26262"/>
    <cellStyle name="Heading 1 2 9 2 3" xfId="26263"/>
    <cellStyle name="Heading 1 2 9 2 3 2" xfId="26264"/>
    <cellStyle name="Heading 1 2 9 2 3 2 2" xfId="26265"/>
    <cellStyle name="Heading 1 2 9 2 3 2 2 2" xfId="26266"/>
    <cellStyle name="Heading 1 2 9 2 3 2 3" xfId="26267"/>
    <cellStyle name="Heading 1 2 9 2 3 3" xfId="26268"/>
    <cellStyle name="Heading 1 2 9 2 3 3 2" xfId="26269"/>
    <cellStyle name="Heading 1 2 9 2 3 3 2 2" xfId="26270"/>
    <cellStyle name="Heading 1 2 9 2 3 3 3" xfId="26271"/>
    <cellStyle name="Heading 1 2 9 2 3 4" xfId="26272"/>
    <cellStyle name="Heading 1 2 9 2 3 4 2" xfId="26273"/>
    <cellStyle name="Heading 1 2 9 2 3 4 2 2" xfId="26274"/>
    <cellStyle name="Heading 1 2 9 2 3 4 3" xfId="26275"/>
    <cellStyle name="Heading 1 2 9 2 3 5" xfId="26276"/>
    <cellStyle name="Heading 1 2 9 2 3 5 2" xfId="26277"/>
    <cellStyle name="Heading 1 2 9 2 3 5 2 2" xfId="26278"/>
    <cellStyle name="Heading 1 2 9 2 3 5 3" xfId="26279"/>
    <cellStyle name="Heading 1 2 9 2 3 6" xfId="26280"/>
    <cellStyle name="Heading 1 2 9 2 3 6 2" xfId="26281"/>
    <cellStyle name="Heading 1 2 9 2 3 6 2 2" xfId="26282"/>
    <cellStyle name="Heading 1 2 9 2 3 6 3" xfId="26283"/>
    <cellStyle name="Heading 1 2 9 2 3 7" xfId="26284"/>
    <cellStyle name="Heading 1 2 9 2 3 7 2" xfId="26285"/>
    <cellStyle name="Heading 1 2 9 2 3 7 2 2" xfId="26286"/>
    <cellStyle name="Heading 1 2 9 2 3 7 3" xfId="26287"/>
    <cellStyle name="Heading 1 2 9 2 3 8" xfId="26288"/>
    <cellStyle name="Heading 1 2 9 2 3 8 2" xfId="26289"/>
    <cellStyle name="Heading 1 2 9 2 3 9" xfId="26290"/>
    <cellStyle name="Heading 1 2 9 2 4" xfId="26291"/>
    <cellStyle name="Heading 1 2 9 2 4 2" xfId="26292"/>
    <cellStyle name="Heading 1 2 9 2 4 2 2" xfId="26293"/>
    <cellStyle name="Heading 1 2 9 2 4 2 2 2" xfId="26294"/>
    <cellStyle name="Heading 1 2 9 2 4 2 3" xfId="26295"/>
    <cellStyle name="Heading 1 2 9 2 4 3" xfId="26296"/>
    <cellStyle name="Heading 1 2 9 2 4 3 2" xfId="26297"/>
    <cellStyle name="Heading 1 2 9 2 4 3 2 2" xfId="26298"/>
    <cellStyle name="Heading 1 2 9 2 4 3 3" xfId="26299"/>
    <cellStyle name="Heading 1 2 9 2 4 4" xfId="26300"/>
    <cellStyle name="Heading 1 2 9 2 4 4 2" xfId="26301"/>
    <cellStyle name="Heading 1 2 9 2 4 4 2 2" xfId="26302"/>
    <cellStyle name="Heading 1 2 9 2 4 4 3" xfId="26303"/>
    <cellStyle name="Heading 1 2 9 2 4 5" xfId="26304"/>
    <cellStyle name="Heading 1 2 9 2 4 5 2" xfId="26305"/>
    <cellStyle name="Heading 1 2 9 2 4 5 2 2" xfId="26306"/>
    <cellStyle name="Heading 1 2 9 2 4 5 3" xfId="26307"/>
    <cellStyle name="Heading 1 2 9 2 4 6" xfId="26308"/>
    <cellStyle name="Heading 1 2 9 2 4 6 2" xfId="26309"/>
    <cellStyle name="Heading 1 2 9 2 4 6 2 2" xfId="26310"/>
    <cellStyle name="Heading 1 2 9 2 4 6 3" xfId="26311"/>
    <cellStyle name="Heading 1 2 9 2 4 7" xfId="26312"/>
    <cellStyle name="Heading 1 2 9 2 4 7 2" xfId="26313"/>
    <cellStyle name="Heading 1 2 9 2 4 7 2 2" xfId="26314"/>
    <cellStyle name="Heading 1 2 9 2 4 7 3" xfId="26315"/>
    <cellStyle name="Heading 1 2 9 2 4 8" xfId="26316"/>
    <cellStyle name="Heading 1 2 9 2 4 8 2" xfId="26317"/>
    <cellStyle name="Heading 1 2 9 2 4 9" xfId="26318"/>
    <cellStyle name="Heading 1 2 9 2 5" xfId="26319"/>
    <cellStyle name="Heading 1 2 9 2 5 2" xfId="26320"/>
    <cellStyle name="Heading 1 2 9 2 5 2 2" xfId="26321"/>
    <cellStyle name="Heading 1 2 9 2 5 2 2 2" xfId="26322"/>
    <cellStyle name="Heading 1 2 9 2 5 2 3" xfId="26323"/>
    <cellStyle name="Heading 1 2 9 2 5 3" xfId="26324"/>
    <cellStyle name="Heading 1 2 9 2 5 3 2" xfId="26325"/>
    <cellStyle name="Heading 1 2 9 2 5 3 2 2" xfId="26326"/>
    <cellStyle name="Heading 1 2 9 2 5 3 3" xfId="26327"/>
    <cellStyle name="Heading 1 2 9 2 5 4" xfId="26328"/>
    <cellStyle name="Heading 1 2 9 2 5 4 2" xfId="26329"/>
    <cellStyle name="Heading 1 2 9 2 5 4 2 2" xfId="26330"/>
    <cellStyle name="Heading 1 2 9 2 5 4 3" xfId="26331"/>
    <cellStyle name="Heading 1 2 9 2 5 5" xfId="26332"/>
    <cellStyle name="Heading 1 2 9 2 5 5 2" xfId="26333"/>
    <cellStyle name="Heading 1 2 9 2 5 5 2 2" xfId="26334"/>
    <cellStyle name="Heading 1 2 9 2 5 5 3" xfId="26335"/>
    <cellStyle name="Heading 1 2 9 2 5 6" xfId="26336"/>
    <cellStyle name="Heading 1 2 9 2 5 6 2" xfId="26337"/>
    <cellStyle name="Heading 1 2 9 2 5 6 2 2" xfId="26338"/>
    <cellStyle name="Heading 1 2 9 2 5 6 3" xfId="26339"/>
    <cellStyle name="Heading 1 2 9 2 5 7" xfId="26340"/>
    <cellStyle name="Heading 1 2 9 2 5 7 2" xfId="26341"/>
    <cellStyle name="Heading 1 2 9 2 5 7 2 2" xfId="26342"/>
    <cellStyle name="Heading 1 2 9 2 5 7 3" xfId="26343"/>
    <cellStyle name="Heading 1 2 9 2 5 8" xfId="26344"/>
    <cellStyle name="Heading 1 2 9 2 5 8 2" xfId="26345"/>
    <cellStyle name="Heading 1 2 9 2 5 9" xfId="26346"/>
    <cellStyle name="Heading 1 2 9 2 6" xfId="26347"/>
    <cellStyle name="Heading 1 2 9 2 6 2" xfId="26348"/>
    <cellStyle name="Heading 1 2 9 2 6 2 2" xfId="26349"/>
    <cellStyle name="Heading 1 2 9 2 6 2 2 2" xfId="26350"/>
    <cellStyle name="Heading 1 2 9 2 6 2 3" xfId="26351"/>
    <cellStyle name="Heading 1 2 9 2 6 3" xfId="26352"/>
    <cellStyle name="Heading 1 2 9 2 6 3 2" xfId="26353"/>
    <cellStyle name="Heading 1 2 9 2 6 3 2 2" xfId="26354"/>
    <cellStyle name="Heading 1 2 9 2 6 3 3" xfId="26355"/>
    <cellStyle name="Heading 1 2 9 2 6 4" xfId="26356"/>
    <cellStyle name="Heading 1 2 9 2 6 4 2" xfId="26357"/>
    <cellStyle name="Heading 1 2 9 2 6 4 2 2" xfId="26358"/>
    <cellStyle name="Heading 1 2 9 2 6 4 3" xfId="26359"/>
    <cellStyle name="Heading 1 2 9 2 6 5" xfId="26360"/>
    <cellStyle name="Heading 1 2 9 2 6 5 2" xfId="26361"/>
    <cellStyle name="Heading 1 2 9 2 6 5 2 2" xfId="26362"/>
    <cellStyle name="Heading 1 2 9 2 6 5 3" xfId="26363"/>
    <cellStyle name="Heading 1 2 9 2 6 6" xfId="26364"/>
    <cellStyle name="Heading 1 2 9 2 6 6 2" xfId="26365"/>
    <cellStyle name="Heading 1 2 9 2 6 6 2 2" xfId="26366"/>
    <cellStyle name="Heading 1 2 9 2 6 6 3" xfId="26367"/>
    <cellStyle name="Heading 1 2 9 2 6 7" xfId="26368"/>
    <cellStyle name="Heading 1 2 9 2 6 7 2" xfId="26369"/>
    <cellStyle name="Heading 1 2 9 2 6 7 2 2" xfId="26370"/>
    <cellStyle name="Heading 1 2 9 2 6 7 3" xfId="26371"/>
    <cellStyle name="Heading 1 2 9 2 6 8" xfId="26372"/>
    <cellStyle name="Heading 1 2 9 2 6 8 2" xfId="26373"/>
    <cellStyle name="Heading 1 2 9 2 6 9" xfId="26374"/>
    <cellStyle name="Heading 1 2 9 2 7" xfId="26375"/>
    <cellStyle name="Heading 1 2 9 2 7 2" xfId="26376"/>
    <cellStyle name="Heading 1 2 9 2 7 2 2" xfId="26377"/>
    <cellStyle name="Heading 1 2 9 2 7 2 2 2" xfId="26378"/>
    <cellStyle name="Heading 1 2 9 2 7 2 3" xfId="26379"/>
    <cellStyle name="Heading 1 2 9 2 7 3" xfId="26380"/>
    <cellStyle name="Heading 1 2 9 2 7 3 2" xfId="26381"/>
    <cellStyle name="Heading 1 2 9 2 7 3 2 2" xfId="26382"/>
    <cellStyle name="Heading 1 2 9 2 7 3 3" xfId="26383"/>
    <cellStyle name="Heading 1 2 9 2 7 4" xfId="26384"/>
    <cellStyle name="Heading 1 2 9 2 7 4 2" xfId="26385"/>
    <cellStyle name="Heading 1 2 9 2 7 4 2 2" xfId="26386"/>
    <cellStyle name="Heading 1 2 9 2 7 4 3" xfId="26387"/>
    <cellStyle name="Heading 1 2 9 2 7 5" xfId="26388"/>
    <cellStyle name="Heading 1 2 9 2 7 5 2" xfId="26389"/>
    <cellStyle name="Heading 1 2 9 2 7 5 2 2" xfId="26390"/>
    <cellStyle name="Heading 1 2 9 2 7 5 3" xfId="26391"/>
    <cellStyle name="Heading 1 2 9 2 7 6" xfId="26392"/>
    <cellStyle name="Heading 1 2 9 2 7 6 2" xfId="26393"/>
    <cellStyle name="Heading 1 2 9 2 7 6 2 2" xfId="26394"/>
    <cellStyle name="Heading 1 2 9 2 7 6 3" xfId="26395"/>
    <cellStyle name="Heading 1 2 9 2 7 7" xfId="26396"/>
    <cellStyle name="Heading 1 2 9 2 7 7 2" xfId="26397"/>
    <cellStyle name="Heading 1 2 9 2 7 7 2 2" xfId="26398"/>
    <cellStyle name="Heading 1 2 9 2 7 7 3" xfId="26399"/>
    <cellStyle name="Heading 1 2 9 2 7 8" xfId="26400"/>
    <cellStyle name="Heading 1 2 9 2 7 8 2" xfId="26401"/>
    <cellStyle name="Heading 1 2 9 2 7 9" xfId="26402"/>
    <cellStyle name="Heading 1 2 9 2 8" xfId="26403"/>
    <cellStyle name="Heading 1 2 9 2 8 2" xfId="26404"/>
    <cellStyle name="Heading 1 2 9 2 8 2 2" xfId="26405"/>
    <cellStyle name="Heading 1 2 9 2 8 2 2 2" xfId="26406"/>
    <cellStyle name="Heading 1 2 9 2 8 2 3" xfId="26407"/>
    <cellStyle name="Heading 1 2 9 2 8 3" xfId="26408"/>
    <cellStyle name="Heading 1 2 9 2 8 3 2" xfId="26409"/>
    <cellStyle name="Heading 1 2 9 2 8 3 2 2" xfId="26410"/>
    <cellStyle name="Heading 1 2 9 2 8 3 3" xfId="26411"/>
    <cellStyle name="Heading 1 2 9 2 8 4" xfId="26412"/>
    <cellStyle name="Heading 1 2 9 2 8 4 2" xfId="26413"/>
    <cellStyle name="Heading 1 2 9 2 8 4 2 2" xfId="26414"/>
    <cellStyle name="Heading 1 2 9 2 8 4 3" xfId="26415"/>
    <cellStyle name="Heading 1 2 9 2 8 5" xfId="26416"/>
    <cellStyle name="Heading 1 2 9 2 8 5 2" xfId="26417"/>
    <cellStyle name="Heading 1 2 9 2 8 5 2 2" xfId="26418"/>
    <cellStyle name="Heading 1 2 9 2 8 5 3" xfId="26419"/>
    <cellStyle name="Heading 1 2 9 2 8 6" xfId="26420"/>
    <cellStyle name="Heading 1 2 9 2 8 6 2" xfId="26421"/>
    <cellStyle name="Heading 1 2 9 2 8 6 2 2" xfId="26422"/>
    <cellStyle name="Heading 1 2 9 2 8 6 3" xfId="26423"/>
    <cellStyle name="Heading 1 2 9 2 8 7" xfId="26424"/>
    <cellStyle name="Heading 1 2 9 2 8 7 2" xfId="26425"/>
    <cellStyle name="Heading 1 2 9 2 8 7 2 2" xfId="26426"/>
    <cellStyle name="Heading 1 2 9 2 8 7 3" xfId="26427"/>
    <cellStyle name="Heading 1 2 9 2 8 8" xfId="26428"/>
    <cellStyle name="Heading 1 2 9 2 8 8 2" xfId="26429"/>
    <cellStyle name="Heading 1 2 9 2 8 9" xfId="26430"/>
    <cellStyle name="Heading 1 2 9 2 9" xfId="26431"/>
    <cellStyle name="Heading 1 2 9 2 9 2" xfId="26432"/>
    <cellStyle name="Heading 1 2 9 2 9 2 2" xfId="26433"/>
    <cellStyle name="Heading 1 2 9 2 9 2 2 2" xfId="26434"/>
    <cellStyle name="Heading 1 2 9 2 9 2 3" xfId="26435"/>
    <cellStyle name="Heading 1 2 9 2 9 3" xfId="26436"/>
    <cellStyle name="Heading 1 2 9 2 9 3 2" xfId="26437"/>
    <cellStyle name="Heading 1 2 9 2 9 3 2 2" xfId="26438"/>
    <cellStyle name="Heading 1 2 9 2 9 3 3" xfId="26439"/>
    <cellStyle name="Heading 1 2 9 2 9 4" xfId="26440"/>
    <cellStyle name="Heading 1 2 9 2 9 4 2" xfId="26441"/>
    <cellStyle name="Heading 1 2 9 2 9 4 2 2" xfId="26442"/>
    <cellStyle name="Heading 1 2 9 2 9 4 3" xfId="26443"/>
    <cellStyle name="Heading 1 2 9 2 9 5" xfId="26444"/>
    <cellStyle name="Heading 1 2 9 2 9 5 2" xfId="26445"/>
    <cellStyle name="Heading 1 2 9 2 9 5 2 2" xfId="26446"/>
    <cellStyle name="Heading 1 2 9 2 9 5 3" xfId="26447"/>
    <cellStyle name="Heading 1 2 9 2 9 6" xfId="26448"/>
    <cellStyle name="Heading 1 2 9 2 9 6 2" xfId="26449"/>
    <cellStyle name="Heading 1 2 9 2 9 6 2 2" xfId="26450"/>
    <cellStyle name="Heading 1 2 9 2 9 6 3" xfId="26451"/>
    <cellStyle name="Heading 1 2 9 2 9 7" xfId="26452"/>
    <cellStyle name="Heading 1 2 9 2 9 7 2" xfId="26453"/>
    <cellStyle name="Heading 1 2 9 2 9 7 2 2" xfId="26454"/>
    <cellStyle name="Heading 1 2 9 2 9 7 3" xfId="26455"/>
    <cellStyle name="Heading 1 2 9 2 9 8" xfId="26456"/>
    <cellStyle name="Heading 1 2 9 2 9 8 2" xfId="26457"/>
    <cellStyle name="Heading 1 2 9 2 9 9" xfId="26458"/>
    <cellStyle name="Heading 1 2 9 3" xfId="26459"/>
    <cellStyle name="Heading 1 2 9 3 10" xfId="26460"/>
    <cellStyle name="Heading 1 2 9 3 10 2" xfId="26461"/>
    <cellStyle name="Heading 1 2 9 3 10 2 2" xfId="26462"/>
    <cellStyle name="Heading 1 2 9 3 10 3" xfId="26463"/>
    <cellStyle name="Heading 1 2 9 3 11" xfId="26464"/>
    <cellStyle name="Heading 1 2 9 3 11 2" xfId="26465"/>
    <cellStyle name="Heading 1 2 9 3 11 2 2" xfId="26466"/>
    <cellStyle name="Heading 1 2 9 3 11 3" xfId="26467"/>
    <cellStyle name="Heading 1 2 9 3 12" xfId="26468"/>
    <cellStyle name="Heading 1 2 9 3 12 2" xfId="26469"/>
    <cellStyle name="Heading 1 2 9 3 12 2 2" xfId="26470"/>
    <cellStyle name="Heading 1 2 9 3 12 3" xfId="26471"/>
    <cellStyle name="Heading 1 2 9 3 13" xfId="26472"/>
    <cellStyle name="Heading 1 2 9 3 13 2" xfId="26473"/>
    <cellStyle name="Heading 1 2 9 3 13 2 2" xfId="26474"/>
    <cellStyle name="Heading 1 2 9 3 13 3" xfId="26475"/>
    <cellStyle name="Heading 1 2 9 3 14" xfId="26476"/>
    <cellStyle name="Heading 1 2 9 3 14 2" xfId="26477"/>
    <cellStyle name="Heading 1 2 9 3 14 2 2" xfId="26478"/>
    <cellStyle name="Heading 1 2 9 3 14 3" xfId="26479"/>
    <cellStyle name="Heading 1 2 9 3 15" xfId="26480"/>
    <cellStyle name="Heading 1 2 9 3 15 2" xfId="26481"/>
    <cellStyle name="Heading 1 2 9 3 15 2 2" xfId="26482"/>
    <cellStyle name="Heading 1 2 9 3 15 3" xfId="26483"/>
    <cellStyle name="Heading 1 2 9 3 16" xfId="26484"/>
    <cellStyle name="Heading 1 2 9 3 16 2" xfId="26485"/>
    <cellStyle name="Heading 1 2 9 3 16 2 2" xfId="26486"/>
    <cellStyle name="Heading 1 2 9 3 16 3" xfId="26487"/>
    <cellStyle name="Heading 1 2 9 3 17" xfId="26488"/>
    <cellStyle name="Heading 1 2 9 3 17 2" xfId="26489"/>
    <cellStyle name="Heading 1 2 9 3 17 2 2" xfId="26490"/>
    <cellStyle name="Heading 1 2 9 3 17 3" xfId="26491"/>
    <cellStyle name="Heading 1 2 9 3 18" xfId="26492"/>
    <cellStyle name="Heading 1 2 9 3 18 2" xfId="26493"/>
    <cellStyle name="Heading 1 2 9 3 18 2 2" xfId="26494"/>
    <cellStyle name="Heading 1 2 9 3 18 3" xfId="26495"/>
    <cellStyle name="Heading 1 2 9 3 19" xfId="26496"/>
    <cellStyle name="Heading 1 2 9 3 19 2" xfId="26497"/>
    <cellStyle name="Heading 1 2 9 3 2" xfId="26498"/>
    <cellStyle name="Heading 1 2 9 3 2 2" xfId="26499"/>
    <cellStyle name="Heading 1 2 9 3 2 2 2" xfId="26500"/>
    <cellStyle name="Heading 1 2 9 3 2 2 2 2" xfId="26501"/>
    <cellStyle name="Heading 1 2 9 3 2 2 3" xfId="26502"/>
    <cellStyle name="Heading 1 2 9 3 2 3" xfId="26503"/>
    <cellStyle name="Heading 1 2 9 3 2 3 2" xfId="26504"/>
    <cellStyle name="Heading 1 2 9 3 2 3 2 2" xfId="26505"/>
    <cellStyle name="Heading 1 2 9 3 2 3 3" xfId="26506"/>
    <cellStyle name="Heading 1 2 9 3 2 4" xfId="26507"/>
    <cellStyle name="Heading 1 2 9 3 2 4 2" xfId="26508"/>
    <cellStyle name="Heading 1 2 9 3 2 4 2 2" xfId="26509"/>
    <cellStyle name="Heading 1 2 9 3 2 4 3" xfId="26510"/>
    <cellStyle name="Heading 1 2 9 3 2 5" xfId="26511"/>
    <cellStyle name="Heading 1 2 9 3 2 5 2" xfId="26512"/>
    <cellStyle name="Heading 1 2 9 3 2 5 2 2" xfId="26513"/>
    <cellStyle name="Heading 1 2 9 3 2 5 3" xfId="26514"/>
    <cellStyle name="Heading 1 2 9 3 2 6" xfId="26515"/>
    <cellStyle name="Heading 1 2 9 3 2 6 2" xfId="26516"/>
    <cellStyle name="Heading 1 2 9 3 2 6 2 2" xfId="26517"/>
    <cellStyle name="Heading 1 2 9 3 2 6 3" xfId="26518"/>
    <cellStyle name="Heading 1 2 9 3 2 7" xfId="26519"/>
    <cellStyle name="Heading 1 2 9 3 2 7 2" xfId="26520"/>
    <cellStyle name="Heading 1 2 9 3 2 7 2 2" xfId="26521"/>
    <cellStyle name="Heading 1 2 9 3 2 7 3" xfId="26522"/>
    <cellStyle name="Heading 1 2 9 3 2 8" xfId="26523"/>
    <cellStyle name="Heading 1 2 9 3 2 8 2" xfId="26524"/>
    <cellStyle name="Heading 1 2 9 3 2 9" xfId="26525"/>
    <cellStyle name="Heading 1 2 9 3 20" xfId="26526"/>
    <cellStyle name="Heading 1 2 9 3 20 2" xfId="26527"/>
    <cellStyle name="Heading 1 2 9 3 21" xfId="26528"/>
    <cellStyle name="Heading 1 2 9 3 21 2" xfId="26529"/>
    <cellStyle name="Heading 1 2 9 3 22" xfId="26530"/>
    <cellStyle name="Heading 1 2 9 3 3" xfId="26531"/>
    <cellStyle name="Heading 1 2 9 3 3 2" xfId="26532"/>
    <cellStyle name="Heading 1 2 9 3 3 2 2" xfId="26533"/>
    <cellStyle name="Heading 1 2 9 3 3 2 2 2" xfId="26534"/>
    <cellStyle name="Heading 1 2 9 3 3 2 3" xfId="26535"/>
    <cellStyle name="Heading 1 2 9 3 3 3" xfId="26536"/>
    <cellStyle name="Heading 1 2 9 3 3 3 2" xfId="26537"/>
    <cellStyle name="Heading 1 2 9 3 3 3 2 2" xfId="26538"/>
    <cellStyle name="Heading 1 2 9 3 3 3 3" xfId="26539"/>
    <cellStyle name="Heading 1 2 9 3 3 4" xfId="26540"/>
    <cellStyle name="Heading 1 2 9 3 3 4 2" xfId="26541"/>
    <cellStyle name="Heading 1 2 9 3 3 4 2 2" xfId="26542"/>
    <cellStyle name="Heading 1 2 9 3 3 4 3" xfId="26543"/>
    <cellStyle name="Heading 1 2 9 3 3 5" xfId="26544"/>
    <cellStyle name="Heading 1 2 9 3 3 5 2" xfId="26545"/>
    <cellStyle name="Heading 1 2 9 3 3 5 2 2" xfId="26546"/>
    <cellStyle name="Heading 1 2 9 3 3 5 3" xfId="26547"/>
    <cellStyle name="Heading 1 2 9 3 3 6" xfId="26548"/>
    <cellStyle name="Heading 1 2 9 3 3 6 2" xfId="26549"/>
    <cellStyle name="Heading 1 2 9 3 3 6 2 2" xfId="26550"/>
    <cellStyle name="Heading 1 2 9 3 3 6 3" xfId="26551"/>
    <cellStyle name="Heading 1 2 9 3 3 7" xfId="26552"/>
    <cellStyle name="Heading 1 2 9 3 3 7 2" xfId="26553"/>
    <cellStyle name="Heading 1 2 9 3 3 7 2 2" xfId="26554"/>
    <cellStyle name="Heading 1 2 9 3 3 7 3" xfId="26555"/>
    <cellStyle name="Heading 1 2 9 3 3 8" xfId="26556"/>
    <cellStyle name="Heading 1 2 9 3 3 8 2" xfId="26557"/>
    <cellStyle name="Heading 1 2 9 3 3 9" xfId="26558"/>
    <cellStyle name="Heading 1 2 9 3 4" xfId="26559"/>
    <cellStyle name="Heading 1 2 9 3 4 2" xfId="26560"/>
    <cellStyle name="Heading 1 2 9 3 4 2 2" xfId="26561"/>
    <cellStyle name="Heading 1 2 9 3 4 2 2 2" xfId="26562"/>
    <cellStyle name="Heading 1 2 9 3 4 2 3" xfId="26563"/>
    <cellStyle name="Heading 1 2 9 3 4 3" xfId="26564"/>
    <cellStyle name="Heading 1 2 9 3 4 3 2" xfId="26565"/>
    <cellStyle name="Heading 1 2 9 3 4 3 2 2" xfId="26566"/>
    <cellStyle name="Heading 1 2 9 3 4 3 3" xfId="26567"/>
    <cellStyle name="Heading 1 2 9 3 4 4" xfId="26568"/>
    <cellStyle name="Heading 1 2 9 3 4 4 2" xfId="26569"/>
    <cellStyle name="Heading 1 2 9 3 4 4 2 2" xfId="26570"/>
    <cellStyle name="Heading 1 2 9 3 4 4 3" xfId="26571"/>
    <cellStyle name="Heading 1 2 9 3 4 5" xfId="26572"/>
    <cellStyle name="Heading 1 2 9 3 4 5 2" xfId="26573"/>
    <cellStyle name="Heading 1 2 9 3 4 5 2 2" xfId="26574"/>
    <cellStyle name="Heading 1 2 9 3 4 5 3" xfId="26575"/>
    <cellStyle name="Heading 1 2 9 3 4 6" xfId="26576"/>
    <cellStyle name="Heading 1 2 9 3 4 6 2" xfId="26577"/>
    <cellStyle name="Heading 1 2 9 3 4 6 2 2" xfId="26578"/>
    <cellStyle name="Heading 1 2 9 3 4 6 3" xfId="26579"/>
    <cellStyle name="Heading 1 2 9 3 4 7" xfId="26580"/>
    <cellStyle name="Heading 1 2 9 3 4 7 2" xfId="26581"/>
    <cellStyle name="Heading 1 2 9 3 4 7 2 2" xfId="26582"/>
    <cellStyle name="Heading 1 2 9 3 4 7 3" xfId="26583"/>
    <cellStyle name="Heading 1 2 9 3 4 8" xfId="26584"/>
    <cellStyle name="Heading 1 2 9 3 4 8 2" xfId="26585"/>
    <cellStyle name="Heading 1 2 9 3 4 9" xfId="26586"/>
    <cellStyle name="Heading 1 2 9 3 5" xfId="26587"/>
    <cellStyle name="Heading 1 2 9 3 5 2" xfId="26588"/>
    <cellStyle name="Heading 1 2 9 3 5 2 2" xfId="26589"/>
    <cellStyle name="Heading 1 2 9 3 5 2 2 2" xfId="26590"/>
    <cellStyle name="Heading 1 2 9 3 5 2 3" xfId="26591"/>
    <cellStyle name="Heading 1 2 9 3 5 3" xfId="26592"/>
    <cellStyle name="Heading 1 2 9 3 5 3 2" xfId="26593"/>
    <cellStyle name="Heading 1 2 9 3 5 3 2 2" xfId="26594"/>
    <cellStyle name="Heading 1 2 9 3 5 3 3" xfId="26595"/>
    <cellStyle name="Heading 1 2 9 3 5 4" xfId="26596"/>
    <cellStyle name="Heading 1 2 9 3 5 4 2" xfId="26597"/>
    <cellStyle name="Heading 1 2 9 3 5 4 2 2" xfId="26598"/>
    <cellStyle name="Heading 1 2 9 3 5 4 3" xfId="26599"/>
    <cellStyle name="Heading 1 2 9 3 5 5" xfId="26600"/>
    <cellStyle name="Heading 1 2 9 3 5 5 2" xfId="26601"/>
    <cellStyle name="Heading 1 2 9 3 5 5 2 2" xfId="26602"/>
    <cellStyle name="Heading 1 2 9 3 5 5 3" xfId="26603"/>
    <cellStyle name="Heading 1 2 9 3 5 6" xfId="26604"/>
    <cellStyle name="Heading 1 2 9 3 5 6 2" xfId="26605"/>
    <cellStyle name="Heading 1 2 9 3 5 6 2 2" xfId="26606"/>
    <cellStyle name="Heading 1 2 9 3 5 6 3" xfId="26607"/>
    <cellStyle name="Heading 1 2 9 3 5 7" xfId="26608"/>
    <cellStyle name="Heading 1 2 9 3 5 7 2" xfId="26609"/>
    <cellStyle name="Heading 1 2 9 3 5 7 2 2" xfId="26610"/>
    <cellStyle name="Heading 1 2 9 3 5 7 3" xfId="26611"/>
    <cellStyle name="Heading 1 2 9 3 5 8" xfId="26612"/>
    <cellStyle name="Heading 1 2 9 3 5 8 2" xfId="26613"/>
    <cellStyle name="Heading 1 2 9 3 5 9" xfId="26614"/>
    <cellStyle name="Heading 1 2 9 3 6" xfId="26615"/>
    <cellStyle name="Heading 1 2 9 3 6 2" xfId="26616"/>
    <cellStyle name="Heading 1 2 9 3 6 2 2" xfId="26617"/>
    <cellStyle name="Heading 1 2 9 3 6 2 2 2" xfId="26618"/>
    <cellStyle name="Heading 1 2 9 3 6 2 3" xfId="26619"/>
    <cellStyle name="Heading 1 2 9 3 6 3" xfId="26620"/>
    <cellStyle name="Heading 1 2 9 3 6 3 2" xfId="26621"/>
    <cellStyle name="Heading 1 2 9 3 6 3 2 2" xfId="26622"/>
    <cellStyle name="Heading 1 2 9 3 6 3 3" xfId="26623"/>
    <cellStyle name="Heading 1 2 9 3 6 4" xfId="26624"/>
    <cellStyle name="Heading 1 2 9 3 6 4 2" xfId="26625"/>
    <cellStyle name="Heading 1 2 9 3 6 4 2 2" xfId="26626"/>
    <cellStyle name="Heading 1 2 9 3 6 4 3" xfId="26627"/>
    <cellStyle name="Heading 1 2 9 3 6 5" xfId="26628"/>
    <cellStyle name="Heading 1 2 9 3 6 5 2" xfId="26629"/>
    <cellStyle name="Heading 1 2 9 3 6 5 2 2" xfId="26630"/>
    <cellStyle name="Heading 1 2 9 3 6 5 3" xfId="26631"/>
    <cellStyle name="Heading 1 2 9 3 6 6" xfId="26632"/>
    <cellStyle name="Heading 1 2 9 3 6 6 2" xfId="26633"/>
    <cellStyle name="Heading 1 2 9 3 6 6 2 2" xfId="26634"/>
    <cellStyle name="Heading 1 2 9 3 6 6 3" xfId="26635"/>
    <cellStyle name="Heading 1 2 9 3 6 7" xfId="26636"/>
    <cellStyle name="Heading 1 2 9 3 6 7 2" xfId="26637"/>
    <cellStyle name="Heading 1 2 9 3 6 7 2 2" xfId="26638"/>
    <cellStyle name="Heading 1 2 9 3 6 7 3" xfId="26639"/>
    <cellStyle name="Heading 1 2 9 3 6 8" xfId="26640"/>
    <cellStyle name="Heading 1 2 9 3 6 8 2" xfId="26641"/>
    <cellStyle name="Heading 1 2 9 3 6 9" xfId="26642"/>
    <cellStyle name="Heading 1 2 9 3 7" xfId="26643"/>
    <cellStyle name="Heading 1 2 9 3 7 2" xfId="26644"/>
    <cellStyle name="Heading 1 2 9 3 7 2 2" xfId="26645"/>
    <cellStyle name="Heading 1 2 9 3 7 2 2 2" xfId="26646"/>
    <cellStyle name="Heading 1 2 9 3 7 2 3" xfId="26647"/>
    <cellStyle name="Heading 1 2 9 3 7 3" xfId="26648"/>
    <cellStyle name="Heading 1 2 9 3 7 3 2" xfId="26649"/>
    <cellStyle name="Heading 1 2 9 3 7 3 2 2" xfId="26650"/>
    <cellStyle name="Heading 1 2 9 3 7 3 3" xfId="26651"/>
    <cellStyle name="Heading 1 2 9 3 7 4" xfId="26652"/>
    <cellStyle name="Heading 1 2 9 3 7 4 2" xfId="26653"/>
    <cellStyle name="Heading 1 2 9 3 7 4 2 2" xfId="26654"/>
    <cellStyle name="Heading 1 2 9 3 7 4 3" xfId="26655"/>
    <cellStyle name="Heading 1 2 9 3 7 5" xfId="26656"/>
    <cellStyle name="Heading 1 2 9 3 7 5 2" xfId="26657"/>
    <cellStyle name="Heading 1 2 9 3 7 5 2 2" xfId="26658"/>
    <cellStyle name="Heading 1 2 9 3 7 5 3" xfId="26659"/>
    <cellStyle name="Heading 1 2 9 3 7 6" xfId="26660"/>
    <cellStyle name="Heading 1 2 9 3 7 6 2" xfId="26661"/>
    <cellStyle name="Heading 1 2 9 3 7 6 2 2" xfId="26662"/>
    <cellStyle name="Heading 1 2 9 3 7 6 3" xfId="26663"/>
    <cellStyle name="Heading 1 2 9 3 7 7" xfId="26664"/>
    <cellStyle name="Heading 1 2 9 3 7 7 2" xfId="26665"/>
    <cellStyle name="Heading 1 2 9 3 7 7 2 2" xfId="26666"/>
    <cellStyle name="Heading 1 2 9 3 7 7 3" xfId="26667"/>
    <cellStyle name="Heading 1 2 9 3 7 8" xfId="26668"/>
    <cellStyle name="Heading 1 2 9 3 7 8 2" xfId="26669"/>
    <cellStyle name="Heading 1 2 9 3 7 9" xfId="26670"/>
    <cellStyle name="Heading 1 2 9 3 8" xfId="26671"/>
    <cellStyle name="Heading 1 2 9 3 8 2" xfId="26672"/>
    <cellStyle name="Heading 1 2 9 3 8 2 2" xfId="26673"/>
    <cellStyle name="Heading 1 2 9 3 8 2 2 2" xfId="26674"/>
    <cellStyle name="Heading 1 2 9 3 8 2 3" xfId="26675"/>
    <cellStyle name="Heading 1 2 9 3 8 3" xfId="26676"/>
    <cellStyle name="Heading 1 2 9 3 8 3 2" xfId="26677"/>
    <cellStyle name="Heading 1 2 9 3 8 3 2 2" xfId="26678"/>
    <cellStyle name="Heading 1 2 9 3 8 3 3" xfId="26679"/>
    <cellStyle name="Heading 1 2 9 3 8 4" xfId="26680"/>
    <cellStyle name="Heading 1 2 9 3 8 4 2" xfId="26681"/>
    <cellStyle name="Heading 1 2 9 3 8 4 2 2" xfId="26682"/>
    <cellStyle name="Heading 1 2 9 3 8 4 3" xfId="26683"/>
    <cellStyle name="Heading 1 2 9 3 8 5" xfId="26684"/>
    <cellStyle name="Heading 1 2 9 3 8 5 2" xfId="26685"/>
    <cellStyle name="Heading 1 2 9 3 8 5 2 2" xfId="26686"/>
    <cellStyle name="Heading 1 2 9 3 8 5 3" xfId="26687"/>
    <cellStyle name="Heading 1 2 9 3 8 6" xfId="26688"/>
    <cellStyle name="Heading 1 2 9 3 8 6 2" xfId="26689"/>
    <cellStyle name="Heading 1 2 9 3 8 6 2 2" xfId="26690"/>
    <cellStyle name="Heading 1 2 9 3 8 6 3" xfId="26691"/>
    <cellStyle name="Heading 1 2 9 3 8 7" xfId="26692"/>
    <cellStyle name="Heading 1 2 9 3 8 7 2" xfId="26693"/>
    <cellStyle name="Heading 1 2 9 3 8 7 2 2" xfId="26694"/>
    <cellStyle name="Heading 1 2 9 3 8 7 3" xfId="26695"/>
    <cellStyle name="Heading 1 2 9 3 8 8" xfId="26696"/>
    <cellStyle name="Heading 1 2 9 3 8 8 2" xfId="26697"/>
    <cellStyle name="Heading 1 2 9 3 8 9" xfId="26698"/>
    <cellStyle name="Heading 1 2 9 3 9" xfId="26699"/>
    <cellStyle name="Heading 1 2 9 3 9 2" xfId="26700"/>
    <cellStyle name="Heading 1 2 9 3 9 2 2" xfId="26701"/>
    <cellStyle name="Heading 1 2 9 3 9 3" xfId="26702"/>
    <cellStyle name="Heading 1 2 9 4" xfId="26703"/>
    <cellStyle name="Heading 1 2 9 4 2" xfId="26704"/>
    <cellStyle name="Heading 1 2 9 4 2 2" xfId="26705"/>
    <cellStyle name="Heading 1 2 9 4 3" xfId="26706"/>
    <cellStyle name="Heading 1 2 9 5" xfId="26707"/>
    <cellStyle name="Heading 1 2 9 5 2" xfId="26708"/>
    <cellStyle name="Heading 1 2 9 6" xfId="26709"/>
    <cellStyle name="Heading 1 3" xfId="26710"/>
    <cellStyle name="Heading 1 3 2" xfId="26711"/>
    <cellStyle name="Heading 1 3 2 10" xfId="26712"/>
    <cellStyle name="Heading 1 3 2 10 2" xfId="26713"/>
    <cellStyle name="Heading 1 3 2 10 2 2" xfId="26714"/>
    <cellStyle name="Heading 1 3 2 10 3" xfId="26715"/>
    <cellStyle name="Heading 1 3 2 11" xfId="26716"/>
    <cellStyle name="Heading 1 3 2 11 2" xfId="26717"/>
    <cellStyle name="Heading 1 3 2 11 2 2" xfId="26718"/>
    <cellStyle name="Heading 1 3 2 11 3" xfId="26719"/>
    <cellStyle name="Heading 1 3 2 12" xfId="26720"/>
    <cellStyle name="Heading 1 3 2 12 2" xfId="26721"/>
    <cellStyle name="Heading 1 3 2 12 2 2" xfId="26722"/>
    <cellStyle name="Heading 1 3 2 12 3" xfId="26723"/>
    <cellStyle name="Heading 1 3 2 13" xfId="26724"/>
    <cellStyle name="Heading 1 3 2 13 2" xfId="26725"/>
    <cellStyle name="Heading 1 3 2 13 2 2" xfId="26726"/>
    <cellStyle name="Heading 1 3 2 13 3" xfId="26727"/>
    <cellStyle name="Heading 1 3 2 14" xfId="26728"/>
    <cellStyle name="Heading 1 3 2 14 2" xfId="26729"/>
    <cellStyle name="Heading 1 3 2 14 2 2" xfId="26730"/>
    <cellStyle name="Heading 1 3 2 14 3" xfId="26731"/>
    <cellStyle name="Heading 1 3 2 15" xfId="26732"/>
    <cellStyle name="Heading 1 3 2 15 2" xfId="26733"/>
    <cellStyle name="Heading 1 3 2 15 2 2" xfId="26734"/>
    <cellStyle name="Heading 1 3 2 15 3" xfId="26735"/>
    <cellStyle name="Heading 1 3 2 16" xfId="26736"/>
    <cellStyle name="Heading 1 3 2 16 2" xfId="26737"/>
    <cellStyle name="Heading 1 3 2 16 2 2" xfId="26738"/>
    <cellStyle name="Heading 1 3 2 16 3" xfId="26739"/>
    <cellStyle name="Heading 1 3 2 17" xfId="26740"/>
    <cellStyle name="Heading 1 3 2 17 2" xfId="26741"/>
    <cellStyle name="Heading 1 3 2 17 2 2" xfId="26742"/>
    <cellStyle name="Heading 1 3 2 17 3" xfId="26743"/>
    <cellStyle name="Heading 1 3 2 18" xfId="26744"/>
    <cellStyle name="Heading 1 3 2 18 2" xfId="26745"/>
    <cellStyle name="Heading 1 3 2 18 2 2" xfId="26746"/>
    <cellStyle name="Heading 1 3 2 18 3" xfId="26747"/>
    <cellStyle name="Heading 1 3 2 19" xfId="26748"/>
    <cellStyle name="Heading 1 3 2 19 2" xfId="26749"/>
    <cellStyle name="Heading 1 3 2 19 2 2" xfId="26750"/>
    <cellStyle name="Heading 1 3 2 19 3" xfId="26751"/>
    <cellStyle name="Heading 1 3 2 2" xfId="26752"/>
    <cellStyle name="Heading 1 3 2 2 10" xfId="26753"/>
    <cellStyle name="Heading 1 3 2 2 10 2" xfId="26754"/>
    <cellStyle name="Heading 1 3 2 2 10 2 2" xfId="26755"/>
    <cellStyle name="Heading 1 3 2 2 10 3" xfId="26756"/>
    <cellStyle name="Heading 1 3 2 2 11" xfId="26757"/>
    <cellStyle name="Heading 1 3 2 2 11 2" xfId="26758"/>
    <cellStyle name="Heading 1 3 2 2 11 2 2" xfId="26759"/>
    <cellStyle name="Heading 1 3 2 2 11 3" xfId="26760"/>
    <cellStyle name="Heading 1 3 2 2 12" xfId="26761"/>
    <cellStyle name="Heading 1 3 2 2 12 2" xfId="26762"/>
    <cellStyle name="Heading 1 3 2 2 12 2 2" xfId="26763"/>
    <cellStyle name="Heading 1 3 2 2 12 3" xfId="26764"/>
    <cellStyle name="Heading 1 3 2 2 13" xfId="26765"/>
    <cellStyle name="Heading 1 3 2 2 13 2" xfId="26766"/>
    <cellStyle name="Heading 1 3 2 2 13 2 2" xfId="26767"/>
    <cellStyle name="Heading 1 3 2 2 13 3" xfId="26768"/>
    <cellStyle name="Heading 1 3 2 2 14" xfId="26769"/>
    <cellStyle name="Heading 1 3 2 2 14 2" xfId="26770"/>
    <cellStyle name="Heading 1 3 2 2 14 2 2" xfId="26771"/>
    <cellStyle name="Heading 1 3 2 2 14 3" xfId="26772"/>
    <cellStyle name="Heading 1 3 2 2 15" xfId="26773"/>
    <cellStyle name="Heading 1 3 2 2 15 2" xfId="26774"/>
    <cellStyle name="Heading 1 3 2 2 15 2 2" xfId="26775"/>
    <cellStyle name="Heading 1 3 2 2 15 3" xfId="26776"/>
    <cellStyle name="Heading 1 3 2 2 16" xfId="26777"/>
    <cellStyle name="Heading 1 3 2 2 16 2" xfId="26778"/>
    <cellStyle name="Heading 1 3 2 2 16 2 2" xfId="26779"/>
    <cellStyle name="Heading 1 3 2 2 16 3" xfId="26780"/>
    <cellStyle name="Heading 1 3 2 2 17" xfId="26781"/>
    <cellStyle name="Heading 1 3 2 2 17 2" xfId="26782"/>
    <cellStyle name="Heading 1 3 2 2 17 2 2" xfId="26783"/>
    <cellStyle name="Heading 1 3 2 2 17 3" xfId="26784"/>
    <cellStyle name="Heading 1 3 2 2 18" xfId="26785"/>
    <cellStyle name="Heading 1 3 2 2 18 2" xfId="26786"/>
    <cellStyle name="Heading 1 3 2 2 18 2 2" xfId="26787"/>
    <cellStyle name="Heading 1 3 2 2 18 3" xfId="26788"/>
    <cellStyle name="Heading 1 3 2 2 19" xfId="26789"/>
    <cellStyle name="Heading 1 3 2 2 19 2" xfId="26790"/>
    <cellStyle name="Heading 1 3 2 2 2" xfId="26791"/>
    <cellStyle name="Heading 1 3 2 2 2 2" xfId="26792"/>
    <cellStyle name="Heading 1 3 2 2 2 2 2" xfId="26793"/>
    <cellStyle name="Heading 1 3 2 2 2 2 2 2" xfId="26794"/>
    <cellStyle name="Heading 1 3 2 2 2 2 3" xfId="26795"/>
    <cellStyle name="Heading 1 3 2 2 2 3" xfId="26796"/>
    <cellStyle name="Heading 1 3 2 2 2 3 2" xfId="26797"/>
    <cellStyle name="Heading 1 3 2 2 2 3 2 2" xfId="26798"/>
    <cellStyle name="Heading 1 3 2 2 2 3 3" xfId="26799"/>
    <cellStyle name="Heading 1 3 2 2 2 4" xfId="26800"/>
    <cellStyle name="Heading 1 3 2 2 2 4 2" xfId="26801"/>
    <cellStyle name="Heading 1 3 2 2 2 4 2 2" xfId="26802"/>
    <cellStyle name="Heading 1 3 2 2 2 4 3" xfId="26803"/>
    <cellStyle name="Heading 1 3 2 2 2 5" xfId="26804"/>
    <cellStyle name="Heading 1 3 2 2 2 5 2" xfId="26805"/>
    <cellStyle name="Heading 1 3 2 2 2 5 2 2" xfId="26806"/>
    <cellStyle name="Heading 1 3 2 2 2 5 3" xfId="26807"/>
    <cellStyle name="Heading 1 3 2 2 2 6" xfId="26808"/>
    <cellStyle name="Heading 1 3 2 2 2 6 2" xfId="26809"/>
    <cellStyle name="Heading 1 3 2 2 2 6 2 2" xfId="26810"/>
    <cellStyle name="Heading 1 3 2 2 2 6 3" xfId="26811"/>
    <cellStyle name="Heading 1 3 2 2 2 7" xfId="26812"/>
    <cellStyle name="Heading 1 3 2 2 2 7 2" xfId="26813"/>
    <cellStyle name="Heading 1 3 2 2 2 7 2 2" xfId="26814"/>
    <cellStyle name="Heading 1 3 2 2 2 7 3" xfId="26815"/>
    <cellStyle name="Heading 1 3 2 2 2 8" xfId="26816"/>
    <cellStyle name="Heading 1 3 2 2 2 8 2" xfId="26817"/>
    <cellStyle name="Heading 1 3 2 2 2 9" xfId="26818"/>
    <cellStyle name="Heading 1 3 2 2 20" xfId="26819"/>
    <cellStyle name="Heading 1 3 2 2 20 2" xfId="26820"/>
    <cellStyle name="Heading 1 3 2 2 21" xfId="26821"/>
    <cellStyle name="Heading 1 3 2 2 21 2" xfId="26822"/>
    <cellStyle name="Heading 1 3 2 2 22" xfId="26823"/>
    <cellStyle name="Heading 1 3 2 2 3" xfId="26824"/>
    <cellStyle name="Heading 1 3 2 2 3 2" xfId="26825"/>
    <cellStyle name="Heading 1 3 2 2 3 2 2" xfId="26826"/>
    <cellStyle name="Heading 1 3 2 2 3 2 2 2" xfId="26827"/>
    <cellStyle name="Heading 1 3 2 2 3 2 3" xfId="26828"/>
    <cellStyle name="Heading 1 3 2 2 3 3" xfId="26829"/>
    <cellStyle name="Heading 1 3 2 2 3 3 2" xfId="26830"/>
    <cellStyle name="Heading 1 3 2 2 3 3 2 2" xfId="26831"/>
    <cellStyle name="Heading 1 3 2 2 3 3 3" xfId="26832"/>
    <cellStyle name="Heading 1 3 2 2 3 4" xfId="26833"/>
    <cellStyle name="Heading 1 3 2 2 3 4 2" xfId="26834"/>
    <cellStyle name="Heading 1 3 2 2 3 4 2 2" xfId="26835"/>
    <cellStyle name="Heading 1 3 2 2 3 4 3" xfId="26836"/>
    <cellStyle name="Heading 1 3 2 2 3 5" xfId="26837"/>
    <cellStyle name="Heading 1 3 2 2 3 5 2" xfId="26838"/>
    <cellStyle name="Heading 1 3 2 2 3 5 2 2" xfId="26839"/>
    <cellStyle name="Heading 1 3 2 2 3 5 3" xfId="26840"/>
    <cellStyle name="Heading 1 3 2 2 3 6" xfId="26841"/>
    <cellStyle name="Heading 1 3 2 2 3 6 2" xfId="26842"/>
    <cellStyle name="Heading 1 3 2 2 3 6 2 2" xfId="26843"/>
    <cellStyle name="Heading 1 3 2 2 3 6 3" xfId="26844"/>
    <cellStyle name="Heading 1 3 2 2 3 7" xfId="26845"/>
    <cellStyle name="Heading 1 3 2 2 3 7 2" xfId="26846"/>
    <cellStyle name="Heading 1 3 2 2 3 7 2 2" xfId="26847"/>
    <cellStyle name="Heading 1 3 2 2 3 7 3" xfId="26848"/>
    <cellStyle name="Heading 1 3 2 2 3 8" xfId="26849"/>
    <cellStyle name="Heading 1 3 2 2 3 8 2" xfId="26850"/>
    <cellStyle name="Heading 1 3 2 2 3 9" xfId="26851"/>
    <cellStyle name="Heading 1 3 2 2 4" xfId="26852"/>
    <cellStyle name="Heading 1 3 2 2 4 2" xfId="26853"/>
    <cellStyle name="Heading 1 3 2 2 4 2 2" xfId="26854"/>
    <cellStyle name="Heading 1 3 2 2 4 2 2 2" xfId="26855"/>
    <cellStyle name="Heading 1 3 2 2 4 2 3" xfId="26856"/>
    <cellStyle name="Heading 1 3 2 2 4 3" xfId="26857"/>
    <cellStyle name="Heading 1 3 2 2 4 3 2" xfId="26858"/>
    <cellStyle name="Heading 1 3 2 2 4 3 2 2" xfId="26859"/>
    <cellStyle name="Heading 1 3 2 2 4 3 3" xfId="26860"/>
    <cellStyle name="Heading 1 3 2 2 4 4" xfId="26861"/>
    <cellStyle name="Heading 1 3 2 2 4 4 2" xfId="26862"/>
    <cellStyle name="Heading 1 3 2 2 4 4 2 2" xfId="26863"/>
    <cellStyle name="Heading 1 3 2 2 4 4 3" xfId="26864"/>
    <cellStyle name="Heading 1 3 2 2 4 5" xfId="26865"/>
    <cellStyle name="Heading 1 3 2 2 4 5 2" xfId="26866"/>
    <cellStyle name="Heading 1 3 2 2 4 5 2 2" xfId="26867"/>
    <cellStyle name="Heading 1 3 2 2 4 5 3" xfId="26868"/>
    <cellStyle name="Heading 1 3 2 2 4 6" xfId="26869"/>
    <cellStyle name="Heading 1 3 2 2 4 6 2" xfId="26870"/>
    <cellStyle name="Heading 1 3 2 2 4 6 2 2" xfId="26871"/>
    <cellStyle name="Heading 1 3 2 2 4 6 3" xfId="26872"/>
    <cellStyle name="Heading 1 3 2 2 4 7" xfId="26873"/>
    <cellStyle name="Heading 1 3 2 2 4 7 2" xfId="26874"/>
    <cellStyle name="Heading 1 3 2 2 4 7 2 2" xfId="26875"/>
    <cellStyle name="Heading 1 3 2 2 4 7 3" xfId="26876"/>
    <cellStyle name="Heading 1 3 2 2 4 8" xfId="26877"/>
    <cellStyle name="Heading 1 3 2 2 4 8 2" xfId="26878"/>
    <cellStyle name="Heading 1 3 2 2 4 9" xfId="26879"/>
    <cellStyle name="Heading 1 3 2 2 5" xfId="26880"/>
    <cellStyle name="Heading 1 3 2 2 5 2" xfId="26881"/>
    <cellStyle name="Heading 1 3 2 2 5 2 2" xfId="26882"/>
    <cellStyle name="Heading 1 3 2 2 5 2 2 2" xfId="26883"/>
    <cellStyle name="Heading 1 3 2 2 5 2 3" xfId="26884"/>
    <cellStyle name="Heading 1 3 2 2 5 3" xfId="26885"/>
    <cellStyle name="Heading 1 3 2 2 5 3 2" xfId="26886"/>
    <cellStyle name="Heading 1 3 2 2 5 3 2 2" xfId="26887"/>
    <cellStyle name="Heading 1 3 2 2 5 3 3" xfId="26888"/>
    <cellStyle name="Heading 1 3 2 2 5 4" xfId="26889"/>
    <cellStyle name="Heading 1 3 2 2 5 4 2" xfId="26890"/>
    <cellStyle name="Heading 1 3 2 2 5 4 2 2" xfId="26891"/>
    <cellStyle name="Heading 1 3 2 2 5 4 3" xfId="26892"/>
    <cellStyle name="Heading 1 3 2 2 5 5" xfId="26893"/>
    <cellStyle name="Heading 1 3 2 2 5 5 2" xfId="26894"/>
    <cellStyle name="Heading 1 3 2 2 5 5 2 2" xfId="26895"/>
    <cellStyle name="Heading 1 3 2 2 5 5 3" xfId="26896"/>
    <cellStyle name="Heading 1 3 2 2 5 6" xfId="26897"/>
    <cellStyle name="Heading 1 3 2 2 5 6 2" xfId="26898"/>
    <cellStyle name="Heading 1 3 2 2 5 6 2 2" xfId="26899"/>
    <cellStyle name="Heading 1 3 2 2 5 6 3" xfId="26900"/>
    <cellStyle name="Heading 1 3 2 2 5 7" xfId="26901"/>
    <cellStyle name="Heading 1 3 2 2 5 7 2" xfId="26902"/>
    <cellStyle name="Heading 1 3 2 2 5 7 2 2" xfId="26903"/>
    <cellStyle name="Heading 1 3 2 2 5 7 3" xfId="26904"/>
    <cellStyle name="Heading 1 3 2 2 5 8" xfId="26905"/>
    <cellStyle name="Heading 1 3 2 2 5 8 2" xfId="26906"/>
    <cellStyle name="Heading 1 3 2 2 5 9" xfId="26907"/>
    <cellStyle name="Heading 1 3 2 2 6" xfId="26908"/>
    <cellStyle name="Heading 1 3 2 2 6 2" xfId="26909"/>
    <cellStyle name="Heading 1 3 2 2 6 2 2" xfId="26910"/>
    <cellStyle name="Heading 1 3 2 2 6 2 2 2" xfId="26911"/>
    <cellStyle name="Heading 1 3 2 2 6 2 3" xfId="26912"/>
    <cellStyle name="Heading 1 3 2 2 6 3" xfId="26913"/>
    <cellStyle name="Heading 1 3 2 2 6 3 2" xfId="26914"/>
    <cellStyle name="Heading 1 3 2 2 6 3 2 2" xfId="26915"/>
    <cellStyle name="Heading 1 3 2 2 6 3 3" xfId="26916"/>
    <cellStyle name="Heading 1 3 2 2 6 4" xfId="26917"/>
    <cellStyle name="Heading 1 3 2 2 6 4 2" xfId="26918"/>
    <cellStyle name="Heading 1 3 2 2 6 4 2 2" xfId="26919"/>
    <cellStyle name="Heading 1 3 2 2 6 4 3" xfId="26920"/>
    <cellStyle name="Heading 1 3 2 2 6 5" xfId="26921"/>
    <cellStyle name="Heading 1 3 2 2 6 5 2" xfId="26922"/>
    <cellStyle name="Heading 1 3 2 2 6 5 2 2" xfId="26923"/>
    <cellStyle name="Heading 1 3 2 2 6 5 3" xfId="26924"/>
    <cellStyle name="Heading 1 3 2 2 6 6" xfId="26925"/>
    <cellStyle name="Heading 1 3 2 2 6 6 2" xfId="26926"/>
    <cellStyle name="Heading 1 3 2 2 6 6 2 2" xfId="26927"/>
    <cellStyle name="Heading 1 3 2 2 6 6 3" xfId="26928"/>
    <cellStyle name="Heading 1 3 2 2 6 7" xfId="26929"/>
    <cellStyle name="Heading 1 3 2 2 6 7 2" xfId="26930"/>
    <cellStyle name="Heading 1 3 2 2 6 7 2 2" xfId="26931"/>
    <cellStyle name="Heading 1 3 2 2 6 7 3" xfId="26932"/>
    <cellStyle name="Heading 1 3 2 2 6 8" xfId="26933"/>
    <cellStyle name="Heading 1 3 2 2 6 8 2" xfId="26934"/>
    <cellStyle name="Heading 1 3 2 2 6 9" xfId="26935"/>
    <cellStyle name="Heading 1 3 2 2 7" xfId="26936"/>
    <cellStyle name="Heading 1 3 2 2 7 2" xfId="26937"/>
    <cellStyle name="Heading 1 3 2 2 7 2 2" xfId="26938"/>
    <cellStyle name="Heading 1 3 2 2 7 2 2 2" xfId="26939"/>
    <cellStyle name="Heading 1 3 2 2 7 2 3" xfId="26940"/>
    <cellStyle name="Heading 1 3 2 2 7 3" xfId="26941"/>
    <cellStyle name="Heading 1 3 2 2 7 3 2" xfId="26942"/>
    <cellStyle name="Heading 1 3 2 2 7 3 2 2" xfId="26943"/>
    <cellStyle name="Heading 1 3 2 2 7 3 3" xfId="26944"/>
    <cellStyle name="Heading 1 3 2 2 7 4" xfId="26945"/>
    <cellStyle name="Heading 1 3 2 2 7 4 2" xfId="26946"/>
    <cellStyle name="Heading 1 3 2 2 7 4 2 2" xfId="26947"/>
    <cellStyle name="Heading 1 3 2 2 7 4 3" xfId="26948"/>
    <cellStyle name="Heading 1 3 2 2 7 5" xfId="26949"/>
    <cellStyle name="Heading 1 3 2 2 7 5 2" xfId="26950"/>
    <cellStyle name="Heading 1 3 2 2 7 5 2 2" xfId="26951"/>
    <cellStyle name="Heading 1 3 2 2 7 5 3" xfId="26952"/>
    <cellStyle name="Heading 1 3 2 2 7 6" xfId="26953"/>
    <cellStyle name="Heading 1 3 2 2 7 6 2" xfId="26954"/>
    <cellStyle name="Heading 1 3 2 2 7 6 2 2" xfId="26955"/>
    <cellStyle name="Heading 1 3 2 2 7 6 3" xfId="26956"/>
    <cellStyle name="Heading 1 3 2 2 7 7" xfId="26957"/>
    <cellStyle name="Heading 1 3 2 2 7 7 2" xfId="26958"/>
    <cellStyle name="Heading 1 3 2 2 7 7 2 2" xfId="26959"/>
    <cellStyle name="Heading 1 3 2 2 7 7 3" xfId="26960"/>
    <cellStyle name="Heading 1 3 2 2 7 8" xfId="26961"/>
    <cellStyle name="Heading 1 3 2 2 7 8 2" xfId="26962"/>
    <cellStyle name="Heading 1 3 2 2 7 9" xfId="26963"/>
    <cellStyle name="Heading 1 3 2 2 8" xfId="26964"/>
    <cellStyle name="Heading 1 3 2 2 8 2" xfId="26965"/>
    <cellStyle name="Heading 1 3 2 2 8 2 2" xfId="26966"/>
    <cellStyle name="Heading 1 3 2 2 8 2 2 2" xfId="26967"/>
    <cellStyle name="Heading 1 3 2 2 8 2 3" xfId="26968"/>
    <cellStyle name="Heading 1 3 2 2 8 3" xfId="26969"/>
    <cellStyle name="Heading 1 3 2 2 8 3 2" xfId="26970"/>
    <cellStyle name="Heading 1 3 2 2 8 3 2 2" xfId="26971"/>
    <cellStyle name="Heading 1 3 2 2 8 3 3" xfId="26972"/>
    <cellStyle name="Heading 1 3 2 2 8 4" xfId="26973"/>
    <cellStyle name="Heading 1 3 2 2 8 4 2" xfId="26974"/>
    <cellStyle name="Heading 1 3 2 2 8 4 2 2" xfId="26975"/>
    <cellStyle name="Heading 1 3 2 2 8 4 3" xfId="26976"/>
    <cellStyle name="Heading 1 3 2 2 8 5" xfId="26977"/>
    <cellStyle name="Heading 1 3 2 2 8 5 2" xfId="26978"/>
    <cellStyle name="Heading 1 3 2 2 8 5 2 2" xfId="26979"/>
    <cellStyle name="Heading 1 3 2 2 8 5 3" xfId="26980"/>
    <cellStyle name="Heading 1 3 2 2 8 6" xfId="26981"/>
    <cellStyle name="Heading 1 3 2 2 8 6 2" xfId="26982"/>
    <cellStyle name="Heading 1 3 2 2 8 6 2 2" xfId="26983"/>
    <cellStyle name="Heading 1 3 2 2 8 6 3" xfId="26984"/>
    <cellStyle name="Heading 1 3 2 2 8 7" xfId="26985"/>
    <cellStyle name="Heading 1 3 2 2 8 7 2" xfId="26986"/>
    <cellStyle name="Heading 1 3 2 2 8 7 2 2" xfId="26987"/>
    <cellStyle name="Heading 1 3 2 2 8 7 3" xfId="26988"/>
    <cellStyle name="Heading 1 3 2 2 8 8" xfId="26989"/>
    <cellStyle name="Heading 1 3 2 2 8 8 2" xfId="26990"/>
    <cellStyle name="Heading 1 3 2 2 8 9" xfId="26991"/>
    <cellStyle name="Heading 1 3 2 2 9" xfId="26992"/>
    <cellStyle name="Heading 1 3 2 2 9 2" xfId="26993"/>
    <cellStyle name="Heading 1 3 2 2 9 2 2" xfId="26994"/>
    <cellStyle name="Heading 1 3 2 2 9 3" xfId="26995"/>
    <cellStyle name="Heading 1 3 2 20" xfId="26996"/>
    <cellStyle name="Heading 1 3 2 20 2" xfId="26997"/>
    <cellStyle name="Heading 1 3 2 21" xfId="26998"/>
    <cellStyle name="Heading 1 3 2 21 2" xfId="26999"/>
    <cellStyle name="Heading 1 3 2 22" xfId="27000"/>
    <cellStyle name="Heading 1 3 2 22 2" xfId="27001"/>
    <cellStyle name="Heading 1 3 2 23" xfId="27002"/>
    <cellStyle name="Heading 1 3 2 3" xfId="27003"/>
    <cellStyle name="Heading 1 3 2 3 2" xfId="27004"/>
    <cellStyle name="Heading 1 3 2 3 2 2" xfId="27005"/>
    <cellStyle name="Heading 1 3 2 3 2 2 2" xfId="27006"/>
    <cellStyle name="Heading 1 3 2 3 2 3" xfId="27007"/>
    <cellStyle name="Heading 1 3 2 3 3" xfId="27008"/>
    <cellStyle name="Heading 1 3 2 3 3 2" xfId="27009"/>
    <cellStyle name="Heading 1 3 2 3 3 2 2" xfId="27010"/>
    <cellStyle name="Heading 1 3 2 3 3 3" xfId="27011"/>
    <cellStyle name="Heading 1 3 2 3 4" xfId="27012"/>
    <cellStyle name="Heading 1 3 2 3 4 2" xfId="27013"/>
    <cellStyle name="Heading 1 3 2 3 4 2 2" xfId="27014"/>
    <cellStyle name="Heading 1 3 2 3 4 3" xfId="27015"/>
    <cellStyle name="Heading 1 3 2 3 5" xfId="27016"/>
    <cellStyle name="Heading 1 3 2 3 5 2" xfId="27017"/>
    <cellStyle name="Heading 1 3 2 3 5 2 2" xfId="27018"/>
    <cellStyle name="Heading 1 3 2 3 5 3" xfId="27019"/>
    <cellStyle name="Heading 1 3 2 3 6" xfId="27020"/>
    <cellStyle name="Heading 1 3 2 3 6 2" xfId="27021"/>
    <cellStyle name="Heading 1 3 2 3 6 2 2" xfId="27022"/>
    <cellStyle name="Heading 1 3 2 3 6 3" xfId="27023"/>
    <cellStyle name="Heading 1 3 2 3 7" xfId="27024"/>
    <cellStyle name="Heading 1 3 2 3 7 2" xfId="27025"/>
    <cellStyle name="Heading 1 3 2 3 7 2 2" xfId="27026"/>
    <cellStyle name="Heading 1 3 2 3 7 3" xfId="27027"/>
    <cellStyle name="Heading 1 3 2 3 8" xfId="27028"/>
    <cellStyle name="Heading 1 3 2 3 8 2" xfId="27029"/>
    <cellStyle name="Heading 1 3 2 3 9" xfId="27030"/>
    <cellStyle name="Heading 1 3 2 4" xfId="27031"/>
    <cellStyle name="Heading 1 3 2 4 2" xfId="27032"/>
    <cellStyle name="Heading 1 3 2 4 2 2" xfId="27033"/>
    <cellStyle name="Heading 1 3 2 4 2 2 2" xfId="27034"/>
    <cellStyle name="Heading 1 3 2 4 2 3" xfId="27035"/>
    <cellStyle name="Heading 1 3 2 4 3" xfId="27036"/>
    <cellStyle name="Heading 1 3 2 4 3 2" xfId="27037"/>
    <cellStyle name="Heading 1 3 2 4 3 2 2" xfId="27038"/>
    <cellStyle name="Heading 1 3 2 4 3 3" xfId="27039"/>
    <cellStyle name="Heading 1 3 2 4 4" xfId="27040"/>
    <cellStyle name="Heading 1 3 2 4 4 2" xfId="27041"/>
    <cellStyle name="Heading 1 3 2 4 4 2 2" xfId="27042"/>
    <cellStyle name="Heading 1 3 2 4 4 3" xfId="27043"/>
    <cellStyle name="Heading 1 3 2 4 5" xfId="27044"/>
    <cellStyle name="Heading 1 3 2 4 5 2" xfId="27045"/>
    <cellStyle name="Heading 1 3 2 4 5 2 2" xfId="27046"/>
    <cellStyle name="Heading 1 3 2 4 5 3" xfId="27047"/>
    <cellStyle name="Heading 1 3 2 4 6" xfId="27048"/>
    <cellStyle name="Heading 1 3 2 4 6 2" xfId="27049"/>
    <cellStyle name="Heading 1 3 2 4 6 2 2" xfId="27050"/>
    <cellStyle name="Heading 1 3 2 4 6 3" xfId="27051"/>
    <cellStyle name="Heading 1 3 2 4 7" xfId="27052"/>
    <cellStyle name="Heading 1 3 2 4 7 2" xfId="27053"/>
    <cellStyle name="Heading 1 3 2 4 7 2 2" xfId="27054"/>
    <cellStyle name="Heading 1 3 2 4 7 3" xfId="27055"/>
    <cellStyle name="Heading 1 3 2 4 8" xfId="27056"/>
    <cellStyle name="Heading 1 3 2 4 8 2" xfId="27057"/>
    <cellStyle name="Heading 1 3 2 4 9" xfId="27058"/>
    <cellStyle name="Heading 1 3 2 5" xfId="27059"/>
    <cellStyle name="Heading 1 3 2 5 2" xfId="27060"/>
    <cellStyle name="Heading 1 3 2 5 2 2" xfId="27061"/>
    <cellStyle name="Heading 1 3 2 5 2 2 2" xfId="27062"/>
    <cellStyle name="Heading 1 3 2 5 2 3" xfId="27063"/>
    <cellStyle name="Heading 1 3 2 5 3" xfId="27064"/>
    <cellStyle name="Heading 1 3 2 5 3 2" xfId="27065"/>
    <cellStyle name="Heading 1 3 2 5 3 2 2" xfId="27066"/>
    <cellStyle name="Heading 1 3 2 5 3 3" xfId="27067"/>
    <cellStyle name="Heading 1 3 2 5 4" xfId="27068"/>
    <cellStyle name="Heading 1 3 2 5 4 2" xfId="27069"/>
    <cellStyle name="Heading 1 3 2 5 4 2 2" xfId="27070"/>
    <cellStyle name="Heading 1 3 2 5 4 3" xfId="27071"/>
    <cellStyle name="Heading 1 3 2 5 5" xfId="27072"/>
    <cellStyle name="Heading 1 3 2 5 5 2" xfId="27073"/>
    <cellStyle name="Heading 1 3 2 5 5 2 2" xfId="27074"/>
    <cellStyle name="Heading 1 3 2 5 5 3" xfId="27075"/>
    <cellStyle name="Heading 1 3 2 5 6" xfId="27076"/>
    <cellStyle name="Heading 1 3 2 5 6 2" xfId="27077"/>
    <cellStyle name="Heading 1 3 2 5 6 2 2" xfId="27078"/>
    <cellStyle name="Heading 1 3 2 5 6 3" xfId="27079"/>
    <cellStyle name="Heading 1 3 2 5 7" xfId="27080"/>
    <cellStyle name="Heading 1 3 2 5 7 2" xfId="27081"/>
    <cellStyle name="Heading 1 3 2 5 7 2 2" xfId="27082"/>
    <cellStyle name="Heading 1 3 2 5 7 3" xfId="27083"/>
    <cellStyle name="Heading 1 3 2 5 8" xfId="27084"/>
    <cellStyle name="Heading 1 3 2 5 8 2" xfId="27085"/>
    <cellStyle name="Heading 1 3 2 5 9" xfId="27086"/>
    <cellStyle name="Heading 1 3 2 6" xfId="27087"/>
    <cellStyle name="Heading 1 3 2 6 2" xfId="27088"/>
    <cellStyle name="Heading 1 3 2 6 2 2" xfId="27089"/>
    <cellStyle name="Heading 1 3 2 6 2 2 2" xfId="27090"/>
    <cellStyle name="Heading 1 3 2 6 2 3" xfId="27091"/>
    <cellStyle name="Heading 1 3 2 6 3" xfId="27092"/>
    <cellStyle name="Heading 1 3 2 6 3 2" xfId="27093"/>
    <cellStyle name="Heading 1 3 2 6 3 2 2" xfId="27094"/>
    <cellStyle name="Heading 1 3 2 6 3 3" xfId="27095"/>
    <cellStyle name="Heading 1 3 2 6 4" xfId="27096"/>
    <cellStyle name="Heading 1 3 2 6 4 2" xfId="27097"/>
    <cellStyle name="Heading 1 3 2 6 4 2 2" xfId="27098"/>
    <cellStyle name="Heading 1 3 2 6 4 3" xfId="27099"/>
    <cellStyle name="Heading 1 3 2 6 5" xfId="27100"/>
    <cellStyle name="Heading 1 3 2 6 5 2" xfId="27101"/>
    <cellStyle name="Heading 1 3 2 6 5 2 2" xfId="27102"/>
    <cellStyle name="Heading 1 3 2 6 5 3" xfId="27103"/>
    <cellStyle name="Heading 1 3 2 6 6" xfId="27104"/>
    <cellStyle name="Heading 1 3 2 6 6 2" xfId="27105"/>
    <cellStyle name="Heading 1 3 2 6 6 2 2" xfId="27106"/>
    <cellStyle name="Heading 1 3 2 6 6 3" xfId="27107"/>
    <cellStyle name="Heading 1 3 2 6 7" xfId="27108"/>
    <cellStyle name="Heading 1 3 2 6 7 2" xfId="27109"/>
    <cellStyle name="Heading 1 3 2 6 7 2 2" xfId="27110"/>
    <cellStyle name="Heading 1 3 2 6 7 3" xfId="27111"/>
    <cellStyle name="Heading 1 3 2 6 8" xfId="27112"/>
    <cellStyle name="Heading 1 3 2 6 8 2" xfId="27113"/>
    <cellStyle name="Heading 1 3 2 6 9" xfId="27114"/>
    <cellStyle name="Heading 1 3 2 7" xfId="27115"/>
    <cellStyle name="Heading 1 3 2 7 2" xfId="27116"/>
    <cellStyle name="Heading 1 3 2 7 2 2" xfId="27117"/>
    <cellStyle name="Heading 1 3 2 7 2 2 2" xfId="27118"/>
    <cellStyle name="Heading 1 3 2 7 2 3" xfId="27119"/>
    <cellStyle name="Heading 1 3 2 7 3" xfId="27120"/>
    <cellStyle name="Heading 1 3 2 7 3 2" xfId="27121"/>
    <cellStyle name="Heading 1 3 2 7 3 2 2" xfId="27122"/>
    <cellStyle name="Heading 1 3 2 7 3 3" xfId="27123"/>
    <cellStyle name="Heading 1 3 2 7 4" xfId="27124"/>
    <cellStyle name="Heading 1 3 2 7 4 2" xfId="27125"/>
    <cellStyle name="Heading 1 3 2 7 4 2 2" xfId="27126"/>
    <cellStyle name="Heading 1 3 2 7 4 3" xfId="27127"/>
    <cellStyle name="Heading 1 3 2 7 5" xfId="27128"/>
    <cellStyle name="Heading 1 3 2 7 5 2" xfId="27129"/>
    <cellStyle name="Heading 1 3 2 7 5 2 2" xfId="27130"/>
    <cellStyle name="Heading 1 3 2 7 5 3" xfId="27131"/>
    <cellStyle name="Heading 1 3 2 7 6" xfId="27132"/>
    <cellStyle name="Heading 1 3 2 7 6 2" xfId="27133"/>
    <cellStyle name="Heading 1 3 2 7 6 2 2" xfId="27134"/>
    <cellStyle name="Heading 1 3 2 7 6 3" xfId="27135"/>
    <cellStyle name="Heading 1 3 2 7 7" xfId="27136"/>
    <cellStyle name="Heading 1 3 2 7 7 2" xfId="27137"/>
    <cellStyle name="Heading 1 3 2 7 7 2 2" xfId="27138"/>
    <cellStyle name="Heading 1 3 2 7 7 3" xfId="27139"/>
    <cellStyle name="Heading 1 3 2 7 8" xfId="27140"/>
    <cellStyle name="Heading 1 3 2 7 8 2" xfId="27141"/>
    <cellStyle name="Heading 1 3 2 7 9" xfId="27142"/>
    <cellStyle name="Heading 1 3 2 8" xfId="27143"/>
    <cellStyle name="Heading 1 3 2 8 2" xfId="27144"/>
    <cellStyle name="Heading 1 3 2 8 2 2" xfId="27145"/>
    <cellStyle name="Heading 1 3 2 8 2 2 2" xfId="27146"/>
    <cellStyle name="Heading 1 3 2 8 2 3" xfId="27147"/>
    <cellStyle name="Heading 1 3 2 8 3" xfId="27148"/>
    <cellStyle name="Heading 1 3 2 8 3 2" xfId="27149"/>
    <cellStyle name="Heading 1 3 2 8 3 2 2" xfId="27150"/>
    <cellStyle name="Heading 1 3 2 8 3 3" xfId="27151"/>
    <cellStyle name="Heading 1 3 2 8 4" xfId="27152"/>
    <cellStyle name="Heading 1 3 2 8 4 2" xfId="27153"/>
    <cellStyle name="Heading 1 3 2 8 4 2 2" xfId="27154"/>
    <cellStyle name="Heading 1 3 2 8 4 3" xfId="27155"/>
    <cellStyle name="Heading 1 3 2 8 5" xfId="27156"/>
    <cellStyle name="Heading 1 3 2 8 5 2" xfId="27157"/>
    <cellStyle name="Heading 1 3 2 8 5 2 2" xfId="27158"/>
    <cellStyle name="Heading 1 3 2 8 5 3" xfId="27159"/>
    <cellStyle name="Heading 1 3 2 8 6" xfId="27160"/>
    <cellStyle name="Heading 1 3 2 8 6 2" xfId="27161"/>
    <cellStyle name="Heading 1 3 2 8 6 2 2" xfId="27162"/>
    <cellStyle name="Heading 1 3 2 8 6 3" xfId="27163"/>
    <cellStyle name="Heading 1 3 2 8 7" xfId="27164"/>
    <cellStyle name="Heading 1 3 2 8 7 2" xfId="27165"/>
    <cellStyle name="Heading 1 3 2 8 7 2 2" xfId="27166"/>
    <cellStyle name="Heading 1 3 2 8 7 3" xfId="27167"/>
    <cellStyle name="Heading 1 3 2 8 8" xfId="27168"/>
    <cellStyle name="Heading 1 3 2 8 8 2" xfId="27169"/>
    <cellStyle name="Heading 1 3 2 8 9" xfId="27170"/>
    <cellStyle name="Heading 1 3 2 9" xfId="27171"/>
    <cellStyle name="Heading 1 3 2 9 2" xfId="27172"/>
    <cellStyle name="Heading 1 3 2 9 2 2" xfId="27173"/>
    <cellStyle name="Heading 1 3 2 9 2 2 2" xfId="27174"/>
    <cellStyle name="Heading 1 3 2 9 2 3" xfId="27175"/>
    <cellStyle name="Heading 1 3 2 9 3" xfId="27176"/>
    <cellStyle name="Heading 1 3 2 9 3 2" xfId="27177"/>
    <cellStyle name="Heading 1 3 2 9 3 2 2" xfId="27178"/>
    <cellStyle name="Heading 1 3 2 9 3 3" xfId="27179"/>
    <cellStyle name="Heading 1 3 2 9 4" xfId="27180"/>
    <cellStyle name="Heading 1 3 2 9 4 2" xfId="27181"/>
    <cellStyle name="Heading 1 3 2 9 4 2 2" xfId="27182"/>
    <cellStyle name="Heading 1 3 2 9 4 3" xfId="27183"/>
    <cellStyle name="Heading 1 3 2 9 5" xfId="27184"/>
    <cellStyle name="Heading 1 3 2 9 5 2" xfId="27185"/>
    <cellStyle name="Heading 1 3 2 9 5 2 2" xfId="27186"/>
    <cellStyle name="Heading 1 3 2 9 5 3" xfId="27187"/>
    <cellStyle name="Heading 1 3 2 9 6" xfId="27188"/>
    <cellStyle name="Heading 1 3 2 9 6 2" xfId="27189"/>
    <cellStyle name="Heading 1 3 2 9 6 2 2" xfId="27190"/>
    <cellStyle name="Heading 1 3 2 9 6 3" xfId="27191"/>
    <cellStyle name="Heading 1 3 2 9 7" xfId="27192"/>
    <cellStyle name="Heading 1 3 2 9 7 2" xfId="27193"/>
    <cellStyle name="Heading 1 3 2 9 7 2 2" xfId="27194"/>
    <cellStyle name="Heading 1 3 2 9 7 3" xfId="27195"/>
    <cellStyle name="Heading 1 3 2 9 8" xfId="27196"/>
    <cellStyle name="Heading 1 3 2 9 8 2" xfId="27197"/>
    <cellStyle name="Heading 1 3 2 9 9" xfId="27198"/>
    <cellStyle name="Heading 1 3 3" xfId="27199"/>
    <cellStyle name="Heading 1 3 4" xfId="27200"/>
    <cellStyle name="Heading 1 4" xfId="27201"/>
    <cellStyle name="Heading 1 4 2" xfId="27202"/>
    <cellStyle name="Heading 1 5" xfId="27203"/>
    <cellStyle name="Heading 1 6" xfId="27204"/>
    <cellStyle name="Heading 1 6 2" xfId="27205"/>
    <cellStyle name="Heading 1 7" xfId="27206"/>
    <cellStyle name="Heading 1 8" xfId="27207"/>
    <cellStyle name="Heading 1 9" xfId="27208"/>
    <cellStyle name="Heading 2 10" xfId="27209"/>
    <cellStyle name="Heading 2 2" xfId="27210"/>
    <cellStyle name="Heading 2 2 10" xfId="27211"/>
    <cellStyle name="Heading 2 2 10 10" xfId="27212"/>
    <cellStyle name="Heading 2 2 10 10 2" xfId="27213"/>
    <cellStyle name="Heading 2 2 10 10 2 2" xfId="27214"/>
    <cellStyle name="Heading 2 2 10 10 3" xfId="27215"/>
    <cellStyle name="Heading 2 2 10 11" xfId="27216"/>
    <cellStyle name="Heading 2 2 10 11 2" xfId="27217"/>
    <cellStyle name="Heading 2 2 10 11 2 2" xfId="27218"/>
    <cellStyle name="Heading 2 2 10 11 3" xfId="27219"/>
    <cellStyle name="Heading 2 2 10 12" xfId="27220"/>
    <cellStyle name="Heading 2 2 10 12 2" xfId="27221"/>
    <cellStyle name="Heading 2 2 10 12 2 2" xfId="27222"/>
    <cellStyle name="Heading 2 2 10 12 3" xfId="27223"/>
    <cellStyle name="Heading 2 2 10 13" xfId="27224"/>
    <cellStyle name="Heading 2 2 10 13 2" xfId="27225"/>
    <cellStyle name="Heading 2 2 10 13 2 2" xfId="27226"/>
    <cellStyle name="Heading 2 2 10 13 3" xfId="27227"/>
    <cellStyle name="Heading 2 2 10 14" xfId="27228"/>
    <cellStyle name="Heading 2 2 10 14 2" xfId="27229"/>
    <cellStyle name="Heading 2 2 10 14 2 2" xfId="27230"/>
    <cellStyle name="Heading 2 2 10 14 3" xfId="27231"/>
    <cellStyle name="Heading 2 2 10 15" xfId="27232"/>
    <cellStyle name="Heading 2 2 10 15 2" xfId="27233"/>
    <cellStyle name="Heading 2 2 10 15 2 2" xfId="27234"/>
    <cellStyle name="Heading 2 2 10 15 3" xfId="27235"/>
    <cellStyle name="Heading 2 2 10 16" xfId="27236"/>
    <cellStyle name="Heading 2 2 10 16 2" xfId="27237"/>
    <cellStyle name="Heading 2 2 10 16 2 2" xfId="27238"/>
    <cellStyle name="Heading 2 2 10 16 3" xfId="27239"/>
    <cellStyle name="Heading 2 2 10 17" xfId="27240"/>
    <cellStyle name="Heading 2 2 10 17 2" xfId="27241"/>
    <cellStyle name="Heading 2 2 10 17 2 2" xfId="27242"/>
    <cellStyle name="Heading 2 2 10 17 3" xfId="27243"/>
    <cellStyle name="Heading 2 2 10 18" xfId="27244"/>
    <cellStyle name="Heading 2 2 10 18 2" xfId="27245"/>
    <cellStyle name="Heading 2 2 10 18 2 2" xfId="27246"/>
    <cellStyle name="Heading 2 2 10 18 3" xfId="27247"/>
    <cellStyle name="Heading 2 2 10 19" xfId="27248"/>
    <cellStyle name="Heading 2 2 10 19 2" xfId="27249"/>
    <cellStyle name="Heading 2 2 10 19 2 2" xfId="27250"/>
    <cellStyle name="Heading 2 2 10 19 3" xfId="27251"/>
    <cellStyle name="Heading 2 2 10 2" xfId="27252"/>
    <cellStyle name="Heading 2 2 10 2 10" xfId="27253"/>
    <cellStyle name="Heading 2 2 10 2 10 2" xfId="27254"/>
    <cellStyle name="Heading 2 2 10 2 10 2 2" xfId="27255"/>
    <cellStyle name="Heading 2 2 10 2 10 3" xfId="27256"/>
    <cellStyle name="Heading 2 2 10 2 11" xfId="27257"/>
    <cellStyle name="Heading 2 2 10 2 11 2" xfId="27258"/>
    <cellStyle name="Heading 2 2 10 2 11 2 2" xfId="27259"/>
    <cellStyle name="Heading 2 2 10 2 11 3" xfId="27260"/>
    <cellStyle name="Heading 2 2 10 2 12" xfId="27261"/>
    <cellStyle name="Heading 2 2 10 2 12 2" xfId="27262"/>
    <cellStyle name="Heading 2 2 10 2 12 2 2" xfId="27263"/>
    <cellStyle name="Heading 2 2 10 2 12 3" xfId="27264"/>
    <cellStyle name="Heading 2 2 10 2 13" xfId="27265"/>
    <cellStyle name="Heading 2 2 10 2 13 2" xfId="27266"/>
    <cellStyle name="Heading 2 2 10 2 13 2 2" xfId="27267"/>
    <cellStyle name="Heading 2 2 10 2 13 3" xfId="27268"/>
    <cellStyle name="Heading 2 2 10 2 14" xfId="27269"/>
    <cellStyle name="Heading 2 2 10 2 14 2" xfId="27270"/>
    <cellStyle name="Heading 2 2 10 2 14 2 2" xfId="27271"/>
    <cellStyle name="Heading 2 2 10 2 14 3" xfId="27272"/>
    <cellStyle name="Heading 2 2 10 2 15" xfId="27273"/>
    <cellStyle name="Heading 2 2 10 2 15 2" xfId="27274"/>
    <cellStyle name="Heading 2 2 10 2 15 2 2" xfId="27275"/>
    <cellStyle name="Heading 2 2 10 2 15 3" xfId="27276"/>
    <cellStyle name="Heading 2 2 10 2 16" xfId="27277"/>
    <cellStyle name="Heading 2 2 10 2 16 2" xfId="27278"/>
    <cellStyle name="Heading 2 2 10 2 16 2 2" xfId="27279"/>
    <cellStyle name="Heading 2 2 10 2 16 3" xfId="27280"/>
    <cellStyle name="Heading 2 2 10 2 17" xfId="27281"/>
    <cellStyle name="Heading 2 2 10 2 17 2" xfId="27282"/>
    <cellStyle name="Heading 2 2 10 2 17 2 2" xfId="27283"/>
    <cellStyle name="Heading 2 2 10 2 17 3" xfId="27284"/>
    <cellStyle name="Heading 2 2 10 2 18" xfId="27285"/>
    <cellStyle name="Heading 2 2 10 2 18 2" xfId="27286"/>
    <cellStyle name="Heading 2 2 10 2 18 2 2" xfId="27287"/>
    <cellStyle name="Heading 2 2 10 2 18 3" xfId="27288"/>
    <cellStyle name="Heading 2 2 10 2 19" xfId="27289"/>
    <cellStyle name="Heading 2 2 10 2 19 2" xfId="27290"/>
    <cellStyle name="Heading 2 2 10 2 2" xfId="27291"/>
    <cellStyle name="Heading 2 2 10 2 2 2" xfId="27292"/>
    <cellStyle name="Heading 2 2 10 2 2 2 2" xfId="27293"/>
    <cellStyle name="Heading 2 2 10 2 2 2 2 2" xfId="27294"/>
    <cellStyle name="Heading 2 2 10 2 2 2 3" xfId="27295"/>
    <cellStyle name="Heading 2 2 10 2 2 3" xfId="27296"/>
    <cellStyle name="Heading 2 2 10 2 2 3 2" xfId="27297"/>
    <cellStyle name="Heading 2 2 10 2 2 3 2 2" xfId="27298"/>
    <cellStyle name="Heading 2 2 10 2 2 3 3" xfId="27299"/>
    <cellStyle name="Heading 2 2 10 2 2 4" xfId="27300"/>
    <cellStyle name="Heading 2 2 10 2 2 4 2" xfId="27301"/>
    <cellStyle name="Heading 2 2 10 2 2 4 2 2" xfId="27302"/>
    <cellStyle name="Heading 2 2 10 2 2 4 3" xfId="27303"/>
    <cellStyle name="Heading 2 2 10 2 2 5" xfId="27304"/>
    <cellStyle name="Heading 2 2 10 2 2 5 2" xfId="27305"/>
    <cellStyle name="Heading 2 2 10 2 2 5 2 2" xfId="27306"/>
    <cellStyle name="Heading 2 2 10 2 2 5 3" xfId="27307"/>
    <cellStyle name="Heading 2 2 10 2 2 6" xfId="27308"/>
    <cellStyle name="Heading 2 2 10 2 2 6 2" xfId="27309"/>
    <cellStyle name="Heading 2 2 10 2 2 6 2 2" xfId="27310"/>
    <cellStyle name="Heading 2 2 10 2 2 6 3" xfId="27311"/>
    <cellStyle name="Heading 2 2 10 2 2 7" xfId="27312"/>
    <cellStyle name="Heading 2 2 10 2 2 7 2" xfId="27313"/>
    <cellStyle name="Heading 2 2 10 2 2 7 2 2" xfId="27314"/>
    <cellStyle name="Heading 2 2 10 2 2 7 3" xfId="27315"/>
    <cellStyle name="Heading 2 2 10 2 2 8" xfId="27316"/>
    <cellStyle name="Heading 2 2 10 2 2 8 2" xfId="27317"/>
    <cellStyle name="Heading 2 2 10 2 2 9" xfId="27318"/>
    <cellStyle name="Heading 2 2 10 2 20" xfId="27319"/>
    <cellStyle name="Heading 2 2 10 2 20 2" xfId="27320"/>
    <cellStyle name="Heading 2 2 10 2 21" xfId="27321"/>
    <cellStyle name="Heading 2 2 10 2 21 2" xfId="27322"/>
    <cellStyle name="Heading 2 2 10 2 22" xfId="27323"/>
    <cellStyle name="Heading 2 2 10 2 3" xfId="27324"/>
    <cellStyle name="Heading 2 2 10 2 3 2" xfId="27325"/>
    <cellStyle name="Heading 2 2 10 2 3 2 2" xfId="27326"/>
    <cellStyle name="Heading 2 2 10 2 3 2 2 2" xfId="27327"/>
    <cellStyle name="Heading 2 2 10 2 3 2 3" xfId="27328"/>
    <cellStyle name="Heading 2 2 10 2 3 3" xfId="27329"/>
    <cellStyle name="Heading 2 2 10 2 3 3 2" xfId="27330"/>
    <cellStyle name="Heading 2 2 10 2 3 3 2 2" xfId="27331"/>
    <cellStyle name="Heading 2 2 10 2 3 3 3" xfId="27332"/>
    <cellStyle name="Heading 2 2 10 2 3 4" xfId="27333"/>
    <cellStyle name="Heading 2 2 10 2 3 4 2" xfId="27334"/>
    <cellStyle name="Heading 2 2 10 2 3 4 2 2" xfId="27335"/>
    <cellStyle name="Heading 2 2 10 2 3 4 3" xfId="27336"/>
    <cellStyle name="Heading 2 2 10 2 3 5" xfId="27337"/>
    <cellStyle name="Heading 2 2 10 2 3 5 2" xfId="27338"/>
    <cellStyle name="Heading 2 2 10 2 3 5 2 2" xfId="27339"/>
    <cellStyle name="Heading 2 2 10 2 3 5 3" xfId="27340"/>
    <cellStyle name="Heading 2 2 10 2 3 6" xfId="27341"/>
    <cellStyle name="Heading 2 2 10 2 3 6 2" xfId="27342"/>
    <cellStyle name="Heading 2 2 10 2 3 6 2 2" xfId="27343"/>
    <cellStyle name="Heading 2 2 10 2 3 6 3" xfId="27344"/>
    <cellStyle name="Heading 2 2 10 2 3 7" xfId="27345"/>
    <cellStyle name="Heading 2 2 10 2 3 7 2" xfId="27346"/>
    <cellStyle name="Heading 2 2 10 2 3 7 2 2" xfId="27347"/>
    <cellStyle name="Heading 2 2 10 2 3 7 3" xfId="27348"/>
    <cellStyle name="Heading 2 2 10 2 3 8" xfId="27349"/>
    <cellStyle name="Heading 2 2 10 2 3 8 2" xfId="27350"/>
    <cellStyle name="Heading 2 2 10 2 3 9" xfId="27351"/>
    <cellStyle name="Heading 2 2 10 2 4" xfId="27352"/>
    <cellStyle name="Heading 2 2 10 2 4 2" xfId="27353"/>
    <cellStyle name="Heading 2 2 10 2 4 2 2" xfId="27354"/>
    <cellStyle name="Heading 2 2 10 2 4 2 2 2" xfId="27355"/>
    <cellStyle name="Heading 2 2 10 2 4 2 3" xfId="27356"/>
    <cellStyle name="Heading 2 2 10 2 4 3" xfId="27357"/>
    <cellStyle name="Heading 2 2 10 2 4 3 2" xfId="27358"/>
    <cellStyle name="Heading 2 2 10 2 4 3 2 2" xfId="27359"/>
    <cellStyle name="Heading 2 2 10 2 4 3 3" xfId="27360"/>
    <cellStyle name="Heading 2 2 10 2 4 4" xfId="27361"/>
    <cellStyle name="Heading 2 2 10 2 4 4 2" xfId="27362"/>
    <cellStyle name="Heading 2 2 10 2 4 4 2 2" xfId="27363"/>
    <cellStyle name="Heading 2 2 10 2 4 4 3" xfId="27364"/>
    <cellStyle name="Heading 2 2 10 2 4 5" xfId="27365"/>
    <cellStyle name="Heading 2 2 10 2 4 5 2" xfId="27366"/>
    <cellStyle name="Heading 2 2 10 2 4 5 2 2" xfId="27367"/>
    <cellStyle name="Heading 2 2 10 2 4 5 3" xfId="27368"/>
    <cellStyle name="Heading 2 2 10 2 4 6" xfId="27369"/>
    <cellStyle name="Heading 2 2 10 2 4 6 2" xfId="27370"/>
    <cellStyle name="Heading 2 2 10 2 4 6 2 2" xfId="27371"/>
    <cellStyle name="Heading 2 2 10 2 4 6 3" xfId="27372"/>
    <cellStyle name="Heading 2 2 10 2 4 7" xfId="27373"/>
    <cellStyle name="Heading 2 2 10 2 4 7 2" xfId="27374"/>
    <cellStyle name="Heading 2 2 10 2 4 7 2 2" xfId="27375"/>
    <cellStyle name="Heading 2 2 10 2 4 7 3" xfId="27376"/>
    <cellStyle name="Heading 2 2 10 2 4 8" xfId="27377"/>
    <cellStyle name="Heading 2 2 10 2 4 8 2" xfId="27378"/>
    <cellStyle name="Heading 2 2 10 2 4 9" xfId="27379"/>
    <cellStyle name="Heading 2 2 10 2 5" xfId="27380"/>
    <cellStyle name="Heading 2 2 10 2 5 2" xfId="27381"/>
    <cellStyle name="Heading 2 2 10 2 5 2 2" xfId="27382"/>
    <cellStyle name="Heading 2 2 10 2 5 2 2 2" xfId="27383"/>
    <cellStyle name="Heading 2 2 10 2 5 2 3" xfId="27384"/>
    <cellStyle name="Heading 2 2 10 2 5 3" xfId="27385"/>
    <cellStyle name="Heading 2 2 10 2 5 3 2" xfId="27386"/>
    <cellStyle name="Heading 2 2 10 2 5 3 2 2" xfId="27387"/>
    <cellStyle name="Heading 2 2 10 2 5 3 3" xfId="27388"/>
    <cellStyle name="Heading 2 2 10 2 5 4" xfId="27389"/>
    <cellStyle name="Heading 2 2 10 2 5 4 2" xfId="27390"/>
    <cellStyle name="Heading 2 2 10 2 5 4 2 2" xfId="27391"/>
    <cellStyle name="Heading 2 2 10 2 5 4 3" xfId="27392"/>
    <cellStyle name="Heading 2 2 10 2 5 5" xfId="27393"/>
    <cellStyle name="Heading 2 2 10 2 5 5 2" xfId="27394"/>
    <cellStyle name="Heading 2 2 10 2 5 5 2 2" xfId="27395"/>
    <cellStyle name="Heading 2 2 10 2 5 5 3" xfId="27396"/>
    <cellStyle name="Heading 2 2 10 2 5 6" xfId="27397"/>
    <cellStyle name="Heading 2 2 10 2 5 6 2" xfId="27398"/>
    <cellStyle name="Heading 2 2 10 2 5 6 2 2" xfId="27399"/>
    <cellStyle name="Heading 2 2 10 2 5 6 3" xfId="27400"/>
    <cellStyle name="Heading 2 2 10 2 5 7" xfId="27401"/>
    <cellStyle name="Heading 2 2 10 2 5 7 2" xfId="27402"/>
    <cellStyle name="Heading 2 2 10 2 5 7 2 2" xfId="27403"/>
    <cellStyle name="Heading 2 2 10 2 5 7 3" xfId="27404"/>
    <cellStyle name="Heading 2 2 10 2 5 8" xfId="27405"/>
    <cellStyle name="Heading 2 2 10 2 5 8 2" xfId="27406"/>
    <cellStyle name="Heading 2 2 10 2 5 9" xfId="27407"/>
    <cellStyle name="Heading 2 2 10 2 6" xfId="27408"/>
    <cellStyle name="Heading 2 2 10 2 6 2" xfId="27409"/>
    <cellStyle name="Heading 2 2 10 2 6 2 2" xfId="27410"/>
    <cellStyle name="Heading 2 2 10 2 6 2 2 2" xfId="27411"/>
    <cellStyle name="Heading 2 2 10 2 6 2 3" xfId="27412"/>
    <cellStyle name="Heading 2 2 10 2 6 3" xfId="27413"/>
    <cellStyle name="Heading 2 2 10 2 6 3 2" xfId="27414"/>
    <cellStyle name="Heading 2 2 10 2 6 3 2 2" xfId="27415"/>
    <cellStyle name="Heading 2 2 10 2 6 3 3" xfId="27416"/>
    <cellStyle name="Heading 2 2 10 2 6 4" xfId="27417"/>
    <cellStyle name="Heading 2 2 10 2 6 4 2" xfId="27418"/>
    <cellStyle name="Heading 2 2 10 2 6 4 2 2" xfId="27419"/>
    <cellStyle name="Heading 2 2 10 2 6 4 3" xfId="27420"/>
    <cellStyle name="Heading 2 2 10 2 6 5" xfId="27421"/>
    <cellStyle name="Heading 2 2 10 2 6 5 2" xfId="27422"/>
    <cellStyle name="Heading 2 2 10 2 6 5 2 2" xfId="27423"/>
    <cellStyle name="Heading 2 2 10 2 6 5 3" xfId="27424"/>
    <cellStyle name="Heading 2 2 10 2 6 6" xfId="27425"/>
    <cellStyle name="Heading 2 2 10 2 6 6 2" xfId="27426"/>
    <cellStyle name="Heading 2 2 10 2 6 6 2 2" xfId="27427"/>
    <cellStyle name="Heading 2 2 10 2 6 6 3" xfId="27428"/>
    <cellStyle name="Heading 2 2 10 2 6 7" xfId="27429"/>
    <cellStyle name="Heading 2 2 10 2 6 7 2" xfId="27430"/>
    <cellStyle name="Heading 2 2 10 2 6 7 2 2" xfId="27431"/>
    <cellStyle name="Heading 2 2 10 2 6 7 3" xfId="27432"/>
    <cellStyle name="Heading 2 2 10 2 6 8" xfId="27433"/>
    <cellStyle name="Heading 2 2 10 2 6 8 2" xfId="27434"/>
    <cellStyle name="Heading 2 2 10 2 6 9" xfId="27435"/>
    <cellStyle name="Heading 2 2 10 2 7" xfId="27436"/>
    <cellStyle name="Heading 2 2 10 2 7 2" xfId="27437"/>
    <cellStyle name="Heading 2 2 10 2 7 2 2" xfId="27438"/>
    <cellStyle name="Heading 2 2 10 2 7 2 2 2" xfId="27439"/>
    <cellStyle name="Heading 2 2 10 2 7 2 3" xfId="27440"/>
    <cellStyle name="Heading 2 2 10 2 7 3" xfId="27441"/>
    <cellStyle name="Heading 2 2 10 2 7 3 2" xfId="27442"/>
    <cellStyle name="Heading 2 2 10 2 7 3 2 2" xfId="27443"/>
    <cellStyle name="Heading 2 2 10 2 7 3 3" xfId="27444"/>
    <cellStyle name="Heading 2 2 10 2 7 4" xfId="27445"/>
    <cellStyle name="Heading 2 2 10 2 7 4 2" xfId="27446"/>
    <cellStyle name="Heading 2 2 10 2 7 4 2 2" xfId="27447"/>
    <cellStyle name="Heading 2 2 10 2 7 4 3" xfId="27448"/>
    <cellStyle name="Heading 2 2 10 2 7 5" xfId="27449"/>
    <cellStyle name="Heading 2 2 10 2 7 5 2" xfId="27450"/>
    <cellStyle name="Heading 2 2 10 2 7 5 2 2" xfId="27451"/>
    <cellStyle name="Heading 2 2 10 2 7 5 3" xfId="27452"/>
    <cellStyle name="Heading 2 2 10 2 7 6" xfId="27453"/>
    <cellStyle name="Heading 2 2 10 2 7 6 2" xfId="27454"/>
    <cellStyle name="Heading 2 2 10 2 7 6 2 2" xfId="27455"/>
    <cellStyle name="Heading 2 2 10 2 7 6 3" xfId="27456"/>
    <cellStyle name="Heading 2 2 10 2 7 7" xfId="27457"/>
    <cellStyle name="Heading 2 2 10 2 7 7 2" xfId="27458"/>
    <cellStyle name="Heading 2 2 10 2 7 7 2 2" xfId="27459"/>
    <cellStyle name="Heading 2 2 10 2 7 7 3" xfId="27460"/>
    <cellStyle name="Heading 2 2 10 2 7 8" xfId="27461"/>
    <cellStyle name="Heading 2 2 10 2 7 8 2" xfId="27462"/>
    <cellStyle name="Heading 2 2 10 2 7 9" xfId="27463"/>
    <cellStyle name="Heading 2 2 10 2 8" xfId="27464"/>
    <cellStyle name="Heading 2 2 10 2 8 2" xfId="27465"/>
    <cellStyle name="Heading 2 2 10 2 8 2 2" xfId="27466"/>
    <cellStyle name="Heading 2 2 10 2 8 2 2 2" xfId="27467"/>
    <cellStyle name="Heading 2 2 10 2 8 2 3" xfId="27468"/>
    <cellStyle name="Heading 2 2 10 2 8 3" xfId="27469"/>
    <cellStyle name="Heading 2 2 10 2 8 3 2" xfId="27470"/>
    <cellStyle name="Heading 2 2 10 2 8 3 2 2" xfId="27471"/>
    <cellStyle name="Heading 2 2 10 2 8 3 3" xfId="27472"/>
    <cellStyle name="Heading 2 2 10 2 8 4" xfId="27473"/>
    <cellStyle name="Heading 2 2 10 2 8 4 2" xfId="27474"/>
    <cellStyle name="Heading 2 2 10 2 8 4 2 2" xfId="27475"/>
    <cellStyle name="Heading 2 2 10 2 8 4 3" xfId="27476"/>
    <cellStyle name="Heading 2 2 10 2 8 5" xfId="27477"/>
    <cellStyle name="Heading 2 2 10 2 8 5 2" xfId="27478"/>
    <cellStyle name="Heading 2 2 10 2 8 5 2 2" xfId="27479"/>
    <cellStyle name="Heading 2 2 10 2 8 5 3" xfId="27480"/>
    <cellStyle name="Heading 2 2 10 2 8 6" xfId="27481"/>
    <cellStyle name="Heading 2 2 10 2 8 6 2" xfId="27482"/>
    <cellStyle name="Heading 2 2 10 2 8 6 2 2" xfId="27483"/>
    <cellStyle name="Heading 2 2 10 2 8 6 3" xfId="27484"/>
    <cellStyle name="Heading 2 2 10 2 8 7" xfId="27485"/>
    <cellStyle name="Heading 2 2 10 2 8 7 2" xfId="27486"/>
    <cellStyle name="Heading 2 2 10 2 8 7 2 2" xfId="27487"/>
    <cellStyle name="Heading 2 2 10 2 8 7 3" xfId="27488"/>
    <cellStyle name="Heading 2 2 10 2 8 8" xfId="27489"/>
    <cellStyle name="Heading 2 2 10 2 8 8 2" xfId="27490"/>
    <cellStyle name="Heading 2 2 10 2 8 9" xfId="27491"/>
    <cellStyle name="Heading 2 2 10 2 9" xfId="27492"/>
    <cellStyle name="Heading 2 2 10 2 9 2" xfId="27493"/>
    <cellStyle name="Heading 2 2 10 2 9 2 2" xfId="27494"/>
    <cellStyle name="Heading 2 2 10 2 9 3" xfId="27495"/>
    <cellStyle name="Heading 2 2 10 20" xfId="27496"/>
    <cellStyle name="Heading 2 2 10 20 2" xfId="27497"/>
    <cellStyle name="Heading 2 2 10 21" xfId="27498"/>
    <cellStyle name="Heading 2 2 10 21 2" xfId="27499"/>
    <cellStyle name="Heading 2 2 10 22" xfId="27500"/>
    <cellStyle name="Heading 2 2 10 22 2" xfId="27501"/>
    <cellStyle name="Heading 2 2 10 23" xfId="27502"/>
    <cellStyle name="Heading 2 2 10 3" xfId="27503"/>
    <cellStyle name="Heading 2 2 10 3 2" xfId="27504"/>
    <cellStyle name="Heading 2 2 10 3 2 2" xfId="27505"/>
    <cellStyle name="Heading 2 2 10 3 2 2 2" xfId="27506"/>
    <cellStyle name="Heading 2 2 10 3 2 3" xfId="27507"/>
    <cellStyle name="Heading 2 2 10 3 3" xfId="27508"/>
    <cellStyle name="Heading 2 2 10 3 3 2" xfId="27509"/>
    <cellStyle name="Heading 2 2 10 3 3 2 2" xfId="27510"/>
    <cellStyle name="Heading 2 2 10 3 3 3" xfId="27511"/>
    <cellStyle name="Heading 2 2 10 3 4" xfId="27512"/>
    <cellStyle name="Heading 2 2 10 3 4 2" xfId="27513"/>
    <cellStyle name="Heading 2 2 10 3 4 2 2" xfId="27514"/>
    <cellStyle name="Heading 2 2 10 3 4 3" xfId="27515"/>
    <cellStyle name="Heading 2 2 10 3 5" xfId="27516"/>
    <cellStyle name="Heading 2 2 10 3 5 2" xfId="27517"/>
    <cellStyle name="Heading 2 2 10 3 5 2 2" xfId="27518"/>
    <cellStyle name="Heading 2 2 10 3 5 3" xfId="27519"/>
    <cellStyle name="Heading 2 2 10 3 6" xfId="27520"/>
    <cellStyle name="Heading 2 2 10 3 6 2" xfId="27521"/>
    <cellStyle name="Heading 2 2 10 3 6 2 2" xfId="27522"/>
    <cellStyle name="Heading 2 2 10 3 6 3" xfId="27523"/>
    <cellStyle name="Heading 2 2 10 3 7" xfId="27524"/>
    <cellStyle name="Heading 2 2 10 3 7 2" xfId="27525"/>
    <cellStyle name="Heading 2 2 10 3 7 2 2" xfId="27526"/>
    <cellStyle name="Heading 2 2 10 3 7 3" xfId="27527"/>
    <cellStyle name="Heading 2 2 10 3 8" xfId="27528"/>
    <cellStyle name="Heading 2 2 10 3 8 2" xfId="27529"/>
    <cellStyle name="Heading 2 2 10 3 9" xfId="27530"/>
    <cellStyle name="Heading 2 2 10 4" xfId="27531"/>
    <cellStyle name="Heading 2 2 10 4 2" xfId="27532"/>
    <cellStyle name="Heading 2 2 10 4 2 2" xfId="27533"/>
    <cellStyle name="Heading 2 2 10 4 2 2 2" xfId="27534"/>
    <cellStyle name="Heading 2 2 10 4 2 3" xfId="27535"/>
    <cellStyle name="Heading 2 2 10 4 3" xfId="27536"/>
    <cellStyle name="Heading 2 2 10 4 3 2" xfId="27537"/>
    <cellStyle name="Heading 2 2 10 4 3 2 2" xfId="27538"/>
    <cellStyle name="Heading 2 2 10 4 3 3" xfId="27539"/>
    <cellStyle name="Heading 2 2 10 4 4" xfId="27540"/>
    <cellStyle name="Heading 2 2 10 4 4 2" xfId="27541"/>
    <cellStyle name="Heading 2 2 10 4 4 2 2" xfId="27542"/>
    <cellStyle name="Heading 2 2 10 4 4 3" xfId="27543"/>
    <cellStyle name="Heading 2 2 10 4 5" xfId="27544"/>
    <cellStyle name="Heading 2 2 10 4 5 2" xfId="27545"/>
    <cellStyle name="Heading 2 2 10 4 5 2 2" xfId="27546"/>
    <cellStyle name="Heading 2 2 10 4 5 3" xfId="27547"/>
    <cellStyle name="Heading 2 2 10 4 6" xfId="27548"/>
    <cellStyle name="Heading 2 2 10 4 6 2" xfId="27549"/>
    <cellStyle name="Heading 2 2 10 4 6 2 2" xfId="27550"/>
    <cellStyle name="Heading 2 2 10 4 6 3" xfId="27551"/>
    <cellStyle name="Heading 2 2 10 4 7" xfId="27552"/>
    <cellStyle name="Heading 2 2 10 4 7 2" xfId="27553"/>
    <cellStyle name="Heading 2 2 10 4 7 2 2" xfId="27554"/>
    <cellStyle name="Heading 2 2 10 4 7 3" xfId="27555"/>
    <cellStyle name="Heading 2 2 10 4 8" xfId="27556"/>
    <cellStyle name="Heading 2 2 10 4 8 2" xfId="27557"/>
    <cellStyle name="Heading 2 2 10 4 9" xfId="27558"/>
    <cellStyle name="Heading 2 2 10 5" xfId="27559"/>
    <cellStyle name="Heading 2 2 10 5 2" xfId="27560"/>
    <cellStyle name="Heading 2 2 10 5 2 2" xfId="27561"/>
    <cellStyle name="Heading 2 2 10 5 2 2 2" xfId="27562"/>
    <cellStyle name="Heading 2 2 10 5 2 3" xfId="27563"/>
    <cellStyle name="Heading 2 2 10 5 3" xfId="27564"/>
    <cellStyle name="Heading 2 2 10 5 3 2" xfId="27565"/>
    <cellStyle name="Heading 2 2 10 5 3 2 2" xfId="27566"/>
    <cellStyle name="Heading 2 2 10 5 3 3" xfId="27567"/>
    <cellStyle name="Heading 2 2 10 5 4" xfId="27568"/>
    <cellStyle name="Heading 2 2 10 5 4 2" xfId="27569"/>
    <cellStyle name="Heading 2 2 10 5 4 2 2" xfId="27570"/>
    <cellStyle name="Heading 2 2 10 5 4 3" xfId="27571"/>
    <cellStyle name="Heading 2 2 10 5 5" xfId="27572"/>
    <cellStyle name="Heading 2 2 10 5 5 2" xfId="27573"/>
    <cellStyle name="Heading 2 2 10 5 5 2 2" xfId="27574"/>
    <cellStyle name="Heading 2 2 10 5 5 3" xfId="27575"/>
    <cellStyle name="Heading 2 2 10 5 6" xfId="27576"/>
    <cellStyle name="Heading 2 2 10 5 6 2" xfId="27577"/>
    <cellStyle name="Heading 2 2 10 5 6 2 2" xfId="27578"/>
    <cellStyle name="Heading 2 2 10 5 6 3" xfId="27579"/>
    <cellStyle name="Heading 2 2 10 5 7" xfId="27580"/>
    <cellStyle name="Heading 2 2 10 5 7 2" xfId="27581"/>
    <cellStyle name="Heading 2 2 10 5 7 2 2" xfId="27582"/>
    <cellStyle name="Heading 2 2 10 5 7 3" xfId="27583"/>
    <cellStyle name="Heading 2 2 10 5 8" xfId="27584"/>
    <cellStyle name="Heading 2 2 10 5 8 2" xfId="27585"/>
    <cellStyle name="Heading 2 2 10 5 9" xfId="27586"/>
    <cellStyle name="Heading 2 2 10 6" xfId="27587"/>
    <cellStyle name="Heading 2 2 10 6 2" xfId="27588"/>
    <cellStyle name="Heading 2 2 10 6 2 2" xfId="27589"/>
    <cellStyle name="Heading 2 2 10 6 2 2 2" xfId="27590"/>
    <cellStyle name="Heading 2 2 10 6 2 3" xfId="27591"/>
    <cellStyle name="Heading 2 2 10 6 3" xfId="27592"/>
    <cellStyle name="Heading 2 2 10 6 3 2" xfId="27593"/>
    <cellStyle name="Heading 2 2 10 6 3 2 2" xfId="27594"/>
    <cellStyle name="Heading 2 2 10 6 3 3" xfId="27595"/>
    <cellStyle name="Heading 2 2 10 6 4" xfId="27596"/>
    <cellStyle name="Heading 2 2 10 6 4 2" xfId="27597"/>
    <cellStyle name="Heading 2 2 10 6 4 2 2" xfId="27598"/>
    <cellStyle name="Heading 2 2 10 6 4 3" xfId="27599"/>
    <cellStyle name="Heading 2 2 10 6 5" xfId="27600"/>
    <cellStyle name="Heading 2 2 10 6 5 2" xfId="27601"/>
    <cellStyle name="Heading 2 2 10 6 5 2 2" xfId="27602"/>
    <cellStyle name="Heading 2 2 10 6 5 3" xfId="27603"/>
    <cellStyle name="Heading 2 2 10 6 6" xfId="27604"/>
    <cellStyle name="Heading 2 2 10 6 6 2" xfId="27605"/>
    <cellStyle name="Heading 2 2 10 6 6 2 2" xfId="27606"/>
    <cellStyle name="Heading 2 2 10 6 6 3" xfId="27607"/>
    <cellStyle name="Heading 2 2 10 6 7" xfId="27608"/>
    <cellStyle name="Heading 2 2 10 6 7 2" xfId="27609"/>
    <cellStyle name="Heading 2 2 10 6 7 2 2" xfId="27610"/>
    <cellStyle name="Heading 2 2 10 6 7 3" xfId="27611"/>
    <cellStyle name="Heading 2 2 10 6 8" xfId="27612"/>
    <cellStyle name="Heading 2 2 10 6 8 2" xfId="27613"/>
    <cellStyle name="Heading 2 2 10 6 9" xfId="27614"/>
    <cellStyle name="Heading 2 2 10 7" xfId="27615"/>
    <cellStyle name="Heading 2 2 10 7 2" xfId="27616"/>
    <cellStyle name="Heading 2 2 10 7 2 2" xfId="27617"/>
    <cellStyle name="Heading 2 2 10 7 2 2 2" xfId="27618"/>
    <cellStyle name="Heading 2 2 10 7 2 3" xfId="27619"/>
    <cellStyle name="Heading 2 2 10 7 3" xfId="27620"/>
    <cellStyle name="Heading 2 2 10 7 3 2" xfId="27621"/>
    <cellStyle name="Heading 2 2 10 7 3 2 2" xfId="27622"/>
    <cellStyle name="Heading 2 2 10 7 3 3" xfId="27623"/>
    <cellStyle name="Heading 2 2 10 7 4" xfId="27624"/>
    <cellStyle name="Heading 2 2 10 7 4 2" xfId="27625"/>
    <cellStyle name="Heading 2 2 10 7 4 2 2" xfId="27626"/>
    <cellStyle name="Heading 2 2 10 7 4 3" xfId="27627"/>
    <cellStyle name="Heading 2 2 10 7 5" xfId="27628"/>
    <cellStyle name="Heading 2 2 10 7 5 2" xfId="27629"/>
    <cellStyle name="Heading 2 2 10 7 5 2 2" xfId="27630"/>
    <cellStyle name="Heading 2 2 10 7 5 3" xfId="27631"/>
    <cellStyle name="Heading 2 2 10 7 6" xfId="27632"/>
    <cellStyle name="Heading 2 2 10 7 6 2" xfId="27633"/>
    <cellStyle name="Heading 2 2 10 7 6 2 2" xfId="27634"/>
    <cellStyle name="Heading 2 2 10 7 6 3" xfId="27635"/>
    <cellStyle name="Heading 2 2 10 7 7" xfId="27636"/>
    <cellStyle name="Heading 2 2 10 7 7 2" xfId="27637"/>
    <cellStyle name="Heading 2 2 10 7 7 2 2" xfId="27638"/>
    <cellStyle name="Heading 2 2 10 7 7 3" xfId="27639"/>
    <cellStyle name="Heading 2 2 10 7 8" xfId="27640"/>
    <cellStyle name="Heading 2 2 10 7 8 2" xfId="27641"/>
    <cellStyle name="Heading 2 2 10 7 9" xfId="27642"/>
    <cellStyle name="Heading 2 2 10 8" xfId="27643"/>
    <cellStyle name="Heading 2 2 10 8 2" xfId="27644"/>
    <cellStyle name="Heading 2 2 10 8 2 2" xfId="27645"/>
    <cellStyle name="Heading 2 2 10 8 2 2 2" xfId="27646"/>
    <cellStyle name="Heading 2 2 10 8 2 3" xfId="27647"/>
    <cellStyle name="Heading 2 2 10 8 3" xfId="27648"/>
    <cellStyle name="Heading 2 2 10 8 3 2" xfId="27649"/>
    <cellStyle name="Heading 2 2 10 8 3 2 2" xfId="27650"/>
    <cellStyle name="Heading 2 2 10 8 3 3" xfId="27651"/>
    <cellStyle name="Heading 2 2 10 8 4" xfId="27652"/>
    <cellStyle name="Heading 2 2 10 8 4 2" xfId="27653"/>
    <cellStyle name="Heading 2 2 10 8 4 2 2" xfId="27654"/>
    <cellStyle name="Heading 2 2 10 8 4 3" xfId="27655"/>
    <cellStyle name="Heading 2 2 10 8 5" xfId="27656"/>
    <cellStyle name="Heading 2 2 10 8 5 2" xfId="27657"/>
    <cellStyle name="Heading 2 2 10 8 5 2 2" xfId="27658"/>
    <cellStyle name="Heading 2 2 10 8 5 3" xfId="27659"/>
    <cellStyle name="Heading 2 2 10 8 6" xfId="27660"/>
    <cellStyle name="Heading 2 2 10 8 6 2" xfId="27661"/>
    <cellStyle name="Heading 2 2 10 8 6 2 2" xfId="27662"/>
    <cellStyle name="Heading 2 2 10 8 6 3" xfId="27663"/>
    <cellStyle name="Heading 2 2 10 8 7" xfId="27664"/>
    <cellStyle name="Heading 2 2 10 8 7 2" xfId="27665"/>
    <cellStyle name="Heading 2 2 10 8 7 2 2" xfId="27666"/>
    <cellStyle name="Heading 2 2 10 8 7 3" xfId="27667"/>
    <cellStyle name="Heading 2 2 10 8 8" xfId="27668"/>
    <cellStyle name="Heading 2 2 10 8 8 2" xfId="27669"/>
    <cellStyle name="Heading 2 2 10 8 9" xfId="27670"/>
    <cellStyle name="Heading 2 2 10 9" xfId="27671"/>
    <cellStyle name="Heading 2 2 10 9 2" xfId="27672"/>
    <cellStyle name="Heading 2 2 10 9 2 2" xfId="27673"/>
    <cellStyle name="Heading 2 2 10 9 2 2 2" xfId="27674"/>
    <cellStyle name="Heading 2 2 10 9 2 3" xfId="27675"/>
    <cellStyle name="Heading 2 2 10 9 3" xfId="27676"/>
    <cellStyle name="Heading 2 2 10 9 3 2" xfId="27677"/>
    <cellStyle name="Heading 2 2 10 9 3 2 2" xfId="27678"/>
    <cellStyle name="Heading 2 2 10 9 3 3" xfId="27679"/>
    <cellStyle name="Heading 2 2 10 9 4" xfId="27680"/>
    <cellStyle name="Heading 2 2 10 9 4 2" xfId="27681"/>
    <cellStyle name="Heading 2 2 10 9 4 2 2" xfId="27682"/>
    <cellStyle name="Heading 2 2 10 9 4 3" xfId="27683"/>
    <cellStyle name="Heading 2 2 10 9 5" xfId="27684"/>
    <cellStyle name="Heading 2 2 10 9 5 2" xfId="27685"/>
    <cellStyle name="Heading 2 2 10 9 5 2 2" xfId="27686"/>
    <cellStyle name="Heading 2 2 10 9 5 3" xfId="27687"/>
    <cellStyle name="Heading 2 2 10 9 6" xfId="27688"/>
    <cellStyle name="Heading 2 2 10 9 6 2" xfId="27689"/>
    <cellStyle name="Heading 2 2 10 9 6 2 2" xfId="27690"/>
    <cellStyle name="Heading 2 2 10 9 6 3" xfId="27691"/>
    <cellStyle name="Heading 2 2 10 9 7" xfId="27692"/>
    <cellStyle name="Heading 2 2 10 9 7 2" xfId="27693"/>
    <cellStyle name="Heading 2 2 10 9 7 2 2" xfId="27694"/>
    <cellStyle name="Heading 2 2 10 9 7 3" xfId="27695"/>
    <cellStyle name="Heading 2 2 10 9 8" xfId="27696"/>
    <cellStyle name="Heading 2 2 10 9 8 2" xfId="27697"/>
    <cellStyle name="Heading 2 2 10 9 9" xfId="27698"/>
    <cellStyle name="Heading 2 2 11" xfId="27699"/>
    <cellStyle name="Heading 2 2 11 2" xfId="27700"/>
    <cellStyle name="Heading 2 2 11 2 2" xfId="27701"/>
    <cellStyle name="Heading 2 2 11 3" xfId="27702"/>
    <cellStyle name="Heading 2 2 11 3 2" xfId="27703"/>
    <cellStyle name="Heading 2 2 11 4" xfId="27704"/>
    <cellStyle name="Heading 2 2 12" xfId="27705"/>
    <cellStyle name="Heading 2 2 12 2" xfId="27706"/>
    <cellStyle name="Heading 2 2 2" xfId="27707"/>
    <cellStyle name="Heading 2 2 2 10" xfId="27708"/>
    <cellStyle name="Heading 2 2 2 10 2" xfId="27709"/>
    <cellStyle name="Heading 2 2 2 10 2 2" xfId="27710"/>
    <cellStyle name="Heading 2 2 2 10 3" xfId="27711"/>
    <cellStyle name="Heading 2 2 2 10 3 2" xfId="27712"/>
    <cellStyle name="Heading 2 2 2 10 4" xfId="27713"/>
    <cellStyle name="Heading 2 2 2 11" xfId="27714"/>
    <cellStyle name="Heading 2 2 2 11 2" xfId="27715"/>
    <cellStyle name="Heading 2 2 2 11 2 2" xfId="27716"/>
    <cellStyle name="Heading 2 2 2 11 3" xfId="27717"/>
    <cellStyle name="Heading 2 2 2 12" xfId="27718"/>
    <cellStyle name="Heading 2 2 2 12 2" xfId="27719"/>
    <cellStyle name="Heading 2 2 2 2" xfId="27720"/>
    <cellStyle name="Heading 2 2 2 2 10" xfId="27721"/>
    <cellStyle name="Heading 2 2 2 2 10 2" xfId="27722"/>
    <cellStyle name="Heading 2 2 2 2 10 2 2" xfId="27723"/>
    <cellStyle name="Heading 2 2 2 2 10 3" xfId="27724"/>
    <cellStyle name="Heading 2 2 2 2 10 3 2" xfId="27725"/>
    <cellStyle name="Heading 2 2 2 2 10 4" xfId="27726"/>
    <cellStyle name="Heading 2 2 2 2 11" xfId="27727"/>
    <cellStyle name="Heading 2 2 2 2 11 2" xfId="27728"/>
    <cellStyle name="Heading 2 2 2 2 11 2 2" xfId="27729"/>
    <cellStyle name="Heading 2 2 2 2 11 3" xfId="27730"/>
    <cellStyle name="Heading 2 2 2 2 11 3 2" xfId="27731"/>
    <cellStyle name="Heading 2 2 2 2 11 4" xfId="27732"/>
    <cellStyle name="Heading 2 2 2 2 12" xfId="27733"/>
    <cellStyle name="Heading 2 2 2 2 12 2" xfId="27734"/>
    <cellStyle name="Heading 2 2 2 2 12 2 2" xfId="27735"/>
    <cellStyle name="Heading 2 2 2 2 12 3" xfId="27736"/>
    <cellStyle name="Heading 2 2 2 2 12 3 2" xfId="27737"/>
    <cellStyle name="Heading 2 2 2 2 12 4" xfId="27738"/>
    <cellStyle name="Heading 2 2 2 2 13" xfId="27739"/>
    <cellStyle name="Heading 2 2 2 2 13 2" xfId="27740"/>
    <cellStyle name="Heading 2 2 2 2 13 2 2" xfId="27741"/>
    <cellStyle name="Heading 2 2 2 2 13 3" xfId="27742"/>
    <cellStyle name="Heading 2 2 2 2 13 3 2" xfId="27743"/>
    <cellStyle name="Heading 2 2 2 2 13 4" xfId="27744"/>
    <cellStyle name="Heading 2 2 2 2 14" xfId="27745"/>
    <cellStyle name="Heading 2 2 2 2 14 2" xfId="27746"/>
    <cellStyle name="Heading 2 2 2 2 14 2 2" xfId="27747"/>
    <cellStyle name="Heading 2 2 2 2 14 3" xfId="27748"/>
    <cellStyle name="Heading 2 2 2 2 14 3 2" xfId="27749"/>
    <cellStyle name="Heading 2 2 2 2 14 4" xfId="27750"/>
    <cellStyle name="Heading 2 2 2 2 15" xfId="27751"/>
    <cellStyle name="Heading 2 2 2 2 15 2" xfId="27752"/>
    <cellStyle name="Heading 2 2 2 2 15 2 2" xfId="27753"/>
    <cellStyle name="Heading 2 2 2 2 15 3" xfId="27754"/>
    <cellStyle name="Heading 2 2 2 2 15 3 2" xfId="27755"/>
    <cellStyle name="Heading 2 2 2 2 15 4" xfId="27756"/>
    <cellStyle name="Heading 2 2 2 2 16" xfId="27757"/>
    <cellStyle name="Heading 2 2 2 2 16 2" xfId="27758"/>
    <cellStyle name="Heading 2 2 2 2 16 2 2" xfId="27759"/>
    <cellStyle name="Heading 2 2 2 2 16 3" xfId="27760"/>
    <cellStyle name="Heading 2 2 2 2 16 3 2" xfId="27761"/>
    <cellStyle name="Heading 2 2 2 2 16 4" xfId="27762"/>
    <cellStyle name="Heading 2 2 2 2 17" xfId="27763"/>
    <cellStyle name="Heading 2 2 2 2 17 2" xfId="27764"/>
    <cellStyle name="Heading 2 2 2 2 17 2 2" xfId="27765"/>
    <cellStyle name="Heading 2 2 2 2 17 3" xfId="27766"/>
    <cellStyle name="Heading 2 2 2 2 17 3 2" xfId="27767"/>
    <cellStyle name="Heading 2 2 2 2 17 4" xfId="27768"/>
    <cellStyle name="Heading 2 2 2 2 18" xfId="27769"/>
    <cellStyle name="Heading 2 2 2 2 18 2" xfId="27770"/>
    <cellStyle name="Heading 2 2 2 2 18 2 2" xfId="27771"/>
    <cellStyle name="Heading 2 2 2 2 18 3" xfId="27772"/>
    <cellStyle name="Heading 2 2 2 2 18 3 2" xfId="27773"/>
    <cellStyle name="Heading 2 2 2 2 18 4" xfId="27774"/>
    <cellStyle name="Heading 2 2 2 2 19" xfId="27775"/>
    <cellStyle name="Heading 2 2 2 2 19 2" xfId="27776"/>
    <cellStyle name="Heading 2 2 2 2 2" xfId="27777"/>
    <cellStyle name="Heading 2 2 2 2 2 2" xfId="27778"/>
    <cellStyle name="Heading 2 2 2 2 2 2 10" xfId="27779"/>
    <cellStyle name="Heading 2 2 2 2 2 2 10 2" xfId="27780"/>
    <cellStyle name="Heading 2 2 2 2 2 2 10 2 2" xfId="27781"/>
    <cellStyle name="Heading 2 2 2 2 2 2 10 3" xfId="27782"/>
    <cellStyle name="Heading 2 2 2 2 2 2 11" xfId="27783"/>
    <cellStyle name="Heading 2 2 2 2 2 2 11 2" xfId="27784"/>
    <cellStyle name="Heading 2 2 2 2 2 2 11 2 2" xfId="27785"/>
    <cellStyle name="Heading 2 2 2 2 2 2 11 3" xfId="27786"/>
    <cellStyle name="Heading 2 2 2 2 2 2 12" xfId="27787"/>
    <cellStyle name="Heading 2 2 2 2 2 2 12 2" xfId="27788"/>
    <cellStyle name="Heading 2 2 2 2 2 2 12 2 2" xfId="27789"/>
    <cellStyle name="Heading 2 2 2 2 2 2 12 3" xfId="27790"/>
    <cellStyle name="Heading 2 2 2 2 2 2 13" xfId="27791"/>
    <cellStyle name="Heading 2 2 2 2 2 2 13 2" xfId="27792"/>
    <cellStyle name="Heading 2 2 2 2 2 2 13 2 2" xfId="27793"/>
    <cellStyle name="Heading 2 2 2 2 2 2 13 3" xfId="27794"/>
    <cellStyle name="Heading 2 2 2 2 2 2 14" xfId="27795"/>
    <cellStyle name="Heading 2 2 2 2 2 2 14 2" xfId="27796"/>
    <cellStyle name="Heading 2 2 2 2 2 2 14 2 2" xfId="27797"/>
    <cellStyle name="Heading 2 2 2 2 2 2 14 3" xfId="27798"/>
    <cellStyle name="Heading 2 2 2 2 2 2 15" xfId="27799"/>
    <cellStyle name="Heading 2 2 2 2 2 2 15 2" xfId="27800"/>
    <cellStyle name="Heading 2 2 2 2 2 2 15 2 2" xfId="27801"/>
    <cellStyle name="Heading 2 2 2 2 2 2 15 3" xfId="27802"/>
    <cellStyle name="Heading 2 2 2 2 2 2 16" xfId="27803"/>
    <cellStyle name="Heading 2 2 2 2 2 2 16 2" xfId="27804"/>
    <cellStyle name="Heading 2 2 2 2 2 2 16 2 2" xfId="27805"/>
    <cellStyle name="Heading 2 2 2 2 2 2 16 3" xfId="27806"/>
    <cellStyle name="Heading 2 2 2 2 2 2 17" xfId="27807"/>
    <cellStyle name="Heading 2 2 2 2 2 2 17 2" xfId="27808"/>
    <cellStyle name="Heading 2 2 2 2 2 2 17 2 2" xfId="27809"/>
    <cellStyle name="Heading 2 2 2 2 2 2 17 3" xfId="27810"/>
    <cellStyle name="Heading 2 2 2 2 2 2 18" xfId="27811"/>
    <cellStyle name="Heading 2 2 2 2 2 2 18 2" xfId="27812"/>
    <cellStyle name="Heading 2 2 2 2 2 2 18 2 2" xfId="27813"/>
    <cellStyle name="Heading 2 2 2 2 2 2 18 3" xfId="27814"/>
    <cellStyle name="Heading 2 2 2 2 2 2 19" xfId="27815"/>
    <cellStyle name="Heading 2 2 2 2 2 2 19 2" xfId="27816"/>
    <cellStyle name="Heading 2 2 2 2 2 2 19 2 2" xfId="27817"/>
    <cellStyle name="Heading 2 2 2 2 2 2 19 3" xfId="27818"/>
    <cellStyle name="Heading 2 2 2 2 2 2 2" xfId="27819"/>
    <cellStyle name="Heading 2 2 2 2 2 2 2 10" xfId="27820"/>
    <cellStyle name="Heading 2 2 2 2 2 2 2 10 2" xfId="27821"/>
    <cellStyle name="Heading 2 2 2 2 2 2 2 10 2 2" xfId="27822"/>
    <cellStyle name="Heading 2 2 2 2 2 2 2 10 3" xfId="27823"/>
    <cellStyle name="Heading 2 2 2 2 2 2 2 11" xfId="27824"/>
    <cellStyle name="Heading 2 2 2 2 2 2 2 11 2" xfId="27825"/>
    <cellStyle name="Heading 2 2 2 2 2 2 2 11 2 2" xfId="27826"/>
    <cellStyle name="Heading 2 2 2 2 2 2 2 11 3" xfId="27827"/>
    <cellStyle name="Heading 2 2 2 2 2 2 2 12" xfId="27828"/>
    <cellStyle name="Heading 2 2 2 2 2 2 2 12 2" xfId="27829"/>
    <cellStyle name="Heading 2 2 2 2 2 2 2 12 2 2" xfId="27830"/>
    <cellStyle name="Heading 2 2 2 2 2 2 2 12 3" xfId="27831"/>
    <cellStyle name="Heading 2 2 2 2 2 2 2 13" xfId="27832"/>
    <cellStyle name="Heading 2 2 2 2 2 2 2 13 2" xfId="27833"/>
    <cellStyle name="Heading 2 2 2 2 2 2 2 13 2 2" xfId="27834"/>
    <cellStyle name="Heading 2 2 2 2 2 2 2 13 3" xfId="27835"/>
    <cellStyle name="Heading 2 2 2 2 2 2 2 14" xfId="27836"/>
    <cellStyle name="Heading 2 2 2 2 2 2 2 14 2" xfId="27837"/>
    <cellStyle name="Heading 2 2 2 2 2 2 2 14 2 2" xfId="27838"/>
    <cellStyle name="Heading 2 2 2 2 2 2 2 14 3" xfId="27839"/>
    <cellStyle name="Heading 2 2 2 2 2 2 2 15" xfId="27840"/>
    <cellStyle name="Heading 2 2 2 2 2 2 2 15 2" xfId="27841"/>
    <cellStyle name="Heading 2 2 2 2 2 2 2 15 2 2" xfId="27842"/>
    <cellStyle name="Heading 2 2 2 2 2 2 2 15 3" xfId="27843"/>
    <cellStyle name="Heading 2 2 2 2 2 2 2 16" xfId="27844"/>
    <cellStyle name="Heading 2 2 2 2 2 2 2 16 2" xfId="27845"/>
    <cellStyle name="Heading 2 2 2 2 2 2 2 16 2 2" xfId="27846"/>
    <cellStyle name="Heading 2 2 2 2 2 2 2 16 3" xfId="27847"/>
    <cellStyle name="Heading 2 2 2 2 2 2 2 17" xfId="27848"/>
    <cellStyle name="Heading 2 2 2 2 2 2 2 17 2" xfId="27849"/>
    <cellStyle name="Heading 2 2 2 2 2 2 2 17 2 2" xfId="27850"/>
    <cellStyle name="Heading 2 2 2 2 2 2 2 17 3" xfId="27851"/>
    <cellStyle name="Heading 2 2 2 2 2 2 2 18" xfId="27852"/>
    <cellStyle name="Heading 2 2 2 2 2 2 2 18 2" xfId="27853"/>
    <cellStyle name="Heading 2 2 2 2 2 2 2 18 2 2" xfId="27854"/>
    <cellStyle name="Heading 2 2 2 2 2 2 2 18 3" xfId="27855"/>
    <cellStyle name="Heading 2 2 2 2 2 2 2 19" xfId="27856"/>
    <cellStyle name="Heading 2 2 2 2 2 2 2 19 2" xfId="27857"/>
    <cellStyle name="Heading 2 2 2 2 2 2 2 2" xfId="27858"/>
    <cellStyle name="Heading 2 2 2 2 2 2 2 2 2" xfId="27859"/>
    <cellStyle name="Heading 2 2 2 2 2 2 2 2 2 2" xfId="27860"/>
    <cellStyle name="Heading 2 2 2 2 2 2 2 2 2 2 2" xfId="27861"/>
    <cellStyle name="Heading 2 2 2 2 2 2 2 2 2 3" xfId="27862"/>
    <cellStyle name="Heading 2 2 2 2 2 2 2 2 3" xfId="27863"/>
    <cellStyle name="Heading 2 2 2 2 2 2 2 2 3 2" xfId="27864"/>
    <cellStyle name="Heading 2 2 2 2 2 2 2 2 3 2 2" xfId="27865"/>
    <cellStyle name="Heading 2 2 2 2 2 2 2 2 3 3" xfId="27866"/>
    <cellStyle name="Heading 2 2 2 2 2 2 2 2 4" xfId="27867"/>
    <cellStyle name="Heading 2 2 2 2 2 2 2 2 4 2" xfId="27868"/>
    <cellStyle name="Heading 2 2 2 2 2 2 2 2 4 2 2" xfId="27869"/>
    <cellStyle name="Heading 2 2 2 2 2 2 2 2 4 3" xfId="27870"/>
    <cellStyle name="Heading 2 2 2 2 2 2 2 2 5" xfId="27871"/>
    <cellStyle name="Heading 2 2 2 2 2 2 2 2 5 2" xfId="27872"/>
    <cellStyle name="Heading 2 2 2 2 2 2 2 2 5 2 2" xfId="27873"/>
    <cellStyle name="Heading 2 2 2 2 2 2 2 2 5 3" xfId="27874"/>
    <cellStyle name="Heading 2 2 2 2 2 2 2 2 6" xfId="27875"/>
    <cellStyle name="Heading 2 2 2 2 2 2 2 2 6 2" xfId="27876"/>
    <cellStyle name="Heading 2 2 2 2 2 2 2 2 6 2 2" xfId="27877"/>
    <cellStyle name="Heading 2 2 2 2 2 2 2 2 6 3" xfId="27878"/>
    <cellStyle name="Heading 2 2 2 2 2 2 2 2 7" xfId="27879"/>
    <cellStyle name="Heading 2 2 2 2 2 2 2 2 7 2" xfId="27880"/>
    <cellStyle name="Heading 2 2 2 2 2 2 2 2 7 2 2" xfId="27881"/>
    <cellStyle name="Heading 2 2 2 2 2 2 2 2 7 3" xfId="27882"/>
    <cellStyle name="Heading 2 2 2 2 2 2 2 2 8" xfId="27883"/>
    <cellStyle name="Heading 2 2 2 2 2 2 2 2 8 2" xfId="27884"/>
    <cellStyle name="Heading 2 2 2 2 2 2 2 2 9" xfId="27885"/>
    <cellStyle name="Heading 2 2 2 2 2 2 2 20" xfId="27886"/>
    <cellStyle name="Heading 2 2 2 2 2 2 2 20 2" xfId="27887"/>
    <cellStyle name="Heading 2 2 2 2 2 2 2 21" xfId="27888"/>
    <cellStyle name="Heading 2 2 2 2 2 2 2 21 2" xfId="27889"/>
    <cellStyle name="Heading 2 2 2 2 2 2 2 22" xfId="27890"/>
    <cellStyle name="Heading 2 2 2 2 2 2 2 3" xfId="27891"/>
    <cellStyle name="Heading 2 2 2 2 2 2 2 3 2" xfId="27892"/>
    <cellStyle name="Heading 2 2 2 2 2 2 2 3 2 2" xfId="27893"/>
    <cellStyle name="Heading 2 2 2 2 2 2 2 3 2 2 2" xfId="27894"/>
    <cellStyle name="Heading 2 2 2 2 2 2 2 3 2 3" xfId="27895"/>
    <cellStyle name="Heading 2 2 2 2 2 2 2 3 3" xfId="27896"/>
    <cellStyle name="Heading 2 2 2 2 2 2 2 3 3 2" xfId="27897"/>
    <cellStyle name="Heading 2 2 2 2 2 2 2 3 3 2 2" xfId="27898"/>
    <cellStyle name="Heading 2 2 2 2 2 2 2 3 3 3" xfId="27899"/>
    <cellStyle name="Heading 2 2 2 2 2 2 2 3 4" xfId="27900"/>
    <cellStyle name="Heading 2 2 2 2 2 2 2 3 4 2" xfId="27901"/>
    <cellStyle name="Heading 2 2 2 2 2 2 2 3 4 2 2" xfId="27902"/>
    <cellStyle name="Heading 2 2 2 2 2 2 2 3 4 3" xfId="27903"/>
    <cellStyle name="Heading 2 2 2 2 2 2 2 3 5" xfId="27904"/>
    <cellStyle name="Heading 2 2 2 2 2 2 2 3 5 2" xfId="27905"/>
    <cellStyle name="Heading 2 2 2 2 2 2 2 3 5 2 2" xfId="27906"/>
    <cellStyle name="Heading 2 2 2 2 2 2 2 3 5 3" xfId="27907"/>
    <cellStyle name="Heading 2 2 2 2 2 2 2 3 6" xfId="27908"/>
    <cellStyle name="Heading 2 2 2 2 2 2 2 3 6 2" xfId="27909"/>
    <cellStyle name="Heading 2 2 2 2 2 2 2 3 6 2 2" xfId="27910"/>
    <cellStyle name="Heading 2 2 2 2 2 2 2 3 6 3" xfId="27911"/>
    <cellStyle name="Heading 2 2 2 2 2 2 2 3 7" xfId="27912"/>
    <cellStyle name="Heading 2 2 2 2 2 2 2 3 7 2" xfId="27913"/>
    <cellStyle name="Heading 2 2 2 2 2 2 2 3 7 2 2" xfId="27914"/>
    <cellStyle name="Heading 2 2 2 2 2 2 2 3 7 3" xfId="27915"/>
    <cellStyle name="Heading 2 2 2 2 2 2 2 3 8" xfId="27916"/>
    <cellStyle name="Heading 2 2 2 2 2 2 2 3 8 2" xfId="27917"/>
    <cellStyle name="Heading 2 2 2 2 2 2 2 3 9" xfId="27918"/>
    <cellStyle name="Heading 2 2 2 2 2 2 2 4" xfId="27919"/>
    <cellStyle name="Heading 2 2 2 2 2 2 2 4 2" xfId="27920"/>
    <cellStyle name="Heading 2 2 2 2 2 2 2 4 2 2" xfId="27921"/>
    <cellStyle name="Heading 2 2 2 2 2 2 2 4 2 2 2" xfId="27922"/>
    <cellStyle name="Heading 2 2 2 2 2 2 2 4 2 3" xfId="27923"/>
    <cellStyle name="Heading 2 2 2 2 2 2 2 4 3" xfId="27924"/>
    <cellStyle name="Heading 2 2 2 2 2 2 2 4 3 2" xfId="27925"/>
    <cellStyle name="Heading 2 2 2 2 2 2 2 4 3 2 2" xfId="27926"/>
    <cellStyle name="Heading 2 2 2 2 2 2 2 4 3 3" xfId="27927"/>
    <cellStyle name="Heading 2 2 2 2 2 2 2 4 4" xfId="27928"/>
    <cellStyle name="Heading 2 2 2 2 2 2 2 4 4 2" xfId="27929"/>
    <cellStyle name="Heading 2 2 2 2 2 2 2 4 4 2 2" xfId="27930"/>
    <cellStyle name="Heading 2 2 2 2 2 2 2 4 4 3" xfId="27931"/>
    <cellStyle name="Heading 2 2 2 2 2 2 2 4 5" xfId="27932"/>
    <cellStyle name="Heading 2 2 2 2 2 2 2 4 5 2" xfId="27933"/>
    <cellStyle name="Heading 2 2 2 2 2 2 2 4 5 2 2" xfId="27934"/>
    <cellStyle name="Heading 2 2 2 2 2 2 2 4 5 3" xfId="27935"/>
    <cellStyle name="Heading 2 2 2 2 2 2 2 4 6" xfId="27936"/>
    <cellStyle name="Heading 2 2 2 2 2 2 2 4 6 2" xfId="27937"/>
    <cellStyle name="Heading 2 2 2 2 2 2 2 4 6 2 2" xfId="27938"/>
    <cellStyle name="Heading 2 2 2 2 2 2 2 4 6 3" xfId="27939"/>
    <cellStyle name="Heading 2 2 2 2 2 2 2 4 7" xfId="27940"/>
    <cellStyle name="Heading 2 2 2 2 2 2 2 4 7 2" xfId="27941"/>
    <cellStyle name="Heading 2 2 2 2 2 2 2 4 7 2 2" xfId="27942"/>
    <cellStyle name="Heading 2 2 2 2 2 2 2 4 7 3" xfId="27943"/>
    <cellStyle name="Heading 2 2 2 2 2 2 2 4 8" xfId="27944"/>
    <cellStyle name="Heading 2 2 2 2 2 2 2 4 8 2" xfId="27945"/>
    <cellStyle name="Heading 2 2 2 2 2 2 2 4 9" xfId="27946"/>
    <cellStyle name="Heading 2 2 2 2 2 2 2 5" xfId="27947"/>
    <cellStyle name="Heading 2 2 2 2 2 2 2 5 2" xfId="27948"/>
    <cellStyle name="Heading 2 2 2 2 2 2 2 5 2 2" xfId="27949"/>
    <cellStyle name="Heading 2 2 2 2 2 2 2 5 2 2 2" xfId="27950"/>
    <cellStyle name="Heading 2 2 2 2 2 2 2 5 2 3" xfId="27951"/>
    <cellStyle name="Heading 2 2 2 2 2 2 2 5 3" xfId="27952"/>
    <cellStyle name="Heading 2 2 2 2 2 2 2 5 3 2" xfId="27953"/>
    <cellStyle name="Heading 2 2 2 2 2 2 2 5 3 2 2" xfId="27954"/>
    <cellStyle name="Heading 2 2 2 2 2 2 2 5 3 3" xfId="27955"/>
    <cellStyle name="Heading 2 2 2 2 2 2 2 5 4" xfId="27956"/>
    <cellStyle name="Heading 2 2 2 2 2 2 2 5 4 2" xfId="27957"/>
    <cellStyle name="Heading 2 2 2 2 2 2 2 5 4 2 2" xfId="27958"/>
    <cellStyle name="Heading 2 2 2 2 2 2 2 5 4 3" xfId="27959"/>
    <cellStyle name="Heading 2 2 2 2 2 2 2 5 5" xfId="27960"/>
    <cellStyle name="Heading 2 2 2 2 2 2 2 5 5 2" xfId="27961"/>
    <cellStyle name="Heading 2 2 2 2 2 2 2 5 5 2 2" xfId="27962"/>
    <cellStyle name="Heading 2 2 2 2 2 2 2 5 5 3" xfId="27963"/>
    <cellStyle name="Heading 2 2 2 2 2 2 2 5 6" xfId="27964"/>
    <cellStyle name="Heading 2 2 2 2 2 2 2 5 6 2" xfId="27965"/>
    <cellStyle name="Heading 2 2 2 2 2 2 2 5 6 2 2" xfId="27966"/>
    <cellStyle name="Heading 2 2 2 2 2 2 2 5 6 3" xfId="27967"/>
    <cellStyle name="Heading 2 2 2 2 2 2 2 5 7" xfId="27968"/>
    <cellStyle name="Heading 2 2 2 2 2 2 2 5 7 2" xfId="27969"/>
    <cellStyle name="Heading 2 2 2 2 2 2 2 5 7 2 2" xfId="27970"/>
    <cellStyle name="Heading 2 2 2 2 2 2 2 5 7 3" xfId="27971"/>
    <cellStyle name="Heading 2 2 2 2 2 2 2 5 8" xfId="27972"/>
    <cellStyle name="Heading 2 2 2 2 2 2 2 5 8 2" xfId="27973"/>
    <cellStyle name="Heading 2 2 2 2 2 2 2 5 9" xfId="27974"/>
    <cellStyle name="Heading 2 2 2 2 2 2 2 6" xfId="27975"/>
    <cellStyle name="Heading 2 2 2 2 2 2 2 6 2" xfId="27976"/>
    <cellStyle name="Heading 2 2 2 2 2 2 2 6 2 2" xfId="27977"/>
    <cellStyle name="Heading 2 2 2 2 2 2 2 6 2 2 2" xfId="27978"/>
    <cellStyle name="Heading 2 2 2 2 2 2 2 6 2 3" xfId="27979"/>
    <cellStyle name="Heading 2 2 2 2 2 2 2 6 3" xfId="27980"/>
    <cellStyle name="Heading 2 2 2 2 2 2 2 6 3 2" xfId="27981"/>
    <cellStyle name="Heading 2 2 2 2 2 2 2 6 3 2 2" xfId="27982"/>
    <cellStyle name="Heading 2 2 2 2 2 2 2 6 3 3" xfId="27983"/>
    <cellStyle name="Heading 2 2 2 2 2 2 2 6 4" xfId="27984"/>
    <cellStyle name="Heading 2 2 2 2 2 2 2 6 4 2" xfId="27985"/>
    <cellStyle name="Heading 2 2 2 2 2 2 2 6 4 2 2" xfId="27986"/>
    <cellStyle name="Heading 2 2 2 2 2 2 2 6 4 3" xfId="27987"/>
    <cellStyle name="Heading 2 2 2 2 2 2 2 6 5" xfId="27988"/>
    <cellStyle name="Heading 2 2 2 2 2 2 2 6 5 2" xfId="27989"/>
    <cellStyle name="Heading 2 2 2 2 2 2 2 6 5 2 2" xfId="27990"/>
    <cellStyle name="Heading 2 2 2 2 2 2 2 6 5 3" xfId="27991"/>
    <cellStyle name="Heading 2 2 2 2 2 2 2 6 6" xfId="27992"/>
    <cellStyle name="Heading 2 2 2 2 2 2 2 6 6 2" xfId="27993"/>
    <cellStyle name="Heading 2 2 2 2 2 2 2 6 6 2 2" xfId="27994"/>
    <cellStyle name="Heading 2 2 2 2 2 2 2 6 6 3" xfId="27995"/>
    <cellStyle name="Heading 2 2 2 2 2 2 2 6 7" xfId="27996"/>
    <cellStyle name="Heading 2 2 2 2 2 2 2 6 7 2" xfId="27997"/>
    <cellStyle name="Heading 2 2 2 2 2 2 2 6 7 2 2" xfId="27998"/>
    <cellStyle name="Heading 2 2 2 2 2 2 2 6 7 3" xfId="27999"/>
    <cellStyle name="Heading 2 2 2 2 2 2 2 6 8" xfId="28000"/>
    <cellStyle name="Heading 2 2 2 2 2 2 2 6 8 2" xfId="28001"/>
    <cellStyle name="Heading 2 2 2 2 2 2 2 6 9" xfId="28002"/>
    <cellStyle name="Heading 2 2 2 2 2 2 2 7" xfId="28003"/>
    <cellStyle name="Heading 2 2 2 2 2 2 2 7 2" xfId="28004"/>
    <cellStyle name="Heading 2 2 2 2 2 2 2 7 2 2" xfId="28005"/>
    <cellStyle name="Heading 2 2 2 2 2 2 2 7 2 2 2" xfId="28006"/>
    <cellStyle name="Heading 2 2 2 2 2 2 2 7 2 3" xfId="28007"/>
    <cellStyle name="Heading 2 2 2 2 2 2 2 7 3" xfId="28008"/>
    <cellStyle name="Heading 2 2 2 2 2 2 2 7 3 2" xfId="28009"/>
    <cellStyle name="Heading 2 2 2 2 2 2 2 7 3 2 2" xfId="28010"/>
    <cellStyle name="Heading 2 2 2 2 2 2 2 7 3 3" xfId="28011"/>
    <cellStyle name="Heading 2 2 2 2 2 2 2 7 4" xfId="28012"/>
    <cellStyle name="Heading 2 2 2 2 2 2 2 7 4 2" xfId="28013"/>
    <cellStyle name="Heading 2 2 2 2 2 2 2 7 4 2 2" xfId="28014"/>
    <cellStyle name="Heading 2 2 2 2 2 2 2 7 4 3" xfId="28015"/>
    <cellStyle name="Heading 2 2 2 2 2 2 2 7 5" xfId="28016"/>
    <cellStyle name="Heading 2 2 2 2 2 2 2 7 5 2" xfId="28017"/>
    <cellStyle name="Heading 2 2 2 2 2 2 2 7 5 2 2" xfId="28018"/>
    <cellStyle name="Heading 2 2 2 2 2 2 2 7 5 3" xfId="28019"/>
    <cellStyle name="Heading 2 2 2 2 2 2 2 7 6" xfId="28020"/>
    <cellStyle name="Heading 2 2 2 2 2 2 2 7 6 2" xfId="28021"/>
    <cellStyle name="Heading 2 2 2 2 2 2 2 7 6 2 2" xfId="28022"/>
    <cellStyle name="Heading 2 2 2 2 2 2 2 7 6 3" xfId="28023"/>
    <cellStyle name="Heading 2 2 2 2 2 2 2 7 7" xfId="28024"/>
    <cellStyle name="Heading 2 2 2 2 2 2 2 7 7 2" xfId="28025"/>
    <cellStyle name="Heading 2 2 2 2 2 2 2 7 7 2 2" xfId="28026"/>
    <cellStyle name="Heading 2 2 2 2 2 2 2 7 7 3" xfId="28027"/>
    <cellStyle name="Heading 2 2 2 2 2 2 2 7 8" xfId="28028"/>
    <cellStyle name="Heading 2 2 2 2 2 2 2 7 8 2" xfId="28029"/>
    <cellStyle name="Heading 2 2 2 2 2 2 2 7 9" xfId="28030"/>
    <cellStyle name="Heading 2 2 2 2 2 2 2 8" xfId="28031"/>
    <cellStyle name="Heading 2 2 2 2 2 2 2 8 2" xfId="28032"/>
    <cellStyle name="Heading 2 2 2 2 2 2 2 8 2 2" xfId="28033"/>
    <cellStyle name="Heading 2 2 2 2 2 2 2 8 2 2 2" xfId="28034"/>
    <cellStyle name="Heading 2 2 2 2 2 2 2 8 2 3" xfId="28035"/>
    <cellStyle name="Heading 2 2 2 2 2 2 2 8 3" xfId="28036"/>
    <cellStyle name="Heading 2 2 2 2 2 2 2 8 3 2" xfId="28037"/>
    <cellStyle name="Heading 2 2 2 2 2 2 2 8 3 2 2" xfId="28038"/>
    <cellStyle name="Heading 2 2 2 2 2 2 2 8 3 3" xfId="28039"/>
    <cellStyle name="Heading 2 2 2 2 2 2 2 8 4" xfId="28040"/>
    <cellStyle name="Heading 2 2 2 2 2 2 2 8 4 2" xfId="28041"/>
    <cellStyle name="Heading 2 2 2 2 2 2 2 8 4 2 2" xfId="28042"/>
    <cellStyle name="Heading 2 2 2 2 2 2 2 8 4 3" xfId="28043"/>
    <cellStyle name="Heading 2 2 2 2 2 2 2 8 5" xfId="28044"/>
    <cellStyle name="Heading 2 2 2 2 2 2 2 8 5 2" xfId="28045"/>
    <cellStyle name="Heading 2 2 2 2 2 2 2 8 5 2 2" xfId="28046"/>
    <cellStyle name="Heading 2 2 2 2 2 2 2 8 5 3" xfId="28047"/>
    <cellStyle name="Heading 2 2 2 2 2 2 2 8 6" xfId="28048"/>
    <cellStyle name="Heading 2 2 2 2 2 2 2 8 6 2" xfId="28049"/>
    <cellStyle name="Heading 2 2 2 2 2 2 2 8 6 2 2" xfId="28050"/>
    <cellStyle name="Heading 2 2 2 2 2 2 2 8 6 3" xfId="28051"/>
    <cellStyle name="Heading 2 2 2 2 2 2 2 8 7" xfId="28052"/>
    <cellStyle name="Heading 2 2 2 2 2 2 2 8 7 2" xfId="28053"/>
    <cellStyle name="Heading 2 2 2 2 2 2 2 8 7 2 2" xfId="28054"/>
    <cellStyle name="Heading 2 2 2 2 2 2 2 8 7 3" xfId="28055"/>
    <cellStyle name="Heading 2 2 2 2 2 2 2 8 8" xfId="28056"/>
    <cellStyle name="Heading 2 2 2 2 2 2 2 8 8 2" xfId="28057"/>
    <cellStyle name="Heading 2 2 2 2 2 2 2 8 9" xfId="28058"/>
    <cellStyle name="Heading 2 2 2 2 2 2 2 9" xfId="28059"/>
    <cellStyle name="Heading 2 2 2 2 2 2 2 9 2" xfId="28060"/>
    <cellStyle name="Heading 2 2 2 2 2 2 2 9 2 2" xfId="28061"/>
    <cellStyle name="Heading 2 2 2 2 2 2 2 9 3" xfId="28062"/>
    <cellStyle name="Heading 2 2 2 2 2 2 20" xfId="28063"/>
    <cellStyle name="Heading 2 2 2 2 2 2 20 2" xfId="28064"/>
    <cellStyle name="Heading 2 2 2 2 2 2 21" xfId="28065"/>
    <cellStyle name="Heading 2 2 2 2 2 2 21 2" xfId="28066"/>
    <cellStyle name="Heading 2 2 2 2 2 2 22" xfId="28067"/>
    <cellStyle name="Heading 2 2 2 2 2 2 22 2" xfId="28068"/>
    <cellStyle name="Heading 2 2 2 2 2 2 23" xfId="28069"/>
    <cellStyle name="Heading 2 2 2 2 2 2 3" xfId="28070"/>
    <cellStyle name="Heading 2 2 2 2 2 2 3 2" xfId="28071"/>
    <cellStyle name="Heading 2 2 2 2 2 2 3 2 2" xfId="28072"/>
    <cellStyle name="Heading 2 2 2 2 2 2 3 2 2 2" xfId="28073"/>
    <cellStyle name="Heading 2 2 2 2 2 2 3 2 3" xfId="28074"/>
    <cellStyle name="Heading 2 2 2 2 2 2 3 3" xfId="28075"/>
    <cellStyle name="Heading 2 2 2 2 2 2 3 3 2" xfId="28076"/>
    <cellStyle name="Heading 2 2 2 2 2 2 3 3 2 2" xfId="28077"/>
    <cellStyle name="Heading 2 2 2 2 2 2 3 3 3" xfId="28078"/>
    <cellStyle name="Heading 2 2 2 2 2 2 3 4" xfId="28079"/>
    <cellStyle name="Heading 2 2 2 2 2 2 3 4 2" xfId="28080"/>
    <cellStyle name="Heading 2 2 2 2 2 2 3 4 2 2" xfId="28081"/>
    <cellStyle name="Heading 2 2 2 2 2 2 3 4 3" xfId="28082"/>
    <cellStyle name="Heading 2 2 2 2 2 2 3 5" xfId="28083"/>
    <cellStyle name="Heading 2 2 2 2 2 2 3 5 2" xfId="28084"/>
    <cellStyle name="Heading 2 2 2 2 2 2 3 5 2 2" xfId="28085"/>
    <cellStyle name="Heading 2 2 2 2 2 2 3 5 3" xfId="28086"/>
    <cellStyle name="Heading 2 2 2 2 2 2 3 6" xfId="28087"/>
    <cellStyle name="Heading 2 2 2 2 2 2 3 6 2" xfId="28088"/>
    <cellStyle name="Heading 2 2 2 2 2 2 3 6 2 2" xfId="28089"/>
    <cellStyle name="Heading 2 2 2 2 2 2 3 6 3" xfId="28090"/>
    <cellStyle name="Heading 2 2 2 2 2 2 3 7" xfId="28091"/>
    <cellStyle name="Heading 2 2 2 2 2 2 3 7 2" xfId="28092"/>
    <cellStyle name="Heading 2 2 2 2 2 2 3 7 2 2" xfId="28093"/>
    <cellStyle name="Heading 2 2 2 2 2 2 3 7 3" xfId="28094"/>
    <cellStyle name="Heading 2 2 2 2 2 2 3 8" xfId="28095"/>
    <cellStyle name="Heading 2 2 2 2 2 2 3 8 2" xfId="28096"/>
    <cellStyle name="Heading 2 2 2 2 2 2 3 9" xfId="28097"/>
    <cellStyle name="Heading 2 2 2 2 2 2 4" xfId="28098"/>
    <cellStyle name="Heading 2 2 2 2 2 2 4 2" xfId="28099"/>
    <cellStyle name="Heading 2 2 2 2 2 2 4 2 2" xfId="28100"/>
    <cellStyle name="Heading 2 2 2 2 2 2 4 2 2 2" xfId="28101"/>
    <cellStyle name="Heading 2 2 2 2 2 2 4 2 3" xfId="28102"/>
    <cellStyle name="Heading 2 2 2 2 2 2 4 3" xfId="28103"/>
    <cellStyle name="Heading 2 2 2 2 2 2 4 3 2" xfId="28104"/>
    <cellStyle name="Heading 2 2 2 2 2 2 4 3 2 2" xfId="28105"/>
    <cellStyle name="Heading 2 2 2 2 2 2 4 3 3" xfId="28106"/>
    <cellStyle name="Heading 2 2 2 2 2 2 4 4" xfId="28107"/>
    <cellStyle name="Heading 2 2 2 2 2 2 4 4 2" xfId="28108"/>
    <cellStyle name="Heading 2 2 2 2 2 2 4 4 2 2" xfId="28109"/>
    <cellStyle name="Heading 2 2 2 2 2 2 4 4 3" xfId="28110"/>
    <cellStyle name="Heading 2 2 2 2 2 2 4 5" xfId="28111"/>
    <cellStyle name="Heading 2 2 2 2 2 2 4 5 2" xfId="28112"/>
    <cellStyle name="Heading 2 2 2 2 2 2 4 5 2 2" xfId="28113"/>
    <cellStyle name="Heading 2 2 2 2 2 2 4 5 3" xfId="28114"/>
    <cellStyle name="Heading 2 2 2 2 2 2 4 6" xfId="28115"/>
    <cellStyle name="Heading 2 2 2 2 2 2 4 6 2" xfId="28116"/>
    <cellStyle name="Heading 2 2 2 2 2 2 4 6 2 2" xfId="28117"/>
    <cellStyle name="Heading 2 2 2 2 2 2 4 6 3" xfId="28118"/>
    <cellStyle name="Heading 2 2 2 2 2 2 4 7" xfId="28119"/>
    <cellStyle name="Heading 2 2 2 2 2 2 4 7 2" xfId="28120"/>
    <cellStyle name="Heading 2 2 2 2 2 2 4 7 2 2" xfId="28121"/>
    <cellStyle name="Heading 2 2 2 2 2 2 4 7 3" xfId="28122"/>
    <cellStyle name="Heading 2 2 2 2 2 2 4 8" xfId="28123"/>
    <cellStyle name="Heading 2 2 2 2 2 2 4 8 2" xfId="28124"/>
    <cellStyle name="Heading 2 2 2 2 2 2 4 9" xfId="28125"/>
    <cellStyle name="Heading 2 2 2 2 2 2 5" xfId="28126"/>
    <cellStyle name="Heading 2 2 2 2 2 2 5 2" xfId="28127"/>
    <cellStyle name="Heading 2 2 2 2 2 2 5 2 2" xfId="28128"/>
    <cellStyle name="Heading 2 2 2 2 2 2 5 2 2 2" xfId="28129"/>
    <cellStyle name="Heading 2 2 2 2 2 2 5 2 3" xfId="28130"/>
    <cellStyle name="Heading 2 2 2 2 2 2 5 3" xfId="28131"/>
    <cellStyle name="Heading 2 2 2 2 2 2 5 3 2" xfId="28132"/>
    <cellStyle name="Heading 2 2 2 2 2 2 5 3 2 2" xfId="28133"/>
    <cellStyle name="Heading 2 2 2 2 2 2 5 3 3" xfId="28134"/>
    <cellStyle name="Heading 2 2 2 2 2 2 5 4" xfId="28135"/>
    <cellStyle name="Heading 2 2 2 2 2 2 5 4 2" xfId="28136"/>
    <cellStyle name="Heading 2 2 2 2 2 2 5 4 2 2" xfId="28137"/>
    <cellStyle name="Heading 2 2 2 2 2 2 5 4 3" xfId="28138"/>
    <cellStyle name="Heading 2 2 2 2 2 2 5 5" xfId="28139"/>
    <cellStyle name="Heading 2 2 2 2 2 2 5 5 2" xfId="28140"/>
    <cellStyle name="Heading 2 2 2 2 2 2 5 5 2 2" xfId="28141"/>
    <cellStyle name="Heading 2 2 2 2 2 2 5 5 3" xfId="28142"/>
    <cellStyle name="Heading 2 2 2 2 2 2 5 6" xfId="28143"/>
    <cellStyle name="Heading 2 2 2 2 2 2 5 6 2" xfId="28144"/>
    <cellStyle name="Heading 2 2 2 2 2 2 5 6 2 2" xfId="28145"/>
    <cellStyle name="Heading 2 2 2 2 2 2 5 6 3" xfId="28146"/>
    <cellStyle name="Heading 2 2 2 2 2 2 5 7" xfId="28147"/>
    <cellStyle name="Heading 2 2 2 2 2 2 5 7 2" xfId="28148"/>
    <cellStyle name="Heading 2 2 2 2 2 2 5 7 2 2" xfId="28149"/>
    <cellStyle name="Heading 2 2 2 2 2 2 5 7 3" xfId="28150"/>
    <cellStyle name="Heading 2 2 2 2 2 2 5 8" xfId="28151"/>
    <cellStyle name="Heading 2 2 2 2 2 2 5 8 2" xfId="28152"/>
    <cellStyle name="Heading 2 2 2 2 2 2 5 9" xfId="28153"/>
    <cellStyle name="Heading 2 2 2 2 2 2 6" xfId="28154"/>
    <cellStyle name="Heading 2 2 2 2 2 2 6 2" xfId="28155"/>
    <cellStyle name="Heading 2 2 2 2 2 2 6 2 2" xfId="28156"/>
    <cellStyle name="Heading 2 2 2 2 2 2 6 2 2 2" xfId="28157"/>
    <cellStyle name="Heading 2 2 2 2 2 2 6 2 3" xfId="28158"/>
    <cellStyle name="Heading 2 2 2 2 2 2 6 3" xfId="28159"/>
    <cellStyle name="Heading 2 2 2 2 2 2 6 3 2" xfId="28160"/>
    <cellStyle name="Heading 2 2 2 2 2 2 6 3 2 2" xfId="28161"/>
    <cellStyle name="Heading 2 2 2 2 2 2 6 3 3" xfId="28162"/>
    <cellStyle name="Heading 2 2 2 2 2 2 6 4" xfId="28163"/>
    <cellStyle name="Heading 2 2 2 2 2 2 6 4 2" xfId="28164"/>
    <cellStyle name="Heading 2 2 2 2 2 2 6 4 2 2" xfId="28165"/>
    <cellStyle name="Heading 2 2 2 2 2 2 6 4 3" xfId="28166"/>
    <cellStyle name="Heading 2 2 2 2 2 2 6 5" xfId="28167"/>
    <cellStyle name="Heading 2 2 2 2 2 2 6 5 2" xfId="28168"/>
    <cellStyle name="Heading 2 2 2 2 2 2 6 5 2 2" xfId="28169"/>
    <cellStyle name="Heading 2 2 2 2 2 2 6 5 3" xfId="28170"/>
    <cellStyle name="Heading 2 2 2 2 2 2 6 6" xfId="28171"/>
    <cellStyle name="Heading 2 2 2 2 2 2 6 6 2" xfId="28172"/>
    <cellStyle name="Heading 2 2 2 2 2 2 6 6 2 2" xfId="28173"/>
    <cellStyle name="Heading 2 2 2 2 2 2 6 6 3" xfId="28174"/>
    <cellStyle name="Heading 2 2 2 2 2 2 6 7" xfId="28175"/>
    <cellStyle name="Heading 2 2 2 2 2 2 6 7 2" xfId="28176"/>
    <cellStyle name="Heading 2 2 2 2 2 2 6 7 2 2" xfId="28177"/>
    <cellStyle name="Heading 2 2 2 2 2 2 6 7 3" xfId="28178"/>
    <cellStyle name="Heading 2 2 2 2 2 2 6 8" xfId="28179"/>
    <cellStyle name="Heading 2 2 2 2 2 2 6 8 2" xfId="28180"/>
    <cellStyle name="Heading 2 2 2 2 2 2 6 9" xfId="28181"/>
    <cellStyle name="Heading 2 2 2 2 2 2 7" xfId="28182"/>
    <cellStyle name="Heading 2 2 2 2 2 2 7 2" xfId="28183"/>
    <cellStyle name="Heading 2 2 2 2 2 2 7 2 2" xfId="28184"/>
    <cellStyle name="Heading 2 2 2 2 2 2 7 2 2 2" xfId="28185"/>
    <cellStyle name="Heading 2 2 2 2 2 2 7 2 3" xfId="28186"/>
    <cellStyle name="Heading 2 2 2 2 2 2 7 3" xfId="28187"/>
    <cellStyle name="Heading 2 2 2 2 2 2 7 3 2" xfId="28188"/>
    <cellStyle name="Heading 2 2 2 2 2 2 7 3 2 2" xfId="28189"/>
    <cellStyle name="Heading 2 2 2 2 2 2 7 3 3" xfId="28190"/>
    <cellStyle name="Heading 2 2 2 2 2 2 7 4" xfId="28191"/>
    <cellStyle name="Heading 2 2 2 2 2 2 7 4 2" xfId="28192"/>
    <cellStyle name="Heading 2 2 2 2 2 2 7 4 2 2" xfId="28193"/>
    <cellStyle name="Heading 2 2 2 2 2 2 7 4 3" xfId="28194"/>
    <cellStyle name="Heading 2 2 2 2 2 2 7 5" xfId="28195"/>
    <cellStyle name="Heading 2 2 2 2 2 2 7 5 2" xfId="28196"/>
    <cellStyle name="Heading 2 2 2 2 2 2 7 5 2 2" xfId="28197"/>
    <cellStyle name="Heading 2 2 2 2 2 2 7 5 3" xfId="28198"/>
    <cellStyle name="Heading 2 2 2 2 2 2 7 6" xfId="28199"/>
    <cellStyle name="Heading 2 2 2 2 2 2 7 6 2" xfId="28200"/>
    <cellStyle name="Heading 2 2 2 2 2 2 7 6 2 2" xfId="28201"/>
    <cellStyle name="Heading 2 2 2 2 2 2 7 6 3" xfId="28202"/>
    <cellStyle name="Heading 2 2 2 2 2 2 7 7" xfId="28203"/>
    <cellStyle name="Heading 2 2 2 2 2 2 7 7 2" xfId="28204"/>
    <cellStyle name="Heading 2 2 2 2 2 2 7 7 2 2" xfId="28205"/>
    <cellStyle name="Heading 2 2 2 2 2 2 7 7 3" xfId="28206"/>
    <cellStyle name="Heading 2 2 2 2 2 2 7 8" xfId="28207"/>
    <cellStyle name="Heading 2 2 2 2 2 2 7 8 2" xfId="28208"/>
    <cellStyle name="Heading 2 2 2 2 2 2 7 9" xfId="28209"/>
    <cellStyle name="Heading 2 2 2 2 2 2 8" xfId="28210"/>
    <cellStyle name="Heading 2 2 2 2 2 2 8 2" xfId="28211"/>
    <cellStyle name="Heading 2 2 2 2 2 2 8 2 2" xfId="28212"/>
    <cellStyle name="Heading 2 2 2 2 2 2 8 2 2 2" xfId="28213"/>
    <cellStyle name="Heading 2 2 2 2 2 2 8 2 3" xfId="28214"/>
    <cellStyle name="Heading 2 2 2 2 2 2 8 3" xfId="28215"/>
    <cellStyle name="Heading 2 2 2 2 2 2 8 3 2" xfId="28216"/>
    <cellStyle name="Heading 2 2 2 2 2 2 8 3 2 2" xfId="28217"/>
    <cellStyle name="Heading 2 2 2 2 2 2 8 3 3" xfId="28218"/>
    <cellStyle name="Heading 2 2 2 2 2 2 8 4" xfId="28219"/>
    <cellStyle name="Heading 2 2 2 2 2 2 8 4 2" xfId="28220"/>
    <cellStyle name="Heading 2 2 2 2 2 2 8 4 2 2" xfId="28221"/>
    <cellStyle name="Heading 2 2 2 2 2 2 8 4 3" xfId="28222"/>
    <cellStyle name="Heading 2 2 2 2 2 2 8 5" xfId="28223"/>
    <cellStyle name="Heading 2 2 2 2 2 2 8 5 2" xfId="28224"/>
    <cellStyle name="Heading 2 2 2 2 2 2 8 5 2 2" xfId="28225"/>
    <cellStyle name="Heading 2 2 2 2 2 2 8 5 3" xfId="28226"/>
    <cellStyle name="Heading 2 2 2 2 2 2 8 6" xfId="28227"/>
    <cellStyle name="Heading 2 2 2 2 2 2 8 6 2" xfId="28228"/>
    <cellStyle name="Heading 2 2 2 2 2 2 8 6 2 2" xfId="28229"/>
    <cellStyle name="Heading 2 2 2 2 2 2 8 6 3" xfId="28230"/>
    <cellStyle name="Heading 2 2 2 2 2 2 8 7" xfId="28231"/>
    <cellStyle name="Heading 2 2 2 2 2 2 8 7 2" xfId="28232"/>
    <cellStyle name="Heading 2 2 2 2 2 2 8 7 2 2" xfId="28233"/>
    <cellStyle name="Heading 2 2 2 2 2 2 8 7 3" xfId="28234"/>
    <cellStyle name="Heading 2 2 2 2 2 2 8 8" xfId="28235"/>
    <cellStyle name="Heading 2 2 2 2 2 2 8 8 2" xfId="28236"/>
    <cellStyle name="Heading 2 2 2 2 2 2 8 9" xfId="28237"/>
    <cellStyle name="Heading 2 2 2 2 2 2 9" xfId="28238"/>
    <cellStyle name="Heading 2 2 2 2 2 2 9 2" xfId="28239"/>
    <cellStyle name="Heading 2 2 2 2 2 2 9 2 2" xfId="28240"/>
    <cellStyle name="Heading 2 2 2 2 2 2 9 2 2 2" xfId="28241"/>
    <cellStyle name="Heading 2 2 2 2 2 2 9 2 3" xfId="28242"/>
    <cellStyle name="Heading 2 2 2 2 2 2 9 3" xfId="28243"/>
    <cellStyle name="Heading 2 2 2 2 2 2 9 3 2" xfId="28244"/>
    <cellStyle name="Heading 2 2 2 2 2 2 9 3 2 2" xfId="28245"/>
    <cellStyle name="Heading 2 2 2 2 2 2 9 3 3" xfId="28246"/>
    <cellStyle name="Heading 2 2 2 2 2 2 9 4" xfId="28247"/>
    <cellStyle name="Heading 2 2 2 2 2 2 9 4 2" xfId="28248"/>
    <cellStyle name="Heading 2 2 2 2 2 2 9 4 2 2" xfId="28249"/>
    <cellStyle name="Heading 2 2 2 2 2 2 9 4 3" xfId="28250"/>
    <cellStyle name="Heading 2 2 2 2 2 2 9 5" xfId="28251"/>
    <cellStyle name="Heading 2 2 2 2 2 2 9 5 2" xfId="28252"/>
    <cellStyle name="Heading 2 2 2 2 2 2 9 5 2 2" xfId="28253"/>
    <cellStyle name="Heading 2 2 2 2 2 2 9 5 3" xfId="28254"/>
    <cellStyle name="Heading 2 2 2 2 2 2 9 6" xfId="28255"/>
    <cellStyle name="Heading 2 2 2 2 2 2 9 6 2" xfId="28256"/>
    <cellStyle name="Heading 2 2 2 2 2 2 9 6 2 2" xfId="28257"/>
    <cellStyle name="Heading 2 2 2 2 2 2 9 6 3" xfId="28258"/>
    <cellStyle name="Heading 2 2 2 2 2 2 9 7" xfId="28259"/>
    <cellStyle name="Heading 2 2 2 2 2 2 9 7 2" xfId="28260"/>
    <cellStyle name="Heading 2 2 2 2 2 2 9 7 2 2" xfId="28261"/>
    <cellStyle name="Heading 2 2 2 2 2 2 9 7 3" xfId="28262"/>
    <cellStyle name="Heading 2 2 2 2 2 2 9 8" xfId="28263"/>
    <cellStyle name="Heading 2 2 2 2 2 2 9 8 2" xfId="28264"/>
    <cellStyle name="Heading 2 2 2 2 2 2 9 9" xfId="28265"/>
    <cellStyle name="Heading 2 2 2 2 2 3" xfId="28266"/>
    <cellStyle name="Heading 2 2 2 2 2 3 10" xfId="28267"/>
    <cellStyle name="Heading 2 2 2 2 2 3 10 2" xfId="28268"/>
    <cellStyle name="Heading 2 2 2 2 2 3 10 2 2" xfId="28269"/>
    <cellStyle name="Heading 2 2 2 2 2 3 10 3" xfId="28270"/>
    <cellStyle name="Heading 2 2 2 2 2 3 11" xfId="28271"/>
    <cellStyle name="Heading 2 2 2 2 2 3 11 2" xfId="28272"/>
    <cellStyle name="Heading 2 2 2 2 2 3 11 2 2" xfId="28273"/>
    <cellStyle name="Heading 2 2 2 2 2 3 11 3" xfId="28274"/>
    <cellStyle name="Heading 2 2 2 2 2 3 12" xfId="28275"/>
    <cellStyle name="Heading 2 2 2 2 2 3 12 2" xfId="28276"/>
    <cellStyle name="Heading 2 2 2 2 2 3 12 2 2" xfId="28277"/>
    <cellStyle name="Heading 2 2 2 2 2 3 12 3" xfId="28278"/>
    <cellStyle name="Heading 2 2 2 2 2 3 13" xfId="28279"/>
    <cellStyle name="Heading 2 2 2 2 2 3 13 2" xfId="28280"/>
    <cellStyle name="Heading 2 2 2 2 2 3 13 2 2" xfId="28281"/>
    <cellStyle name="Heading 2 2 2 2 2 3 13 3" xfId="28282"/>
    <cellStyle name="Heading 2 2 2 2 2 3 14" xfId="28283"/>
    <cellStyle name="Heading 2 2 2 2 2 3 14 2" xfId="28284"/>
    <cellStyle name="Heading 2 2 2 2 2 3 14 2 2" xfId="28285"/>
    <cellStyle name="Heading 2 2 2 2 2 3 14 3" xfId="28286"/>
    <cellStyle name="Heading 2 2 2 2 2 3 15" xfId="28287"/>
    <cellStyle name="Heading 2 2 2 2 2 3 15 2" xfId="28288"/>
    <cellStyle name="Heading 2 2 2 2 2 3 15 2 2" xfId="28289"/>
    <cellStyle name="Heading 2 2 2 2 2 3 15 3" xfId="28290"/>
    <cellStyle name="Heading 2 2 2 2 2 3 16" xfId="28291"/>
    <cellStyle name="Heading 2 2 2 2 2 3 16 2" xfId="28292"/>
    <cellStyle name="Heading 2 2 2 2 2 3 16 2 2" xfId="28293"/>
    <cellStyle name="Heading 2 2 2 2 2 3 16 3" xfId="28294"/>
    <cellStyle name="Heading 2 2 2 2 2 3 17" xfId="28295"/>
    <cellStyle name="Heading 2 2 2 2 2 3 17 2" xfId="28296"/>
    <cellStyle name="Heading 2 2 2 2 2 3 17 2 2" xfId="28297"/>
    <cellStyle name="Heading 2 2 2 2 2 3 17 3" xfId="28298"/>
    <cellStyle name="Heading 2 2 2 2 2 3 18" xfId="28299"/>
    <cellStyle name="Heading 2 2 2 2 2 3 18 2" xfId="28300"/>
    <cellStyle name="Heading 2 2 2 2 2 3 18 2 2" xfId="28301"/>
    <cellStyle name="Heading 2 2 2 2 2 3 18 3" xfId="28302"/>
    <cellStyle name="Heading 2 2 2 2 2 3 19" xfId="28303"/>
    <cellStyle name="Heading 2 2 2 2 2 3 19 2" xfId="28304"/>
    <cellStyle name="Heading 2 2 2 2 2 3 2" xfId="28305"/>
    <cellStyle name="Heading 2 2 2 2 2 3 2 2" xfId="28306"/>
    <cellStyle name="Heading 2 2 2 2 2 3 2 2 2" xfId="28307"/>
    <cellStyle name="Heading 2 2 2 2 2 3 2 2 2 2" xfId="28308"/>
    <cellStyle name="Heading 2 2 2 2 2 3 2 2 3" xfId="28309"/>
    <cellStyle name="Heading 2 2 2 2 2 3 2 3" xfId="28310"/>
    <cellStyle name="Heading 2 2 2 2 2 3 2 3 2" xfId="28311"/>
    <cellStyle name="Heading 2 2 2 2 2 3 2 3 2 2" xfId="28312"/>
    <cellStyle name="Heading 2 2 2 2 2 3 2 3 3" xfId="28313"/>
    <cellStyle name="Heading 2 2 2 2 2 3 2 4" xfId="28314"/>
    <cellStyle name="Heading 2 2 2 2 2 3 2 4 2" xfId="28315"/>
    <cellStyle name="Heading 2 2 2 2 2 3 2 4 2 2" xfId="28316"/>
    <cellStyle name="Heading 2 2 2 2 2 3 2 4 3" xfId="28317"/>
    <cellStyle name="Heading 2 2 2 2 2 3 2 5" xfId="28318"/>
    <cellStyle name="Heading 2 2 2 2 2 3 2 5 2" xfId="28319"/>
    <cellStyle name="Heading 2 2 2 2 2 3 2 5 2 2" xfId="28320"/>
    <cellStyle name="Heading 2 2 2 2 2 3 2 5 3" xfId="28321"/>
    <cellStyle name="Heading 2 2 2 2 2 3 2 6" xfId="28322"/>
    <cellStyle name="Heading 2 2 2 2 2 3 2 6 2" xfId="28323"/>
    <cellStyle name="Heading 2 2 2 2 2 3 2 6 2 2" xfId="28324"/>
    <cellStyle name="Heading 2 2 2 2 2 3 2 6 3" xfId="28325"/>
    <cellStyle name="Heading 2 2 2 2 2 3 2 7" xfId="28326"/>
    <cellStyle name="Heading 2 2 2 2 2 3 2 7 2" xfId="28327"/>
    <cellStyle name="Heading 2 2 2 2 2 3 2 7 2 2" xfId="28328"/>
    <cellStyle name="Heading 2 2 2 2 2 3 2 7 3" xfId="28329"/>
    <cellStyle name="Heading 2 2 2 2 2 3 2 8" xfId="28330"/>
    <cellStyle name="Heading 2 2 2 2 2 3 2 8 2" xfId="28331"/>
    <cellStyle name="Heading 2 2 2 2 2 3 2 9" xfId="28332"/>
    <cellStyle name="Heading 2 2 2 2 2 3 20" xfId="28333"/>
    <cellStyle name="Heading 2 2 2 2 2 3 20 2" xfId="28334"/>
    <cellStyle name="Heading 2 2 2 2 2 3 21" xfId="28335"/>
    <cellStyle name="Heading 2 2 2 2 2 3 21 2" xfId="28336"/>
    <cellStyle name="Heading 2 2 2 2 2 3 22" xfId="28337"/>
    <cellStyle name="Heading 2 2 2 2 2 3 3" xfId="28338"/>
    <cellStyle name="Heading 2 2 2 2 2 3 3 2" xfId="28339"/>
    <cellStyle name="Heading 2 2 2 2 2 3 3 2 2" xfId="28340"/>
    <cellStyle name="Heading 2 2 2 2 2 3 3 2 2 2" xfId="28341"/>
    <cellStyle name="Heading 2 2 2 2 2 3 3 2 3" xfId="28342"/>
    <cellStyle name="Heading 2 2 2 2 2 3 3 3" xfId="28343"/>
    <cellStyle name="Heading 2 2 2 2 2 3 3 3 2" xfId="28344"/>
    <cellStyle name="Heading 2 2 2 2 2 3 3 3 2 2" xfId="28345"/>
    <cellStyle name="Heading 2 2 2 2 2 3 3 3 3" xfId="28346"/>
    <cellStyle name="Heading 2 2 2 2 2 3 3 4" xfId="28347"/>
    <cellStyle name="Heading 2 2 2 2 2 3 3 4 2" xfId="28348"/>
    <cellStyle name="Heading 2 2 2 2 2 3 3 4 2 2" xfId="28349"/>
    <cellStyle name="Heading 2 2 2 2 2 3 3 4 3" xfId="28350"/>
    <cellStyle name="Heading 2 2 2 2 2 3 3 5" xfId="28351"/>
    <cellStyle name="Heading 2 2 2 2 2 3 3 5 2" xfId="28352"/>
    <cellStyle name="Heading 2 2 2 2 2 3 3 5 2 2" xfId="28353"/>
    <cellStyle name="Heading 2 2 2 2 2 3 3 5 3" xfId="28354"/>
    <cellStyle name="Heading 2 2 2 2 2 3 3 6" xfId="28355"/>
    <cellStyle name="Heading 2 2 2 2 2 3 3 6 2" xfId="28356"/>
    <cellStyle name="Heading 2 2 2 2 2 3 3 6 2 2" xfId="28357"/>
    <cellStyle name="Heading 2 2 2 2 2 3 3 6 3" xfId="28358"/>
    <cellStyle name="Heading 2 2 2 2 2 3 3 7" xfId="28359"/>
    <cellStyle name="Heading 2 2 2 2 2 3 3 7 2" xfId="28360"/>
    <cellStyle name="Heading 2 2 2 2 2 3 3 7 2 2" xfId="28361"/>
    <cellStyle name="Heading 2 2 2 2 2 3 3 7 3" xfId="28362"/>
    <cellStyle name="Heading 2 2 2 2 2 3 3 8" xfId="28363"/>
    <cellStyle name="Heading 2 2 2 2 2 3 3 8 2" xfId="28364"/>
    <cellStyle name="Heading 2 2 2 2 2 3 3 9" xfId="28365"/>
    <cellStyle name="Heading 2 2 2 2 2 3 4" xfId="28366"/>
    <cellStyle name="Heading 2 2 2 2 2 3 4 2" xfId="28367"/>
    <cellStyle name="Heading 2 2 2 2 2 3 4 2 2" xfId="28368"/>
    <cellStyle name="Heading 2 2 2 2 2 3 4 2 2 2" xfId="28369"/>
    <cellStyle name="Heading 2 2 2 2 2 3 4 2 3" xfId="28370"/>
    <cellStyle name="Heading 2 2 2 2 2 3 4 3" xfId="28371"/>
    <cellStyle name="Heading 2 2 2 2 2 3 4 3 2" xfId="28372"/>
    <cellStyle name="Heading 2 2 2 2 2 3 4 3 2 2" xfId="28373"/>
    <cellStyle name="Heading 2 2 2 2 2 3 4 3 3" xfId="28374"/>
    <cellStyle name="Heading 2 2 2 2 2 3 4 4" xfId="28375"/>
    <cellStyle name="Heading 2 2 2 2 2 3 4 4 2" xfId="28376"/>
    <cellStyle name="Heading 2 2 2 2 2 3 4 4 2 2" xfId="28377"/>
    <cellStyle name="Heading 2 2 2 2 2 3 4 4 3" xfId="28378"/>
    <cellStyle name="Heading 2 2 2 2 2 3 4 5" xfId="28379"/>
    <cellStyle name="Heading 2 2 2 2 2 3 4 5 2" xfId="28380"/>
    <cellStyle name="Heading 2 2 2 2 2 3 4 5 2 2" xfId="28381"/>
    <cellStyle name="Heading 2 2 2 2 2 3 4 5 3" xfId="28382"/>
    <cellStyle name="Heading 2 2 2 2 2 3 4 6" xfId="28383"/>
    <cellStyle name="Heading 2 2 2 2 2 3 4 6 2" xfId="28384"/>
    <cellStyle name="Heading 2 2 2 2 2 3 4 6 2 2" xfId="28385"/>
    <cellStyle name="Heading 2 2 2 2 2 3 4 6 3" xfId="28386"/>
    <cellStyle name="Heading 2 2 2 2 2 3 4 7" xfId="28387"/>
    <cellStyle name="Heading 2 2 2 2 2 3 4 7 2" xfId="28388"/>
    <cellStyle name="Heading 2 2 2 2 2 3 4 7 2 2" xfId="28389"/>
    <cellStyle name="Heading 2 2 2 2 2 3 4 7 3" xfId="28390"/>
    <cellStyle name="Heading 2 2 2 2 2 3 4 8" xfId="28391"/>
    <cellStyle name="Heading 2 2 2 2 2 3 4 8 2" xfId="28392"/>
    <cellStyle name="Heading 2 2 2 2 2 3 4 9" xfId="28393"/>
    <cellStyle name="Heading 2 2 2 2 2 3 5" xfId="28394"/>
    <cellStyle name="Heading 2 2 2 2 2 3 5 2" xfId="28395"/>
    <cellStyle name="Heading 2 2 2 2 2 3 5 2 2" xfId="28396"/>
    <cellStyle name="Heading 2 2 2 2 2 3 5 2 2 2" xfId="28397"/>
    <cellStyle name="Heading 2 2 2 2 2 3 5 2 3" xfId="28398"/>
    <cellStyle name="Heading 2 2 2 2 2 3 5 3" xfId="28399"/>
    <cellStyle name="Heading 2 2 2 2 2 3 5 3 2" xfId="28400"/>
    <cellStyle name="Heading 2 2 2 2 2 3 5 3 2 2" xfId="28401"/>
    <cellStyle name="Heading 2 2 2 2 2 3 5 3 3" xfId="28402"/>
    <cellStyle name="Heading 2 2 2 2 2 3 5 4" xfId="28403"/>
    <cellStyle name="Heading 2 2 2 2 2 3 5 4 2" xfId="28404"/>
    <cellStyle name="Heading 2 2 2 2 2 3 5 4 2 2" xfId="28405"/>
    <cellStyle name="Heading 2 2 2 2 2 3 5 4 3" xfId="28406"/>
    <cellStyle name="Heading 2 2 2 2 2 3 5 5" xfId="28407"/>
    <cellStyle name="Heading 2 2 2 2 2 3 5 5 2" xfId="28408"/>
    <cellStyle name="Heading 2 2 2 2 2 3 5 5 2 2" xfId="28409"/>
    <cellStyle name="Heading 2 2 2 2 2 3 5 5 3" xfId="28410"/>
    <cellStyle name="Heading 2 2 2 2 2 3 5 6" xfId="28411"/>
    <cellStyle name="Heading 2 2 2 2 2 3 5 6 2" xfId="28412"/>
    <cellStyle name="Heading 2 2 2 2 2 3 5 6 2 2" xfId="28413"/>
    <cellStyle name="Heading 2 2 2 2 2 3 5 6 3" xfId="28414"/>
    <cellStyle name="Heading 2 2 2 2 2 3 5 7" xfId="28415"/>
    <cellStyle name="Heading 2 2 2 2 2 3 5 7 2" xfId="28416"/>
    <cellStyle name="Heading 2 2 2 2 2 3 5 7 2 2" xfId="28417"/>
    <cellStyle name="Heading 2 2 2 2 2 3 5 7 3" xfId="28418"/>
    <cellStyle name="Heading 2 2 2 2 2 3 5 8" xfId="28419"/>
    <cellStyle name="Heading 2 2 2 2 2 3 5 8 2" xfId="28420"/>
    <cellStyle name="Heading 2 2 2 2 2 3 5 9" xfId="28421"/>
    <cellStyle name="Heading 2 2 2 2 2 3 6" xfId="28422"/>
    <cellStyle name="Heading 2 2 2 2 2 3 6 2" xfId="28423"/>
    <cellStyle name="Heading 2 2 2 2 2 3 6 2 2" xfId="28424"/>
    <cellStyle name="Heading 2 2 2 2 2 3 6 2 2 2" xfId="28425"/>
    <cellStyle name="Heading 2 2 2 2 2 3 6 2 3" xfId="28426"/>
    <cellStyle name="Heading 2 2 2 2 2 3 6 3" xfId="28427"/>
    <cellStyle name="Heading 2 2 2 2 2 3 6 3 2" xfId="28428"/>
    <cellStyle name="Heading 2 2 2 2 2 3 6 3 2 2" xfId="28429"/>
    <cellStyle name="Heading 2 2 2 2 2 3 6 3 3" xfId="28430"/>
    <cellStyle name="Heading 2 2 2 2 2 3 6 4" xfId="28431"/>
    <cellStyle name="Heading 2 2 2 2 2 3 6 4 2" xfId="28432"/>
    <cellStyle name="Heading 2 2 2 2 2 3 6 4 2 2" xfId="28433"/>
    <cellStyle name="Heading 2 2 2 2 2 3 6 4 3" xfId="28434"/>
    <cellStyle name="Heading 2 2 2 2 2 3 6 5" xfId="28435"/>
    <cellStyle name="Heading 2 2 2 2 2 3 6 5 2" xfId="28436"/>
    <cellStyle name="Heading 2 2 2 2 2 3 6 5 2 2" xfId="28437"/>
    <cellStyle name="Heading 2 2 2 2 2 3 6 5 3" xfId="28438"/>
    <cellStyle name="Heading 2 2 2 2 2 3 6 6" xfId="28439"/>
    <cellStyle name="Heading 2 2 2 2 2 3 6 6 2" xfId="28440"/>
    <cellStyle name="Heading 2 2 2 2 2 3 6 6 2 2" xfId="28441"/>
    <cellStyle name="Heading 2 2 2 2 2 3 6 6 3" xfId="28442"/>
    <cellStyle name="Heading 2 2 2 2 2 3 6 7" xfId="28443"/>
    <cellStyle name="Heading 2 2 2 2 2 3 6 7 2" xfId="28444"/>
    <cellStyle name="Heading 2 2 2 2 2 3 6 7 2 2" xfId="28445"/>
    <cellStyle name="Heading 2 2 2 2 2 3 6 7 3" xfId="28446"/>
    <cellStyle name="Heading 2 2 2 2 2 3 6 8" xfId="28447"/>
    <cellStyle name="Heading 2 2 2 2 2 3 6 8 2" xfId="28448"/>
    <cellStyle name="Heading 2 2 2 2 2 3 6 9" xfId="28449"/>
    <cellStyle name="Heading 2 2 2 2 2 3 7" xfId="28450"/>
    <cellStyle name="Heading 2 2 2 2 2 3 7 2" xfId="28451"/>
    <cellStyle name="Heading 2 2 2 2 2 3 7 2 2" xfId="28452"/>
    <cellStyle name="Heading 2 2 2 2 2 3 7 2 2 2" xfId="28453"/>
    <cellStyle name="Heading 2 2 2 2 2 3 7 2 3" xfId="28454"/>
    <cellStyle name="Heading 2 2 2 2 2 3 7 3" xfId="28455"/>
    <cellStyle name="Heading 2 2 2 2 2 3 7 3 2" xfId="28456"/>
    <cellStyle name="Heading 2 2 2 2 2 3 7 3 2 2" xfId="28457"/>
    <cellStyle name="Heading 2 2 2 2 2 3 7 3 3" xfId="28458"/>
    <cellStyle name="Heading 2 2 2 2 2 3 7 4" xfId="28459"/>
    <cellStyle name="Heading 2 2 2 2 2 3 7 4 2" xfId="28460"/>
    <cellStyle name="Heading 2 2 2 2 2 3 7 4 2 2" xfId="28461"/>
    <cellStyle name="Heading 2 2 2 2 2 3 7 4 3" xfId="28462"/>
    <cellStyle name="Heading 2 2 2 2 2 3 7 5" xfId="28463"/>
    <cellStyle name="Heading 2 2 2 2 2 3 7 5 2" xfId="28464"/>
    <cellStyle name="Heading 2 2 2 2 2 3 7 5 2 2" xfId="28465"/>
    <cellStyle name="Heading 2 2 2 2 2 3 7 5 3" xfId="28466"/>
    <cellStyle name="Heading 2 2 2 2 2 3 7 6" xfId="28467"/>
    <cellStyle name="Heading 2 2 2 2 2 3 7 6 2" xfId="28468"/>
    <cellStyle name="Heading 2 2 2 2 2 3 7 6 2 2" xfId="28469"/>
    <cellStyle name="Heading 2 2 2 2 2 3 7 6 3" xfId="28470"/>
    <cellStyle name="Heading 2 2 2 2 2 3 7 7" xfId="28471"/>
    <cellStyle name="Heading 2 2 2 2 2 3 7 7 2" xfId="28472"/>
    <cellStyle name="Heading 2 2 2 2 2 3 7 7 2 2" xfId="28473"/>
    <cellStyle name="Heading 2 2 2 2 2 3 7 7 3" xfId="28474"/>
    <cellStyle name="Heading 2 2 2 2 2 3 7 8" xfId="28475"/>
    <cellStyle name="Heading 2 2 2 2 2 3 7 8 2" xfId="28476"/>
    <cellStyle name="Heading 2 2 2 2 2 3 7 9" xfId="28477"/>
    <cellStyle name="Heading 2 2 2 2 2 3 8" xfId="28478"/>
    <cellStyle name="Heading 2 2 2 2 2 3 8 2" xfId="28479"/>
    <cellStyle name="Heading 2 2 2 2 2 3 8 2 2" xfId="28480"/>
    <cellStyle name="Heading 2 2 2 2 2 3 8 2 2 2" xfId="28481"/>
    <cellStyle name="Heading 2 2 2 2 2 3 8 2 3" xfId="28482"/>
    <cellStyle name="Heading 2 2 2 2 2 3 8 3" xfId="28483"/>
    <cellStyle name="Heading 2 2 2 2 2 3 8 3 2" xfId="28484"/>
    <cellStyle name="Heading 2 2 2 2 2 3 8 3 2 2" xfId="28485"/>
    <cellStyle name="Heading 2 2 2 2 2 3 8 3 3" xfId="28486"/>
    <cellStyle name="Heading 2 2 2 2 2 3 8 4" xfId="28487"/>
    <cellStyle name="Heading 2 2 2 2 2 3 8 4 2" xfId="28488"/>
    <cellStyle name="Heading 2 2 2 2 2 3 8 4 2 2" xfId="28489"/>
    <cellStyle name="Heading 2 2 2 2 2 3 8 4 3" xfId="28490"/>
    <cellStyle name="Heading 2 2 2 2 2 3 8 5" xfId="28491"/>
    <cellStyle name="Heading 2 2 2 2 2 3 8 5 2" xfId="28492"/>
    <cellStyle name="Heading 2 2 2 2 2 3 8 5 2 2" xfId="28493"/>
    <cellStyle name="Heading 2 2 2 2 2 3 8 5 3" xfId="28494"/>
    <cellStyle name="Heading 2 2 2 2 2 3 8 6" xfId="28495"/>
    <cellStyle name="Heading 2 2 2 2 2 3 8 6 2" xfId="28496"/>
    <cellStyle name="Heading 2 2 2 2 2 3 8 6 2 2" xfId="28497"/>
    <cellStyle name="Heading 2 2 2 2 2 3 8 6 3" xfId="28498"/>
    <cellStyle name="Heading 2 2 2 2 2 3 8 7" xfId="28499"/>
    <cellStyle name="Heading 2 2 2 2 2 3 8 7 2" xfId="28500"/>
    <cellStyle name="Heading 2 2 2 2 2 3 8 7 2 2" xfId="28501"/>
    <cellStyle name="Heading 2 2 2 2 2 3 8 7 3" xfId="28502"/>
    <cellStyle name="Heading 2 2 2 2 2 3 8 8" xfId="28503"/>
    <cellStyle name="Heading 2 2 2 2 2 3 8 8 2" xfId="28504"/>
    <cellStyle name="Heading 2 2 2 2 2 3 8 9" xfId="28505"/>
    <cellStyle name="Heading 2 2 2 2 2 3 9" xfId="28506"/>
    <cellStyle name="Heading 2 2 2 2 2 3 9 2" xfId="28507"/>
    <cellStyle name="Heading 2 2 2 2 2 3 9 2 2" xfId="28508"/>
    <cellStyle name="Heading 2 2 2 2 2 3 9 3" xfId="28509"/>
    <cellStyle name="Heading 2 2 2 2 2 4" xfId="28510"/>
    <cellStyle name="Heading 2 2 2 2 2 4 2" xfId="28511"/>
    <cellStyle name="Heading 2 2 2 2 2 4 2 2" xfId="28512"/>
    <cellStyle name="Heading 2 2 2 2 2 4 3" xfId="28513"/>
    <cellStyle name="Heading 2 2 2 2 2 5" xfId="28514"/>
    <cellStyle name="Heading 2 2 2 2 2 5 2" xfId="28515"/>
    <cellStyle name="Heading 2 2 2 2 2 6" xfId="28516"/>
    <cellStyle name="Heading 2 2 2 2 20" xfId="28517"/>
    <cellStyle name="Heading 2 2 2 2 3" xfId="28518"/>
    <cellStyle name="Heading 2 2 2 2 3 2" xfId="28519"/>
    <cellStyle name="Heading 2 2 2 2 3 2 10" xfId="28520"/>
    <cellStyle name="Heading 2 2 2 2 3 2 10 2" xfId="28521"/>
    <cellStyle name="Heading 2 2 2 2 3 2 10 2 2" xfId="28522"/>
    <cellStyle name="Heading 2 2 2 2 3 2 10 3" xfId="28523"/>
    <cellStyle name="Heading 2 2 2 2 3 2 11" xfId="28524"/>
    <cellStyle name="Heading 2 2 2 2 3 2 11 2" xfId="28525"/>
    <cellStyle name="Heading 2 2 2 2 3 2 11 2 2" xfId="28526"/>
    <cellStyle name="Heading 2 2 2 2 3 2 11 3" xfId="28527"/>
    <cellStyle name="Heading 2 2 2 2 3 2 12" xfId="28528"/>
    <cellStyle name="Heading 2 2 2 2 3 2 12 2" xfId="28529"/>
    <cellStyle name="Heading 2 2 2 2 3 2 12 2 2" xfId="28530"/>
    <cellStyle name="Heading 2 2 2 2 3 2 12 3" xfId="28531"/>
    <cellStyle name="Heading 2 2 2 2 3 2 13" xfId="28532"/>
    <cellStyle name="Heading 2 2 2 2 3 2 13 2" xfId="28533"/>
    <cellStyle name="Heading 2 2 2 2 3 2 13 2 2" xfId="28534"/>
    <cellStyle name="Heading 2 2 2 2 3 2 13 3" xfId="28535"/>
    <cellStyle name="Heading 2 2 2 2 3 2 14" xfId="28536"/>
    <cellStyle name="Heading 2 2 2 2 3 2 14 2" xfId="28537"/>
    <cellStyle name="Heading 2 2 2 2 3 2 14 2 2" xfId="28538"/>
    <cellStyle name="Heading 2 2 2 2 3 2 14 3" xfId="28539"/>
    <cellStyle name="Heading 2 2 2 2 3 2 15" xfId="28540"/>
    <cellStyle name="Heading 2 2 2 2 3 2 15 2" xfId="28541"/>
    <cellStyle name="Heading 2 2 2 2 3 2 15 2 2" xfId="28542"/>
    <cellStyle name="Heading 2 2 2 2 3 2 15 3" xfId="28543"/>
    <cellStyle name="Heading 2 2 2 2 3 2 16" xfId="28544"/>
    <cellStyle name="Heading 2 2 2 2 3 2 16 2" xfId="28545"/>
    <cellStyle name="Heading 2 2 2 2 3 2 16 2 2" xfId="28546"/>
    <cellStyle name="Heading 2 2 2 2 3 2 16 3" xfId="28547"/>
    <cellStyle name="Heading 2 2 2 2 3 2 17" xfId="28548"/>
    <cellStyle name="Heading 2 2 2 2 3 2 17 2" xfId="28549"/>
    <cellStyle name="Heading 2 2 2 2 3 2 17 2 2" xfId="28550"/>
    <cellStyle name="Heading 2 2 2 2 3 2 17 3" xfId="28551"/>
    <cellStyle name="Heading 2 2 2 2 3 2 18" xfId="28552"/>
    <cellStyle name="Heading 2 2 2 2 3 2 18 2" xfId="28553"/>
    <cellStyle name="Heading 2 2 2 2 3 2 18 2 2" xfId="28554"/>
    <cellStyle name="Heading 2 2 2 2 3 2 18 3" xfId="28555"/>
    <cellStyle name="Heading 2 2 2 2 3 2 19" xfId="28556"/>
    <cellStyle name="Heading 2 2 2 2 3 2 19 2" xfId="28557"/>
    <cellStyle name="Heading 2 2 2 2 3 2 19 2 2" xfId="28558"/>
    <cellStyle name="Heading 2 2 2 2 3 2 19 3" xfId="28559"/>
    <cellStyle name="Heading 2 2 2 2 3 2 2" xfId="28560"/>
    <cellStyle name="Heading 2 2 2 2 3 2 2 10" xfId="28561"/>
    <cellStyle name="Heading 2 2 2 2 3 2 2 10 2" xfId="28562"/>
    <cellStyle name="Heading 2 2 2 2 3 2 2 10 2 2" xfId="28563"/>
    <cellStyle name="Heading 2 2 2 2 3 2 2 10 3" xfId="28564"/>
    <cellStyle name="Heading 2 2 2 2 3 2 2 11" xfId="28565"/>
    <cellStyle name="Heading 2 2 2 2 3 2 2 11 2" xfId="28566"/>
    <cellStyle name="Heading 2 2 2 2 3 2 2 11 2 2" xfId="28567"/>
    <cellStyle name="Heading 2 2 2 2 3 2 2 11 3" xfId="28568"/>
    <cellStyle name="Heading 2 2 2 2 3 2 2 12" xfId="28569"/>
    <cellStyle name="Heading 2 2 2 2 3 2 2 12 2" xfId="28570"/>
    <cellStyle name="Heading 2 2 2 2 3 2 2 12 2 2" xfId="28571"/>
    <cellStyle name="Heading 2 2 2 2 3 2 2 12 3" xfId="28572"/>
    <cellStyle name="Heading 2 2 2 2 3 2 2 13" xfId="28573"/>
    <cellStyle name="Heading 2 2 2 2 3 2 2 13 2" xfId="28574"/>
    <cellStyle name="Heading 2 2 2 2 3 2 2 13 2 2" xfId="28575"/>
    <cellStyle name="Heading 2 2 2 2 3 2 2 13 3" xfId="28576"/>
    <cellStyle name="Heading 2 2 2 2 3 2 2 14" xfId="28577"/>
    <cellStyle name="Heading 2 2 2 2 3 2 2 14 2" xfId="28578"/>
    <cellStyle name="Heading 2 2 2 2 3 2 2 14 2 2" xfId="28579"/>
    <cellStyle name="Heading 2 2 2 2 3 2 2 14 3" xfId="28580"/>
    <cellStyle name="Heading 2 2 2 2 3 2 2 15" xfId="28581"/>
    <cellStyle name="Heading 2 2 2 2 3 2 2 15 2" xfId="28582"/>
    <cellStyle name="Heading 2 2 2 2 3 2 2 15 2 2" xfId="28583"/>
    <cellStyle name="Heading 2 2 2 2 3 2 2 15 3" xfId="28584"/>
    <cellStyle name="Heading 2 2 2 2 3 2 2 16" xfId="28585"/>
    <cellStyle name="Heading 2 2 2 2 3 2 2 16 2" xfId="28586"/>
    <cellStyle name="Heading 2 2 2 2 3 2 2 16 2 2" xfId="28587"/>
    <cellStyle name="Heading 2 2 2 2 3 2 2 16 3" xfId="28588"/>
    <cellStyle name="Heading 2 2 2 2 3 2 2 17" xfId="28589"/>
    <cellStyle name="Heading 2 2 2 2 3 2 2 17 2" xfId="28590"/>
    <cellStyle name="Heading 2 2 2 2 3 2 2 17 2 2" xfId="28591"/>
    <cellStyle name="Heading 2 2 2 2 3 2 2 17 3" xfId="28592"/>
    <cellStyle name="Heading 2 2 2 2 3 2 2 18" xfId="28593"/>
    <cellStyle name="Heading 2 2 2 2 3 2 2 18 2" xfId="28594"/>
    <cellStyle name="Heading 2 2 2 2 3 2 2 18 2 2" xfId="28595"/>
    <cellStyle name="Heading 2 2 2 2 3 2 2 18 3" xfId="28596"/>
    <cellStyle name="Heading 2 2 2 2 3 2 2 19" xfId="28597"/>
    <cellStyle name="Heading 2 2 2 2 3 2 2 19 2" xfId="28598"/>
    <cellStyle name="Heading 2 2 2 2 3 2 2 2" xfId="28599"/>
    <cellStyle name="Heading 2 2 2 2 3 2 2 2 2" xfId="28600"/>
    <cellStyle name="Heading 2 2 2 2 3 2 2 2 2 2" xfId="28601"/>
    <cellStyle name="Heading 2 2 2 2 3 2 2 2 2 2 2" xfId="28602"/>
    <cellStyle name="Heading 2 2 2 2 3 2 2 2 2 3" xfId="28603"/>
    <cellStyle name="Heading 2 2 2 2 3 2 2 2 3" xfId="28604"/>
    <cellStyle name="Heading 2 2 2 2 3 2 2 2 3 2" xfId="28605"/>
    <cellStyle name="Heading 2 2 2 2 3 2 2 2 3 2 2" xfId="28606"/>
    <cellStyle name="Heading 2 2 2 2 3 2 2 2 3 3" xfId="28607"/>
    <cellStyle name="Heading 2 2 2 2 3 2 2 2 4" xfId="28608"/>
    <cellStyle name="Heading 2 2 2 2 3 2 2 2 4 2" xfId="28609"/>
    <cellStyle name="Heading 2 2 2 2 3 2 2 2 4 2 2" xfId="28610"/>
    <cellStyle name="Heading 2 2 2 2 3 2 2 2 4 3" xfId="28611"/>
    <cellStyle name="Heading 2 2 2 2 3 2 2 2 5" xfId="28612"/>
    <cellStyle name="Heading 2 2 2 2 3 2 2 2 5 2" xfId="28613"/>
    <cellStyle name="Heading 2 2 2 2 3 2 2 2 5 2 2" xfId="28614"/>
    <cellStyle name="Heading 2 2 2 2 3 2 2 2 5 3" xfId="28615"/>
    <cellStyle name="Heading 2 2 2 2 3 2 2 2 6" xfId="28616"/>
    <cellStyle name="Heading 2 2 2 2 3 2 2 2 6 2" xfId="28617"/>
    <cellStyle name="Heading 2 2 2 2 3 2 2 2 6 2 2" xfId="28618"/>
    <cellStyle name="Heading 2 2 2 2 3 2 2 2 6 3" xfId="28619"/>
    <cellStyle name="Heading 2 2 2 2 3 2 2 2 7" xfId="28620"/>
    <cellStyle name="Heading 2 2 2 2 3 2 2 2 7 2" xfId="28621"/>
    <cellStyle name="Heading 2 2 2 2 3 2 2 2 7 2 2" xfId="28622"/>
    <cellStyle name="Heading 2 2 2 2 3 2 2 2 7 3" xfId="28623"/>
    <cellStyle name="Heading 2 2 2 2 3 2 2 2 8" xfId="28624"/>
    <cellStyle name="Heading 2 2 2 2 3 2 2 2 8 2" xfId="28625"/>
    <cellStyle name="Heading 2 2 2 2 3 2 2 2 9" xfId="28626"/>
    <cellStyle name="Heading 2 2 2 2 3 2 2 20" xfId="28627"/>
    <cellStyle name="Heading 2 2 2 2 3 2 2 20 2" xfId="28628"/>
    <cellStyle name="Heading 2 2 2 2 3 2 2 21" xfId="28629"/>
    <cellStyle name="Heading 2 2 2 2 3 2 2 21 2" xfId="28630"/>
    <cellStyle name="Heading 2 2 2 2 3 2 2 22" xfId="28631"/>
    <cellStyle name="Heading 2 2 2 2 3 2 2 3" xfId="28632"/>
    <cellStyle name="Heading 2 2 2 2 3 2 2 3 2" xfId="28633"/>
    <cellStyle name="Heading 2 2 2 2 3 2 2 3 2 2" xfId="28634"/>
    <cellStyle name="Heading 2 2 2 2 3 2 2 3 2 2 2" xfId="28635"/>
    <cellStyle name="Heading 2 2 2 2 3 2 2 3 2 3" xfId="28636"/>
    <cellStyle name="Heading 2 2 2 2 3 2 2 3 3" xfId="28637"/>
    <cellStyle name="Heading 2 2 2 2 3 2 2 3 3 2" xfId="28638"/>
    <cellStyle name="Heading 2 2 2 2 3 2 2 3 3 2 2" xfId="28639"/>
    <cellStyle name="Heading 2 2 2 2 3 2 2 3 3 3" xfId="28640"/>
    <cellStyle name="Heading 2 2 2 2 3 2 2 3 4" xfId="28641"/>
    <cellStyle name="Heading 2 2 2 2 3 2 2 3 4 2" xfId="28642"/>
    <cellStyle name="Heading 2 2 2 2 3 2 2 3 4 2 2" xfId="28643"/>
    <cellStyle name="Heading 2 2 2 2 3 2 2 3 4 3" xfId="28644"/>
    <cellStyle name="Heading 2 2 2 2 3 2 2 3 5" xfId="28645"/>
    <cellStyle name="Heading 2 2 2 2 3 2 2 3 5 2" xfId="28646"/>
    <cellStyle name="Heading 2 2 2 2 3 2 2 3 5 2 2" xfId="28647"/>
    <cellStyle name="Heading 2 2 2 2 3 2 2 3 5 3" xfId="28648"/>
    <cellStyle name="Heading 2 2 2 2 3 2 2 3 6" xfId="28649"/>
    <cellStyle name="Heading 2 2 2 2 3 2 2 3 6 2" xfId="28650"/>
    <cellStyle name="Heading 2 2 2 2 3 2 2 3 6 2 2" xfId="28651"/>
    <cellStyle name="Heading 2 2 2 2 3 2 2 3 6 3" xfId="28652"/>
    <cellStyle name="Heading 2 2 2 2 3 2 2 3 7" xfId="28653"/>
    <cellStyle name="Heading 2 2 2 2 3 2 2 3 7 2" xfId="28654"/>
    <cellStyle name="Heading 2 2 2 2 3 2 2 3 7 2 2" xfId="28655"/>
    <cellStyle name="Heading 2 2 2 2 3 2 2 3 7 3" xfId="28656"/>
    <cellStyle name="Heading 2 2 2 2 3 2 2 3 8" xfId="28657"/>
    <cellStyle name="Heading 2 2 2 2 3 2 2 3 8 2" xfId="28658"/>
    <cellStyle name="Heading 2 2 2 2 3 2 2 3 9" xfId="28659"/>
    <cellStyle name="Heading 2 2 2 2 3 2 2 4" xfId="28660"/>
    <cellStyle name="Heading 2 2 2 2 3 2 2 4 2" xfId="28661"/>
    <cellStyle name="Heading 2 2 2 2 3 2 2 4 2 2" xfId="28662"/>
    <cellStyle name="Heading 2 2 2 2 3 2 2 4 2 2 2" xfId="28663"/>
    <cellStyle name="Heading 2 2 2 2 3 2 2 4 2 3" xfId="28664"/>
    <cellStyle name="Heading 2 2 2 2 3 2 2 4 3" xfId="28665"/>
    <cellStyle name="Heading 2 2 2 2 3 2 2 4 3 2" xfId="28666"/>
    <cellStyle name="Heading 2 2 2 2 3 2 2 4 3 2 2" xfId="28667"/>
    <cellStyle name="Heading 2 2 2 2 3 2 2 4 3 3" xfId="28668"/>
    <cellStyle name="Heading 2 2 2 2 3 2 2 4 4" xfId="28669"/>
    <cellStyle name="Heading 2 2 2 2 3 2 2 4 4 2" xfId="28670"/>
    <cellStyle name="Heading 2 2 2 2 3 2 2 4 4 2 2" xfId="28671"/>
    <cellStyle name="Heading 2 2 2 2 3 2 2 4 4 3" xfId="28672"/>
    <cellStyle name="Heading 2 2 2 2 3 2 2 4 5" xfId="28673"/>
    <cellStyle name="Heading 2 2 2 2 3 2 2 4 5 2" xfId="28674"/>
    <cellStyle name="Heading 2 2 2 2 3 2 2 4 5 2 2" xfId="28675"/>
    <cellStyle name="Heading 2 2 2 2 3 2 2 4 5 3" xfId="28676"/>
    <cellStyle name="Heading 2 2 2 2 3 2 2 4 6" xfId="28677"/>
    <cellStyle name="Heading 2 2 2 2 3 2 2 4 6 2" xfId="28678"/>
    <cellStyle name="Heading 2 2 2 2 3 2 2 4 6 2 2" xfId="28679"/>
    <cellStyle name="Heading 2 2 2 2 3 2 2 4 6 3" xfId="28680"/>
    <cellStyle name="Heading 2 2 2 2 3 2 2 4 7" xfId="28681"/>
    <cellStyle name="Heading 2 2 2 2 3 2 2 4 7 2" xfId="28682"/>
    <cellStyle name="Heading 2 2 2 2 3 2 2 4 7 2 2" xfId="28683"/>
    <cellStyle name="Heading 2 2 2 2 3 2 2 4 7 3" xfId="28684"/>
    <cellStyle name="Heading 2 2 2 2 3 2 2 4 8" xfId="28685"/>
    <cellStyle name="Heading 2 2 2 2 3 2 2 4 8 2" xfId="28686"/>
    <cellStyle name="Heading 2 2 2 2 3 2 2 4 9" xfId="28687"/>
    <cellStyle name="Heading 2 2 2 2 3 2 2 5" xfId="28688"/>
    <cellStyle name="Heading 2 2 2 2 3 2 2 5 2" xfId="28689"/>
    <cellStyle name="Heading 2 2 2 2 3 2 2 5 2 2" xfId="28690"/>
    <cellStyle name="Heading 2 2 2 2 3 2 2 5 2 2 2" xfId="28691"/>
    <cellStyle name="Heading 2 2 2 2 3 2 2 5 2 3" xfId="28692"/>
    <cellStyle name="Heading 2 2 2 2 3 2 2 5 3" xfId="28693"/>
    <cellStyle name="Heading 2 2 2 2 3 2 2 5 3 2" xfId="28694"/>
    <cellStyle name="Heading 2 2 2 2 3 2 2 5 3 2 2" xfId="28695"/>
    <cellStyle name="Heading 2 2 2 2 3 2 2 5 3 3" xfId="28696"/>
    <cellStyle name="Heading 2 2 2 2 3 2 2 5 4" xfId="28697"/>
    <cellStyle name="Heading 2 2 2 2 3 2 2 5 4 2" xfId="28698"/>
    <cellStyle name="Heading 2 2 2 2 3 2 2 5 4 2 2" xfId="28699"/>
    <cellStyle name="Heading 2 2 2 2 3 2 2 5 4 3" xfId="28700"/>
    <cellStyle name="Heading 2 2 2 2 3 2 2 5 5" xfId="28701"/>
    <cellStyle name="Heading 2 2 2 2 3 2 2 5 5 2" xfId="28702"/>
    <cellStyle name="Heading 2 2 2 2 3 2 2 5 5 2 2" xfId="28703"/>
    <cellStyle name="Heading 2 2 2 2 3 2 2 5 5 3" xfId="28704"/>
    <cellStyle name="Heading 2 2 2 2 3 2 2 5 6" xfId="28705"/>
    <cellStyle name="Heading 2 2 2 2 3 2 2 5 6 2" xfId="28706"/>
    <cellStyle name="Heading 2 2 2 2 3 2 2 5 6 2 2" xfId="28707"/>
    <cellStyle name="Heading 2 2 2 2 3 2 2 5 6 3" xfId="28708"/>
    <cellStyle name="Heading 2 2 2 2 3 2 2 5 7" xfId="28709"/>
    <cellStyle name="Heading 2 2 2 2 3 2 2 5 7 2" xfId="28710"/>
    <cellStyle name="Heading 2 2 2 2 3 2 2 5 7 2 2" xfId="28711"/>
    <cellStyle name="Heading 2 2 2 2 3 2 2 5 7 3" xfId="28712"/>
    <cellStyle name="Heading 2 2 2 2 3 2 2 5 8" xfId="28713"/>
    <cellStyle name="Heading 2 2 2 2 3 2 2 5 8 2" xfId="28714"/>
    <cellStyle name="Heading 2 2 2 2 3 2 2 5 9" xfId="28715"/>
    <cellStyle name="Heading 2 2 2 2 3 2 2 6" xfId="28716"/>
    <cellStyle name="Heading 2 2 2 2 3 2 2 6 2" xfId="28717"/>
    <cellStyle name="Heading 2 2 2 2 3 2 2 6 2 2" xfId="28718"/>
    <cellStyle name="Heading 2 2 2 2 3 2 2 6 2 2 2" xfId="28719"/>
    <cellStyle name="Heading 2 2 2 2 3 2 2 6 2 3" xfId="28720"/>
    <cellStyle name="Heading 2 2 2 2 3 2 2 6 3" xfId="28721"/>
    <cellStyle name="Heading 2 2 2 2 3 2 2 6 3 2" xfId="28722"/>
    <cellStyle name="Heading 2 2 2 2 3 2 2 6 3 2 2" xfId="28723"/>
    <cellStyle name="Heading 2 2 2 2 3 2 2 6 3 3" xfId="28724"/>
    <cellStyle name="Heading 2 2 2 2 3 2 2 6 4" xfId="28725"/>
    <cellStyle name="Heading 2 2 2 2 3 2 2 6 4 2" xfId="28726"/>
    <cellStyle name="Heading 2 2 2 2 3 2 2 6 4 2 2" xfId="28727"/>
    <cellStyle name="Heading 2 2 2 2 3 2 2 6 4 3" xfId="28728"/>
    <cellStyle name="Heading 2 2 2 2 3 2 2 6 5" xfId="28729"/>
    <cellStyle name="Heading 2 2 2 2 3 2 2 6 5 2" xfId="28730"/>
    <cellStyle name="Heading 2 2 2 2 3 2 2 6 5 2 2" xfId="28731"/>
    <cellStyle name="Heading 2 2 2 2 3 2 2 6 5 3" xfId="28732"/>
    <cellStyle name="Heading 2 2 2 2 3 2 2 6 6" xfId="28733"/>
    <cellStyle name="Heading 2 2 2 2 3 2 2 6 6 2" xfId="28734"/>
    <cellStyle name="Heading 2 2 2 2 3 2 2 6 6 2 2" xfId="28735"/>
    <cellStyle name="Heading 2 2 2 2 3 2 2 6 6 3" xfId="28736"/>
    <cellStyle name="Heading 2 2 2 2 3 2 2 6 7" xfId="28737"/>
    <cellStyle name="Heading 2 2 2 2 3 2 2 6 7 2" xfId="28738"/>
    <cellStyle name="Heading 2 2 2 2 3 2 2 6 7 2 2" xfId="28739"/>
    <cellStyle name="Heading 2 2 2 2 3 2 2 6 7 3" xfId="28740"/>
    <cellStyle name="Heading 2 2 2 2 3 2 2 6 8" xfId="28741"/>
    <cellStyle name="Heading 2 2 2 2 3 2 2 6 8 2" xfId="28742"/>
    <cellStyle name="Heading 2 2 2 2 3 2 2 6 9" xfId="28743"/>
    <cellStyle name="Heading 2 2 2 2 3 2 2 7" xfId="28744"/>
    <cellStyle name="Heading 2 2 2 2 3 2 2 7 2" xfId="28745"/>
    <cellStyle name="Heading 2 2 2 2 3 2 2 7 2 2" xfId="28746"/>
    <cellStyle name="Heading 2 2 2 2 3 2 2 7 2 2 2" xfId="28747"/>
    <cellStyle name="Heading 2 2 2 2 3 2 2 7 2 3" xfId="28748"/>
    <cellStyle name="Heading 2 2 2 2 3 2 2 7 3" xfId="28749"/>
    <cellStyle name="Heading 2 2 2 2 3 2 2 7 3 2" xfId="28750"/>
    <cellStyle name="Heading 2 2 2 2 3 2 2 7 3 2 2" xfId="28751"/>
    <cellStyle name="Heading 2 2 2 2 3 2 2 7 3 3" xfId="28752"/>
    <cellStyle name="Heading 2 2 2 2 3 2 2 7 4" xfId="28753"/>
    <cellStyle name="Heading 2 2 2 2 3 2 2 7 4 2" xfId="28754"/>
    <cellStyle name="Heading 2 2 2 2 3 2 2 7 4 2 2" xfId="28755"/>
    <cellStyle name="Heading 2 2 2 2 3 2 2 7 4 3" xfId="28756"/>
    <cellStyle name="Heading 2 2 2 2 3 2 2 7 5" xfId="28757"/>
    <cellStyle name="Heading 2 2 2 2 3 2 2 7 5 2" xfId="28758"/>
    <cellStyle name="Heading 2 2 2 2 3 2 2 7 5 2 2" xfId="28759"/>
    <cellStyle name="Heading 2 2 2 2 3 2 2 7 5 3" xfId="28760"/>
    <cellStyle name="Heading 2 2 2 2 3 2 2 7 6" xfId="28761"/>
    <cellStyle name="Heading 2 2 2 2 3 2 2 7 6 2" xfId="28762"/>
    <cellStyle name="Heading 2 2 2 2 3 2 2 7 6 2 2" xfId="28763"/>
    <cellStyle name="Heading 2 2 2 2 3 2 2 7 6 3" xfId="28764"/>
    <cellStyle name="Heading 2 2 2 2 3 2 2 7 7" xfId="28765"/>
    <cellStyle name="Heading 2 2 2 2 3 2 2 7 7 2" xfId="28766"/>
    <cellStyle name="Heading 2 2 2 2 3 2 2 7 7 2 2" xfId="28767"/>
    <cellStyle name="Heading 2 2 2 2 3 2 2 7 7 3" xfId="28768"/>
    <cellStyle name="Heading 2 2 2 2 3 2 2 7 8" xfId="28769"/>
    <cellStyle name="Heading 2 2 2 2 3 2 2 7 8 2" xfId="28770"/>
    <cellStyle name="Heading 2 2 2 2 3 2 2 7 9" xfId="28771"/>
    <cellStyle name="Heading 2 2 2 2 3 2 2 8" xfId="28772"/>
    <cellStyle name="Heading 2 2 2 2 3 2 2 8 2" xfId="28773"/>
    <cellStyle name="Heading 2 2 2 2 3 2 2 8 2 2" xfId="28774"/>
    <cellStyle name="Heading 2 2 2 2 3 2 2 8 2 2 2" xfId="28775"/>
    <cellStyle name="Heading 2 2 2 2 3 2 2 8 2 3" xfId="28776"/>
    <cellStyle name="Heading 2 2 2 2 3 2 2 8 3" xfId="28777"/>
    <cellStyle name="Heading 2 2 2 2 3 2 2 8 3 2" xfId="28778"/>
    <cellStyle name="Heading 2 2 2 2 3 2 2 8 3 2 2" xfId="28779"/>
    <cellStyle name="Heading 2 2 2 2 3 2 2 8 3 3" xfId="28780"/>
    <cellStyle name="Heading 2 2 2 2 3 2 2 8 4" xfId="28781"/>
    <cellStyle name="Heading 2 2 2 2 3 2 2 8 4 2" xfId="28782"/>
    <cellStyle name="Heading 2 2 2 2 3 2 2 8 4 2 2" xfId="28783"/>
    <cellStyle name="Heading 2 2 2 2 3 2 2 8 4 3" xfId="28784"/>
    <cellStyle name="Heading 2 2 2 2 3 2 2 8 5" xfId="28785"/>
    <cellStyle name="Heading 2 2 2 2 3 2 2 8 5 2" xfId="28786"/>
    <cellStyle name="Heading 2 2 2 2 3 2 2 8 5 2 2" xfId="28787"/>
    <cellStyle name="Heading 2 2 2 2 3 2 2 8 5 3" xfId="28788"/>
    <cellStyle name="Heading 2 2 2 2 3 2 2 8 6" xfId="28789"/>
    <cellStyle name="Heading 2 2 2 2 3 2 2 8 6 2" xfId="28790"/>
    <cellStyle name="Heading 2 2 2 2 3 2 2 8 6 2 2" xfId="28791"/>
    <cellStyle name="Heading 2 2 2 2 3 2 2 8 6 3" xfId="28792"/>
    <cellStyle name="Heading 2 2 2 2 3 2 2 8 7" xfId="28793"/>
    <cellStyle name="Heading 2 2 2 2 3 2 2 8 7 2" xfId="28794"/>
    <cellStyle name="Heading 2 2 2 2 3 2 2 8 7 2 2" xfId="28795"/>
    <cellStyle name="Heading 2 2 2 2 3 2 2 8 7 3" xfId="28796"/>
    <cellStyle name="Heading 2 2 2 2 3 2 2 8 8" xfId="28797"/>
    <cellStyle name="Heading 2 2 2 2 3 2 2 8 8 2" xfId="28798"/>
    <cellStyle name="Heading 2 2 2 2 3 2 2 8 9" xfId="28799"/>
    <cellStyle name="Heading 2 2 2 2 3 2 2 9" xfId="28800"/>
    <cellStyle name="Heading 2 2 2 2 3 2 2 9 2" xfId="28801"/>
    <cellStyle name="Heading 2 2 2 2 3 2 2 9 2 2" xfId="28802"/>
    <cellStyle name="Heading 2 2 2 2 3 2 2 9 3" xfId="28803"/>
    <cellStyle name="Heading 2 2 2 2 3 2 20" xfId="28804"/>
    <cellStyle name="Heading 2 2 2 2 3 2 20 2" xfId="28805"/>
    <cellStyle name="Heading 2 2 2 2 3 2 21" xfId="28806"/>
    <cellStyle name="Heading 2 2 2 2 3 2 21 2" xfId="28807"/>
    <cellStyle name="Heading 2 2 2 2 3 2 22" xfId="28808"/>
    <cellStyle name="Heading 2 2 2 2 3 2 22 2" xfId="28809"/>
    <cellStyle name="Heading 2 2 2 2 3 2 23" xfId="28810"/>
    <cellStyle name="Heading 2 2 2 2 3 2 3" xfId="28811"/>
    <cellStyle name="Heading 2 2 2 2 3 2 3 2" xfId="28812"/>
    <cellStyle name="Heading 2 2 2 2 3 2 3 2 2" xfId="28813"/>
    <cellStyle name="Heading 2 2 2 2 3 2 3 2 2 2" xfId="28814"/>
    <cellStyle name="Heading 2 2 2 2 3 2 3 2 3" xfId="28815"/>
    <cellStyle name="Heading 2 2 2 2 3 2 3 3" xfId="28816"/>
    <cellStyle name="Heading 2 2 2 2 3 2 3 3 2" xfId="28817"/>
    <cellStyle name="Heading 2 2 2 2 3 2 3 3 2 2" xfId="28818"/>
    <cellStyle name="Heading 2 2 2 2 3 2 3 3 3" xfId="28819"/>
    <cellStyle name="Heading 2 2 2 2 3 2 3 4" xfId="28820"/>
    <cellStyle name="Heading 2 2 2 2 3 2 3 4 2" xfId="28821"/>
    <cellStyle name="Heading 2 2 2 2 3 2 3 4 2 2" xfId="28822"/>
    <cellStyle name="Heading 2 2 2 2 3 2 3 4 3" xfId="28823"/>
    <cellStyle name="Heading 2 2 2 2 3 2 3 5" xfId="28824"/>
    <cellStyle name="Heading 2 2 2 2 3 2 3 5 2" xfId="28825"/>
    <cellStyle name="Heading 2 2 2 2 3 2 3 5 2 2" xfId="28826"/>
    <cellStyle name="Heading 2 2 2 2 3 2 3 5 3" xfId="28827"/>
    <cellStyle name="Heading 2 2 2 2 3 2 3 6" xfId="28828"/>
    <cellStyle name="Heading 2 2 2 2 3 2 3 6 2" xfId="28829"/>
    <cellStyle name="Heading 2 2 2 2 3 2 3 6 2 2" xfId="28830"/>
    <cellStyle name="Heading 2 2 2 2 3 2 3 6 3" xfId="28831"/>
    <cellStyle name="Heading 2 2 2 2 3 2 3 7" xfId="28832"/>
    <cellStyle name="Heading 2 2 2 2 3 2 3 7 2" xfId="28833"/>
    <cellStyle name="Heading 2 2 2 2 3 2 3 7 2 2" xfId="28834"/>
    <cellStyle name="Heading 2 2 2 2 3 2 3 7 3" xfId="28835"/>
    <cellStyle name="Heading 2 2 2 2 3 2 3 8" xfId="28836"/>
    <cellStyle name="Heading 2 2 2 2 3 2 3 8 2" xfId="28837"/>
    <cellStyle name="Heading 2 2 2 2 3 2 3 9" xfId="28838"/>
    <cellStyle name="Heading 2 2 2 2 3 2 4" xfId="28839"/>
    <cellStyle name="Heading 2 2 2 2 3 2 4 2" xfId="28840"/>
    <cellStyle name="Heading 2 2 2 2 3 2 4 2 2" xfId="28841"/>
    <cellStyle name="Heading 2 2 2 2 3 2 4 2 2 2" xfId="28842"/>
    <cellStyle name="Heading 2 2 2 2 3 2 4 2 3" xfId="28843"/>
    <cellStyle name="Heading 2 2 2 2 3 2 4 3" xfId="28844"/>
    <cellStyle name="Heading 2 2 2 2 3 2 4 3 2" xfId="28845"/>
    <cellStyle name="Heading 2 2 2 2 3 2 4 3 2 2" xfId="28846"/>
    <cellStyle name="Heading 2 2 2 2 3 2 4 3 3" xfId="28847"/>
    <cellStyle name="Heading 2 2 2 2 3 2 4 4" xfId="28848"/>
    <cellStyle name="Heading 2 2 2 2 3 2 4 4 2" xfId="28849"/>
    <cellStyle name="Heading 2 2 2 2 3 2 4 4 2 2" xfId="28850"/>
    <cellStyle name="Heading 2 2 2 2 3 2 4 4 3" xfId="28851"/>
    <cellStyle name="Heading 2 2 2 2 3 2 4 5" xfId="28852"/>
    <cellStyle name="Heading 2 2 2 2 3 2 4 5 2" xfId="28853"/>
    <cellStyle name="Heading 2 2 2 2 3 2 4 5 2 2" xfId="28854"/>
    <cellStyle name="Heading 2 2 2 2 3 2 4 5 3" xfId="28855"/>
    <cellStyle name="Heading 2 2 2 2 3 2 4 6" xfId="28856"/>
    <cellStyle name="Heading 2 2 2 2 3 2 4 6 2" xfId="28857"/>
    <cellStyle name="Heading 2 2 2 2 3 2 4 6 2 2" xfId="28858"/>
    <cellStyle name="Heading 2 2 2 2 3 2 4 6 3" xfId="28859"/>
    <cellStyle name="Heading 2 2 2 2 3 2 4 7" xfId="28860"/>
    <cellStyle name="Heading 2 2 2 2 3 2 4 7 2" xfId="28861"/>
    <cellStyle name="Heading 2 2 2 2 3 2 4 7 2 2" xfId="28862"/>
    <cellStyle name="Heading 2 2 2 2 3 2 4 7 3" xfId="28863"/>
    <cellStyle name="Heading 2 2 2 2 3 2 4 8" xfId="28864"/>
    <cellStyle name="Heading 2 2 2 2 3 2 4 8 2" xfId="28865"/>
    <cellStyle name="Heading 2 2 2 2 3 2 4 9" xfId="28866"/>
    <cellStyle name="Heading 2 2 2 2 3 2 5" xfId="28867"/>
    <cellStyle name="Heading 2 2 2 2 3 2 5 2" xfId="28868"/>
    <cellStyle name="Heading 2 2 2 2 3 2 5 2 2" xfId="28869"/>
    <cellStyle name="Heading 2 2 2 2 3 2 5 2 2 2" xfId="28870"/>
    <cellStyle name="Heading 2 2 2 2 3 2 5 2 3" xfId="28871"/>
    <cellStyle name="Heading 2 2 2 2 3 2 5 3" xfId="28872"/>
    <cellStyle name="Heading 2 2 2 2 3 2 5 3 2" xfId="28873"/>
    <cellStyle name="Heading 2 2 2 2 3 2 5 3 2 2" xfId="28874"/>
    <cellStyle name="Heading 2 2 2 2 3 2 5 3 3" xfId="28875"/>
    <cellStyle name="Heading 2 2 2 2 3 2 5 4" xfId="28876"/>
    <cellStyle name="Heading 2 2 2 2 3 2 5 4 2" xfId="28877"/>
    <cellStyle name="Heading 2 2 2 2 3 2 5 4 2 2" xfId="28878"/>
    <cellStyle name="Heading 2 2 2 2 3 2 5 4 3" xfId="28879"/>
    <cellStyle name="Heading 2 2 2 2 3 2 5 5" xfId="28880"/>
    <cellStyle name="Heading 2 2 2 2 3 2 5 5 2" xfId="28881"/>
    <cellStyle name="Heading 2 2 2 2 3 2 5 5 2 2" xfId="28882"/>
    <cellStyle name="Heading 2 2 2 2 3 2 5 5 3" xfId="28883"/>
    <cellStyle name="Heading 2 2 2 2 3 2 5 6" xfId="28884"/>
    <cellStyle name="Heading 2 2 2 2 3 2 5 6 2" xfId="28885"/>
    <cellStyle name="Heading 2 2 2 2 3 2 5 6 2 2" xfId="28886"/>
    <cellStyle name="Heading 2 2 2 2 3 2 5 6 3" xfId="28887"/>
    <cellStyle name="Heading 2 2 2 2 3 2 5 7" xfId="28888"/>
    <cellStyle name="Heading 2 2 2 2 3 2 5 7 2" xfId="28889"/>
    <cellStyle name="Heading 2 2 2 2 3 2 5 7 2 2" xfId="28890"/>
    <cellStyle name="Heading 2 2 2 2 3 2 5 7 3" xfId="28891"/>
    <cellStyle name="Heading 2 2 2 2 3 2 5 8" xfId="28892"/>
    <cellStyle name="Heading 2 2 2 2 3 2 5 8 2" xfId="28893"/>
    <cellStyle name="Heading 2 2 2 2 3 2 5 9" xfId="28894"/>
    <cellStyle name="Heading 2 2 2 2 3 2 6" xfId="28895"/>
    <cellStyle name="Heading 2 2 2 2 3 2 6 2" xfId="28896"/>
    <cellStyle name="Heading 2 2 2 2 3 2 6 2 2" xfId="28897"/>
    <cellStyle name="Heading 2 2 2 2 3 2 6 2 2 2" xfId="28898"/>
    <cellStyle name="Heading 2 2 2 2 3 2 6 2 3" xfId="28899"/>
    <cellStyle name="Heading 2 2 2 2 3 2 6 3" xfId="28900"/>
    <cellStyle name="Heading 2 2 2 2 3 2 6 3 2" xfId="28901"/>
    <cellStyle name="Heading 2 2 2 2 3 2 6 3 2 2" xfId="28902"/>
    <cellStyle name="Heading 2 2 2 2 3 2 6 3 3" xfId="28903"/>
    <cellStyle name="Heading 2 2 2 2 3 2 6 4" xfId="28904"/>
    <cellStyle name="Heading 2 2 2 2 3 2 6 4 2" xfId="28905"/>
    <cellStyle name="Heading 2 2 2 2 3 2 6 4 2 2" xfId="28906"/>
    <cellStyle name="Heading 2 2 2 2 3 2 6 4 3" xfId="28907"/>
    <cellStyle name="Heading 2 2 2 2 3 2 6 5" xfId="28908"/>
    <cellStyle name="Heading 2 2 2 2 3 2 6 5 2" xfId="28909"/>
    <cellStyle name="Heading 2 2 2 2 3 2 6 5 2 2" xfId="28910"/>
    <cellStyle name="Heading 2 2 2 2 3 2 6 5 3" xfId="28911"/>
    <cellStyle name="Heading 2 2 2 2 3 2 6 6" xfId="28912"/>
    <cellStyle name="Heading 2 2 2 2 3 2 6 6 2" xfId="28913"/>
    <cellStyle name="Heading 2 2 2 2 3 2 6 6 2 2" xfId="28914"/>
    <cellStyle name="Heading 2 2 2 2 3 2 6 6 3" xfId="28915"/>
    <cellStyle name="Heading 2 2 2 2 3 2 6 7" xfId="28916"/>
    <cellStyle name="Heading 2 2 2 2 3 2 6 7 2" xfId="28917"/>
    <cellStyle name="Heading 2 2 2 2 3 2 6 7 2 2" xfId="28918"/>
    <cellStyle name="Heading 2 2 2 2 3 2 6 7 3" xfId="28919"/>
    <cellStyle name="Heading 2 2 2 2 3 2 6 8" xfId="28920"/>
    <cellStyle name="Heading 2 2 2 2 3 2 6 8 2" xfId="28921"/>
    <cellStyle name="Heading 2 2 2 2 3 2 6 9" xfId="28922"/>
    <cellStyle name="Heading 2 2 2 2 3 2 7" xfId="28923"/>
    <cellStyle name="Heading 2 2 2 2 3 2 7 2" xfId="28924"/>
    <cellStyle name="Heading 2 2 2 2 3 2 7 2 2" xfId="28925"/>
    <cellStyle name="Heading 2 2 2 2 3 2 7 2 2 2" xfId="28926"/>
    <cellStyle name="Heading 2 2 2 2 3 2 7 2 3" xfId="28927"/>
    <cellStyle name="Heading 2 2 2 2 3 2 7 3" xfId="28928"/>
    <cellStyle name="Heading 2 2 2 2 3 2 7 3 2" xfId="28929"/>
    <cellStyle name="Heading 2 2 2 2 3 2 7 3 2 2" xfId="28930"/>
    <cellStyle name="Heading 2 2 2 2 3 2 7 3 3" xfId="28931"/>
    <cellStyle name="Heading 2 2 2 2 3 2 7 4" xfId="28932"/>
    <cellStyle name="Heading 2 2 2 2 3 2 7 4 2" xfId="28933"/>
    <cellStyle name="Heading 2 2 2 2 3 2 7 4 2 2" xfId="28934"/>
    <cellStyle name="Heading 2 2 2 2 3 2 7 4 3" xfId="28935"/>
    <cellStyle name="Heading 2 2 2 2 3 2 7 5" xfId="28936"/>
    <cellStyle name="Heading 2 2 2 2 3 2 7 5 2" xfId="28937"/>
    <cellStyle name="Heading 2 2 2 2 3 2 7 5 2 2" xfId="28938"/>
    <cellStyle name="Heading 2 2 2 2 3 2 7 5 3" xfId="28939"/>
    <cellStyle name="Heading 2 2 2 2 3 2 7 6" xfId="28940"/>
    <cellStyle name="Heading 2 2 2 2 3 2 7 6 2" xfId="28941"/>
    <cellStyle name="Heading 2 2 2 2 3 2 7 6 2 2" xfId="28942"/>
    <cellStyle name="Heading 2 2 2 2 3 2 7 6 3" xfId="28943"/>
    <cellStyle name="Heading 2 2 2 2 3 2 7 7" xfId="28944"/>
    <cellStyle name="Heading 2 2 2 2 3 2 7 7 2" xfId="28945"/>
    <cellStyle name="Heading 2 2 2 2 3 2 7 7 2 2" xfId="28946"/>
    <cellStyle name="Heading 2 2 2 2 3 2 7 7 3" xfId="28947"/>
    <cellStyle name="Heading 2 2 2 2 3 2 7 8" xfId="28948"/>
    <cellStyle name="Heading 2 2 2 2 3 2 7 8 2" xfId="28949"/>
    <cellStyle name="Heading 2 2 2 2 3 2 7 9" xfId="28950"/>
    <cellStyle name="Heading 2 2 2 2 3 2 8" xfId="28951"/>
    <cellStyle name="Heading 2 2 2 2 3 2 8 2" xfId="28952"/>
    <cellStyle name="Heading 2 2 2 2 3 2 8 2 2" xfId="28953"/>
    <cellStyle name="Heading 2 2 2 2 3 2 8 2 2 2" xfId="28954"/>
    <cellStyle name="Heading 2 2 2 2 3 2 8 2 3" xfId="28955"/>
    <cellStyle name="Heading 2 2 2 2 3 2 8 3" xfId="28956"/>
    <cellStyle name="Heading 2 2 2 2 3 2 8 3 2" xfId="28957"/>
    <cellStyle name="Heading 2 2 2 2 3 2 8 3 2 2" xfId="28958"/>
    <cellStyle name="Heading 2 2 2 2 3 2 8 3 3" xfId="28959"/>
    <cellStyle name="Heading 2 2 2 2 3 2 8 4" xfId="28960"/>
    <cellStyle name="Heading 2 2 2 2 3 2 8 4 2" xfId="28961"/>
    <cellStyle name="Heading 2 2 2 2 3 2 8 4 2 2" xfId="28962"/>
    <cellStyle name="Heading 2 2 2 2 3 2 8 4 3" xfId="28963"/>
    <cellStyle name="Heading 2 2 2 2 3 2 8 5" xfId="28964"/>
    <cellStyle name="Heading 2 2 2 2 3 2 8 5 2" xfId="28965"/>
    <cellStyle name="Heading 2 2 2 2 3 2 8 5 2 2" xfId="28966"/>
    <cellStyle name="Heading 2 2 2 2 3 2 8 5 3" xfId="28967"/>
    <cellStyle name="Heading 2 2 2 2 3 2 8 6" xfId="28968"/>
    <cellStyle name="Heading 2 2 2 2 3 2 8 6 2" xfId="28969"/>
    <cellStyle name="Heading 2 2 2 2 3 2 8 6 2 2" xfId="28970"/>
    <cellStyle name="Heading 2 2 2 2 3 2 8 6 3" xfId="28971"/>
    <cellStyle name="Heading 2 2 2 2 3 2 8 7" xfId="28972"/>
    <cellStyle name="Heading 2 2 2 2 3 2 8 7 2" xfId="28973"/>
    <cellStyle name="Heading 2 2 2 2 3 2 8 7 2 2" xfId="28974"/>
    <cellStyle name="Heading 2 2 2 2 3 2 8 7 3" xfId="28975"/>
    <cellStyle name="Heading 2 2 2 2 3 2 8 8" xfId="28976"/>
    <cellStyle name="Heading 2 2 2 2 3 2 8 8 2" xfId="28977"/>
    <cellStyle name="Heading 2 2 2 2 3 2 8 9" xfId="28978"/>
    <cellStyle name="Heading 2 2 2 2 3 2 9" xfId="28979"/>
    <cellStyle name="Heading 2 2 2 2 3 2 9 2" xfId="28980"/>
    <cellStyle name="Heading 2 2 2 2 3 2 9 2 2" xfId="28981"/>
    <cellStyle name="Heading 2 2 2 2 3 2 9 2 2 2" xfId="28982"/>
    <cellStyle name="Heading 2 2 2 2 3 2 9 2 3" xfId="28983"/>
    <cellStyle name="Heading 2 2 2 2 3 2 9 3" xfId="28984"/>
    <cellStyle name="Heading 2 2 2 2 3 2 9 3 2" xfId="28985"/>
    <cellStyle name="Heading 2 2 2 2 3 2 9 3 2 2" xfId="28986"/>
    <cellStyle name="Heading 2 2 2 2 3 2 9 3 3" xfId="28987"/>
    <cellStyle name="Heading 2 2 2 2 3 2 9 4" xfId="28988"/>
    <cellStyle name="Heading 2 2 2 2 3 2 9 4 2" xfId="28989"/>
    <cellStyle name="Heading 2 2 2 2 3 2 9 4 2 2" xfId="28990"/>
    <cellStyle name="Heading 2 2 2 2 3 2 9 4 3" xfId="28991"/>
    <cellStyle name="Heading 2 2 2 2 3 2 9 5" xfId="28992"/>
    <cellStyle name="Heading 2 2 2 2 3 2 9 5 2" xfId="28993"/>
    <cellStyle name="Heading 2 2 2 2 3 2 9 5 2 2" xfId="28994"/>
    <cellStyle name="Heading 2 2 2 2 3 2 9 5 3" xfId="28995"/>
    <cellStyle name="Heading 2 2 2 2 3 2 9 6" xfId="28996"/>
    <cellStyle name="Heading 2 2 2 2 3 2 9 6 2" xfId="28997"/>
    <cellStyle name="Heading 2 2 2 2 3 2 9 6 2 2" xfId="28998"/>
    <cellStyle name="Heading 2 2 2 2 3 2 9 6 3" xfId="28999"/>
    <cellStyle name="Heading 2 2 2 2 3 2 9 7" xfId="29000"/>
    <cellStyle name="Heading 2 2 2 2 3 2 9 7 2" xfId="29001"/>
    <cellStyle name="Heading 2 2 2 2 3 2 9 7 2 2" xfId="29002"/>
    <cellStyle name="Heading 2 2 2 2 3 2 9 7 3" xfId="29003"/>
    <cellStyle name="Heading 2 2 2 2 3 2 9 8" xfId="29004"/>
    <cellStyle name="Heading 2 2 2 2 3 2 9 8 2" xfId="29005"/>
    <cellStyle name="Heading 2 2 2 2 3 2 9 9" xfId="29006"/>
    <cellStyle name="Heading 2 2 2 2 3 3" xfId="29007"/>
    <cellStyle name="Heading 2 2 2 2 3 3 10" xfId="29008"/>
    <cellStyle name="Heading 2 2 2 2 3 3 10 2" xfId="29009"/>
    <cellStyle name="Heading 2 2 2 2 3 3 10 2 2" xfId="29010"/>
    <cellStyle name="Heading 2 2 2 2 3 3 10 3" xfId="29011"/>
    <cellStyle name="Heading 2 2 2 2 3 3 11" xfId="29012"/>
    <cellStyle name="Heading 2 2 2 2 3 3 11 2" xfId="29013"/>
    <cellStyle name="Heading 2 2 2 2 3 3 11 2 2" xfId="29014"/>
    <cellStyle name="Heading 2 2 2 2 3 3 11 3" xfId="29015"/>
    <cellStyle name="Heading 2 2 2 2 3 3 12" xfId="29016"/>
    <cellStyle name="Heading 2 2 2 2 3 3 12 2" xfId="29017"/>
    <cellStyle name="Heading 2 2 2 2 3 3 12 2 2" xfId="29018"/>
    <cellStyle name="Heading 2 2 2 2 3 3 12 3" xfId="29019"/>
    <cellStyle name="Heading 2 2 2 2 3 3 13" xfId="29020"/>
    <cellStyle name="Heading 2 2 2 2 3 3 13 2" xfId="29021"/>
    <cellStyle name="Heading 2 2 2 2 3 3 13 2 2" xfId="29022"/>
    <cellStyle name="Heading 2 2 2 2 3 3 13 3" xfId="29023"/>
    <cellStyle name="Heading 2 2 2 2 3 3 14" xfId="29024"/>
    <cellStyle name="Heading 2 2 2 2 3 3 14 2" xfId="29025"/>
    <cellStyle name="Heading 2 2 2 2 3 3 14 2 2" xfId="29026"/>
    <cellStyle name="Heading 2 2 2 2 3 3 14 3" xfId="29027"/>
    <cellStyle name="Heading 2 2 2 2 3 3 15" xfId="29028"/>
    <cellStyle name="Heading 2 2 2 2 3 3 15 2" xfId="29029"/>
    <cellStyle name="Heading 2 2 2 2 3 3 15 2 2" xfId="29030"/>
    <cellStyle name="Heading 2 2 2 2 3 3 15 3" xfId="29031"/>
    <cellStyle name="Heading 2 2 2 2 3 3 16" xfId="29032"/>
    <cellStyle name="Heading 2 2 2 2 3 3 16 2" xfId="29033"/>
    <cellStyle name="Heading 2 2 2 2 3 3 16 2 2" xfId="29034"/>
    <cellStyle name="Heading 2 2 2 2 3 3 16 3" xfId="29035"/>
    <cellStyle name="Heading 2 2 2 2 3 3 17" xfId="29036"/>
    <cellStyle name="Heading 2 2 2 2 3 3 17 2" xfId="29037"/>
    <cellStyle name="Heading 2 2 2 2 3 3 17 2 2" xfId="29038"/>
    <cellStyle name="Heading 2 2 2 2 3 3 17 3" xfId="29039"/>
    <cellStyle name="Heading 2 2 2 2 3 3 18" xfId="29040"/>
    <cellStyle name="Heading 2 2 2 2 3 3 18 2" xfId="29041"/>
    <cellStyle name="Heading 2 2 2 2 3 3 18 2 2" xfId="29042"/>
    <cellStyle name="Heading 2 2 2 2 3 3 18 3" xfId="29043"/>
    <cellStyle name="Heading 2 2 2 2 3 3 19" xfId="29044"/>
    <cellStyle name="Heading 2 2 2 2 3 3 19 2" xfId="29045"/>
    <cellStyle name="Heading 2 2 2 2 3 3 2" xfId="29046"/>
    <cellStyle name="Heading 2 2 2 2 3 3 2 2" xfId="29047"/>
    <cellStyle name="Heading 2 2 2 2 3 3 2 2 2" xfId="29048"/>
    <cellStyle name="Heading 2 2 2 2 3 3 2 2 2 2" xfId="29049"/>
    <cellStyle name="Heading 2 2 2 2 3 3 2 2 3" xfId="29050"/>
    <cellStyle name="Heading 2 2 2 2 3 3 2 3" xfId="29051"/>
    <cellStyle name="Heading 2 2 2 2 3 3 2 3 2" xfId="29052"/>
    <cellStyle name="Heading 2 2 2 2 3 3 2 3 2 2" xfId="29053"/>
    <cellStyle name="Heading 2 2 2 2 3 3 2 3 3" xfId="29054"/>
    <cellStyle name="Heading 2 2 2 2 3 3 2 4" xfId="29055"/>
    <cellStyle name="Heading 2 2 2 2 3 3 2 4 2" xfId="29056"/>
    <cellStyle name="Heading 2 2 2 2 3 3 2 4 2 2" xfId="29057"/>
    <cellStyle name="Heading 2 2 2 2 3 3 2 4 3" xfId="29058"/>
    <cellStyle name="Heading 2 2 2 2 3 3 2 5" xfId="29059"/>
    <cellStyle name="Heading 2 2 2 2 3 3 2 5 2" xfId="29060"/>
    <cellStyle name="Heading 2 2 2 2 3 3 2 5 2 2" xfId="29061"/>
    <cellStyle name="Heading 2 2 2 2 3 3 2 5 3" xfId="29062"/>
    <cellStyle name="Heading 2 2 2 2 3 3 2 6" xfId="29063"/>
    <cellStyle name="Heading 2 2 2 2 3 3 2 6 2" xfId="29064"/>
    <cellStyle name="Heading 2 2 2 2 3 3 2 6 2 2" xfId="29065"/>
    <cellStyle name="Heading 2 2 2 2 3 3 2 6 3" xfId="29066"/>
    <cellStyle name="Heading 2 2 2 2 3 3 2 7" xfId="29067"/>
    <cellStyle name="Heading 2 2 2 2 3 3 2 7 2" xfId="29068"/>
    <cellStyle name="Heading 2 2 2 2 3 3 2 7 2 2" xfId="29069"/>
    <cellStyle name="Heading 2 2 2 2 3 3 2 7 3" xfId="29070"/>
    <cellStyle name="Heading 2 2 2 2 3 3 2 8" xfId="29071"/>
    <cellStyle name="Heading 2 2 2 2 3 3 2 8 2" xfId="29072"/>
    <cellStyle name="Heading 2 2 2 2 3 3 2 9" xfId="29073"/>
    <cellStyle name="Heading 2 2 2 2 3 3 20" xfId="29074"/>
    <cellStyle name="Heading 2 2 2 2 3 3 20 2" xfId="29075"/>
    <cellStyle name="Heading 2 2 2 2 3 3 21" xfId="29076"/>
    <cellStyle name="Heading 2 2 2 2 3 3 21 2" xfId="29077"/>
    <cellStyle name="Heading 2 2 2 2 3 3 22" xfId="29078"/>
    <cellStyle name="Heading 2 2 2 2 3 3 3" xfId="29079"/>
    <cellStyle name="Heading 2 2 2 2 3 3 3 2" xfId="29080"/>
    <cellStyle name="Heading 2 2 2 2 3 3 3 2 2" xfId="29081"/>
    <cellStyle name="Heading 2 2 2 2 3 3 3 2 2 2" xfId="29082"/>
    <cellStyle name="Heading 2 2 2 2 3 3 3 2 3" xfId="29083"/>
    <cellStyle name="Heading 2 2 2 2 3 3 3 3" xfId="29084"/>
    <cellStyle name="Heading 2 2 2 2 3 3 3 3 2" xfId="29085"/>
    <cellStyle name="Heading 2 2 2 2 3 3 3 3 2 2" xfId="29086"/>
    <cellStyle name="Heading 2 2 2 2 3 3 3 3 3" xfId="29087"/>
    <cellStyle name="Heading 2 2 2 2 3 3 3 4" xfId="29088"/>
    <cellStyle name="Heading 2 2 2 2 3 3 3 4 2" xfId="29089"/>
    <cellStyle name="Heading 2 2 2 2 3 3 3 4 2 2" xfId="29090"/>
    <cellStyle name="Heading 2 2 2 2 3 3 3 4 3" xfId="29091"/>
    <cellStyle name="Heading 2 2 2 2 3 3 3 5" xfId="29092"/>
    <cellStyle name="Heading 2 2 2 2 3 3 3 5 2" xfId="29093"/>
    <cellStyle name="Heading 2 2 2 2 3 3 3 5 2 2" xfId="29094"/>
    <cellStyle name="Heading 2 2 2 2 3 3 3 5 3" xfId="29095"/>
    <cellStyle name="Heading 2 2 2 2 3 3 3 6" xfId="29096"/>
    <cellStyle name="Heading 2 2 2 2 3 3 3 6 2" xfId="29097"/>
    <cellStyle name="Heading 2 2 2 2 3 3 3 6 2 2" xfId="29098"/>
    <cellStyle name="Heading 2 2 2 2 3 3 3 6 3" xfId="29099"/>
    <cellStyle name="Heading 2 2 2 2 3 3 3 7" xfId="29100"/>
    <cellStyle name="Heading 2 2 2 2 3 3 3 7 2" xfId="29101"/>
    <cellStyle name="Heading 2 2 2 2 3 3 3 7 2 2" xfId="29102"/>
    <cellStyle name="Heading 2 2 2 2 3 3 3 7 3" xfId="29103"/>
    <cellStyle name="Heading 2 2 2 2 3 3 3 8" xfId="29104"/>
    <cellStyle name="Heading 2 2 2 2 3 3 3 8 2" xfId="29105"/>
    <cellStyle name="Heading 2 2 2 2 3 3 3 9" xfId="29106"/>
    <cellStyle name="Heading 2 2 2 2 3 3 4" xfId="29107"/>
    <cellStyle name="Heading 2 2 2 2 3 3 4 2" xfId="29108"/>
    <cellStyle name="Heading 2 2 2 2 3 3 4 2 2" xfId="29109"/>
    <cellStyle name="Heading 2 2 2 2 3 3 4 2 2 2" xfId="29110"/>
    <cellStyle name="Heading 2 2 2 2 3 3 4 2 3" xfId="29111"/>
    <cellStyle name="Heading 2 2 2 2 3 3 4 3" xfId="29112"/>
    <cellStyle name="Heading 2 2 2 2 3 3 4 3 2" xfId="29113"/>
    <cellStyle name="Heading 2 2 2 2 3 3 4 3 2 2" xfId="29114"/>
    <cellStyle name="Heading 2 2 2 2 3 3 4 3 3" xfId="29115"/>
    <cellStyle name="Heading 2 2 2 2 3 3 4 4" xfId="29116"/>
    <cellStyle name="Heading 2 2 2 2 3 3 4 4 2" xfId="29117"/>
    <cellStyle name="Heading 2 2 2 2 3 3 4 4 2 2" xfId="29118"/>
    <cellStyle name="Heading 2 2 2 2 3 3 4 4 3" xfId="29119"/>
    <cellStyle name="Heading 2 2 2 2 3 3 4 5" xfId="29120"/>
    <cellStyle name="Heading 2 2 2 2 3 3 4 5 2" xfId="29121"/>
    <cellStyle name="Heading 2 2 2 2 3 3 4 5 2 2" xfId="29122"/>
    <cellStyle name="Heading 2 2 2 2 3 3 4 5 3" xfId="29123"/>
    <cellStyle name="Heading 2 2 2 2 3 3 4 6" xfId="29124"/>
    <cellStyle name="Heading 2 2 2 2 3 3 4 6 2" xfId="29125"/>
    <cellStyle name="Heading 2 2 2 2 3 3 4 6 2 2" xfId="29126"/>
    <cellStyle name="Heading 2 2 2 2 3 3 4 6 3" xfId="29127"/>
    <cellStyle name="Heading 2 2 2 2 3 3 4 7" xfId="29128"/>
    <cellStyle name="Heading 2 2 2 2 3 3 4 7 2" xfId="29129"/>
    <cellStyle name="Heading 2 2 2 2 3 3 4 7 2 2" xfId="29130"/>
    <cellStyle name="Heading 2 2 2 2 3 3 4 7 3" xfId="29131"/>
    <cellStyle name="Heading 2 2 2 2 3 3 4 8" xfId="29132"/>
    <cellStyle name="Heading 2 2 2 2 3 3 4 8 2" xfId="29133"/>
    <cellStyle name="Heading 2 2 2 2 3 3 4 9" xfId="29134"/>
    <cellStyle name="Heading 2 2 2 2 3 3 5" xfId="29135"/>
    <cellStyle name="Heading 2 2 2 2 3 3 5 2" xfId="29136"/>
    <cellStyle name="Heading 2 2 2 2 3 3 5 2 2" xfId="29137"/>
    <cellStyle name="Heading 2 2 2 2 3 3 5 2 2 2" xfId="29138"/>
    <cellStyle name="Heading 2 2 2 2 3 3 5 2 3" xfId="29139"/>
    <cellStyle name="Heading 2 2 2 2 3 3 5 3" xfId="29140"/>
    <cellStyle name="Heading 2 2 2 2 3 3 5 3 2" xfId="29141"/>
    <cellStyle name="Heading 2 2 2 2 3 3 5 3 2 2" xfId="29142"/>
    <cellStyle name="Heading 2 2 2 2 3 3 5 3 3" xfId="29143"/>
    <cellStyle name="Heading 2 2 2 2 3 3 5 4" xfId="29144"/>
    <cellStyle name="Heading 2 2 2 2 3 3 5 4 2" xfId="29145"/>
    <cellStyle name="Heading 2 2 2 2 3 3 5 4 2 2" xfId="29146"/>
    <cellStyle name="Heading 2 2 2 2 3 3 5 4 3" xfId="29147"/>
    <cellStyle name="Heading 2 2 2 2 3 3 5 5" xfId="29148"/>
    <cellStyle name="Heading 2 2 2 2 3 3 5 5 2" xfId="29149"/>
    <cellStyle name="Heading 2 2 2 2 3 3 5 5 2 2" xfId="29150"/>
    <cellStyle name="Heading 2 2 2 2 3 3 5 5 3" xfId="29151"/>
    <cellStyle name="Heading 2 2 2 2 3 3 5 6" xfId="29152"/>
    <cellStyle name="Heading 2 2 2 2 3 3 5 6 2" xfId="29153"/>
    <cellStyle name="Heading 2 2 2 2 3 3 5 6 2 2" xfId="29154"/>
    <cellStyle name="Heading 2 2 2 2 3 3 5 6 3" xfId="29155"/>
    <cellStyle name="Heading 2 2 2 2 3 3 5 7" xfId="29156"/>
    <cellStyle name="Heading 2 2 2 2 3 3 5 7 2" xfId="29157"/>
    <cellStyle name="Heading 2 2 2 2 3 3 5 7 2 2" xfId="29158"/>
    <cellStyle name="Heading 2 2 2 2 3 3 5 7 3" xfId="29159"/>
    <cellStyle name="Heading 2 2 2 2 3 3 5 8" xfId="29160"/>
    <cellStyle name="Heading 2 2 2 2 3 3 5 8 2" xfId="29161"/>
    <cellStyle name="Heading 2 2 2 2 3 3 5 9" xfId="29162"/>
    <cellStyle name="Heading 2 2 2 2 3 3 6" xfId="29163"/>
    <cellStyle name="Heading 2 2 2 2 3 3 6 2" xfId="29164"/>
    <cellStyle name="Heading 2 2 2 2 3 3 6 2 2" xfId="29165"/>
    <cellStyle name="Heading 2 2 2 2 3 3 6 2 2 2" xfId="29166"/>
    <cellStyle name="Heading 2 2 2 2 3 3 6 2 3" xfId="29167"/>
    <cellStyle name="Heading 2 2 2 2 3 3 6 3" xfId="29168"/>
    <cellStyle name="Heading 2 2 2 2 3 3 6 3 2" xfId="29169"/>
    <cellStyle name="Heading 2 2 2 2 3 3 6 3 2 2" xfId="29170"/>
    <cellStyle name="Heading 2 2 2 2 3 3 6 3 3" xfId="29171"/>
    <cellStyle name="Heading 2 2 2 2 3 3 6 4" xfId="29172"/>
    <cellStyle name="Heading 2 2 2 2 3 3 6 4 2" xfId="29173"/>
    <cellStyle name="Heading 2 2 2 2 3 3 6 4 2 2" xfId="29174"/>
    <cellStyle name="Heading 2 2 2 2 3 3 6 4 3" xfId="29175"/>
    <cellStyle name="Heading 2 2 2 2 3 3 6 5" xfId="29176"/>
    <cellStyle name="Heading 2 2 2 2 3 3 6 5 2" xfId="29177"/>
    <cellStyle name="Heading 2 2 2 2 3 3 6 5 2 2" xfId="29178"/>
    <cellStyle name="Heading 2 2 2 2 3 3 6 5 3" xfId="29179"/>
    <cellStyle name="Heading 2 2 2 2 3 3 6 6" xfId="29180"/>
    <cellStyle name="Heading 2 2 2 2 3 3 6 6 2" xfId="29181"/>
    <cellStyle name="Heading 2 2 2 2 3 3 6 6 2 2" xfId="29182"/>
    <cellStyle name="Heading 2 2 2 2 3 3 6 6 3" xfId="29183"/>
    <cellStyle name="Heading 2 2 2 2 3 3 6 7" xfId="29184"/>
    <cellStyle name="Heading 2 2 2 2 3 3 6 7 2" xfId="29185"/>
    <cellStyle name="Heading 2 2 2 2 3 3 6 7 2 2" xfId="29186"/>
    <cellStyle name="Heading 2 2 2 2 3 3 6 7 3" xfId="29187"/>
    <cellStyle name="Heading 2 2 2 2 3 3 6 8" xfId="29188"/>
    <cellStyle name="Heading 2 2 2 2 3 3 6 8 2" xfId="29189"/>
    <cellStyle name="Heading 2 2 2 2 3 3 6 9" xfId="29190"/>
    <cellStyle name="Heading 2 2 2 2 3 3 7" xfId="29191"/>
    <cellStyle name="Heading 2 2 2 2 3 3 7 2" xfId="29192"/>
    <cellStyle name="Heading 2 2 2 2 3 3 7 2 2" xfId="29193"/>
    <cellStyle name="Heading 2 2 2 2 3 3 7 2 2 2" xfId="29194"/>
    <cellStyle name="Heading 2 2 2 2 3 3 7 2 3" xfId="29195"/>
    <cellStyle name="Heading 2 2 2 2 3 3 7 3" xfId="29196"/>
    <cellStyle name="Heading 2 2 2 2 3 3 7 3 2" xfId="29197"/>
    <cellStyle name="Heading 2 2 2 2 3 3 7 3 2 2" xfId="29198"/>
    <cellStyle name="Heading 2 2 2 2 3 3 7 3 3" xfId="29199"/>
    <cellStyle name="Heading 2 2 2 2 3 3 7 4" xfId="29200"/>
    <cellStyle name="Heading 2 2 2 2 3 3 7 4 2" xfId="29201"/>
    <cellStyle name="Heading 2 2 2 2 3 3 7 4 2 2" xfId="29202"/>
    <cellStyle name="Heading 2 2 2 2 3 3 7 4 3" xfId="29203"/>
    <cellStyle name="Heading 2 2 2 2 3 3 7 5" xfId="29204"/>
    <cellStyle name="Heading 2 2 2 2 3 3 7 5 2" xfId="29205"/>
    <cellStyle name="Heading 2 2 2 2 3 3 7 5 2 2" xfId="29206"/>
    <cellStyle name="Heading 2 2 2 2 3 3 7 5 3" xfId="29207"/>
    <cellStyle name="Heading 2 2 2 2 3 3 7 6" xfId="29208"/>
    <cellStyle name="Heading 2 2 2 2 3 3 7 6 2" xfId="29209"/>
    <cellStyle name="Heading 2 2 2 2 3 3 7 6 2 2" xfId="29210"/>
    <cellStyle name="Heading 2 2 2 2 3 3 7 6 3" xfId="29211"/>
    <cellStyle name="Heading 2 2 2 2 3 3 7 7" xfId="29212"/>
    <cellStyle name="Heading 2 2 2 2 3 3 7 7 2" xfId="29213"/>
    <cellStyle name="Heading 2 2 2 2 3 3 7 7 2 2" xfId="29214"/>
    <cellStyle name="Heading 2 2 2 2 3 3 7 7 3" xfId="29215"/>
    <cellStyle name="Heading 2 2 2 2 3 3 7 8" xfId="29216"/>
    <cellStyle name="Heading 2 2 2 2 3 3 7 8 2" xfId="29217"/>
    <cellStyle name="Heading 2 2 2 2 3 3 7 9" xfId="29218"/>
    <cellStyle name="Heading 2 2 2 2 3 3 8" xfId="29219"/>
    <cellStyle name="Heading 2 2 2 2 3 3 8 2" xfId="29220"/>
    <cellStyle name="Heading 2 2 2 2 3 3 8 2 2" xfId="29221"/>
    <cellStyle name="Heading 2 2 2 2 3 3 8 2 2 2" xfId="29222"/>
    <cellStyle name="Heading 2 2 2 2 3 3 8 2 3" xfId="29223"/>
    <cellStyle name="Heading 2 2 2 2 3 3 8 3" xfId="29224"/>
    <cellStyle name="Heading 2 2 2 2 3 3 8 3 2" xfId="29225"/>
    <cellStyle name="Heading 2 2 2 2 3 3 8 3 2 2" xfId="29226"/>
    <cellStyle name="Heading 2 2 2 2 3 3 8 3 3" xfId="29227"/>
    <cellStyle name="Heading 2 2 2 2 3 3 8 4" xfId="29228"/>
    <cellStyle name="Heading 2 2 2 2 3 3 8 4 2" xfId="29229"/>
    <cellStyle name="Heading 2 2 2 2 3 3 8 4 2 2" xfId="29230"/>
    <cellStyle name="Heading 2 2 2 2 3 3 8 4 3" xfId="29231"/>
    <cellStyle name="Heading 2 2 2 2 3 3 8 5" xfId="29232"/>
    <cellStyle name="Heading 2 2 2 2 3 3 8 5 2" xfId="29233"/>
    <cellStyle name="Heading 2 2 2 2 3 3 8 5 2 2" xfId="29234"/>
    <cellStyle name="Heading 2 2 2 2 3 3 8 5 3" xfId="29235"/>
    <cellStyle name="Heading 2 2 2 2 3 3 8 6" xfId="29236"/>
    <cellStyle name="Heading 2 2 2 2 3 3 8 6 2" xfId="29237"/>
    <cellStyle name="Heading 2 2 2 2 3 3 8 6 2 2" xfId="29238"/>
    <cellStyle name="Heading 2 2 2 2 3 3 8 6 3" xfId="29239"/>
    <cellStyle name="Heading 2 2 2 2 3 3 8 7" xfId="29240"/>
    <cellStyle name="Heading 2 2 2 2 3 3 8 7 2" xfId="29241"/>
    <cellStyle name="Heading 2 2 2 2 3 3 8 7 2 2" xfId="29242"/>
    <cellStyle name="Heading 2 2 2 2 3 3 8 7 3" xfId="29243"/>
    <cellStyle name="Heading 2 2 2 2 3 3 8 8" xfId="29244"/>
    <cellStyle name="Heading 2 2 2 2 3 3 8 8 2" xfId="29245"/>
    <cellStyle name="Heading 2 2 2 2 3 3 8 9" xfId="29246"/>
    <cellStyle name="Heading 2 2 2 2 3 3 9" xfId="29247"/>
    <cellStyle name="Heading 2 2 2 2 3 3 9 2" xfId="29248"/>
    <cellStyle name="Heading 2 2 2 2 3 3 9 2 2" xfId="29249"/>
    <cellStyle name="Heading 2 2 2 2 3 3 9 3" xfId="29250"/>
    <cellStyle name="Heading 2 2 2 2 3 4" xfId="29251"/>
    <cellStyle name="Heading 2 2 2 2 3 4 2" xfId="29252"/>
    <cellStyle name="Heading 2 2 2 2 3 4 2 2" xfId="29253"/>
    <cellStyle name="Heading 2 2 2 2 3 4 3" xfId="29254"/>
    <cellStyle name="Heading 2 2 2 2 3 5" xfId="29255"/>
    <cellStyle name="Heading 2 2 2 2 3 5 2" xfId="29256"/>
    <cellStyle name="Heading 2 2 2 2 3 6" xfId="29257"/>
    <cellStyle name="Heading 2 2 2 2 4" xfId="29258"/>
    <cellStyle name="Heading 2 2 2 2 4 2" xfId="29259"/>
    <cellStyle name="Heading 2 2 2 2 4 2 10" xfId="29260"/>
    <cellStyle name="Heading 2 2 2 2 4 2 10 2" xfId="29261"/>
    <cellStyle name="Heading 2 2 2 2 4 2 10 2 2" xfId="29262"/>
    <cellStyle name="Heading 2 2 2 2 4 2 10 3" xfId="29263"/>
    <cellStyle name="Heading 2 2 2 2 4 2 11" xfId="29264"/>
    <cellStyle name="Heading 2 2 2 2 4 2 11 2" xfId="29265"/>
    <cellStyle name="Heading 2 2 2 2 4 2 11 2 2" xfId="29266"/>
    <cellStyle name="Heading 2 2 2 2 4 2 11 3" xfId="29267"/>
    <cellStyle name="Heading 2 2 2 2 4 2 12" xfId="29268"/>
    <cellStyle name="Heading 2 2 2 2 4 2 12 2" xfId="29269"/>
    <cellStyle name="Heading 2 2 2 2 4 2 12 2 2" xfId="29270"/>
    <cellStyle name="Heading 2 2 2 2 4 2 12 3" xfId="29271"/>
    <cellStyle name="Heading 2 2 2 2 4 2 13" xfId="29272"/>
    <cellStyle name="Heading 2 2 2 2 4 2 13 2" xfId="29273"/>
    <cellStyle name="Heading 2 2 2 2 4 2 13 2 2" xfId="29274"/>
    <cellStyle name="Heading 2 2 2 2 4 2 13 3" xfId="29275"/>
    <cellStyle name="Heading 2 2 2 2 4 2 14" xfId="29276"/>
    <cellStyle name="Heading 2 2 2 2 4 2 14 2" xfId="29277"/>
    <cellStyle name="Heading 2 2 2 2 4 2 14 2 2" xfId="29278"/>
    <cellStyle name="Heading 2 2 2 2 4 2 14 3" xfId="29279"/>
    <cellStyle name="Heading 2 2 2 2 4 2 15" xfId="29280"/>
    <cellStyle name="Heading 2 2 2 2 4 2 15 2" xfId="29281"/>
    <cellStyle name="Heading 2 2 2 2 4 2 15 2 2" xfId="29282"/>
    <cellStyle name="Heading 2 2 2 2 4 2 15 3" xfId="29283"/>
    <cellStyle name="Heading 2 2 2 2 4 2 16" xfId="29284"/>
    <cellStyle name="Heading 2 2 2 2 4 2 16 2" xfId="29285"/>
    <cellStyle name="Heading 2 2 2 2 4 2 16 2 2" xfId="29286"/>
    <cellStyle name="Heading 2 2 2 2 4 2 16 3" xfId="29287"/>
    <cellStyle name="Heading 2 2 2 2 4 2 17" xfId="29288"/>
    <cellStyle name="Heading 2 2 2 2 4 2 17 2" xfId="29289"/>
    <cellStyle name="Heading 2 2 2 2 4 2 17 2 2" xfId="29290"/>
    <cellStyle name="Heading 2 2 2 2 4 2 17 3" xfId="29291"/>
    <cellStyle name="Heading 2 2 2 2 4 2 18" xfId="29292"/>
    <cellStyle name="Heading 2 2 2 2 4 2 18 2" xfId="29293"/>
    <cellStyle name="Heading 2 2 2 2 4 2 18 2 2" xfId="29294"/>
    <cellStyle name="Heading 2 2 2 2 4 2 18 3" xfId="29295"/>
    <cellStyle name="Heading 2 2 2 2 4 2 19" xfId="29296"/>
    <cellStyle name="Heading 2 2 2 2 4 2 19 2" xfId="29297"/>
    <cellStyle name="Heading 2 2 2 2 4 2 19 2 2" xfId="29298"/>
    <cellStyle name="Heading 2 2 2 2 4 2 19 3" xfId="29299"/>
    <cellStyle name="Heading 2 2 2 2 4 2 2" xfId="29300"/>
    <cellStyle name="Heading 2 2 2 2 4 2 2 10" xfId="29301"/>
    <cellStyle name="Heading 2 2 2 2 4 2 2 10 2" xfId="29302"/>
    <cellStyle name="Heading 2 2 2 2 4 2 2 10 2 2" xfId="29303"/>
    <cellStyle name="Heading 2 2 2 2 4 2 2 10 3" xfId="29304"/>
    <cellStyle name="Heading 2 2 2 2 4 2 2 11" xfId="29305"/>
    <cellStyle name="Heading 2 2 2 2 4 2 2 11 2" xfId="29306"/>
    <cellStyle name="Heading 2 2 2 2 4 2 2 11 2 2" xfId="29307"/>
    <cellStyle name="Heading 2 2 2 2 4 2 2 11 3" xfId="29308"/>
    <cellStyle name="Heading 2 2 2 2 4 2 2 12" xfId="29309"/>
    <cellStyle name="Heading 2 2 2 2 4 2 2 12 2" xfId="29310"/>
    <cellStyle name="Heading 2 2 2 2 4 2 2 12 2 2" xfId="29311"/>
    <cellStyle name="Heading 2 2 2 2 4 2 2 12 3" xfId="29312"/>
    <cellStyle name="Heading 2 2 2 2 4 2 2 13" xfId="29313"/>
    <cellStyle name="Heading 2 2 2 2 4 2 2 13 2" xfId="29314"/>
    <cellStyle name="Heading 2 2 2 2 4 2 2 13 2 2" xfId="29315"/>
    <cellStyle name="Heading 2 2 2 2 4 2 2 13 3" xfId="29316"/>
    <cellStyle name="Heading 2 2 2 2 4 2 2 14" xfId="29317"/>
    <cellStyle name="Heading 2 2 2 2 4 2 2 14 2" xfId="29318"/>
    <cellStyle name="Heading 2 2 2 2 4 2 2 14 2 2" xfId="29319"/>
    <cellStyle name="Heading 2 2 2 2 4 2 2 14 3" xfId="29320"/>
    <cellStyle name="Heading 2 2 2 2 4 2 2 15" xfId="29321"/>
    <cellStyle name="Heading 2 2 2 2 4 2 2 15 2" xfId="29322"/>
    <cellStyle name="Heading 2 2 2 2 4 2 2 15 2 2" xfId="29323"/>
    <cellStyle name="Heading 2 2 2 2 4 2 2 15 3" xfId="29324"/>
    <cellStyle name="Heading 2 2 2 2 4 2 2 16" xfId="29325"/>
    <cellStyle name="Heading 2 2 2 2 4 2 2 16 2" xfId="29326"/>
    <cellStyle name="Heading 2 2 2 2 4 2 2 16 2 2" xfId="29327"/>
    <cellStyle name="Heading 2 2 2 2 4 2 2 16 3" xfId="29328"/>
    <cellStyle name="Heading 2 2 2 2 4 2 2 17" xfId="29329"/>
    <cellStyle name="Heading 2 2 2 2 4 2 2 17 2" xfId="29330"/>
    <cellStyle name="Heading 2 2 2 2 4 2 2 17 2 2" xfId="29331"/>
    <cellStyle name="Heading 2 2 2 2 4 2 2 17 3" xfId="29332"/>
    <cellStyle name="Heading 2 2 2 2 4 2 2 18" xfId="29333"/>
    <cellStyle name="Heading 2 2 2 2 4 2 2 18 2" xfId="29334"/>
    <cellStyle name="Heading 2 2 2 2 4 2 2 18 2 2" xfId="29335"/>
    <cellStyle name="Heading 2 2 2 2 4 2 2 18 3" xfId="29336"/>
    <cellStyle name="Heading 2 2 2 2 4 2 2 19" xfId="29337"/>
    <cellStyle name="Heading 2 2 2 2 4 2 2 19 2" xfId="29338"/>
    <cellStyle name="Heading 2 2 2 2 4 2 2 2" xfId="29339"/>
    <cellStyle name="Heading 2 2 2 2 4 2 2 2 2" xfId="29340"/>
    <cellStyle name="Heading 2 2 2 2 4 2 2 2 2 2" xfId="29341"/>
    <cellStyle name="Heading 2 2 2 2 4 2 2 2 2 2 2" xfId="29342"/>
    <cellStyle name="Heading 2 2 2 2 4 2 2 2 2 3" xfId="29343"/>
    <cellStyle name="Heading 2 2 2 2 4 2 2 2 3" xfId="29344"/>
    <cellStyle name="Heading 2 2 2 2 4 2 2 2 3 2" xfId="29345"/>
    <cellStyle name="Heading 2 2 2 2 4 2 2 2 3 2 2" xfId="29346"/>
    <cellStyle name="Heading 2 2 2 2 4 2 2 2 3 3" xfId="29347"/>
    <cellStyle name="Heading 2 2 2 2 4 2 2 2 4" xfId="29348"/>
    <cellStyle name="Heading 2 2 2 2 4 2 2 2 4 2" xfId="29349"/>
    <cellStyle name="Heading 2 2 2 2 4 2 2 2 4 2 2" xfId="29350"/>
    <cellStyle name="Heading 2 2 2 2 4 2 2 2 4 3" xfId="29351"/>
    <cellStyle name="Heading 2 2 2 2 4 2 2 2 5" xfId="29352"/>
    <cellStyle name="Heading 2 2 2 2 4 2 2 2 5 2" xfId="29353"/>
    <cellStyle name="Heading 2 2 2 2 4 2 2 2 5 2 2" xfId="29354"/>
    <cellStyle name="Heading 2 2 2 2 4 2 2 2 5 3" xfId="29355"/>
    <cellStyle name="Heading 2 2 2 2 4 2 2 2 6" xfId="29356"/>
    <cellStyle name="Heading 2 2 2 2 4 2 2 2 6 2" xfId="29357"/>
    <cellStyle name="Heading 2 2 2 2 4 2 2 2 6 2 2" xfId="29358"/>
    <cellStyle name="Heading 2 2 2 2 4 2 2 2 6 3" xfId="29359"/>
    <cellStyle name="Heading 2 2 2 2 4 2 2 2 7" xfId="29360"/>
    <cellStyle name="Heading 2 2 2 2 4 2 2 2 7 2" xfId="29361"/>
    <cellStyle name="Heading 2 2 2 2 4 2 2 2 7 2 2" xfId="29362"/>
    <cellStyle name="Heading 2 2 2 2 4 2 2 2 7 3" xfId="29363"/>
    <cellStyle name="Heading 2 2 2 2 4 2 2 2 8" xfId="29364"/>
    <cellStyle name="Heading 2 2 2 2 4 2 2 2 8 2" xfId="29365"/>
    <cellStyle name="Heading 2 2 2 2 4 2 2 2 9" xfId="29366"/>
    <cellStyle name="Heading 2 2 2 2 4 2 2 20" xfId="29367"/>
    <cellStyle name="Heading 2 2 2 2 4 2 2 20 2" xfId="29368"/>
    <cellStyle name="Heading 2 2 2 2 4 2 2 21" xfId="29369"/>
    <cellStyle name="Heading 2 2 2 2 4 2 2 21 2" xfId="29370"/>
    <cellStyle name="Heading 2 2 2 2 4 2 2 22" xfId="29371"/>
    <cellStyle name="Heading 2 2 2 2 4 2 2 3" xfId="29372"/>
    <cellStyle name="Heading 2 2 2 2 4 2 2 3 2" xfId="29373"/>
    <cellStyle name="Heading 2 2 2 2 4 2 2 3 2 2" xfId="29374"/>
    <cellStyle name="Heading 2 2 2 2 4 2 2 3 2 2 2" xfId="29375"/>
    <cellStyle name="Heading 2 2 2 2 4 2 2 3 2 3" xfId="29376"/>
    <cellStyle name="Heading 2 2 2 2 4 2 2 3 3" xfId="29377"/>
    <cellStyle name="Heading 2 2 2 2 4 2 2 3 3 2" xfId="29378"/>
    <cellStyle name="Heading 2 2 2 2 4 2 2 3 3 2 2" xfId="29379"/>
    <cellStyle name="Heading 2 2 2 2 4 2 2 3 3 3" xfId="29380"/>
    <cellStyle name="Heading 2 2 2 2 4 2 2 3 4" xfId="29381"/>
    <cellStyle name="Heading 2 2 2 2 4 2 2 3 4 2" xfId="29382"/>
    <cellStyle name="Heading 2 2 2 2 4 2 2 3 4 2 2" xfId="29383"/>
    <cellStyle name="Heading 2 2 2 2 4 2 2 3 4 3" xfId="29384"/>
    <cellStyle name="Heading 2 2 2 2 4 2 2 3 5" xfId="29385"/>
    <cellStyle name="Heading 2 2 2 2 4 2 2 3 5 2" xfId="29386"/>
    <cellStyle name="Heading 2 2 2 2 4 2 2 3 5 2 2" xfId="29387"/>
    <cellStyle name="Heading 2 2 2 2 4 2 2 3 5 3" xfId="29388"/>
    <cellStyle name="Heading 2 2 2 2 4 2 2 3 6" xfId="29389"/>
    <cellStyle name="Heading 2 2 2 2 4 2 2 3 6 2" xfId="29390"/>
    <cellStyle name="Heading 2 2 2 2 4 2 2 3 6 2 2" xfId="29391"/>
    <cellStyle name="Heading 2 2 2 2 4 2 2 3 6 3" xfId="29392"/>
    <cellStyle name="Heading 2 2 2 2 4 2 2 3 7" xfId="29393"/>
    <cellStyle name="Heading 2 2 2 2 4 2 2 3 7 2" xfId="29394"/>
    <cellStyle name="Heading 2 2 2 2 4 2 2 3 7 2 2" xfId="29395"/>
    <cellStyle name="Heading 2 2 2 2 4 2 2 3 7 3" xfId="29396"/>
    <cellStyle name="Heading 2 2 2 2 4 2 2 3 8" xfId="29397"/>
    <cellStyle name="Heading 2 2 2 2 4 2 2 3 8 2" xfId="29398"/>
    <cellStyle name="Heading 2 2 2 2 4 2 2 3 9" xfId="29399"/>
    <cellStyle name="Heading 2 2 2 2 4 2 2 4" xfId="29400"/>
    <cellStyle name="Heading 2 2 2 2 4 2 2 4 2" xfId="29401"/>
    <cellStyle name="Heading 2 2 2 2 4 2 2 4 2 2" xfId="29402"/>
    <cellStyle name="Heading 2 2 2 2 4 2 2 4 2 2 2" xfId="29403"/>
    <cellStyle name="Heading 2 2 2 2 4 2 2 4 2 3" xfId="29404"/>
    <cellStyle name="Heading 2 2 2 2 4 2 2 4 3" xfId="29405"/>
    <cellStyle name="Heading 2 2 2 2 4 2 2 4 3 2" xfId="29406"/>
    <cellStyle name="Heading 2 2 2 2 4 2 2 4 3 2 2" xfId="29407"/>
    <cellStyle name="Heading 2 2 2 2 4 2 2 4 3 3" xfId="29408"/>
    <cellStyle name="Heading 2 2 2 2 4 2 2 4 4" xfId="29409"/>
    <cellStyle name="Heading 2 2 2 2 4 2 2 4 4 2" xfId="29410"/>
    <cellStyle name="Heading 2 2 2 2 4 2 2 4 4 2 2" xfId="29411"/>
    <cellStyle name="Heading 2 2 2 2 4 2 2 4 4 3" xfId="29412"/>
    <cellStyle name="Heading 2 2 2 2 4 2 2 4 5" xfId="29413"/>
    <cellStyle name="Heading 2 2 2 2 4 2 2 4 5 2" xfId="29414"/>
    <cellStyle name="Heading 2 2 2 2 4 2 2 4 5 2 2" xfId="29415"/>
    <cellStyle name="Heading 2 2 2 2 4 2 2 4 5 3" xfId="29416"/>
    <cellStyle name="Heading 2 2 2 2 4 2 2 4 6" xfId="29417"/>
    <cellStyle name="Heading 2 2 2 2 4 2 2 4 6 2" xfId="29418"/>
    <cellStyle name="Heading 2 2 2 2 4 2 2 4 6 2 2" xfId="29419"/>
    <cellStyle name="Heading 2 2 2 2 4 2 2 4 6 3" xfId="29420"/>
    <cellStyle name="Heading 2 2 2 2 4 2 2 4 7" xfId="29421"/>
    <cellStyle name="Heading 2 2 2 2 4 2 2 4 7 2" xfId="29422"/>
    <cellStyle name="Heading 2 2 2 2 4 2 2 4 7 2 2" xfId="29423"/>
    <cellStyle name="Heading 2 2 2 2 4 2 2 4 7 3" xfId="29424"/>
    <cellStyle name="Heading 2 2 2 2 4 2 2 4 8" xfId="29425"/>
    <cellStyle name="Heading 2 2 2 2 4 2 2 4 8 2" xfId="29426"/>
    <cellStyle name="Heading 2 2 2 2 4 2 2 4 9" xfId="29427"/>
    <cellStyle name="Heading 2 2 2 2 4 2 2 5" xfId="29428"/>
    <cellStyle name="Heading 2 2 2 2 4 2 2 5 2" xfId="29429"/>
    <cellStyle name="Heading 2 2 2 2 4 2 2 5 2 2" xfId="29430"/>
    <cellStyle name="Heading 2 2 2 2 4 2 2 5 2 2 2" xfId="29431"/>
    <cellStyle name="Heading 2 2 2 2 4 2 2 5 2 3" xfId="29432"/>
    <cellStyle name="Heading 2 2 2 2 4 2 2 5 3" xfId="29433"/>
    <cellStyle name="Heading 2 2 2 2 4 2 2 5 3 2" xfId="29434"/>
    <cellStyle name="Heading 2 2 2 2 4 2 2 5 3 2 2" xfId="29435"/>
    <cellStyle name="Heading 2 2 2 2 4 2 2 5 3 3" xfId="29436"/>
    <cellStyle name="Heading 2 2 2 2 4 2 2 5 4" xfId="29437"/>
    <cellStyle name="Heading 2 2 2 2 4 2 2 5 4 2" xfId="29438"/>
    <cellStyle name="Heading 2 2 2 2 4 2 2 5 4 2 2" xfId="29439"/>
    <cellStyle name="Heading 2 2 2 2 4 2 2 5 4 3" xfId="29440"/>
    <cellStyle name="Heading 2 2 2 2 4 2 2 5 5" xfId="29441"/>
    <cellStyle name="Heading 2 2 2 2 4 2 2 5 5 2" xfId="29442"/>
    <cellStyle name="Heading 2 2 2 2 4 2 2 5 5 2 2" xfId="29443"/>
    <cellStyle name="Heading 2 2 2 2 4 2 2 5 5 3" xfId="29444"/>
    <cellStyle name="Heading 2 2 2 2 4 2 2 5 6" xfId="29445"/>
    <cellStyle name="Heading 2 2 2 2 4 2 2 5 6 2" xfId="29446"/>
    <cellStyle name="Heading 2 2 2 2 4 2 2 5 6 2 2" xfId="29447"/>
    <cellStyle name="Heading 2 2 2 2 4 2 2 5 6 3" xfId="29448"/>
    <cellStyle name="Heading 2 2 2 2 4 2 2 5 7" xfId="29449"/>
    <cellStyle name="Heading 2 2 2 2 4 2 2 5 7 2" xfId="29450"/>
    <cellStyle name="Heading 2 2 2 2 4 2 2 5 7 2 2" xfId="29451"/>
    <cellStyle name="Heading 2 2 2 2 4 2 2 5 7 3" xfId="29452"/>
    <cellStyle name="Heading 2 2 2 2 4 2 2 5 8" xfId="29453"/>
    <cellStyle name="Heading 2 2 2 2 4 2 2 5 8 2" xfId="29454"/>
    <cellStyle name="Heading 2 2 2 2 4 2 2 5 9" xfId="29455"/>
    <cellStyle name="Heading 2 2 2 2 4 2 2 6" xfId="29456"/>
    <cellStyle name="Heading 2 2 2 2 4 2 2 6 2" xfId="29457"/>
    <cellStyle name="Heading 2 2 2 2 4 2 2 6 2 2" xfId="29458"/>
    <cellStyle name="Heading 2 2 2 2 4 2 2 6 2 2 2" xfId="29459"/>
    <cellStyle name="Heading 2 2 2 2 4 2 2 6 2 3" xfId="29460"/>
    <cellStyle name="Heading 2 2 2 2 4 2 2 6 3" xfId="29461"/>
    <cellStyle name="Heading 2 2 2 2 4 2 2 6 3 2" xfId="29462"/>
    <cellStyle name="Heading 2 2 2 2 4 2 2 6 3 2 2" xfId="29463"/>
    <cellStyle name="Heading 2 2 2 2 4 2 2 6 3 3" xfId="29464"/>
    <cellStyle name="Heading 2 2 2 2 4 2 2 6 4" xfId="29465"/>
    <cellStyle name="Heading 2 2 2 2 4 2 2 6 4 2" xfId="29466"/>
    <cellStyle name="Heading 2 2 2 2 4 2 2 6 4 2 2" xfId="29467"/>
    <cellStyle name="Heading 2 2 2 2 4 2 2 6 4 3" xfId="29468"/>
    <cellStyle name="Heading 2 2 2 2 4 2 2 6 5" xfId="29469"/>
    <cellStyle name="Heading 2 2 2 2 4 2 2 6 5 2" xfId="29470"/>
    <cellStyle name="Heading 2 2 2 2 4 2 2 6 5 2 2" xfId="29471"/>
    <cellStyle name="Heading 2 2 2 2 4 2 2 6 5 3" xfId="29472"/>
    <cellStyle name="Heading 2 2 2 2 4 2 2 6 6" xfId="29473"/>
    <cellStyle name="Heading 2 2 2 2 4 2 2 6 6 2" xfId="29474"/>
    <cellStyle name="Heading 2 2 2 2 4 2 2 6 6 2 2" xfId="29475"/>
    <cellStyle name="Heading 2 2 2 2 4 2 2 6 6 3" xfId="29476"/>
    <cellStyle name="Heading 2 2 2 2 4 2 2 6 7" xfId="29477"/>
    <cellStyle name="Heading 2 2 2 2 4 2 2 6 7 2" xfId="29478"/>
    <cellStyle name="Heading 2 2 2 2 4 2 2 6 7 2 2" xfId="29479"/>
    <cellStyle name="Heading 2 2 2 2 4 2 2 6 7 3" xfId="29480"/>
    <cellStyle name="Heading 2 2 2 2 4 2 2 6 8" xfId="29481"/>
    <cellStyle name="Heading 2 2 2 2 4 2 2 6 8 2" xfId="29482"/>
    <cellStyle name="Heading 2 2 2 2 4 2 2 6 9" xfId="29483"/>
    <cellStyle name="Heading 2 2 2 2 4 2 2 7" xfId="29484"/>
    <cellStyle name="Heading 2 2 2 2 4 2 2 7 2" xfId="29485"/>
    <cellStyle name="Heading 2 2 2 2 4 2 2 7 2 2" xfId="29486"/>
    <cellStyle name="Heading 2 2 2 2 4 2 2 7 2 2 2" xfId="29487"/>
    <cellStyle name="Heading 2 2 2 2 4 2 2 7 2 3" xfId="29488"/>
    <cellStyle name="Heading 2 2 2 2 4 2 2 7 3" xfId="29489"/>
    <cellStyle name="Heading 2 2 2 2 4 2 2 7 3 2" xfId="29490"/>
    <cellStyle name="Heading 2 2 2 2 4 2 2 7 3 2 2" xfId="29491"/>
    <cellStyle name="Heading 2 2 2 2 4 2 2 7 3 3" xfId="29492"/>
    <cellStyle name="Heading 2 2 2 2 4 2 2 7 4" xfId="29493"/>
    <cellStyle name="Heading 2 2 2 2 4 2 2 7 4 2" xfId="29494"/>
    <cellStyle name="Heading 2 2 2 2 4 2 2 7 4 2 2" xfId="29495"/>
    <cellStyle name="Heading 2 2 2 2 4 2 2 7 4 3" xfId="29496"/>
    <cellStyle name="Heading 2 2 2 2 4 2 2 7 5" xfId="29497"/>
    <cellStyle name="Heading 2 2 2 2 4 2 2 7 5 2" xfId="29498"/>
    <cellStyle name="Heading 2 2 2 2 4 2 2 7 5 2 2" xfId="29499"/>
    <cellStyle name="Heading 2 2 2 2 4 2 2 7 5 3" xfId="29500"/>
    <cellStyle name="Heading 2 2 2 2 4 2 2 7 6" xfId="29501"/>
    <cellStyle name="Heading 2 2 2 2 4 2 2 7 6 2" xfId="29502"/>
    <cellStyle name="Heading 2 2 2 2 4 2 2 7 6 2 2" xfId="29503"/>
    <cellStyle name="Heading 2 2 2 2 4 2 2 7 6 3" xfId="29504"/>
    <cellStyle name="Heading 2 2 2 2 4 2 2 7 7" xfId="29505"/>
    <cellStyle name="Heading 2 2 2 2 4 2 2 7 7 2" xfId="29506"/>
    <cellStyle name="Heading 2 2 2 2 4 2 2 7 7 2 2" xfId="29507"/>
    <cellStyle name="Heading 2 2 2 2 4 2 2 7 7 3" xfId="29508"/>
    <cellStyle name="Heading 2 2 2 2 4 2 2 7 8" xfId="29509"/>
    <cellStyle name="Heading 2 2 2 2 4 2 2 7 8 2" xfId="29510"/>
    <cellStyle name="Heading 2 2 2 2 4 2 2 7 9" xfId="29511"/>
    <cellStyle name="Heading 2 2 2 2 4 2 2 8" xfId="29512"/>
    <cellStyle name="Heading 2 2 2 2 4 2 2 8 2" xfId="29513"/>
    <cellStyle name="Heading 2 2 2 2 4 2 2 8 2 2" xfId="29514"/>
    <cellStyle name="Heading 2 2 2 2 4 2 2 8 2 2 2" xfId="29515"/>
    <cellStyle name="Heading 2 2 2 2 4 2 2 8 2 3" xfId="29516"/>
    <cellStyle name="Heading 2 2 2 2 4 2 2 8 3" xfId="29517"/>
    <cellStyle name="Heading 2 2 2 2 4 2 2 8 3 2" xfId="29518"/>
    <cellStyle name="Heading 2 2 2 2 4 2 2 8 3 2 2" xfId="29519"/>
    <cellStyle name="Heading 2 2 2 2 4 2 2 8 3 3" xfId="29520"/>
    <cellStyle name="Heading 2 2 2 2 4 2 2 8 4" xfId="29521"/>
    <cellStyle name="Heading 2 2 2 2 4 2 2 8 4 2" xfId="29522"/>
    <cellStyle name="Heading 2 2 2 2 4 2 2 8 4 2 2" xfId="29523"/>
    <cellStyle name="Heading 2 2 2 2 4 2 2 8 4 3" xfId="29524"/>
    <cellStyle name="Heading 2 2 2 2 4 2 2 8 5" xfId="29525"/>
    <cellStyle name="Heading 2 2 2 2 4 2 2 8 5 2" xfId="29526"/>
    <cellStyle name="Heading 2 2 2 2 4 2 2 8 5 2 2" xfId="29527"/>
    <cellStyle name="Heading 2 2 2 2 4 2 2 8 5 3" xfId="29528"/>
    <cellStyle name="Heading 2 2 2 2 4 2 2 8 6" xfId="29529"/>
    <cellStyle name="Heading 2 2 2 2 4 2 2 8 6 2" xfId="29530"/>
    <cellStyle name="Heading 2 2 2 2 4 2 2 8 6 2 2" xfId="29531"/>
    <cellStyle name="Heading 2 2 2 2 4 2 2 8 6 3" xfId="29532"/>
    <cellStyle name="Heading 2 2 2 2 4 2 2 8 7" xfId="29533"/>
    <cellStyle name="Heading 2 2 2 2 4 2 2 8 7 2" xfId="29534"/>
    <cellStyle name="Heading 2 2 2 2 4 2 2 8 7 2 2" xfId="29535"/>
    <cellStyle name="Heading 2 2 2 2 4 2 2 8 7 3" xfId="29536"/>
    <cellStyle name="Heading 2 2 2 2 4 2 2 8 8" xfId="29537"/>
    <cellStyle name="Heading 2 2 2 2 4 2 2 8 8 2" xfId="29538"/>
    <cellStyle name="Heading 2 2 2 2 4 2 2 8 9" xfId="29539"/>
    <cellStyle name="Heading 2 2 2 2 4 2 2 9" xfId="29540"/>
    <cellStyle name="Heading 2 2 2 2 4 2 2 9 2" xfId="29541"/>
    <cellStyle name="Heading 2 2 2 2 4 2 2 9 2 2" xfId="29542"/>
    <cellStyle name="Heading 2 2 2 2 4 2 2 9 3" xfId="29543"/>
    <cellStyle name="Heading 2 2 2 2 4 2 20" xfId="29544"/>
    <cellStyle name="Heading 2 2 2 2 4 2 20 2" xfId="29545"/>
    <cellStyle name="Heading 2 2 2 2 4 2 21" xfId="29546"/>
    <cellStyle name="Heading 2 2 2 2 4 2 21 2" xfId="29547"/>
    <cellStyle name="Heading 2 2 2 2 4 2 22" xfId="29548"/>
    <cellStyle name="Heading 2 2 2 2 4 2 22 2" xfId="29549"/>
    <cellStyle name="Heading 2 2 2 2 4 2 23" xfId="29550"/>
    <cellStyle name="Heading 2 2 2 2 4 2 3" xfId="29551"/>
    <cellStyle name="Heading 2 2 2 2 4 2 3 2" xfId="29552"/>
    <cellStyle name="Heading 2 2 2 2 4 2 3 2 2" xfId="29553"/>
    <cellStyle name="Heading 2 2 2 2 4 2 3 2 2 2" xfId="29554"/>
    <cellStyle name="Heading 2 2 2 2 4 2 3 2 3" xfId="29555"/>
    <cellStyle name="Heading 2 2 2 2 4 2 3 3" xfId="29556"/>
    <cellStyle name="Heading 2 2 2 2 4 2 3 3 2" xfId="29557"/>
    <cellStyle name="Heading 2 2 2 2 4 2 3 3 2 2" xfId="29558"/>
    <cellStyle name="Heading 2 2 2 2 4 2 3 3 3" xfId="29559"/>
    <cellStyle name="Heading 2 2 2 2 4 2 3 4" xfId="29560"/>
    <cellStyle name="Heading 2 2 2 2 4 2 3 4 2" xfId="29561"/>
    <cellStyle name="Heading 2 2 2 2 4 2 3 4 2 2" xfId="29562"/>
    <cellStyle name="Heading 2 2 2 2 4 2 3 4 3" xfId="29563"/>
    <cellStyle name="Heading 2 2 2 2 4 2 3 5" xfId="29564"/>
    <cellStyle name="Heading 2 2 2 2 4 2 3 5 2" xfId="29565"/>
    <cellStyle name="Heading 2 2 2 2 4 2 3 5 2 2" xfId="29566"/>
    <cellStyle name="Heading 2 2 2 2 4 2 3 5 3" xfId="29567"/>
    <cellStyle name="Heading 2 2 2 2 4 2 3 6" xfId="29568"/>
    <cellStyle name="Heading 2 2 2 2 4 2 3 6 2" xfId="29569"/>
    <cellStyle name="Heading 2 2 2 2 4 2 3 6 2 2" xfId="29570"/>
    <cellStyle name="Heading 2 2 2 2 4 2 3 6 3" xfId="29571"/>
    <cellStyle name="Heading 2 2 2 2 4 2 3 7" xfId="29572"/>
    <cellStyle name="Heading 2 2 2 2 4 2 3 7 2" xfId="29573"/>
    <cellStyle name="Heading 2 2 2 2 4 2 3 7 2 2" xfId="29574"/>
    <cellStyle name="Heading 2 2 2 2 4 2 3 7 3" xfId="29575"/>
    <cellStyle name="Heading 2 2 2 2 4 2 3 8" xfId="29576"/>
    <cellStyle name="Heading 2 2 2 2 4 2 3 8 2" xfId="29577"/>
    <cellStyle name="Heading 2 2 2 2 4 2 3 9" xfId="29578"/>
    <cellStyle name="Heading 2 2 2 2 4 2 4" xfId="29579"/>
    <cellStyle name="Heading 2 2 2 2 4 2 4 2" xfId="29580"/>
    <cellStyle name="Heading 2 2 2 2 4 2 4 2 2" xfId="29581"/>
    <cellStyle name="Heading 2 2 2 2 4 2 4 2 2 2" xfId="29582"/>
    <cellStyle name="Heading 2 2 2 2 4 2 4 2 3" xfId="29583"/>
    <cellStyle name="Heading 2 2 2 2 4 2 4 3" xfId="29584"/>
    <cellStyle name="Heading 2 2 2 2 4 2 4 3 2" xfId="29585"/>
    <cellStyle name="Heading 2 2 2 2 4 2 4 3 2 2" xfId="29586"/>
    <cellStyle name="Heading 2 2 2 2 4 2 4 3 3" xfId="29587"/>
    <cellStyle name="Heading 2 2 2 2 4 2 4 4" xfId="29588"/>
    <cellStyle name="Heading 2 2 2 2 4 2 4 4 2" xfId="29589"/>
    <cellStyle name="Heading 2 2 2 2 4 2 4 4 2 2" xfId="29590"/>
    <cellStyle name="Heading 2 2 2 2 4 2 4 4 3" xfId="29591"/>
    <cellStyle name="Heading 2 2 2 2 4 2 4 5" xfId="29592"/>
    <cellStyle name="Heading 2 2 2 2 4 2 4 5 2" xfId="29593"/>
    <cellStyle name="Heading 2 2 2 2 4 2 4 5 2 2" xfId="29594"/>
    <cellStyle name="Heading 2 2 2 2 4 2 4 5 3" xfId="29595"/>
    <cellStyle name="Heading 2 2 2 2 4 2 4 6" xfId="29596"/>
    <cellStyle name="Heading 2 2 2 2 4 2 4 6 2" xfId="29597"/>
    <cellStyle name="Heading 2 2 2 2 4 2 4 6 2 2" xfId="29598"/>
    <cellStyle name="Heading 2 2 2 2 4 2 4 6 3" xfId="29599"/>
    <cellStyle name="Heading 2 2 2 2 4 2 4 7" xfId="29600"/>
    <cellStyle name="Heading 2 2 2 2 4 2 4 7 2" xfId="29601"/>
    <cellStyle name="Heading 2 2 2 2 4 2 4 7 2 2" xfId="29602"/>
    <cellStyle name="Heading 2 2 2 2 4 2 4 7 3" xfId="29603"/>
    <cellStyle name="Heading 2 2 2 2 4 2 4 8" xfId="29604"/>
    <cellStyle name="Heading 2 2 2 2 4 2 4 8 2" xfId="29605"/>
    <cellStyle name="Heading 2 2 2 2 4 2 4 9" xfId="29606"/>
    <cellStyle name="Heading 2 2 2 2 4 2 5" xfId="29607"/>
    <cellStyle name="Heading 2 2 2 2 4 2 5 2" xfId="29608"/>
    <cellStyle name="Heading 2 2 2 2 4 2 5 2 2" xfId="29609"/>
    <cellStyle name="Heading 2 2 2 2 4 2 5 2 2 2" xfId="29610"/>
    <cellStyle name="Heading 2 2 2 2 4 2 5 2 3" xfId="29611"/>
    <cellStyle name="Heading 2 2 2 2 4 2 5 3" xfId="29612"/>
    <cellStyle name="Heading 2 2 2 2 4 2 5 3 2" xfId="29613"/>
    <cellStyle name="Heading 2 2 2 2 4 2 5 3 2 2" xfId="29614"/>
    <cellStyle name="Heading 2 2 2 2 4 2 5 3 3" xfId="29615"/>
    <cellStyle name="Heading 2 2 2 2 4 2 5 4" xfId="29616"/>
    <cellStyle name="Heading 2 2 2 2 4 2 5 4 2" xfId="29617"/>
    <cellStyle name="Heading 2 2 2 2 4 2 5 4 2 2" xfId="29618"/>
    <cellStyle name="Heading 2 2 2 2 4 2 5 4 3" xfId="29619"/>
    <cellStyle name="Heading 2 2 2 2 4 2 5 5" xfId="29620"/>
    <cellStyle name="Heading 2 2 2 2 4 2 5 5 2" xfId="29621"/>
    <cellStyle name="Heading 2 2 2 2 4 2 5 5 2 2" xfId="29622"/>
    <cellStyle name="Heading 2 2 2 2 4 2 5 5 3" xfId="29623"/>
    <cellStyle name="Heading 2 2 2 2 4 2 5 6" xfId="29624"/>
    <cellStyle name="Heading 2 2 2 2 4 2 5 6 2" xfId="29625"/>
    <cellStyle name="Heading 2 2 2 2 4 2 5 6 2 2" xfId="29626"/>
    <cellStyle name="Heading 2 2 2 2 4 2 5 6 3" xfId="29627"/>
    <cellStyle name="Heading 2 2 2 2 4 2 5 7" xfId="29628"/>
    <cellStyle name="Heading 2 2 2 2 4 2 5 7 2" xfId="29629"/>
    <cellStyle name="Heading 2 2 2 2 4 2 5 7 2 2" xfId="29630"/>
    <cellStyle name="Heading 2 2 2 2 4 2 5 7 3" xfId="29631"/>
    <cellStyle name="Heading 2 2 2 2 4 2 5 8" xfId="29632"/>
    <cellStyle name="Heading 2 2 2 2 4 2 5 8 2" xfId="29633"/>
    <cellStyle name="Heading 2 2 2 2 4 2 5 9" xfId="29634"/>
    <cellStyle name="Heading 2 2 2 2 4 2 6" xfId="29635"/>
    <cellStyle name="Heading 2 2 2 2 4 2 6 2" xfId="29636"/>
    <cellStyle name="Heading 2 2 2 2 4 2 6 2 2" xfId="29637"/>
    <cellStyle name="Heading 2 2 2 2 4 2 6 2 2 2" xfId="29638"/>
    <cellStyle name="Heading 2 2 2 2 4 2 6 2 3" xfId="29639"/>
    <cellStyle name="Heading 2 2 2 2 4 2 6 3" xfId="29640"/>
    <cellStyle name="Heading 2 2 2 2 4 2 6 3 2" xfId="29641"/>
    <cellStyle name="Heading 2 2 2 2 4 2 6 3 2 2" xfId="29642"/>
    <cellStyle name="Heading 2 2 2 2 4 2 6 3 3" xfId="29643"/>
    <cellStyle name="Heading 2 2 2 2 4 2 6 4" xfId="29644"/>
    <cellStyle name="Heading 2 2 2 2 4 2 6 4 2" xfId="29645"/>
    <cellStyle name="Heading 2 2 2 2 4 2 6 4 2 2" xfId="29646"/>
    <cellStyle name="Heading 2 2 2 2 4 2 6 4 3" xfId="29647"/>
    <cellStyle name="Heading 2 2 2 2 4 2 6 5" xfId="29648"/>
    <cellStyle name="Heading 2 2 2 2 4 2 6 5 2" xfId="29649"/>
    <cellStyle name="Heading 2 2 2 2 4 2 6 5 2 2" xfId="29650"/>
    <cellStyle name="Heading 2 2 2 2 4 2 6 5 3" xfId="29651"/>
    <cellStyle name="Heading 2 2 2 2 4 2 6 6" xfId="29652"/>
    <cellStyle name="Heading 2 2 2 2 4 2 6 6 2" xfId="29653"/>
    <cellStyle name="Heading 2 2 2 2 4 2 6 6 2 2" xfId="29654"/>
    <cellStyle name="Heading 2 2 2 2 4 2 6 6 3" xfId="29655"/>
    <cellStyle name="Heading 2 2 2 2 4 2 6 7" xfId="29656"/>
    <cellStyle name="Heading 2 2 2 2 4 2 6 7 2" xfId="29657"/>
    <cellStyle name="Heading 2 2 2 2 4 2 6 7 2 2" xfId="29658"/>
    <cellStyle name="Heading 2 2 2 2 4 2 6 7 3" xfId="29659"/>
    <cellStyle name="Heading 2 2 2 2 4 2 6 8" xfId="29660"/>
    <cellStyle name="Heading 2 2 2 2 4 2 6 8 2" xfId="29661"/>
    <cellStyle name="Heading 2 2 2 2 4 2 6 9" xfId="29662"/>
    <cellStyle name="Heading 2 2 2 2 4 2 7" xfId="29663"/>
    <cellStyle name="Heading 2 2 2 2 4 2 7 2" xfId="29664"/>
    <cellStyle name="Heading 2 2 2 2 4 2 7 2 2" xfId="29665"/>
    <cellStyle name="Heading 2 2 2 2 4 2 7 2 2 2" xfId="29666"/>
    <cellStyle name="Heading 2 2 2 2 4 2 7 2 3" xfId="29667"/>
    <cellStyle name="Heading 2 2 2 2 4 2 7 3" xfId="29668"/>
    <cellStyle name="Heading 2 2 2 2 4 2 7 3 2" xfId="29669"/>
    <cellStyle name="Heading 2 2 2 2 4 2 7 3 2 2" xfId="29670"/>
    <cellStyle name="Heading 2 2 2 2 4 2 7 3 3" xfId="29671"/>
    <cellStyle name="Heading 2 2 2 2 4 2 7 4" xfId="29672"/>
    <cellStyle name="Heading 2 2 2 2 4 2 7 4 2" xfId="29673"/>
    <cellStyle name="Heading 2 2 2 2 4 2 7 4 2 2" xfId="29674"/>
    <cellStyle name="Heading 2 2 2 2 4 2 7 4 3" xfId="29675"/>
    <cellStyle name="Heading 2 2 2 2 4 2 7 5" xfId="29676"/>
    <cellStyle name="Heading 2 2 2 2 4 2 7 5 2" xfId="29677"/>
    <cellStyle name="Heading 2 2 2 2 4 2 7 5 2 2" xfId="29678"/>
    <cellStyle name="Heading 2 2 2 2 4 2 7 5 3" xfId="29679"/>
    <cellStyle name="Heading 2 2 2 2 4 2 7 6" xfId="29680"/>
    <cellStyle name="Heading 2 2 2 2 4 2 7 6 2" xfId="29681"/>
    <cellStyle name="Heading 2 2 2 2 4 2 7 6 2 2" xfId="29682"/>
    <cellStyle name="Heading 2 2 2 2 4 2 7 6 3" xfId="29683"/>
    <cellStyle name="Heading 2 2 2 2 4 2 7 7" xfId="29684"/>
    <cellStyle name="Heading 2 2 2 2 4 2 7 7 2" xfId="29685"/>
    <cellStyle name="Heading 2 2 2 2 4 2 7 7 2 2" xfId="29686"/>
    <cellStyle name="Heading 2 2 2 2 4 2 7 7 3" xfId="29687"/>
    <cellStyle name="Heading 2 2 2 2 4 2 7 8" xfId="29688"/>
    <cellStyle name="Heading 2 2 2 2 4 2 7 8 2" xfId="29689"/>
    <cellStyle name="Heading 2 2 2 2 4 2 7 9" xfId="29690"/>
    <cellStyle name="Heading 2 2 2 2 4 2 8" xfId="29691"/>
    <cellStyle name="Heading 2 2 2 2 4 2 8 2" xfId="29692"/>
    <cellStyle name="Heading 2 2 2 2 4 2 8 2 2" xfId="29693"/>
    <cellStyle name="Heading 2 2 2 2 4 2 8 2 2 2" xfId="29694"/>
    <cellStyle name="Heading 2 2 2 2 4 2 8 2 3" xfId="29695"/>
    <cellStyle name="Heading 2 2 2 2 4 2 8 3" xfId="29696"/>
    <cellStyle name="Heading 2 2 2 2 4 2 8 3 2" xfId="29697"/>
    <cellStyle name="Heading 2 2 2 2 4 2 8 3 2 2" xfId="29698"/>
    <cellStyle name="Heading 2 2 2 2 4 2 8 3 3" xfId="29699"/>
    <cellStyle name="Heading 2 2 2 2 4 2 8 4" xfId="29700"/>
    <cellStyle name="Heading 2 2 2 2 4 2 8 4 2" xfId="29701"/>
    <cellStyle name="Heading 2 2 2 2 4 2 8 4 2 2" xfId="29702"/>
    <cellStyle name="Heading 2 2 2 2 4 2 8 4 3" xfId="29703"/>
    <cellStyle name="Heading 2 2 2 2 4 2 8 5" xfId="29704"/>
    <cellStyle name="Heading 2 2 2 2 4 2 8 5 2" xfId="29705"/>
    <cellStyle name="Heading 2 2 2 2 4 2 8 5 2 2" xfId="29706"/>
    <cellStyle name="Heading 2 2 2 2 4 2 8 5 3" xfId="29707"/>
    <cellStyle name="Heading 2 2 2 2 4 2 8 6" xfId="29708"/>
    <cellStyle name="Heading 2 2 2 2 4 2 8 6 2" xfId="29709"/>
    <cellStyle name="Heading 2 2 2 2 4 2 8 6 2 2" xfId="29710"/>
    <cellStyle name="Heading 2 2 2 2 4 2 8 6 3" xfId="29711"/>
    <cellStyle name="Heading 2 2 2 2 4 2 8 7" xfId="29712"/>
    <cellStyle name="Heading 2 2 2 2 4 2 8 7 2" xfId="29713"/>
    <cellStyle name="Heading 2 2 2 2 4 2 8 7 2 2" xfId="29714"/>
    <cellStyle name="Heading 2 2 2 2 4 2 8 7 3" xfId="29715"/>
    <cellStyle name="Heading 2 2 2 2 4 2 8 8" xfId="29716"/>
    <cellStyle name="Heading 2 2 2 2 4 2 8 8 2" xfId="29717"/>
    <cellStyle name="Heading 2 2 2 2 4 2 8 9" xfId="29718"/>
    <cellStyle name="Heading 2 2 2 2 4 2 9" xfId="29719"/>
    <cellStyle name="Heading 2 2 2 2 4 2 9 2" xfId="29720"/>
    <cellStyle name="Heading 2 2 2 2 4 2 9 2 2" xfId="29721"/>
    <cellStyle name="Heading 2 2 2 2 4 2 9 2 2 2" xfId="29722"/>
    <cellStyle name="Heading 2 2 2 2 4 2 9 2 3" xfId="29723"/>
    <cellStyle name="Heading 2 2 2 2 4 2 9 3" xfId="29724"/>
    <cellStyle name="Heading 2 2 2 2 4 2 9 3 2" xfId="29725"/>
    <cellStyle name="Heading 2 2 2 2 4 2 9 3 2 2" xfId="29726"/>
    <cellStyle name="Heading 2 2 2 2 4 2 9 3 3" xfId="29727"/>
    <cellStyle name="Heading 2 2 2 2 4 2 9 4" xfId="29728"/>
    <cellStyle name="Heading 2 2 2 2 4 2 9 4 2" xfId="29729"/>
    <cellStyle name="Heading 2 2 2 2 4 2 9 4 2 2" xfId="29730"/>
    <cellStyle name="Heading 2 2 2 2 4 2 9 4 3" xfId="29731"/>
    <cellStyle name="Heading 2 2 2 2 4 2 9 5" xfId="29732"/>
    <cellStyle name="Heading 2 2 2 2 4 2 9 5 2" xfId="29733"/>
    <cellStyle name="Heading 2 2 2 2 4 2 9 5 2 2" xfId="29734"/>
    <cellStyle name="Heading 2 2 2 2 4 2 9 5 3" xfId="29735"/>
    <cellStyle name="Heading 2 2 2 2 4 2 9 6" xfId="29736"/>
    <cellStyle name="Heading 2 2 2 2 4 2 9 6 2" xfId="29737"/>
    <cellStyle name="Heading 2 2 2 2 4 2 9 6 2 2" xfId="29738"/>
    <cellStyle name="Heading 2 2 2 2 4 2 9 6 3" xfId="29739"/>
    <cellStyle name="Heading 2 2 2 2 4 2 9 7" xfId="29740"/>
    <cellStyle name="Heading 2 2 2 2 4 2 9 7 2" xfId="29741"/>
    <cellStyle name="Heading 2 2 2 2 4 2 9 7 2 2" xfId="29742"/>
    <cellStyle name="Heading 2 2 2 2 4 2 9 7 3" xfId="29743"/>
    <cellStyle name="Heading 2 2 2 2 4 2 9 8" xfId="29744"/>
    <cellStyle name="Heading 2 2 2 2 4 2 9 8 2" xfId="29745"/>
    <cellStyle name="Heading 2 2 2 2 4 2 9 9" xfId="29746"/>
    <cellStyle name="Heading 2 2 2 2 4 3" xfId="29747"/>
    <cellStyle name="Heading 2 2 2 2 4 3 10" xfId="29748"/>
    <cellStyle name="Heading 2 2 2 2 4 3 10 2" xfId="29749"/>
    <cellStyle name="Heading 2 2 2 2 4 3 10 2 2" xfId="29750"/>
    <cellStyle name="Heading 2 2 2 2 4 3 10 3" xfId="29751"/>
    <cellStyle name="Heading 2 2 2 2 4 3 11" xfId="29752"/>
    <cellStyle name="Heading 2 2 2 2 4 3 11 2" xfId="29753"/>
    <cellStyle name="Heading 2 2 2 2 4 3 11 2 2" xfId="29754"/>
    <cellStyle name="Heading 2 2 2 2 4 3 11 3" xfId="29755"/>
    <cellStyle name="Heading 2 2 2 2 4 3 12" xfId="29756"/>
    <cellStyle name="Heading 2 2 2 2 4 3 12 2" xfId="29757"/>
    <cellStyle name="Heading 2 2 2 2 4 3 12 2 2" xfId="29758"/>
    <cellStyle name="Heading 2 2 2 2 4 3 12 3" xfId="29759"/>
    <cellStyle name="Heading 2 2 2 2 4 3 13" xfId="29760"/>
    <cellStyle name="Heading 2 2 2 2 4 3 13 2" xfId="29761"/>
    <cellStyle name="Heading 2 2 2 2 4 3 13 2 2" xfId="29762"/>
    <cellStyle name="Heading 2 2 2 2 4 3 13 3" xfId="29763"/>
    <cellStyle name="Heading 2 2 2 2 4 3 14" xfId="29764"/>
    <cellStyle name="Heading 2 2 2 2 4 3 14 2" xfId="29765"/>
    <cellStyle name="Heading 2 2 2 2 4 3 14 2 2" xfId="29766"/>
    <cellStyle name="Heading 2 2 2 2 4 3 14 3" xfId="29767"/>
    <cellStyle name="Heading 2 2 2 2 4 3 15" xfId="29768"/>
    <cellStyle name="Heading 2 2 2 2 4 3 15 2" xfId="29769"/>
    <cellStyle name="Heading 2 2 2 2 4 3 15 2 2" xfId="29770"/>
    <cellStyle name="Heading 2 2 2 2 4 3 15 3" xfId="29771"/>
    <cellStyle name="Heading 2 2 2 2 4 3 16" xfId="29772"/>
    <cellStyle name="Heading 2 2 2 2 4 3 16 2" xfId="29773"/>
    <cellStyle name="Heading 2 2 2 2 4 3 16 2 2" xfId="29774"/>
    <cellStyle name="Heading 2 2 2 2 4 3 16 3" xfId="29775"/>
    <cellStyle name="Heading 2 2 2 2 4 3 17" xfId="29776"/>
    <cellStyle name="Heading 2 2 2 2 4 3 17 2" xfId="29777"/>
    <cellStyle name="Heading 2 2 2 2 4 3 17 2 2" xfId="29778"/>
    <cellStyle name="Heading 2 2 2 2 4 3 17 3" xfId="29779"/>
    <cellStyle name="Heading 2 2 2 2 4 3 18" xfId="29780"/>
    <cellStyle name="Heading 2 2 2 2 4 3 18 2" xfId="29781"/>
    <cellStyle name="Heading 2 2 2 2 4 3 18 2 2" xfId="29782"/>
    <cellStyle name="Heading 2 2 2 2 4 3 18 3" xfId="29783"/>
    <cellStyle name="Heading 2 2 2 2 4 3 19" xfId="29784"/>
    <cellStyle name="Heading 2 2 2 2 4 3 19 2" xfId="29785"/>
    <cellStyle name="Heading 2 2 2 2 4 3 2" xfId="29786"/>
    <cellStyle name="Heading 2 2 2 2 4 3 2 2" xfId="29787"/>
    <cellStyle name="Heading 2 2 2 2 4 3 2 2 2" xfId="29788"/>
    <cellStyle name="Heading 2 2 2 2 4 3 2 2 2 2" xfId="29789"/>
    <cellStyle name="Heading 2 2 2 2 4 3 2 2 3" xfId="29790"/>
    <cellStyle name="Heading 2 2 2 2 4 3 2 3" xfId="29791"/>
    <cellStyle name="Heading 2 2 2 2 4 3 2 3 2" xfId="29792"/>
    <cellStyle name="Heading 2 2 2 2 4 3 2 3 2 2" xfId="29793"/>
    <cellStyle name="Heading 2 2 2 2 4 3 2 3 3" xfId="29794"/>
    <cellStyle name="Heading 2 2 2 2 4 3 2 4" xfId="29795"/>
    <cellStyle name="Heading 2 2 2 2 4 3 2 4 2" xfId="29796"/>
    <cellStyle name="Heading 2 2 2 2 4 3 2 4 2 2" xfId="29797"/>
    <cellStyle name="Heading 2 2 2 2 4 3 2 4 3" xfId="29798"/>
    <cellStyle name="Heading 2 2 2 2 4 3 2 5" xfId="29799"/>
    <cellStyle name="Heading 2 2 2 2 4 3 2 5 2" xfId="29800"/>
    <cellStyle name="Heading 2 2 2 2 4 3 2 5 2 2" xfId="29801"/>
    <cellStyle name="Heading 2 2 2 2 4 3 2 5 3" xfId="29802"/>
    <cellStyle name="Heading 2 2 2 2 4 3 2 6" xfId="29803"/>
    <cellStyle name="Heading 2 2 2 2 4 3 2 6 2" xfId="29804"/>
    <cellStyle name="Heading 2 2 2 2 4 3 2 6 2 2" xfId="29805"/>
    <cellStyle name="Heading 2 2 2 2 4 3 2 6 3" xfId="29806"/>
    <cellStyle name="Heading 2 2 2 2 4 3 2 7" xfId="29807"/>
    <cellStyle name="Heading 2 2 2 2 4 3 2 7 2" xfId="29808"/>
    <cellStyle name="Heading 2 2 2 2 4 3 2 7 2 2" xfId="29809"/>
    <cellStyle name="Heading 2 2 2 2 4 3 2 7 3" xfId="29810"/>
    <cellStyle name="Heading 2 2 2 2 4 3 2 8" xfId="29811"/>
    <cellStyle name="Heading 2 2 2 2 4 3 2 8 2" xfId="29812"/>
    <cellStyle name="Heading 2 2 2 2 4 3 2 9" xfId="29813"/>
    <cellStyle name="Heading 2 2 2 2 4 3 20" xfId="29814"/>
    <cellStyle name="Heading 2 2 2 2 4 3 20 2" xfId="29815"/>
    <cellStyle name="Heading 2 2 2 2 4 3 21" xfId="29816"/>
    <cellStyle name="Heading 2 2 2 2 4 3 21 2" xfId="29817"/>
    <cellStyle name="Heading 2 2 2 2 4 3 22" xfId="29818"/>
    <cellStyle name="Heading 2 2 2 2 4 3 3" xfId="29819"/>
    <cellStyle name="Heading 2 2 2 2 4 3 3 2" xfId="29820"/>
    <cellStyle name="Heading 2 2 2 2 4 3 3 2 2" xfId="29821"/>
    <cellStyle name="Heading 2 2 2 2 4 3 3 2 2 2" xfId="29822"/>
    <cellStyle name="Heading 2 2 2 2 4 3 3 2 3" xfId="29823"/>
    <cellStyle name="Heading 2 2 2 2 4 3 3 3" xfId="29824"/>
    <cellStyle name="Heading 2 2 2 2 4 3 3 3 2" xfId="29825"/>
    <cellStyle name="Heading 2 2 2 2 4 3 3 3 2 2" xfId="29826"/>
    <cellStyle name="Heading 2 2 2 2 4 3 3 3 3" xfId="29827"/>
    <cellStyle name="Heading 2 2 2 2 4 3 3 4" xfId="29828"/>
    <cellStyle name="Heading 2 2 2 2 4 3 3 4 2" xfId="29829"/>
    <cellStyle name="Heading 2 2 2 2 4 3 3 4 2 2" xfId="29830"/>
    <cellStyle name="Heading 2 2 2 2 4 3 3 4 3" xfId="29831"/>
    <cellStyle name="Heading 2 2 2 2 4 3 3 5" xfId="29832"/>
    <cellStyle name="Heading 2 2 2 2 4 3 3 5 2" xfId="29833"/>
    <cellStyle name="Heading 2 2 2 2 4 3 3 5 2 2" xfId="29834"/>
    <cellStyle name="Heading 2 2 2 2 4 3 3 5 3" xfId="29835"/>
    <cellStyle name="Heading 2 2 2 2 4 3 3 6" xfId="29836"/>
    <cellStyle name="Heading 2 2 2 2 4 3 3 6 2" xfId="29837"/>
    <cellStyle name="Heading 2 2 2 2 4 3 3 6 2 2" xfId="29838"/>
    <cellStyle name="Heading 2 2 2 2 4 3 3 6 3" xfId="29839"/>
    <cellStyle name="Heading 2 2 2 2 4 3 3 7" xfId="29840"/>
    <cellStyle name="Heading 2 2 2 2 4 3 3 7 2" xfId="29841"/>
    <cellStyle name="Heading 2 2 2 2 4 3 3 7 2 2" xfId="29842"/>
    <cellStyle name="Heading 2 2 2 2 4 3 3 7 3" xfId="29843"/>
    <cellStyle name="Heading 2 2 2 2 4 3 3 8" xfId="29844"/>
    <cellStyle name="Heading 2 2 2 2 4 3 3 8 2" xfId="29845"/>
    <cellStyle name="Heading 2 2 2 2 4 3 3 9" xfId="29846"/>
    <cellStyle name="Heading 2 2 2 2 4 3 4" xfId="29847"/>
    <cellStyle name="Heading 2 2 2 2 4 3 4 2" xfId="29848"/>
    <cellStyle name="Heading 2 2 2 2 4 3 4 2 2" xfId="29849"/>
    <cellStyle name="Heading 2 2 2 2 4 3 4 2 2 2" xfId="29850"/>
    <cellStyle name="Heading 2 2 2 2 4 3 4 2 3" xfId="29851"/>
    <cellStyle name="Heading 2 2 2 2 4 3 4 3" xfId="29852"/>
    <cellStyle name="Heading 2 2 2 2 4 3 4 3 2" xfId="29853"/>
    <cellStyle name="Heading 2 2 2 2 4 3 4 3 2 2" xfId="29854"/>
    <cellStyle name="Heading 2 2 2 2 4 3 4 3 3" xfId="29855"/>
    <cellStyle name="Heading 2 2 2 2 4 3 4 4" xfId="29856"/>
    <cellStyle name="Heading 2 2 2 2 4 3 4 4 2" xfId="29857"/>
    <cellStyle name="Heading 2 2 2 2 4 3 4 4 2 2" xfId="29858"/>
    <cellStyle name="Heading 2 2 2 2 4 3 4 4 3" xfId="29859"/>
    <cellStyle name="Heading 2 2 2 2 4 3 4 5" xfId="29860"/>
    <cellStyle name="Heading 2 2 2 2 4 3 4 5 2" xfId="29861"/>
    <cellStyle name="Heading 2 2 2 2 4 3 4 5 2 2" xfId="29862"/>
    <cellStyle name="Heading 2 2 2 2 4 3 4 5 3" xfId="29863"/>
    <cellStyle name="Heading 2 2 2 2 4 3 4 6" xfId="29864"/>
    <cellStyle name="Heading 2 2 2 2 4 3 4 6 2" xfId="29865"/>
    <cellStyle name="Heading 2 2 2 2 4 3 4 6 2 2" xfId="29866"/>
    <cellStyle name="Heading 2 2 2 2 4 3 4 6 3" xfId="29867"/>
    <cellStyle name="Heading 2 2 2 2 4 3 4 7" xfId="29868"/>
    <cellStyle name="Heading 2 2 2 2 4 3 4 7 2" xfId="29869"/>
    <cellStyle name="Heading 2 2 2 2 4 3 4 7 2 2" xfId="29870"/>
    <cellStyle name="Heading 2 2 2 2 4 3 4 7 3" xfId="29871"/>
    <cellStyle name="Heading 2 2 2 2 4 3 4 8" xfId="29872"/>
    <cellStyle name="Heading 2 2 2 2 4 3 4 8 2" xfId="29873"/>
    <cellStyle name="Heading 2 2 2 2 4 3 4 9" xfId="29874"/>
    <cellStyle name="Heading 2 2 2 2 4 3 5" xfId="29875"/>
    <cellStyle name="Heading 2 2 2 2 4 3 5 2" xfId="29876"/>
    <cellStyle name="Heading 2 2 2 2 4 3 5 2 2" xfId="29877"/>
    <cellStyle name="Heading 2 2 2 2 4 3 5 2 2 2" xfId="29878"/>
    <cellStyle name="Heading 2 2 2 2 4 3 5 2 3" xfId="29879"/>
    <cellStyle name="Heading 2 2 2 2 4 3 5 3" xfId="29880"/>
    <cellStyle name="Heading 2 2 2 2 4 3 5 3 2" xfId="29881"/>
    <cellStyle name="Heading 2 2 2 2 4 3 5 3 2 2" xfId="29882"/>
    <cellStyle name="Heading 2 2 2 2 4 3 5 3 3" xfId="29883"/>
    <cellStyle name="Heading 2 2 2 2 4 3 5 4" xfId="29884"/>
    <cellStyle name="Heading 2 2 2 2 4 3 5 4 2" xfId="29885"/>
    <cellStyle name="Heading 2 2 2 2 4 3 5 4 2 2" xfId="29886"/>
    <cellStyle name="Heading 2 2 2 2 4 3 5 4 3" xfId="29887"/>
    <cellStyle name="Heading 2 2 2 2 4 3 5 5" xfId="29888"/>
    <cellStyle name="Heading 2 2 2 2 4 3 5 5 2" xfId="29889"/>
    <cellStyle name="Heading 2 2 2 2 4 3 5 5 2 2" xfId="29890"/>
    <cellStyle name="Heading 2 2 2 2 4 3 5 5 3" xfId="29891"/>
    <cellStyle name="Heading 2 2 2 2 4 3 5 6" xfId="29892"/>
    <cellStyle name="Heading 2 2 2 2 4 3 5 6 2" xfId="29893"/>
    <cellStyle name="Heading 2 2 2 2 4 3 5 6 2 2" xfId="29894"/>
    <cellStyle name="Heading 2 2 2 2 4 3 5 6 3" xfId="29895"/>
    <cellStyle name="Heading 2 2 2 2 4 3 5 7" xfId="29896"/>
    <cellStyle name="Heading 2 2 2 2 4 3 5 7 2" xfId="29897"/>
    <cellStyle name="Heading 2 2 2 2 4 3 5 7 2 2" xfId="29898"/>
    <cellStyle name="Heading 2 2 2 2 4 3 5 7 3" xfId="29899"/>
    <cellStyle name="Heading 2 2 2 2 4 3 5 8" xfId="29900"/>
    <cellStyle name="Heading 2 2 2 2 4 3 5 8 2" xfId="29901"/>
    <cellStyle name="Heading 2 2 2 2 4 3 5 9" xfId="29902"/>
    <cellStyle name="Heading 2 2 2 2 4 3 6" xfId="29903"/>
    <cellStyle name="Heading 2 2 2 2 4 3 6 2" xfId="29904"/>
    <cellStyle name="Heading 2 2 2 2 4 3 6 2 2" xfId="29905"/>
    <cellStyle name="Heading 2 2 2 2 4 3 6 2 2 2" xfId="29906"/>
    <cellStyle name="Heading 2 2 2 2 4 3 6 2 3" xfId="29907"/>
    <cellStyle name="Heading 2 2 2 2 4 3 6 3" xfId="29908"/>
    <cellStyle name="Heading 2 2 2 2 4 3 6 3 2" xfId="29909"/>
    <cellStyle name="Heading 2 2 2 2 4 3 6 3 2 2" xfId="29910"/>
    <cellStyle name="Heading 2 2 2 2 4 3 6 3 3" xfId="29911"/>
    <cellStyle name="Heading 2 2 2 2 4 3 6 4" xfId="29912"/>
    <cellStyle name="Heading 2 2 2 2 4 3 6 4 2" xfId="29913"/>
    <cellStyle name="Heading 2 2 2 2 4 3 6 4 2 2" xfId="29914"/>
    <cellStyle name="Heading 2 2 2 2 4 3 6 4 3" xfId="29915"/>
    <cellStyle name="Heading 2 2 2 2 4 3 6 5" xfId="29916"/>
    <cellStyle name="Heading 2 2 2 2 4 3 6 5 2" xfId="29917"/>
    <cellStyle name="Heading 2 2 2 2 4 3 6 5 2 2" xfId="29918"/>
    <cellStyle name="Heading 2 2 2 2 4 3 6 5 3" xfId="29919"/>
    <cellStyle name="Heading 2 2 2 2 4 3 6 6" xfId="29920"/>
    <cellStyle name="Heading 2 2 2 2 4 3 6 6 2" xfId="29921"/>
    <cellStyle name="Heading 2 2 2 2 4 3 6 6 2 2" xfId="29922"/>
    <cellStyle name="Heading 2 2 2 2 4 3 6 6 3" xfId="29923"/>
    <cellStyle name="Heading 2 2 2 2 4 3 6 7" xfId="29924"/>
    <cellStyle name="Heading 2 2 2 2 4 3 6 7 2" xfId="29925"/>
    <cellStyle name="Heading 2 2 2 2 4 3 6 7 2 2" xfId="29926"/>
    <cellStyle name="Heading 2 2 2 2 4 3 6 7 3" xfId="29927"/>
    <cellStyle name="Heading 2 2 2 2 4 3 6 8" xfId="29928"/>
    <cellStyle name="Heading 2 2 2 2 4 3 6 8 2" xfId="29929"/>
    <cellStyle name="Heading 2 2 2 2 4 3 6 9" xfId="29930"/>
    <cellStyle name="Heading 2 2 2 2 4 3 7" xfId="29931"/>
    <cellStyle name="Heading 2 2 2 2 4 3 7 2" xfId="29932"/>
    <cellStyle name="Heading 2 2 2 2 4 3 7 2 2" xfId="29933"/>
    <cellStyle name="Heading 2 2 2 2 4 3 7 2 2 2" xfId="29934"/>
    <cellStyle name="Heading 2 2 2 2 4 3 7 2 3" xfId="29935"/>
    <cellStyle name="Heading 2 2 2 2 4 3 7 3" xfId="29936"/>
    <cellStyle name="Heading 2 2 2 2 4 3 7 3 2" xfId="29937"/>
    <cellStyle name="Heading 2 2 2 2 4 3 7 3 2 2" xfId="29938"/>
    <cellStyle name="Heading 2 2 2 2 4 3 7 3 3" xfId="29939"/>
    <cellStyle name="Heading 2 2 2 2 4 3 7 4" xfId="29940"/>
    <cellStyle name="Heading 2 2 2 2 4 3 7 4 2" xfId="29941"/>
    <cellStyle name="Heading 2 2 2 2 4 3 7 4 2 2" xfId="29942"/>
    <cellStyle name="Heading 2 2 2 2 4 3 7 4 3" xfId="29943"/>
    <cellStyle name="Heading 2 2 2 2 4 3 7 5" xfId="29944"/>
    <cellStyle name="Heading 2 2 2 2 4 3 7 5 2" xfId="29945"/>
    <cellStyle name="Heading 2 2 2 2 4 3 7 5 2 2" xfId="29946"/>
    <cellStyle name="Heading 2 2 2 2 4 3 7 5 3" xfId="29947"/>
    <cellStyle name="Heading 2 2 2 2 4 3 7 6" xfId="29948"/>
    <cellStyle name="Heading 2 2 2 2 4 3 7 6 2" xfId="29949"/>
    <cellStyle name="Heading 2 2 2 2 4 3 7 6 2 2" xfId="29950"/>
    <cellStyle name="Heading 2 2 2 2 4 3 7 6 3" xfId="29951"/>
    <cellStyle name="Heading 2 2 2 2 4 3 7 7" xfId="29952"/>
    <cellStyle name="Heading 2 2 2 2 4 3 7 7 2" xfId="29953"/>
    <cellStyle name="Heading 2 2 2 2 4 3 7 7 2 2" xfId="29954"/>
    <cellStyle name="Heading 2 2 2 2 4 3 7 7 3" xfId="29955"/>
    <cellStyle name="Heading 2 2 2 2 4 3 7 8" xfId="29956"/>
    <cellStyle name="Heading 2 2 2 2 4 3 7 8 2" xfId="29957"/>
    <cellStyle name="Heading 2 2 2 2 4 3 7 9" xfId="29958"/>
    <cellStyle name="Heading 2 2 2 2 4 3 8" xfId="29959"/>
    <cellStyle name="Heading 2 2 2 2 4 3 8 2" xfId="29960"/>
    <cellStyle name="Heading 2 2 2 2 4 3 8 2 2" xfId="29961"/>
    <cellStyle name="Heading 2 2 2 2 4 3 8 2 2 2" xfId="29962"/>
    <cellStyle name="Heading 2 2 2 2 4 3 8 2 3" xfId="29963"/>
    <cellStyle name="Heading 2 2 2 2 4 3 8 3" xfId="29964"/>
    <cellStyle name="Heading 2 2 2 2 4 3 8 3 2" xfId="29965"/>
    <cellStyle name="Heading 2 2 2 2 4 3 8 3 2 2" xfId="29966"/>
    <cellStyle name="Heading 2 2 2 2 4 3 8 3 3" xfId="29967"/>
    <cellStyle name="Heading 2 2 2 2 4 3 8 4" xfId="29968"/>
    <cellStyle name="Heading 2 2 2 2 4 3 8 4 2" xfId="29969"/>
    <cellStyle name="Heading 2 2 2 2 4 3 8 4 2 2" xfId="29970"/>
    <cellStyle name="Heading 2 2 2 2 4 3 8 4 3" xfId="29971"/>
    <cellStyle name="Heading 2 2 2 2 4 3 8 5" xfId="29972"/>
    <cellStyle name="Heading 2 2 2 2 4 3 8 5 2" xfId="29973"/>
    <cellStyle name="Heading 2 2 2 2 4 3 8 5 2 2" xfId="29974"/>
    <cellStyle name="Heading 2 2 2 2 4 3 8 5 3" xfId="29975"/>
    <cellStyle name="Heading 2 2 2 2 4 3 8 6" xfId="29976"/>
    <cellStyle name="Heading 2 2 2 2 4 3 8 6 2" xfId="29977"/>
    <cellStyle name="Heading 2 2 2 2 4 3 8 6 2 2" xfId="29978"/>
    <cellStyle name="Heading 2 2 2 2 4 3 8 6 3" xfId="29979"/>
    <cellStyle name="Heading 2 2 2 2 4 3 8 7" xfId="29980"/>
    <cellStyle name="Heading 2 2 2 2 4 3 8 7 2" xfId="29981"/>
    <cellStyle name="Heading 2 2 2 2 4 3 8 7 2 2" xfId="29982"/>
    <cellStyle name="Heading 2 2 2 2 4 3 8 7 3" xfId="29983"/>
    <cellStyle name="Heading 2 2 2 2 4 3 8 8" xfId="29984"/>
    <cellStyle name="Heading 2 2 2 2 4 3 8 8 2" xfId="29985"/>
    <cellStyle name="Heading 2 2 2 2 4 3 8 9" xfId="29986"/>
    <cellStyle name="Heading 2 2 2 2 4 3 9" xfId="29987"/>
    <cellStyle name="Heading 2 2 2 2 4 3 9 2" xfId="29988"/>
    <cellStyle name="Heading 2 2 2 2 4 3 9 2 2" xfId="29989"/>
    <cellStyle name="Heading 2 2 2 2 4 3 9 3" xfId="29990"/>
    <cellStyle name="Heading 2 2 2 2 4 4" xfId="29991"/>
    <cellStyle name="Heading 2 2 2 2 4 4 2" xfId="29992"/>
    <cellStyle name="Heading 2 2 2 2 4 4 2 2" xfId="29993"/>
    <cellStyle name="Heading 2 2 2 2 4 4 3" xfId="29994"/>
    <cellStyle name="Heading 2 2 2 2 4 5" xfId="29995"/>
    <cellStyle name="Heading 2 2 2 2 4 5 2" xfId="29996"/>
    <cellStyle name="Heading 2 2 2 2 4 6" xfId="29997"/>
    <cellStyle name="Heading 2 2 2 2 5" xfId="29998"/>
    <cellStyle name="Heading 2 2 2 2 5 2" xfId="29999"/>
    <cellStyle name="Heading 2 2 2 2 5 2 10" xfId="30000"/>
    <cellStyle name="Heading 2 2 2 2 5 2 10 2" xfId="30001"/>
    <cellStyle name="Heading 2 2 2 2 5 2 10 2 2" xfId="30002"/>
    <cellStyle name="Heading 2 2 2 2 5 2 10 3" xfId="30003"/>
    <cellStyle name="Heading 2 2 2 2 5 2 11" xfId="30004"/>
    <cellStyle name="Heading 2 2 2 2 5 2 11 2" xfId="30005"/>
    <cellStyle name="Heading 2 2 2 2 5 2 11 2 2" xfId="30006"/>
    <cellStyle name="Heading 2 2 2 2 5 2 11 3" xfId="30007"/>
    <cellStyle name="Heading 2 2 2 2 5 2 12" xfId="30008"/>
    <cellStyle name="Heading 2 2 2 2 5 2 12 2" xfId="30009"/>
    <cellStyle name="Heading 2 2 2 2 5 2 12 2 2" xfId="30010"/>
    <cellStyle name="Heading 2 2 2 2 5 2 12 3" xfId="30011"/>
    <cellStyle name="Heading 2 2 2 2 5 2 13" xfId="30012"/>
    <cellStyle name="Heading 2 2 2 2 5 2 13 2" xfId="30013"/>
    <cellStyle name="Heading 2 2 2 2 5 2 13 2 2" xfId="30014"/>
    <cellStyle name="Heading 2 2 2 2 5 2 13 3" xfId="30015"/>
    <cellStyle name="Heading 2 2 2 2 5 2 14" xfId="30016"/>
    <cellStyle name="Heading 2 2 2 2 5 2 14 2" xfId="30017"/>
    <cellStyle name="Heading 2 2 2 2 5 2 14 2 2" xfId="30018"/>
    <cellStyle name="Heading 2 2 2 2 5 2 14 3" xfId="30019"/>
    <cellStyle name="Heading 2 2 2 2 5 2 15" xfId="30020"/>
    <cellStyle name="Heading 2 2 2 2 5 2 15 2" xfId="30021"/>
    <cellStyle name="Heading 2 2 2 2 5 2 15 2 2" xfId="30022"/>
    <cellStyle name="Heading 2 2 2 2 5 2 15 3" xfId="30023"/>
    <cellStyle name="Heading 2 2 2 2 5 2 16" xfId="30024"/>
    <cellStyle name="Heading 2 2 2 2 5 2 16 2" xfId="30025"/>
    <cellStyle name="Heading 2 2 2 2 5 2 16 2 2" xfId="30026"/>
    <cellStyle name="Heading 2 2 2 2 5 2 16 3" xfId="30027"/>
    <cellStyle name="Heading 2 2 2 2 5 2 17" xfId="30028"/>
    <cellStyle name="Heading 2 2 2 2 5 2 17 2" xfId="30029"/>
    <cellStyle name="Heading 2 2 2 2 5 2 17 2 2" xfId="30030"/>
    <cellStyle name="Heading 2 2 2 2 5 2 17 3" xfId="30031"/>
    <cellStyle name="Heading 2 2 2 2 5 2 18" xfId="30032"/>
    <cellStyle name="Heading 2 2 2 2 5 2 18 2" xfId="30033"/>
    <cellStyle name="Heading 2 2 2 2 5 2 18 2 2" xfId="30034"/>
    <cellStyle name="Heading 2 2 2 2 5 2 18 3" xfId="30035"/>
    <cellStyle name="Heading 2 2 2 2 5 2 19" xfId="30036"/>
    <cellStyle name="Heading 2 2 2 2 5 2 19 2" xfId="30037"/>
    <cellStyle name="Heading 2 2 2 2 5 2 19 2 2" xfId="30038"/>
    <cellStyle name="Heading 2 2 2 2 5 2 19 3" xfId="30039"/>
    <cellStyle name="Heading 2 2 2 2 5 2 2" xfId="30040"/>
    <cellStyle name="Heading 2 2 2 2 5 2 2 10" xfId="30041"/>
    <cellStyle name="Heading 2 2 2 2 5 2 2 10 2" xfId="30042"/>
    <cellStyle name="Heading 2 2 2 2 5 2 2 10 2 2" xfId="30043"/>
    <cellStyle name="Heading 2 2 2 2 5 2 2 10 3" xfId="30044"/>
    <cellStyle name="Heading 2 2 2 2 5 2 2 11" xfId="30045"/>
    <cellStyle name="Heading 2 2 2 2 5 2 2 11 2" xfId="30046"/>
    <cellStyle name="Heading 2 2 2 2 5 2 2 11 2 2" xfId="30047"/>
    <cellStyle name="Heading 2 2 2 2 5 2 2 11 3" xfId="30048"/>
    <cellStyle name="Heading 2 2 2 2 5 2 2 12" xfId="30049"/>
    <cellStyle name="Heading 2 2 2 2 5 2 2 12 2" xfId="30050"/>
    <cellStyle name="Heading 2 2 2 2 5 2 2 12 2 2" xfId="30051"/>
    <cellStyle name="Heading 2 2 2 2 5 2 2 12 3" xfId="30052"/>
    <cellStyle name="Heading 2 2 2 2 5 2 2 13" xfId="30053"/>
    <cellStyle name="Heading 2 2 2 2 5 2 2 13 2" xfId="30054"/>
    <cellStyle name="Heading 2 2 2 2 5 2 2 13 2 2" xfId="30055"/>
    <cellStyle name="Heading 2 2 2 2 5 2 2 13 3" xfId="30056"/>
    <cellStyle name="Heading 2 2 2 2 5 2 2 14" xfId="30057"/>
    <cellStyle name="Heading 2 2 2 2 5 2 2 14 2" xfId="30058"/>
    <cellStyle name="Heading 2 2 2 2 5 2 2 14 2 2" xfId="30059"/>
    <cellStyle name="Heading 2 2 2 2 5 2 2 14 3" xfId="30060"/>
    <cellStyle name="Heading 2 2 2 2 5 2 2 15" xfId="30061"/>
    <cellStyle name="Heading 2 2 2 2 5 2 2 15 2" xfId="30062"/>
    <cellStyle name="Heading 2 2 2 2 5 2 2 15 2 2" xfId="30063"/>
    <cellStyle name="Heading 2 2 2 2 5 2 2 15 3" xfId="30064"/>
    <cellStyle name="Heading 2 2 2 2 5 2 2 16" xfId="30065"/>
    <cellStyle name="Heading 2 2 2 2 5 2 2 16 2" xfId="30066"/>
    <cellStyle name="Heading 2 2 2 2 5 2 2 16 2 2" xfId="30067"/>
    <cellStyle name="Heading 2 2 2 2 5 2 2 16 3" xfId="30068"/>
    <cellStyle name="Heading 2 2 2 2 5 2 2 17" xfId="30069"/>
    <cellStyle name="Heading 2 2 2 2 5 2 2 17 2" xfId="30070"/>
    <cellStyle name="Heading 2 2 2 2 5 2 2 17 2 2" xfId="30071"/>
    <cellStyle name="Heading 2 2 2 2 5 2 2 17 3" xfId="30072"/>
    <cellStyle name="Heading 2 2 2 2 5 2 2 18" xfId="30073"/>
    <cellStyle name="Heading 2 2 2 2 5 2 2 18 2" xfId="30074"/>
    <cellStyle name="Heading 2 2 2 2 5 2 2 18 2 2" xfId="30075"/>
    <cellStyle name="Heading 2 2 2 2 5 2 2 18 3" xfId="30076"/>
    <cellStyle name="Heading 2 2 2 2 5 2 2 19" xfId="30077"/>
    <cellStyle name="Heading 2 2 2 2 5 2 2 19 2" xfId="30078"/>
    <cellStyle name="Heading 2 2 2 2 5 2 2 2" xfId="30079"/>
    <cellStyle name="Heading 2 2 2 2 5 2 2 2 2" xfId="30080"/>
    <cellStyle name="Heading 2 2 2 2 5 2 2 2 2 2" xfId="30081"/>
    <cellStyle name="Heading 2 2 2 2 5 2 2 2 2 2 2" xfId="30082"/>
    <cellStyle name="Heading 2 2 2 2 5 2 2 2 2 3" xfId="30083"/>
    <cellStyle name="Heading 2 2 2 2 5 2 2 2 3" xfId="30084"/>
    <cellStyle name="Heading 2 2 2 2 5 2 2 2 3 2" xfId="30085"/>
    <cellStyle name="Heading 2 2 2 2 5 2 2 2 3 2 2" xfId="30086"/>
    <cellStyle name="Heading 2 2 2 2 5 2 2 2 3 3" xfId="30087"/>
    <cellStyle name="Heading 2 2 2 2 5 2 2 2 4" xfId="30088"/>
    <cellStyle name="Heading 2 2 2 2 5 2 2 2 4 2" xfId="30089"/>
    <cellStyle name="Heading 2 2 2 2 5 2 2 2 4 2 2" xfId="30090"/>
    <cellStyle name="Heading 2 2 2 2 5 2 2 2 4 3" xfId="30091"/>
    <cellStyle name="Heading 2 2 2 2 5 2 2 2 5" xfId="30092"/>
    <cellStyle name="Heading 2 2 2 2 5 2 2 2 5 2" xfId="30093"/>
    <cellStyle name="Heading 2 2 2 2 5 2 2 2 5 2 2" xfId="30094"/>
    <cellStyle name="Heading 2 2 2 2 5 2 2 2 5 3" xfId="30095"/>
    <cellStyle name="Heading 2 2 2 2 5 2 2 2 6" xfId="30096"/>
    <cellStyle name="Heading 2 2 2 2 5 2 2 2 6 2" xfId="30097"/>
    <cellStyle name="Heading 2 2 2 2 5 2 2 2 6 2 2" xfId="30098"/>
    <cellStyle name="Heading 2 2 2 2 5 2 2 2 6 3" xfId="30099"/>
    <cellStyle name="Heading 2 2 2 2 5 2 2 2 7" xfId="30100"/>
    <cellStyle name="Heading 2 2 2 2 5 2 2 2 7 2" xfId="30101"/>
    <cellStyle name="Heading 2 2 2 2 5 2 2 2 7 2 2" xfId="30102"/>
    <cellStyle name="Heading 2 2 2 2 5 2 2 2 7 3" xfId="30103"/>
    <cellStyle name="Heading 2 2 2 2 5 2 2 2 8" xfId="30104"/>
    <cellStyle name="Heading 2 2 2 2 5 2 2 2 8 2" xfId="30105"/>
    <cellStyle name="Heading 2 2 2 2 5 2 2 2 9" xfId="30106"/>
    <cellStyle name="Heading 2 2 2 2 5 2 2 20" xfId="30107"/>
    <cellStyle name="Heading 2 2 2 2 5 2 2 20 2" xfId="30108"/>
    <cellStyle name="Heading 2 2 2 2 5 2 2 21" xfId="30109"/>
    <cellStyle name="Heading 2 2 2 2 5 2 2 21 2" xfId="30110"/>
    <cellStyle name="Heading 2 2 2 2 5 2 2 22" xfId="30111"/>
    <cellStyle name="Heading 2 2 2 2 5 2 2 3" xfId="30112"/>
    <cellStyle name="Heading 2 2 2 2 5 2 2 3 2" xfId="30113"/>
    <cellStyle name="Heading 2 2 2 2 5 2 2 3 2 2" xfId="30114"/>
    <cellStyle name="Heading 2 2 2 2 5 2 2 3 2 2 2" xfId="30115"/>
    <cellStyle name="Heading 2 2 2 2 5 2 2 3 2 3" xfId="30116"/>
    <cellStyle name="Heading 2 2 2 2 5 2 2 3 3" xfId="30117"/>
    <cellStyle name="Heading 2 2 2 2 5 2 2 3 3 2" xfId="30118"/>
    <cellStyle name="Heading 2 2 2 2 5 2 2 3 3 2 2" xfId="30119"/>
    <cellStyle name="Heading 2 2 2 2 5 2 2 3 3 3" xfId="30120"/>
    <cellStyle name="Heading 2 2 2 2 5 2 2 3 4" xfId="30121"/>
    <cellStyle name="Heading 2 2 2 2 5 2 2 3 4 2" xfId="30122"/>
    <cellStyle name="Heading 2 2 2 2 5 2 2 3 4 2 2" xfId="30123"/>
    <cellStyle name="Heading 2 2 2 2 5 2 2 3 4 3" xfId="30124"/>
    <cellStyle name="Heading 2 2 2 2 5 2 2 3 5" xfId="30125"/>
    <cellStyle name="Heading 2 2 2 2 5 2 2 3 5 2" xfId="30126"/>
    <cellStyle name="Heading 2 2 2 2 5 2 2 3 5 2 2" xfId="30127"/>
    <cellStyle name="Heading 2 2 2 2 5 2 2 3 5 3" xfId="30128"/>
    <cellStyle name="Heading 2 2 2 2 5 2 2 3 6" xfId="30129"/>
    <cellStyle name="Heading 2 2 2 2 5 2 2 3 6 2" xfId="30130"/>
    <cellStyle name="Heading 2 2 2 2 5 2 2 3 6 2 2" xfId="30131"/>
    <cellStyle name="Heading 2 2 2 2 5 2 2 3 6 3" xfId="30132"/>
    <cellStyle name="Heading 2 2 2 2 5 2 2 3 7" xfId="30133"/>
    <cellStyle name="Heading 2 2 2 2 5 2 2 3 7 2" xfId="30134"/>
    <cellStyle name="Heading 2 2 2 2 5 2 2 3 7 2 2" xfId="30135"/>
    <cellStyle name="Heading 2 2 2 2 5 2 2 3 7 3" xfId="30136"/>
    <cellStyle name="Heading 2 2 2 2 5 2 2 3 8" xfId="30137"/>
    <cellStyle name="Heading 2 2 2 2 5 2 2 3 8 2" xfId="30138"/>
    <cellStyle name="Heading 2 2 2 2 5 2 2 3 9" xfId="30139"/>
    <cellStyle name="Heading 2 2 2 2 5 2 2 4" xfId="30140"/>
    <cellStyle name="Heading 2 2 2 2 5 2 2 4 2" xfId="30141"/>
    <cellStyle name="Heading 2 2 2 2 5 2 2 4 2 2" xfId="30142"/>
    <cellStyle name="Heading 2 2 2 2 5 2 2 4 2 2 2" xfId="30143"/>
    <cellStyle name="Heading 2 2 2 2 5 2 2 4 2 3" xfId="30144"/>
    <cellStyle name="Heading 2 2 2 2 5 2 2 4 3" xfId="30145"/>
    <cellStyle name="Heading 2 2 2 2 5 2 2 4 3 2" xfId="30146"/>
    <cellStyle name="Heading 2 2 2 2 5 2 2 4 3 2 2" xfId="30147"/>
    <cellStyle name="Heading 2 2 2 2 5 2 2 4 3 3" xfId="30148"/>
    <cellStyle name="Heading 2 2 2 2 5 2 2 4 4" xfId="30149"/>
    <cellStyle name="Heading 2 2 2 2 5 2 2 4 4 2" xfId="30150"/>
    <cellStyle name="Heading 2 2 2 2 5 2 2 4 4 2 2" xfId="30151"/>
    <cellStyle name="Heading 2 2 2 2 5 2 2 4 4 3" xfId="30152"/>
    <cellStyle name="Heading 2 2 2 2 5 2 2 4 5" xfId="30153"/>
    <cellStyle name="Heading 2 2 2 2 5 2 2 4 5 2" xfId="30154"/>
    <cellStyle name="Heading 2 2 2 2 5 2 2 4 5 2 2" xfId="30155"/>
    <cellStyle name="Heading 2 2 2 2 5 2 2 4 5 3" xfId="30156"/>
    <cellStyle name="Heading 2 2 2 2 5 2 2 4 6" xfId="30157"/>
    <cellStyle name="Heading 2 2 2 2 5 2 2 4 6 2" xfId="30158"/>
    <cellStyle name="Heading 2 2 2 2 5 2 2 4 6 2 2" xfId="30159"/>
    <cellStyle name="Heading 2 2 2 2 5 2 2 4 6 3" xfId="30160"/>
    <cellStyle name="Heading 2 2 2 2 5 2 2 4 7" xfId="30161"/>
    <cellStyle name="Heading 2 2 2 2 5 2 2 4 7 2" xfId="30162"/>
    <cellStyle name="Heading 2 2 2 2 5 2 2 4 7 2 2" xfId="30163"/>
    <cellStyle name="Heading 2 2 2 2 5 2 2 4 7 3" xfId="30164"/>
    <cellStyle name="Heading 2 2 2 2 5 2 2 4 8" xfId="30165"/>
    <cellStyle name="Heading 2 2 2 2 5 2 2 4 8 2" xfId="30166"/>
    <cellStyle name="Heading 2 2 2 2 5 2 2 4 9" xfId="30167"/>
    <cellStyle name="Heading 2 2 2 2 5 2 2 5" xfId="30168"/>
    <cellStyle name="Heading 2 2 2 2 5 2 2 5 2" xfId="30169"/>
    <cellStyle name="Heading 2 2 2 2 5 2 2 5 2 2" xfId="30170"/>
    <cellStyle name="Heading 2 2 2 2 5 2 2 5 2 2 2" xfId="30171"/>
    <cellStyle name="Heading 2 2 2 2 5 2 2 5 2 3" xfId="30172"/>
    <cellStyle name="Heading 2 2 2 2 5 2 2 5 3" xfId="30173"/>
    <cellStyle name="Heading 2 2 2 2 5 2 2 5 3 2" xfId="30174"/>
    <cellStyle name="Heading 2 2 2 2 5 2 2 5 3 2 2" xfId="30175"/>
    <cellStyle name="Heading 2 2 2 2 5 2 2 5 3 3" xfId="30176"/>
    <cellStyle name="Heading 2 2 2 2 5 2 2 5 4" xfId="30177"/>
    <cellStyle name="Heading 2 2 2 2 5 2 2 5 4 2" xfId="30178"/>
    <cellStyle name="Heading 2 2 2 2 5 2 2 5 4 2 2" xfId="30179"/>
    <cellStyle name="Heading 2 2 2 2 5 2 2 5 4 3" xfId="30180"/>
    <cellStyle name="Heading 2 2 2 2 5 2 2 5 5" xfId="30181"/>
    <cellStyle name="Heading 2 2 2 2 5 2 2 5 5 2" xfId="30182"/>
    <cellStyle name="Heading 2 2 2 2 5 2 2 5 5 2 2" xfId="30183"/>
    <cellStyle name="Heading 2 2 2 2 5 2 2 5 5 3" xfId="30184"/>
    <cellStyle name="Heading 2 2 2 2 5 2 2 5 6" xfId="30185"/>
    <cellStyle name="Heading 2 2 2 2 5 2 2 5 6 2" xfId="30186"/>
    <cellStyle name="Heading 2 2 2 2 5 2 2 5 6 2 2" xfId="30187"/>
    <cellStyle name="Heading 2 2 2 2 5 2 2 5 6 3" xfId="30188"/>
    <cellStyle name="Heading 2 2 2 2 5 2 2 5 7" xfId="30189"/>
    <cellStyle name="Heading 2 2 2 2 5 2 2 5 7 2" xfId="30190"/>
    <cellStyle name="Heading 2 2 2 2 5 2 2 5 7 2 2" xfId="30191"/>
    <cellStyle name="Heading 2 2 2 2 5 2 2 5 7 3" xfId="30192"/>
    <cellStyle name="Heading 2 2 2 2 5 2 2 5 8" xfId="30193"/>
    <cellStyle name="Heading 2 2 2 2 5 2 2 5 8 2" xfId="30194"/>
    <cellStyle name="Heading 2 2 2 2 5 2 2 5 9" xfId="30195"/>
    <cellStyle name="Heading 2 2 2 2 5 2 2 6" xfId="30196"/>
    <cellStyle name="Heading 2 2 2 2 5 2 2 6 2" xfId="30197"/>
    <cellStyle name="Heading 2 2 2 2 5 2 2 6 2 2" xfId="30198"/>
    <cellStyle name="Heading 2 2 2 2 5 2 2 6 2 2 2" xfId="30199"/>
    <cellStyle name="Heading 2 2 2 2 5 2 2 6 2 3" xfId="30200"/>
    <cellStyle name="Heading 2 2 2 2 5 2 2 6 3" xfId="30201"/>
    <cellStyle name="Heading 2 2 2 2 5 2 2 6 3 2" xfId="30202"/>
    <cellStyle name="Heading 2 2 2 2 5 2 2 6 3 2 2" xfId="30203"/>
    <cellStyle name="Heading 2 2 2 2 5 2 2 6 3 3" xfId="30204"/>
    <cellStyle name="Heading 2 2 2 2 5 2 2 6 4" xfId="30205"/>
    <cellStyle name="Heading 2 2 2 2 5 2 2 6 4 2" xfId="30206"/>
    <cellStyle name="Heading 2 2 2 2 5 2 2 6 4 2 2" xfId="30207"/>
    <cellStyle name="Heading 2 2 2 2 5 2 2 6 4 3" xfId="30208"/>
    <cellStyle name="Heading 2 2 2 2 5 2 2 6 5" xfId="30209"/>
    <cellStyle name="Heading 2 2 2 2 5 2 2 6 5 2" xfId="30210"/>
    <cellStyle name="Heading 2 2 2 2 5 2 2 6 5 2 2" xfId="30211"/>
    <cellStyle name="Heading 2 2 2 2 5 2 2 6 5 3" xfId="30212"/>
    <cellStyle name="Heading 2 2 2 2 5 2 2 6 6" xfId="30213"/>
    <cellStyle name="Heading 2 2 2 2 5 2 2 6 6 2" xfId="30214"/>
    <cellStyle name="Heading 2 2 2 2 5 2 2 6 6 2 2" xfId="30215"/>
    <cellStyle name="Heading 2 2 2 2 5 2 2 6 6 3" xfId="30216"/>
    <cellStyle name="Heading 2 2 2 2 5 2 2 6 7" xfId="30217"/>
    <cellStyle name="Heading 2 2 2 2 5 2 2 6 7 2" xfId="30218"/>
    <cellStyle name="Heading 2 2 2 2 5 2 2 6 7 2 2" xfId="30219"/>
    <cellStyle name="Heading 2 2 2 2 5 2 2 6 7 3" xfId="30220"/>
    <cellStyle name="Heading 2 2 2 2 5 2 2 6 8" xfId="30221"/>
    <cellStyle name="Heading 2 2 2 2 5 2 2 6 8 2" xfId="30222"/>
    <cellStyle name="Heading 2 2 2 2 5 2 2 6 9" xfId="30223"/>
    <cellStyle name="Heading 2 2 2 2 5 2 2 7" xfId="30224"/>
    <cellStyle name="Heading 2 2 2 2 5 2 2 7 2" xfId="30225"/>
    <cellStyle name="Heading 2 2 2 2 5 2 2 7 2 2" xfId="30226"/>
    <cellStyle name="Heading 2 2 2 2 5 2 2 7 2 2 2" xfId="30227"/>
    <cellStyle name="Heading 2 2 2 2 5 2 2 7 2 3" xfId="30228"/>
    <cellStyle name="Heading 2 2 2 2 5 2 2 7 3" xfId="30229"/>
    <cellStyle name="Heading 2 2 2 2 5 2 2 7 3 2" xfId="30230"/>
    <cellStyle name="Heading 2 2 2 2 5 2 2 7 3 2 2" xfId="30231"/>
    <cellStyle name="Heading 2 2 2 2 5 2 2 7 3 3" xfId="30232"/>
    <cellStyle name="Heading 2 2 2 2 5 2 2 7 4" xfId="30233"/>
    <cellStyle name="Heading 2 2 2 2 5 2 2 7 4 2" xfId="30234"/>
    <cellStyle name="Heading 2 2 2 2 5 2 2 7 4 2 2" xfId="30235"/>
    <cellStyle name="Heading 2 2 2 2 5 2 2 7 4 3" xfId="30236"/>
    <cellStyle name="Heading 2 2 2 2 5 2 2 7 5" xfId="30237"/>
    <cellStyle name="Heading 2 2 2 2 5 2 2 7 5 2" xfId="30238"/>
    <cellStyle name="Heading 2 2 2 2 5 2 2 7 5 2 2" xfId="30239"/>
    <cellStyle name="Heading 2 2 2 2 5 2 2 7 5 3" xfId="30240"/>
    <cellStyle name="Heading 2 2 2 2 5 2 2 7 6" xfId="30241"/>
    <cellStyle name="Heading 2 2 2 2 5 2 2 7 6 2" xfId="30242"/>
    <cellStyle name="Heading 2 2 2 2 5 2 2 7 6 2 2" xfId="30243"/>
    <cellStyle name="Heading 2 2 2 2 5 2 2 7 6 3" xfId="30244"/>
    <cellStyle name="Heading 2 2 2 2 5 2 2 7 7" xfId="30245"/>
    <cellStyle name="Heading 2 2 2 2 5 2 2 7 7 2" xfId="30246"/>
    <cellStyle name="Heading 2 2 2 2 5 2 2 7 7 2 2" xfId="30247"/>
    <cellStyle name="Heading 2 2 2 2 5 2 2 7 7 3" xfId="30248"/>
    <cellStyle name="Heading 2 2 2 2 5 2 2 7 8" xfId="30249"/>
    <cellStyle name="Heading 2 2 2 2 5 2 2 7 8 2" xfId="30250"/>
    <cellStyle name="Heading 2 2 2 2 5 2 2 7 9" xfId="30251"/>
    <cellStyle name="Heading 2 2 2 2 5 2 2 8" xfId="30252"/>
    <cellStyle name="Heading 2 2 2 2 5 2 2 8 2" xfId="30253"/>
    <cellStyle name="Heading 2 2 2 2 5 2 2 8 2 2" xfId="30254"/>
    <cellStyle name="Heading 2 2 2 2 5 2 2 8 2 2 2" xfId="30255"/>
    <cellStyle name="Heading 2 2 2 2 5 2 2 8 2 3" xfId="30256"/>
    <cellStyle name="Heading 2 2 2 2 5 2 2 8 3" xfId="30257"/>
    <cellStyle name="Heading 2 2 2 2 5 2 2 8 3 2" xfId="30258"/>
    <cellStyle name="Heading 2 2 2 2 5 2 2 8 3 2 2" xfId="30259"/>
    <cellStyle name="Heading 2 2 2 2 5 2 2 8 3 3" xfId="30260"/>
    <cellStyle name="Heading 2 2 2 2 5 2 2 8 4" xfId="30261"/>
    <cellStyle name="Heading 2 2 2 2 5 2 2 8 4 2" xfId="30262"/>
    <cellStyle name="Heading 2 2 2 2 5 2 2 8 4 2 2" xfId="30263"/>
    <cellStyle name="Heading 2 2 2 2 5 2 2 8 4 3" xfId="30264"/>
    <cellStyle name="Heading 2 2 2 2 5 2 2 8 5" xfId="30265"/>
    <cellStyle name="Heading 2 2 2 2 5 2 2 8 5 2" xfId="30266"/>
    <cellStyle name="Heading 2 2 2 2 5 2 2 8 5 2 2" xfId="30267"/>
    <cellStyle name="Heading 2 2 2 2 5 2 2 8 5 3" xfId="30268"/>
    <cellStyle name="Heading 2 2 2 2 5 2 2 8 6" xfId="30269"/>
    <cellStyle name="Heading 2 2 2 2 5 2 2 8 6 2" xfId="30270"/>
    <cellStyle name="Heading 2 2 2 2 5 2 2 8 6 2 2" xfId="30271"/>
    <cellStyle name="Heading 2 2 2 2 5 2 2 8 6 3" xfId="30272"/>
    <cellStyle name="Heading 2 2 2 2 5 2 2 8 7" xfId="30273"/>
    <cellStyle name="Heading 2 2 2 2 5 2 2 8 7 2" xfId="30274"/>
    <cellStyle name="Heading 2 2 2 2 5 2 2 8 7 2 2" xfId="30275"/>
    <cellStyle name="Heading 2 2 2 2 5 2 2 8 7 3" xfId="30276"/>
    <cellStyle name="Heading 2 2 2 2 5 2 2 8 8" xfId="30277"/>
    <cellStyle name="Heading 2 2 2 2 5 2 2 8 8 2" xfId="30278"/>
    <cellStyle name="Heading 2 2 2 2 5 2 2 8 9" xfId="30279"/>
    <cellStyle name="Heading 2 2 2 2 5 2 2 9" xfId="30280"/>
    <cellStyle name="Heading 2 2 2 2 5 2 2 9 2" xfId="30281"/>
    <cellStyle name="Heading 2 2 2 2 5 2 2 9 2 2" xfId="30282"/>
    <cellStyle name="Heading 2 2 2 2 5 2 2 9 3" xfId="30283"/>
    <cellStyle name="Heading 2 2 2 2 5 2 20" xfId="30284"/>
    <cellStyle name="Heading 2 2 2 2 5 2 20 2" xfId="30285"/>
    <cellStyle name="Heading 2 2 2 2 5 2 21" xfId="30286"/>
    <cellStyle name="Heading 2 2 2 2 5 2 21 2" xfId="30287"/>
    <cellStyle name="Heading 2 2 2 2 5 2 22" xfId="30288"/>
    <cellStyle name="Heading 2 2 2 2 5 2 22 2" xfId="30289"/>
    <cellStyle name="Heading 2 2 2 2 5 2 23" xfId="30290"/>
    <cellStyle name="Heading 2 2 2 2 5 2 3" xfId="30291"/>
    <cellStyle name="Heading 2 2 2 2 5 2 3 2" xfId="30292"/>
    <cellStyle name="Heading 2 2 2 2 5 2 3 2 2" xfId="30293"/>
    <cellStyle name="Heading 2 2 2 2 5 2 3 2 2 2" xfId="30294"/>
    <cellStyle name="Heading 2 2 2 2 5 2 3 2 3" xfId="30295"/>
    <cellStyle name="Heading 2 2 2 2 5 2 3 3" xfId="30296"/>
    <cellStyle name="Heading 2 2 2 2 5 2 3 3 2" xfId="30297"/>
    <cellStyle name="Heading 2 2 2 2 5 2 3 3 2 2" xfId="30298"/>
    <cellStyle name="Heading 2 2 2 2 5 2 3 3 3" xfId="30299"/>
    <cellStyle name="Heading 2 2 2 2 5 2 3 4" xfId="30300"/>
    <cellStyle name="Heading 2 2 2 2 5 2 3 4 2" xfId="30301"/>
    <cellStyle name="Heading 2 2 2 2 5 2 3 4 2 2" xfId="30302"/>
    <cellStyle name="Heading 2 2 2 2 5 2 3 4 3" xfId="30303"/>
    <cellStyle name="Heading 2 2 2 2 5 2 3 5" xfId="30304"/>
    <cellStyle name="Heading 2 2 2 2 5 2 3 5 2" xfId="30305"/>
    <cellStyle name="Heading 2 2 2 2 5 2 3 5 2 2" xfId="30306"/>
    <cellStyle name="Heading 2 2 2 2 5 2 3 5 3" xfId="30307"/>
    <cellStyle name="Heading 2 2 2 2 5 2 3 6" xfId="30308"/>
    <cellStyle name="Heading 2 2 2 2 5 2 3 6 2" xfId="30309"/>
    <cellStyle name="Heading 2 2 2 2 5 2 3 6 2 2" xfId="30310"/>
    <cellStyle name="Heading 2 2 2 2 5 2 3 6 3" xfId="30311"/>
    <cellStyle name="Heading 2 2 2 2 5 2 3 7" xfId="30312"/>
    <cellStyle name="Heading 2 2 2 2 5 2 3 7 2" xfId="30313"/>
    <cellStyle name="Heading 2 2 2 2 5 2 3 7 2 2" xfId="30314"/>
    <cellStyle name="Heading 2 2 2 2 5 2 3 7 3" xfId="30315"/>
    <cellStyle name="Heading 2 2 2 2 5 2 3 8" xfId="30316"/>
    <cellStyle name="Heading 2 2 2 2 5 2 3 8 2" xfId="30317"/>
    <cellStyle name="Heading 2 2 2 2 5 2 3 9" xfId="30318"/>
    <cellStyle name="Heading 2 2 2 2 5 2 4" xfId="30319"/>
    <cellStyle name="Heading 2 2 2 2 5 2 4 2" xfId="30320"/>
    <cellStyle name="Heading 2 2 2 2 5 2 4 2 2" xfId="30321"/>
    <cellStyle name="Heading 2 2 2 2 5 2 4 2 2 2" xfId="30322"/>
    <cellStyle name="Heading 2 2 2 2 5 2 4 2 3" xfId="30323"/>
    <cellStyle name="Heading 2 2 2 2 5 2 4 3" xfId="30324"/>
    <cellStyle name="Heading 2 2 2 2 5 2 4 3 2" xfId="30325"/>
    <cellStyle name="Heading 2 2 2 2 5 2 4 3 2 2" xfId="30326"/>
    <cellStyle name="Heading 2 2 2 2 5 2 4 3 3" xfId="30327"/>
    <cellStyle name="Heading 2 2 2 2 5 2 4 4" xfId="30328"/>
    <cellStyle name="Heading 2 2 2 2 5 2 4 4 2" xfId="30329"/>
    <cellStyle name="Heading 2 2 2 2 5 2 4 4 2 2" xfId="30330"/>
    <cellStyle name="Heading 2 2 2 2 5 2 4 4 3" xfId="30331"/>
    <cellStyle name="Heading 2 2 2 2 5 2 4 5" xfId="30332"/>
    <cellStyle name="Heading 2 2 2 2 5 2 4 5 2" xfId="30333"/>
    <cellStyle name="Heading 2 2 2 2 5 2 4 5 2 2" xfId="30334"/>
    <cellStyle name="Heading 2 2 2 2 5 2 4 5 3" xfId="30335"/>
    <cellStyle name="Heading 2 2 2 2 5 2 4 6" xfId="30336"/>
    <cellStyle name="Heading 2 2 2 2 5 2 4 6 2" xfId="30337"/>
    <cellStyle name="Heading 2 2 2 2 5 2 4 6 2 2" xfId="30338"/>
    <cellStyle name="Heading 2 2 2 2 5 2 4 6 3" xfId="30339"/>
    <cellStyle name="Heading 2 2 2 2 5 2 4 7" xfId="30340"/>
    <cellStyle name="Heading 2 2 2 2 5 2 4 7 2" xfId="30341"/>
    <cellStyle name="Heading 2 2 2 2 5 2 4 7 2 2" xfId="30342"/>
    <cellStyle name="Heading 2 2 2 2 5 2 4 7 3" xfId="30343"/>
    <cellStyle name="Heading 2 2 2 2 5 2 4 8" xfId="30344"/>
    <cellStyle name="Heading 2 2 2 2 5 2 4 8 2" xfId="30345"/>
    <cellStyle name="Heading 2 2 2 2 5 2 4 9" xfId="30346"/>
    <cellStyle name="Heading 2 2 2 2 5 2 5" xfId="30347"/>
    <cellStyle name="Heading 2 2 2 2 5 2 5 2" xfId="30348"/>
    <cellStyle name="Heading 2 2 2 2 5 2 5 2 2" xfId="30349"/>
    <cellStyle name="Heading 2 2 2 2 5 2 5 2 2 2" xfId="30350"/>
    <cellStyle name="Heading 2 2 2 2 5 2 5 2 3" xfId="30351"/>
    <cellStyle name="Heading 2 2 2 2 5 2 5 3" xfId="30352"/>
    <cellStyle name="Heading 2 2 2 2 5 2 5 3 2" xfId="30353"/>
    <cellStyle name="Heading 2 2 2 2 5 2 5 3 2 2" xfId="30354"/>
    <cellStyle name="Heading 2 2 2 2 5 2 5 3 3" xfId="30355"/>
    <cellStyle name="Heading 2 2 2 2 5 2 5 4" xfId="30356"/>
    <cellStyle name="Heading 2 2 2 2 5 2 5 4 2" xfId="30357"/>
    <cellStyle name="Heading 2 2 2 2 5 2 5 4 2 2" xfId="30358"/>
    <cellStyle name="Heading 2 2 2 2 5 2 5 4 3" xfId="30359"/>
    <cellStyle name="Heading 2 2 2 2 5 2 5 5" xfId="30360"/>
    <cellStyle name="Heading 2 2 2 2 5 2 5 5 2" xfId="30361"/>
    <cellStyle name="Heading 2 2 2 2 5 2 5 5 2 2" xfId="30362"/>
    <cellStyle name="Heading 2 2 2 2 5 2 5 5 3" xfId="30363"/>
    <cellStyle name="Heading 2 2 2 2 5 2 5 6" xfId="30364"/>
    <cellStyle name="Heading 2 2 2 2 5 2 5 6 2" xfId="30365"/>
    <cellStyle name="Heading 2 2 2 2 5 2 5 6 2 2" xfId="30366"/>
    <cellStyle name="Heading 2 2 2 2 5 2 5 6 3" xfId="30367"/>
    <cellStyle name="Heading 2 2 2 2 5 2 5 7" xfId="30368"/>
    <cellStyle name="Heading 2 2 2 2 5 2 5 7 2" xfId="30369"/>
    <cellStyle name="Heading 2 2 2 2 5 2 5 7 2 2" xfId="30370"/>
    <cellStyle name="Heading 2 2 2 2 5 2 5 7 3" xfId="30371"/>
    <cellStyle name="Heading 2 2 2 2 5 2 5 8" xfId="30372"/>
    <cellStyle name="Heading 2 2 2 2 5 2 5 8 2" xfId="30373"/>
    <cellStyle name="Heading 2 2 2 2 5 2 5 9" xfId="30374"/>
    <cellStyle name="Heading 2 2 2 2 5 2 6" xfId="30375"/>
    <cellStyle name="Heading 2 2 2 2 5 2 6 2" xfId="30376"/>
    <cellStyle name="Heading 2 2 2 2 5 2 6 2 2" xfId="30377"/>
    <cellStyle name="Heading 2 2 2 2 5 2 6 2 2 2" xfId="30378"/>
    <cellStyle name="Heading 2 2 2 2 5 2 6 2 3" xfId="30379"/>
    <cellStyle name="Heading 2 2 2 2 5 2 6 3" xfId="30380"/>
    <cellStyle name="Heading 2 2 2 2 5 2 6 3 2" xfId="30381"/>
    <cellStyle name="Heading 2 2 2 2 5 2 6 3 2 2" xfId="30382"/>
    <cellStyle name="Heading 2 2 2 2 5 2 6 3 3" xfId="30383"/>
    <cellStyle name="Heading 2 2 2 2 5 2 6 4" xfId="30384"/>
    <cellStyle name="Heading 2 2 2 2 5 2 6 4 2" xfId="30385"/>
    <cellStyle name="Heading 2 2 2 2 5 2 6 4 2 2" xfId="30386"/>
    <cellStyle name="Heading 2 2 2 2 5 2 6 4 3" xfId="30387"/>
    <cellStyle name="Heading 2 2 2 2 5 2 6 5" xfId="30388"/>
    <cellStyle name="Heading 2 2 2 2 5 2 6 5 2" xfId="30389"/>
    <cellStyle name="Heading 2 2 2 2 5 2 6 5 2 2" xfId="30390"/>
    <cellStyle name="Heading 2 2 2 2 5 2 6 5 3" xfId="30391"/>
    <cellStyle name="Heading 2 2 2 2 5 2 6 6" xfId="30392"/>
    <cellStyle name="Heading 2 2 2 2 5 2 6 6 2" xfId="30393"/>
    <cellStyle name="Heading 2 2 2 2 5 2 6 6 2 2" xfId="30394"/>
    <cellStyle name="Heading 2 2 2 2 5 2 6 6 3" xfId="30395"/>
    <cellStyle name="Heading 2 2 2 2 5 2 6 7" xfId="30396"/>
    <cellStyle name="Heading 2 2 2 2 5 2 6 7 2" xfId="30397"/>
    <cellStyle name="Heading 2 2 2 2 5 2 6 7 2 2" xfId="30398"/>
    <cellStyle name="Heading 2 2 2 2 5 2 6 7 3" xfId="30399"/>
    <cellStyle name="Heading 2 2 2 2 5 2 6 8" xfId="30400"/>
    <cellStyle name="Heading 2 2 2 2 5 2 6 8 2" xfId="30401"/>
    <cellStyle name="Heading 2 2 2 2 5 2 6 9" xfId="30402"/>
    <cellStyle name="Heading 2 2 2 2 5 2 7" xfId="30403"/>
    <cellStyle name="Heading 2 2 2 2 5 2 7 2" xfId="30404"/>
    <cellStyle name="Heading 2 2 2 2 5 2 7 2 2" xfId="30405"/>
    <cellStyle name="Heading 2 2 2 2 5 2 7 2 2 2" xfId="30406"/>
    <cellStyle name="Heading 2 2 2 2 5 2 7 2 3" xfId="30407"/>
    <cellStyle name="Heading 2 2 2 2 5 2 7 3" xfId="30408"/>
    <cellStyle name="Heading 2 2 2 2 5 2 7 3 2" xfId="30409"/>
    <cellStyle name="Heading 2 2 2 2 5 2 7 3 2 2" xfId="30410"/>
    <cellStyle name="Heading 2 2 2 2 5 2 7 3 3" xfId="30411"/>
    <cellStyle name="Heading 2 2 2 2 5 2 7 4" xfId="30412"/>
    <cellStyle name="Heading 2 2 2 2 5 2 7 4 2" xfId="30413"/>
    <cellStyle name="Heading 2 2 2 2 5 2 7 4 2 2" xfId="30414"/>
    <cellStyle name="Heading 2 2 2 2 5 2 7 4 3" xfId="30415"/>
    <cellStyle name="Heading 2 2 2 2 5 2 7 5" xfId="30416"/>
    <cellStyle name="Heading 2 2 2 2 5 2 7 5 2" xfId="30417"/>
    <cellStyle name="Heading 2 2 2 2 5 2 7 5 2 2" xfId="30418"/>
    <cellStyle name="Heading 2 2 2 2 5 2 7 5 3" xfId="30419"/>
    <cellStyle name="Heading 2 2 2 2 5 2 7 6" xfId="30420"/>
    <cellStyle name="Heading 2 2 2 2 5 2 7 6 2" xfId="30421"/>
    <cellStyle name="Heading 2 2 2 2 5 2 7 6 2 2" xfId="30422"/>
    <cellStyle name="Heading 2 2 2 2 5 2 7 6 3" xfId="30423"/>
    <cellStyle name="Heading 2 2 2 2 5 2 7 7" xfId="30424"/>
    <cellStyle name="Heading 2 2 2 2 5 2 7 7 2" xfId="30425"/>
    <cellStyle name="Heading 2 2 2 2 5 2 7 7 2 2" xfId="30426"/>
    <cellStyle name="Heading 2 2 2 2 5 2 7 7 3" xfId="30427"/>
    <cellStyle name="Heading 2 2 2 2 5 2 7 8" xfId="30428"/>
    <cellStyle name="Heading 2 2 2 2 5 2 7 8 2" xfId="30429"/>
    <cellStyle name="Heading 2 2 2 2 5 2 7 9" xfId="30430"/>
    <cellStyle name="Heading 2 2 2 2 5 2 8" xfId="30431"/>
    <cellStyle name="Heading 2 2 2 2 5 2 8 2" xfId="30432"/>
    <cellStyle name="Heading 2 2 2 2 5 2 8 2 2" xfId="30433"/>
    <cellStyle name="Heading 2 2 2 2 5 2 8 2 2 2" xfId="30434"/>
    <cellStyle name="Heading 2 2 2 2 5 2 8 2 3" xfId="30435"/>
    <cellStyle name="Heading 2 2 2 2 5 2 8 3" xfId="30436"/>
    <cellStyle name="Heading 2 2 2 2 5 2 8 3 2" xfId="30437"/>
    <cellStyle name="Heading 2 2 2 2 5 2 8 3 2 2" xfId="30438"/>
    <cellStyle name="Heading 2 2 2 2 5 2 8 3 3" xfId="30439"/>
    <cellStyle name="Heading 2 2 2 2 5 2 8 4" xfId="30440"/>
    <cellStyle name="Heading 2 2 2 2 5 2 8 4 2" xfId="30441"/>
    <cellStyle name="Heading 2 2 2 2 5 2 8 4 2 2" xfId="30442"/>
    <cellStyle name="Heading 2 2 2 2 5 2 8 4 3" xfId="30443"/>
    <cellStyle name="Heading 2 2 2 2 5 2 8 5" xfId="30444"/>
    <cellStyle name="Heading 2 2 2 2 5 2 8 5 2" xfId="30445"/>
    <cellStyle name="Heading 2 2 2 2 5 2 8 5 2 2" xfId="30446"/>
    <cellStyle name="Heading 2 2 2 2 5 2 8 5 3" xfId="30447"/>
    <cellStyle name="Heading 2 2 2 2 5 2 8 6" xfId="30448"/>
    <cellStyle name="Heading 2 2 2 2 5 2 8 6 2" xfId="30449"/>
    <cellStyle name="Heading 2 2 2 2 5 2 8 6 2 2" xfId="30450"/>
    <cellStyle name="Heading 2 2 2 2 5 2 8 6 3" xfId="30451"/>
    <cellStyle name="Heading 2 2 2 2 5 2 8 7" xfId="30452"/>
    <cellStyle name="Heading 2 2 2 2 5 2 8 7 2" xfId="30453"/>
    <cellStyle name="Heading 2 2 2 2 5 2 8 7 2 2" xfId="30454"/>
    <cellStyle name="Heading 2 2 2 2 5 2 8 7 3" xfId="30455"/>
    <cellStyle name="Heading 2 2 2 2 5 2 8 8" xfId="30456"/>
    <cellStyle name="Heading 2 2 2 2 5 2 8 8 2" xfId="30457"/>
    <cellStyle name="Heading 2 2 2 2 5 2 8 9" xfId="30458"/>
    <cellStyle name="Heading 2 2 2 2 5 2 9" xfId="30459"/>
    <cellStyle name="Heading 2 2 2 2 5 2 9 2" xfId="30460"/>
    <cellStyle name="Heading 2 2 2 2 5 2 9 2 2" xfId="30461"/>
    <cellStyle name="Heading 2 2 2 2 5 2 9 2 2 2" xfId="30462"/>
    <cellStyle name="Heading 2 2 2 2 5 2 9 2 3" xfId="30463"/>
    <cellStyle name="Heading 2 2 2 2 5 2 9 3" xfId="30464"/>
    <cellStyle name="Heading 2 2 2 2 5 2 9 3 2" xfId="30465"/>
    <cellStyle name="Heading 2 2 2 2 5 2 9 3 2 2" xfId="30466"/>
    <cellStyle name="Heading 2 2 2 2 5 2 9 3 3" xfId="30467"/>
    <cellStyle name="Heading 2 2 2 2 5 2 9 4" xfId="30468"/>
    <cellStyle name="Heading 2 2 2 2 5 2 9 4 2" xfId="30469"/>
    <cellStyle name="Heading 2 2 2 2 5 2 9 4 2 2" xfId="30470"/>
    <cellStyle name="Heading 2 2 2 2 5 2 9 4 3" xfId="30471"/>
    <cellStyle name="Heading 2 2 2 2 5 2 9 5" xfId="30472"/>
    <cellStyle name="Heading 2 2 2 2 5 2 9 5 2" xfId="30473"/>
    <cellStyle name="Heading 2 2 2 2 5 2 9 5 2 2" xfId="30474"/>
    <cellStyle name="Heading 2 2 2 2 5 2 9 5 3" xfId="30475"/>
    <cellStyle name="Heading 2 2 2 2 5 2 9 6" xfId="30476"/>
    <cellStyle name="Heading 2 2 2 2 5 2 9 6 2" xfId="30477"/>
    <cellStyle name="Heading 2 2 2 2 5 2 9 6 2 2" xfId="30478"/>
    <cellStyle name="Heading 2 2 2 2 5 2 9 6 3" xfId="30479"/>
    <cellStyle name="Heading 2 2 2 2 5 2 9 7" xfId="30480"/>
    <cellStyle name="Heading 2 2 2 2 5 2 9 7 2" xfId="30481"/>
    <cellStyle name="Heading 2 2 2 2 5 2 9 7 2 2" xfId="30482"/>
    <cellStyle name="Heading 2 2 2 2 5 2 9 7 3" xfId="30483"/>
    <cellStyle name="Heading 2 2 2 2 5 2 9 8" xfId="30484"/>
    <cellStyle name="Heading 2 2 2 2 5 2 9 8 2" xfId="30485"/>
    <cellStyle name="Heading 2 2 2 2 5 2 9 9" xfId="30486"/>
    <cellStyle name="Heading 2 2 2 2 5 3" xfId="30487"/>
    <cellStyle name="Heading 2 2 2 2 5 3 10" xfId="30488"/>
    <cellStyle name="Heading 2 2 2 2 5 3 10 2" xfId="30489"/>
    <cellStyle name="Heading 2 2 2 2 5 3 10 2 2" xfId="30490"/>
    <cellStyle name="Heading 2 2 2 2 5 3 10 3" xfId="30491"/>
    <cellStyle name="Heading 2 2 2 2 5 3 11" xfId="30492"/>
    <cellStyle name="Heading 2 2 2 2 5 3 11 2" xfId="30493"/>
    <cellStyle name="Heading 2 2 2 2 5 3 11 2 2" xfId="30494"/>
    <cellStyle name="Heading 2 2 2 2 5 3 11 3" xfId="30495"/>
    <cellStyle name="Heading 2 2 2 2 5 3 12" xfId="30496"/>
    <cellStyle name="Heading 2 2 2 2 5 3 12 2" xfId="30497"/>
    <cellStyle name="Heading 2 2 2 2 5 3 12 2 2" xfId="30498"/>
    <cellStyle name="Heading 2 2 2 2 5 3 12 3" xfId="30499"/>
    <cellStyle name="Heading 2 2 2 2 5 3 13" xfId="30500"/>
    <cellStyle name="Heading 2 2 2 2 5 3 13 2" xfId="30501"/>
    <cellStyle name="Heading 2 2 2 2 5 3 13 2 2" xfId="30502"/>
    <cellStyle name="Heading 2 2 2 2 5 3 13 3" xfId="30503"/>
    <cellStyle name="Heading 2 2 2 2 5 3 14" xfId="30504"/>
    <cellStyle name="Heading 2 2 2 2 5 3 14 2" xfId="30505"/>
    <cellStyle name="Heading 2 2 2 2 5 3 14 2 2" xfId="30506"/>
    <cellStyle name="Heading 2 2 2 2 5 3 14 3" xfId="30507"/>
    <cellStyle name="Heading 2 2 2 2 5 3 15" xfId="30508"/>
    <cellStyle name="Heading 2 2 2 2 5 3 15 2" xfId="30509"/>
    <cellStyle name="Heading 2 2 2 2 5 3 15 2 2" xfId="30510"/>
    <cellStyle name="Heading 2 2 2 2 5 3 15 3" xfId="30511"/>
    <cellStyle name="Heading 2 2 2 2 5 3 16" xfId="30512"/>
    <cellStyle name="Heading 2 2 2 2 5 3 16 2" xfId="30513"/>
    <cellStyle name="Heading 2 2 2 2 5 3 16 2 2" xfId="30514"/>
    <cellStyle name="Heading 2 2 2 2 5 3 16 3" xfId="30515"/>
    <cellStyle name="Heading 2 2 2 2 5 3 17" xfId="30516"/>
    <cellStyle name="Heading 2 2 2 2 5 3 17 2" xfId="30517"/>
    <cellStyle name="Heading 2 2 2 2 5 3 17 2 2" xfId="30518"/>
    <cellStyle name="Heading 2 2 2 2 5 3 17 3" xfId="30519"/>
    <cellStyle name="Heading 2 2 2 2 5 3 18" xfId="30520"/>
    <cellStyle name="Heading 2 2 2 2 5 3 18 2" xfId="30521"/>
    <cellStyle name="Heading 2 2 2 2 5 3 18 2 2" xfId="30522"/>
    <cellStyle name="Heading 2 2 2 2 5 3 18 3" xfId="30523"/>
    <cellStyle name="Heading 2 2 2 2 5 3 19" xfId="30524"/>
    <cellStyle name="Heading 2 2 2 2 5 3 19 2" xfId="30525"/>
    <cellStyle name="Heading 2 2 2 2 5 3 2" xfId="30526"/>
    <cellStyle name="Heading 2 2 2 2 5 3 2 2" xfId="30527"/>
    <cellStyle name="Heading 2 2 2 2 5 3 2 2 2" xfId="30528"/>
    <cellStyle name="Heading 2 2 2 2 5 3 2 2 2 2" xfId="30529"/>
    <cellStyle name="Heading 2 2 2 2 5 3 2 2 3" xfId="30530"/>
    <cellStyle name="Heading 2 2 2 2 5 3 2 3" xfId="30531"/>
    <cellStyle name="Heading 2 2 2 2 5 3 2 3 2" xfId="30532"/>
    <cellStyle name="Heading 2 2 2 2 5 3 2 3 2 2" xfId="30533"/>
    <cellStyle name="Heading 2 2 2 2 5 3 2 3 3" xfId="30534"/>
    <cellStyle name="Heading 2 2 2 2 5 3 2 4" xfId="30535"/>
    <cellStyle name="Heading 2 2 2 2 5 3 2 4 2" xfId="30536"/>
    <cellStyle name="Heading 2 2 2 2 5 3 2 4 2 2" xfId="30537"/>
    <cellStyle name="Heading 2 2 2 2 5 3 2 4 3" xfId="30538"/>
    <cellStyle name="Heading 2 2 2 2 5 3 2 5" xfId="30539"/>
    <cellStyle name="Heading 2 2 2 2 5 3 2 5 2" xfId="30540"/>
    <cellStyle name="Heading 2 2 2 2 5 3 2 5 2 2" xfId="30541"/>
    <cellStyle name="Heading 2 2 2 2 5 3 2 5 3" xfId="30542"/>
    <cellStyle name="Heading 2 2 2 2 5 3 2 6" xfId="30543"/>
    <cellStyle name="Heading 2 2 2 2 5 3 2 6 2" xfId="30544"/>
    <cellStyle name="Heading 2 2 2 2 5 3 2 6 2 2" xfId="30545"/>
    <cellStyle name="Heading 2 2 2 2 5 3 2 6 3" xfId="30546"/>
    <cellStyle name="Heading 2 2 2 2 5 3 2 7" xfId="30547"/>
    <cellStyle name="Heading 2 2 2 2 5 3 2 7 2" xfId="30548"/>
    <cellStyle name="Heading 2 2 2 2 5 3 2 7 2 2" xfId="30549"/>
    <cellStyle name="Heading 2 2 2 2 5 3 2 7 3" xfId="30550"/>
    <cellStyle name="Heading 2 2 2 2 5 3 2 8" xfId="30551"/>
    <cellStyle name="Heading 2 2 2 2 5 3 2 8 2" xfId="30552"/>
    <cellStyle name="Heading 2 2 2 2 5 3 2 9" xfId="30553"/>
    <cellStyle name="Heading 2 2 2 2 5 3 20" xfId="30554"/>
    <cellStyle name="Heading 2 2 2 2 5 3 20 2" xfId="30555"/>
    <cellStyle name="Heading 2 2 2 2 5 3 21" xfId="30556"/>
    <cellStyle name="Heading 2 2 2 2 5 3 21 2" xfId="30557"/>
    <cellStyle name="Heading 2 2 2 2 5 3 22" xfId="30558"/>
    <cellStyle name="Heading 2 2 2 2 5 3 3" xfId="30559"/>
    <cellStyle name="Heading 2 2 2 2 5 3 3 2" xfId="30560"/>
    <cellStyle name="Heading 2 2 2 2 5 3 3 2 2" xfId="30561"/>
    <cellStyle name="Heading 2 2 2 2 5 3 3 2 2 2" xfId="30562"/>
    <cellStyle name="Heading 2 2 2 2 5 3 3 2 3" xfId="30563"/>
    <cellStyle name="Heading 2 2 2 2 5 3 3 3" xfId="30564"/>
    <cellStyle name="Heading 2 2 2 2 5 3 3 3 2" xfId="30565"/>
    <cellStyle name="Heading 2 2 2 2 5 3 3 3 2 2" xfId="30566"/>
    <cellStyle name="Heading 2 2 2 2 5 3 3 3 3" xfId="30567"/>
    <cellStyle name="Heading 2 2 2 2 5 3 3 4" xfId="30568"/>
    <cellStyle name="Heading 2 2 2 2 5 3 3 4 2" xfId="30569"/>
    <cellStyle name="Heading 2 2 2 2 5 3 3 4 2 2" xfId="30570"/>
    <cellStyle name="Heading 2 2 2 2 5 3 3 4 3" xfId="30571"/>
    <cellStyle name="Heading 2 2 2 2 5 3 3 5" xfId="30572"/>
    <cellStyle name="Heading 2 2 2 2 5 3 3 5 2" xfId="30573"/>
    <cellStyle name="Heading 2 2 2 2 5 3 3 5 2 2" xfId="30574"/>
    <cellStyle name="Heading 2 2 2 2 5 3 3 5 3" xfId="30575"/>
    <cellStyle name="Heading 2 2 2 2 5 3 3 6" xfId="30576"/>
    <cellStyle name="Heading 2 2 2 2 5 3 3 6 2" xfId="30577"/>
    <cellStyle name="Heading 2 2 2 2 5 3 3 6 2 2" xfId="30578"/>
    <cellStyle name="Heading 2 2 2 2 5 3 3 6 3" xfId="30579"/>
    <cellStyle name="Heading 2 2 2 2 5 3 3 7" xfId="30580"/>
    <cellStyle name="Heading 2 2 2 2 5 3 3 7 2" xfId="30581"/>
    <cellStyle name="Heading 2 2 2 2 5 3 3 7 2 2" xfId="30582"/>
    <cellStyle name="Heading 2 2 2 2 5 3 3 7 3" xfId="30583"/>
    <cellStyle name="Heading 2 2 2 2 5 3 3 8" xfId="30584"/>
    <cellStyle name="Heading 2 2 2 2 5 3 3 8 2" xfId="30585"/>
    <cellStyle name="Heading 2 2 2 2 5 3 3 9" xfId="30586"/>
    <cellStyle name="Heading 2 2 2 2 5 3 4" xfId="30587"/>
    <cellStyle name="Heading 2 2 2 2 5 3 4 2" xfId="30588"/>
    <cellStyle name="Heading 2 2 2 2 5 3 4 2 2" xfId="30589"/>
    <cellStyle name="Heading 2 2 2 2 5 3 4 2 2 2" xfId="30590"/>
    <cellStyle name="Heading 2 2 2 2 5 3 4 2 3" xfId="30591"/>
    <cellStyle name="Heading 2 2 2 2 5 3 4 3" xfId="30592"/>
    <cellStyle name="Heading 2 2 2 2 5 3 4 3 2" xfId="30593"/>
    <cellStyle name="Heading 2 2 2 2 5 3 4 3 2 2" xfId="30594"/>
    <cellStyle name="Heading 2 2 2 2 5 3 4 3 3" xfId="30595"/>
    <cellStyle name="Heading 2 2 2 2 5 3 4 4" xfId="30596"/>
    <cellStyle name="Heading 2 2 2 2 5 3 4 4 2" xfId="30597"/>
    <cellStyle name="Heading 2 2 2 2 5 3 4 4 2 2" xfId="30598"/>
    <cellStyle name="Heading 2 2 2 2 5 3 4 4 3" xfId="30599"/>
    <cellStyle name="Heading 2 2 2 2 5 3 4 5" xfId="30600"/>
    <cellStyle name="Heading 2 2 2 2 5 3 4 5 2" xfId="30601"/>
    <cellStyle name="Heading 2 2 2 2 5 3 4 5 2 2" xfId="30602"/>
    <cellStyle name="Heading 2 2 2 2 5 3 4 5 3" xfId="30603"/>
    <cellStyle name="Heading 2 2 2 2 5 3 4 6" xfId="30604"/>
    <cellStyle name="Heading 2 2 2 2 5 3 4 6 2" xfId="30605"/>
    <cellStyle name="Heading 2 2 2 2 5 3 4 6 2 2" xfId="30606"/>
    <cellStyle name="Heading 2 2 2 2 5 3 4 6 3" xfId="30607"/>
    <cellStyle name="Heading 2 2 2 2 5 3 4 7" xfId="30608"/>
    <cellStyle name="Heading 2 2 2 2 5 3 4 7 2" xfId="30609"/>
    <cellStyle name="Heading 2 2 2 2 5 3 4 7 2 2" xfId="30610"/>
    <cellStyle name="Heading 2 2 2 2 5 3 4 7 3" xfId="30611"/>
    <cellStyle name="Heading 2 2 2 2 5 3 4 8" xfId="30612"/>
    <cellStyle name="Heading 2 2 2 2 5 3 4 8 2" xfId="30613"/>
    <cellStyle name="Heading 2 2 2 2 5 3 4 9" xfId="30614"/>
    <cellStyle name="Heading 2 2 2 2 5 3 5" xfId="30615"/>
    <cellStyle name="Heading 2 2 2 2 5 3 5 2" xfId="30616"/>
    <cellStyle name="Heading 2 2 2 2 5 3 5 2 2" xfId="30617"/>
    <cellStyle name="Heading 2 2 2 2 5 3 5 2 2 2" xfId="30618"/>
    <cellStyle name="Heading 2 2 2 2 5 3 5 2 3" xfId="30619"/>
    <cellStyle name="Heading 2 2 2 2 5 3 5 3" xfId="30620"/>
    <cellStyle name="Heading 2 2 2 2 5 3 5 3 2" xfId="30621"/>
    <cellStyle name="Heading 2 2 2 2 5 3 5 3 2 2" xfId="30622"/>
    <cellStyle name="Heading 2 2 2 2 5 3 5 3 3" xfId="30623"/>
    <cellStyle name="Heading 2 2 2 2 5 3 5 4" xfId="30624"/>
    <cellStyle name="Heading 2 2 2 2 5 3 5 4 2" xfId="30625"/>
    <cellStyle name="Heading 2 2 2 2 5 3 5 4 2 2" xfId="30626"/>
    <cellStyle name="Heading 2 2 2 2 5 3 5 4 3" xfId="30627"/>
    <cellStyle name="Heading 2 2 2 2 5 3 5 5" xfId="30628"/>
    <cellStyle name="Heading 2 2 2 2 5 3 5 5 2" xfId="30629"/>
    <cellStyle name="Heading 2 2 2 2 5 3 5 5 2 2" xfId="30630"/>
    <cellStyle name="Heading 2 2 2 2 5 3 5 5 3" xfId="30631"/>
    <cellStyle name="Heading 2 2 2 2 5 3 5 6" xfId="30632"/>
    <cellStyle name="Heading 2 2 2 2 5 3 5 6 2" xfId="30633"/>
    <cellStyle name="Heading 2 2 2 2 5 3 5 6 2 2" xfId="30634"/>
    <cellStyle name="Heading 2 2 2 2 5 3 5 6 3" xfId="30635"/>
    <cellStyle name="Heading 2 2 2 2 5 3 5 7" xfId="30636"/>
    <cellStyle name="Heading 2 2 2 2 5 3 5 7 2" xfId="30637"/>
    <cellStyle name="Heading 2 2 2 2 5 3 5 7 2 2" xfId="30638"/>
    <cellStyle name="Heading 2 2 2 2 5 3 5 7 3" xfId="30639"/>
    <cellStyle name="Heading 2 2 2 2 5 3 5 8" xfId="30640"/>
    <cellStyle name="Heading 2 2 2 2 5 3 5 8 2" xfId="30641"/>
    <cellStyle name="Heading 2 2 2 2 5 3 5 9" xfId="30642"/>
    <cellStyle name="Heading 2 2 2 2 5 3 6" xfId="30643"/>
    <cellStyle name="Heading 2 2 2 2 5 3 6 2" xfId="30644"/>
    <cellStyle name="Heading 2 2 2 2 5 3 6 2 2" xfId="30645"/>
    <cellStyle name="Heading 2 2 2 2 5 3 6 2 2 2" xfId="30646"/>
    <cellStyle name="Heading 2 2 2 2 5 3 6 2 3" xfId="30647"/>
    <cellStyle name="Heading 2 2 2 2 5 3 6 3" xfId="30648"/>
    <cellStyle name="Heading 2 2 2 2 5 3 6 3 2" xfId="30649"/>
    <cellStyle name="Heading 2 2 2 2 5 3 6 3 2 2" xfId="30650"/>
    <cellStyle name="Heading 2 2 2 2 5 3 6 3 3" xfId="30651"/>
    <cellStyle name="Heading 2 2 2 2 5 3 6 4" xfId="30652"/>
    <cellStyle name="Heading 2 2 2 2 5 3 6 4 2" xfId="30653"/>
    <cellStyle name="Heading 2 2 2 2 5 3 6 4 2 2" xfId="30654"/>
    <cellStyle name="Heading 2 2 2 2 5 3 6 4 3" xfId="30655"/>
    <cellStyle name="Heading 2 2 2 2 5 3 6 5" xfId="30656"/>
    <cellStyle name="Heading 2 2 2 2 5 3 6 5 2" xfId="30657"/>
    <cellStyle name="Heading 2 2 2 2 5 3 6 5 2 2" xfId="30658"/>
    <cellStyle name="Heading 2 2 2 2 5 3 6 5 3" xfId="30659"/>
    <cellStyle name="Heading 2 2 2 2 5 3 6 6" xfId="30660"/>
    <cellStyle name="Heading 2 2 2 2 5 3 6 6 2" xfId="30661"/>
    <cellStyle name="Heading 2 2 2 2 5 3 6 6 2 2" xfId="30662"/>
    <cellStyle name="Heading 2 2 2 2 5 3 6 6 3" xfId="30663"/>
    <cellStyle name="Heading 2 2 2 2 5 3 6 7" xfId="30664"/>
    <cellStyle name="Heading 2 2 2 2 5 3 6 7 2" xfId="30665"/>
    <cellStyle name="Heading 2 2 2 2 5 3 6 7 2 2" xfId="30666"/>
    <cellStyle name="Heading 2 2 2 2 5 3 6 7 3" xfId="30667"/>
    <cellStyle name="Heading 2 2 2 2 5 3 6 8" xfId="30668"/>
    <cellStyle name="Heading 2 2 2 2 5 3 6 8 2" xfId="30669"/>
    <cellStyle name="Heading 2 2 2 2 5 3 6 9" xfId="30670"/>
    <cellStyle name="Heading 2 2 2 2 5 3 7" xfId="30671"/>
    <cellStyle name="Heading 2 2 2 2 5 3 7 2" xfId="30672"/>
    <cellStyle name="Heading 2 2 2 2 5 3 7 2 2" xfId="30673"/>
    <cellStyle name="Heading 2 2 2 2 5 3 7 2 2 2" xfId="30674"/>
    <cellStyle name="Heading 2 2 2 2 5 3 7 2 3" xfId="30675"/>
    <cellStyle name="Heading 2 2 2 2 5 3 7 3" xfId="30676"/>
    <cellStyle name="Heading 2 2 2 2 5 3 7 3 2" xfId="30677"/>
    <cellStyle name="Heading 2 2 2 2 5 3 7 3 2 2" xfId="30678"/>
    <cellStyle name="Heading 2 2 2 2 5 3 7 3 3" xfId="30679"/>
    <cellStyle name="Heading 2 2 2 2 5 3 7 4" xfId="30680"/>
    <cellStyle name="Heading 2 2 2 2 5 3 7 4 2" xfId="30681"/>
    <cellStyle name="Heading 2 2 2 2 5 3 7 4 2 2" xfId="30682"/>
    <cellStyle name="Heading 2 2 2 2 5 3 7 4 3" xfId="30683"/>
    <cellStyle name="Heading 2 2 2 2 5 3 7 5" xfId="30684"/>
    <cellStyle name="Heading 2 2 2 2 5 3 7 5 2" xfId="30685"/>
    <cellStyle name="Heading 2 2 2 2 5 3 7 5 2 2" xfId="30686"/>
    <cellStyle name="Heading 2 2 2 2 5 3 7 5 3" xfId="30687"/>
    <cellStyle name="Heading 2 2 2 2 5 3 7 6" xfId="30688"/>
    <cellStyle name="Heading 2 2 2 2 5 3 7 6 2" xfId="30689"/>
    <cellStyle name="Heading 2 2 2 2 5 3 7 6 2 2" xfId="30690"/>
    <cellStyle name="Heading 2 2 2 2 5 3 7 6 3" xfId="30691"/>
    <cellStyle name="Heading 2 2 2 2 5 3 7 7" xfId="30692"/>
    <cellStyle name="Heading 2 2 2 2 5 3 7 7 2" xfId="30693"/>
    <cellStyle name="Heading 2 2 2 2 5 3 7 7 2 2" xfId="30694"/>
    <cellStyle name="Heading 2 2 2 2 5 3 7 7 3" xfId="30695"/>
    <cellStyle name="Heading 2 2 2 2 5 3 7 8" xfId="30696"/>
    <cellStyle name="Heading 2 2 2 2 5 3 7 8 2" xfId="30697"/>
    <cellStyle name="Heading 2 2 2 2 5 3 7 9" xfId="30698"/>
    <cellStyle name="Heading 2 2 2 2 5 3 8" xfId="30699"/>
    <cellStyle name="Heading 2 2 2 2 5 3 8 2" xfId="30700"/>
    <cellStyle name="Heading 2 2 2 2 5 3 8 2 2" xfId="30701"/>
    <cellStyle name="Heading 2 2 2 2 5 3 8 2 2 2" xfId="30702"/>
    <cellStyle name="Heading 2 2 2 2 5 3 8 2 3" xfId="30703"/>
    <cellStyle name="Heading 2 2 2 2 5 3 8 3" xfId="30704"/>
    <cellStyle name="Heading 2 2 2 2 5 3 8 3 2" xfId="30705"/>
    <cellStyle name="Heading 2 2 2 2 5 3 8 3 2 2" xfId="30706"/>
    <cellStyle name="Heading 2 2 2 2 5 3 8 3 3" xfId="30707"/>
    <cellStyle name="Heading 2 2 2 2 5 3 8 4" xfId="30708"/>
    <cellStyle name="Heading 2 2 2 2 5 3 8 4 2" xfId="30709"/>
    <cellStyle name="Heading 2 2 2 2 5 3 8 4 2 2" xfId="30710"/>
    <cellStyle name="Heading 2 2 2 2 5 3 8 4 3" xfId="30711"/>
    <cellStyle name="Heading 2 2 2 2 5 3 8 5" xfId="30712"/>
    <cellStyle name="Heading 2 2 2 2 5 3 8 5 2" xfId="30713"/>
    <cellStyle name="Heading 2 2 2 2 5 3 8 5 2 2" xfId="30714"/>
    <cellStyle name="Heading 2 2 2 2 5 3 8 5 3" xfId="30715"/>
    <cellStyle name="Heading 2 2 2 2 5 3 8 6" xfId="30716"/>
    <cellStyle name="Heading 2 2 2 2 5 3 8 6 2" xfId="30717"/>
    <cellStyle name="Heading 2 2 2 2 5 3 8 6 2 2" xfId="30718"/>
    <cellStyle name="Heading 2 2 2 2 5 3 8 6 3" xfId="30719"/>
    <cellStyle name="Heading 2 2 2 2 5 3 8 7" xfId="30720"/>
    <cellStyle name="Heading 2 2 2 2 5 3 8 7 2" xfId="30721"/>
    <cellStyle name="Heading 2 2 2 2 5 3 8 7 2 2" xfId="30722"/>
    <cellStyle name="Heading 2 2 2 2 5 3 8 7 3" xfId="30723"/>
    <cellStyle name="Heading 2 2 2 2 5 3 8 8" xfId="30724"/>
    <cellStyle name="Heading 2 2 2 2 5 3 8 8 2" xfId="30725"/>
    <cellStyle name="Heading 2 2 2 2 5 3 8 9" xfId="30726"/>
    <cellStyle name="Heading 2 2 2 2 5 3 9" xfId="30727"/>
    <cellStyle name="Heading 2 2 2 2 5 3 9 2" xfId="30728"/>
    <cellStyle name="Heading 2 2 2 2 5 3 9 2 2" xfId="30729"/>
    <cellStyle name="Heading 2 2 2 2 5 3 9 3" xfId="30730"/>
    <cellStyle name="Heading 2 2 2 2 5 4" xfId="30731"/>
    <cellStyle name="Heading 2 2 2 2 5 4 2" xfId="30732"/>
    <cellStyle name="Heading 2 2 2 2 5 4 2 2" xfId="30733"/>
    <cellStyle name="Heading 2 2 2 2 5 4 3" xfId="30734"/>
    <cellStyle name="Heading 2 2 2 2 5 5" xfId="30735"/>
    <cellStyle name="Heading 2 2 2 2 5 5 2" xfId="30736"/>
    <cellStyle name="Heading 2 2 2 2 5 6" xfId="30737"/>
    <cellStyle name="Heading 2 2 2 2 6" xfId="30738"/>
    <cellStyle name="Heading 2 2 2 2 6 2" xfId="30739"/>
    <cellStyle name="Heading 2 2 2 2 6 2 10" xfId="30740"/>
    <cellStyle name="Heading 2 2 2 2 6 2 10 2" xfId="30741"/>
    <cellStyle name="Heading 2 2 2 2 6 2 10 2 2" xfId="30742"/>
    <cellStyle name="Heading 2 2 2 2 6 2 10 3" xfId="30743"/>
    <cellStyle name="Heading 2 2 2 2 6 2 11" xfId="30744"/>
    <cellStyle name="Heading 2 2 2 2 6 2 11 2" xfId="30745"/>
    <cellStyle name="Heading 2 2 2 2 6 2 11 2 2" xfId="30746"/>
    <cellStyle name="Heading 2 2 2 2 6 2 11 3" xfId="30747"/>
    <cellStyle name="Heading 2 2 2 2 6 2 12" xfId="30748"/>
    <cellStyle name="Heading 2 2 2 2 6 2 12 2" xfId="30749"/>
    <cellStyle name="Heading 2 2 2 2 6 2 12 2 2" xfId="30750"/>
    <cellStyle name="Heading 2 2 2 2 6 2 12 3" xfId="30751"/>
    <cellStyle name="Heading 2 2 2 2 6 2 13" xfId="30752"/>
    <cellStyle name="Heading 2 2 2 2 6 2 13 2" xfId="30753"/>
    <cellStyle name="Heading 2 2 2 2 6 2 13 2 2" xfId="30754"/>
    <cellStyle name="Heading 2 2 2 2 6 2 13 3" xfId="30755"/>
    <cellStyle name="Heading 2 2 2 2 6 2 14" xfId="30756"/>
    <cellStyle name="Heading 2 2 2 2 6 2 14 2" xfId="30757"/>
    <cellStyle name="Heading 2 2 2 2 6 2 14 2 2" xfId="30758"/>
    <cellStyle name="Heading 2 2 2 2 6 2 14 3" xfId="30759"/>
    <cellStyle name="Heading 2 2 2 2 6 2 15" xfId="30760"/>
    <cellStyle name="Heading 2 2 2 2 6 2 15 2" xfId="30761"/>
    <cellStyle name="Heading 2 2 2 2 6 2 15 2 2" xfId="30762"/>
    <cellStyle name="Heading 2 2 2 2 6 2 15 3" xfId="30763"/>
    <cellStyle name="Heading 2 2 2 2 6 2 16" xfId="30764"/>
    <cellStyle name="Heading 2 2 2 2 6 2 16 2" xfId="30765"/>
    <cellStyle name="Heading 2 2 2 2 6 2 16 2 2" xfId="30766"/>
    <cellStyle name="Heading 2 2 2 2 6 2 16 3" xfId="30767"/>
    <cellStyle name="Heading 2 2 2 2 6 2 17" xfId="30768"/>
    <cellStyle name="Heading 2 2 2 2 6 2 17 2" xfId="30769"/>
    <cellStyle name="Heading 2 2 2 2 6 2 17 2 2" xfId="30770"/>
    <cellStyle name="Heading 2 2 2 2 6 2 17 3" xfId="30771"/>
    <cellStyle name="Heading 2 2 2 2 6 2 18" xfId="30772"/>
    <cellStyle name="Heading 2 2 2 2 6 2 18 2" xfId="30773"/>
    <cellStyle name="Heading 2 2 2 2 6 2 18 2 2" xfId="30774"/>
    <cellStyle name="Heading 2 2 2 2 6 2 18 3" xfId="30775"/>
    <cellStyle name="Heading 2 2 2 2 6 2 19" xfId="30776"/>
    <cellStyle name="Heading 2 2 2 2 6 2 19 2" xfId="30777"/>
    <cellStyle name="Heading 2 2 2 2 6 2 19 2 2" xfId="30778"/>
    <cellStyle name="Heading 2 2 2 2 6 2 19 3" xfId="30779"/>
    <cellStyle name="Heading 2 2 2 2 6 2 2" xfId="30780"/>
    <cellStyle name="Heading 2 2 2 2 6 2 2 10" xfId="30781"/>
    <cellStyle name="Heading 2 2 2 2 6 2 2 10 2" xfId="30782"/>
    <cellStyle name="Heading 2 2 2 2 6 2 2 10 2 2" xfId="30783"/>
    <cellStyle name="Heading 2 2 2 2 6 2 2 10 3" xfId="30784"/>
    <cellStyle name="Heading 2 2 2 2 6 2 2 11" xfId="30785"/>
    <cellStyle name="Heading 2 2 2 2 6 2 2 11 2" xfId="30786"/>
    <cellStyle name="Heading 2 2 2 2 6 2 2 11 2 2" xfId="30787"/>
    <cellStyle name="Heading 2 2 2 2 6 2 2 11 3" xfId="30788"/>
    <cellStyle name="Heading 2 2 2 2 6 2 2 12" xfId="30789"/>
    <cellStyle name="Heading 2 2 2 2 6 2 2 12 2" xfId="30790"/>
    <cellStyle name="Heading 2 2 2 2 6 2 2 12 2 2" xfId="30791"/>
    <cellStyle name="Heading 2 2 2 2 6 2 2 12 3" xfId="30792"/>
    <cellStyle name="Heading 2 2 2 2 6 2 2 13" xfId="30793"/>
    <cellStyle name="Heading 2 2 2 2 6 2 2 13 2" xfId="30794"/>
    <cellStyle name="Heading 2 2 2 2 6 2 2 13 2 2" xfId="30795"/>
    <cellStyle name="Heading 2 2 2 2 6 2 2 13 3" xfId="30796"/>
    <cellStyle name="Heading 2 2 2 2 6 2 2 14" xfId="30797"/>
    <cellStyle name="Heading 2 2 2 2 6 2 2 14 2" xfId="30798"/>
    <cellStyle name="Heading 2 2 2 2 6 2 2 14 2 2" xfId="30799"/>
    <cellStyle name="Heading 2 2 2 2 6 2 2 14 3" xfId="30800"/>
    <cellStyle name="Heading 2 2 2 2 6 2 2 15" xfId="30801"/>
    <cellStyle name="Heading 2 2 2 2 6 2 2 15 2" xfId="30802"/>
    <cellStyle name="Heading 2 2 2 2 6 2 2 15 2 2" xfId="30803"/>
    <cellStyle name="Heading 2 2 2 2 6 2 2 15 3" xfId="30804"/>
    <cellStyle name="Heading 2 2 2 2 6 2 2 16" xfId="30805"/>
    <cellStyle name="Heading 2 2 2 2 6 2 2 16 2" xfId="30806"/>
    <cellStyle name="Heading 2 2 2 2 6 2 2 16 2 2" xfId="30807"/>
    <cellStyle name="Heading 2 2 2 2 6 2 2 16 3" xfId="30808"/>
    <cellStyle name="Heading 2 2 2 2 6 2 2 17" xfId="30809"/>
    <cellStyle name="Heading 2 2 2 2 6 2 2 17 2" xfId="30810"/>
    <cellStyle name="Heading 2 2 2 2 6 2 2 17 2 2" xfId="30811"/>
    <cellStyle name="Heading 2 2 2 2 6 2 2 17 3" xfId="30812"/>
    <cellStyle name="Heading 2 2 2 2 6 2 2 18" xfId="30813"/>
    <cellStyle name="Heading 2 2 2 2 6 2 2 18 2" xfId="30814"/>
    <cellStyle name="Heading 2 2 2 2 6 2 2 18 2 2" xfId="30815"/>
    <cellStyle name="Heading 2 2 2 2 6 2 2 18 3" xfId="30816"/>
    <cellStyle name="Heading 2 2 2 2 6 2 2 19" xfId="30817"/>
    <cellStyle name="Heading 2 2 2 2 6 2 2 19 2" xfId="30818"/>
    <cellStyle name="Heading 2 2 2 2 6 2 2 2" xfId="30819"/>
    <cellStyle name="Heading 2 2 2 2 6 2 2 2 2" xfId="30820"/>
    <cellStyle name="Heading 2 2 2 2 6 2 2 2 2 2" xfId="30821"/>
    <cellStyle name="Heading 2 2 2 2 6 2 2 2 2 2 2" xfId="30822"/>
    <cellStyle name="Heading 2 2 2 2 6 2 2 2 2 3" xfId="30823"/>
    <cellStyle name="Heading 2 2 2 2 6 2 2 2 3" xfId="30824"/>
    <cellStyle name="Heading 2 2 2 2 6 2 2 2 3 2" xfId="30825"/>
    <cellStyle name="Heading 2 2 2 2 6 2 2 2 3 2 2" xfId="30826"/>
    <cellStyle name="Heading 2 2 2 2 6 2 2 2 3 3" xfId="30827"/>
    <cellStyle name="Heading 2 2 2 2 6 2 2 2 4" xfId="30828"/>
    <cellStyle name="Heading 2 2 2 2 6 2 2 2 4 2" xfId="30829"/>
    <cellStyle name="Heading 2 2 2 2 6 2 2 2 4 2 2" xfId="30830"/>
    <cellStyle name="Heading 2 2 2 2 6 2 2 2 4 3" xfId="30831"/>
    <cellStyle name="Heading 2 2 2 2 6 2 2 2 5" xfId="30832"/>
    <cellStyle name="Heading 2 2 2 2 6 2 2 2 5 2" xfId="30833"/>
    <cellStyle name="Heading 2 2 2 2 6 2 2 2 5 2 2" xfId="30834"/>
    <cellStyle name="Heading 2 2 2 2 6 2 2 2 5 3" xfId="30835"/>
    <cellStyle name="Heading 2 2 2 2 6 2 2 2 6" xfId="30836"/>
    <cellStyle name="Heading 2 2 2 2 6 2 2 2 6 2" xfId="30837"/>
    <cellStyle name="Heading 2 2 2 2 6 2 2 2 6 2 2" xfId="30838"/>
    <cellStyle name="Heading 2 2 2 2 6 2 2 2 6 3" xfId="30839"/>
    <cellStyle name="Heading 2 2 2 2 6 2 2 2 7" xfId="30840"/>
    <cellStyle name="Heading 2 2 2 2 6 2 2 2 7 2" xfId="30841"/>
    <cellStyle name="Heading 2 2 2 2 6 2 2 2 7 2 2" xfId="30842"/>
    <cellStyle name="Heading 2 2 2 2 6 2 2 2 7 3" xfId="30843"/>
    <cellStyle name="Heading 2 2 2 2 6 2 2 2 8" xfId="30844"/>
    <cellStyle name="Heading 2 2 2 2 6 2 2 2 8 2" xfId="30845"/>
    <cellStyle name="Heading 2 2 2 2 6 2 2 2 9" xfId="30846"/>
    <cellStyle name="Heading 2 2 2 2 6 2 2 20" xfId="30847"/>
    <cellStyle name="Heading 2 2 2 2 6 2 2 20 2" xfId="30848"/>
    <cellStyle name="Heading 2 2 2 2 6 2 2 21" xfId="30849"/>
    <cellStyle name="Heading 2 2 2 2 6 2 2 21 2" xfId="30850"/>
    <cellStyle name="Heading 2 2 2 2 6 2 2 22" xfId="30851"/>
    <cellStyle name="Heading 2 2 2 2 6 2 2 3" xfId="30852"/>
    <cellStyle name="Heading 2 2 2 2 6 2 2 3 2" xfId="30853"/>
    <cellStyle name="Heading 2 2 2 2 6 2 2 3 2 2" xfId="30854"/>
    <cellStyle name="Heading 2 2 2 2 6 2 2 3 2 2 2" xfId="30855"/>
    <cellStyle name="Heading 2 2 2 2 6 2 2 3 2 3" xfId="30856"/>
    <cellStyle name="Heading 2 2 2 2 6 2 2 3 3" xfId="30857"/>
    <cellStyle name="Heading 2 2 2 2 6 2 2 3 3 2" xfId="30858"/>
    <cellStyle name="Heading 2 2 2 2 6 2 2 3 3 2 2" xfId="30859"/>
    <cellStyle name="Heading 2 2 2 2 6 2 2 3 3 3" xfId="30860"/>
    <cellStyle name="Heading 2 2 2 2 6 2 2 3 4" xfId="30861"/>
    <cellStyle name="Heading 2 2 2 2 6 2 2 3 4 2" xfId="30862"/>
    <cellStyle name="Heading 2 2 2 2 6 2 2 3 4 2 2" xfId="30863"/>
    <cellStyle name="Heading 2 2 2 2 6 2 2 3 4 3" xfId="30864"/>
    <cellStyle name="Heading 2 2 2 2 6 2 2 3 5" xfId="30865"/>
    <cellStyle name="Heading 2 2 2 2 6 2 2 3 5 2" xfId="30866"/>
    <cellStyle name="Heading 2 2 2 2 6 2 2 3 5 2 2" xfId="30867"/>
    <cellStyle name="Heading 2 2 2 2 6 2 2 3 5 3" xfId="30868"/>
    <cellStyle name="Heading 2 2 2 2 6 2 2 3 6" xfId="30869"/>
    <cellStyle name="Heading 2 2 2 2 6 2 2 3 6 2" xfId="30870"/>
    <cellStyle name="Heading 2 2 2 2 6 2 2 3 6 2 2" xfId="30871"/>
    <cellStyle name="Heading 2 2 2 2 6 2 2 3 6 3" xfId="30872"/>
    <cellStyle name="Heading 2 2 2 2 6 2 2 3 7" xfId="30873"/>
    <cellStyle name="Heading 2 2 2 2 6 2 2 3 7 2" xfId="30874"/>
    <cellStyle name="Heading 2 2 2 2 6 2 2 3 7 2 2" xfId="30875"/>
    <cellStyle name="Heading 2 2 2 2 6 2 2 3 7 3" xfId="30876"/>
    <cellStyle name="Heading 2 2 2 2 6 2 2 3 8" xfId="30877"/>
    <cellStyle name="Heading 2 2 2 2 6 2 2 3 8 2" xfId="30878"/>
    <cellStyle name="Heading 2 2 2 2 6 2 2 3 9" xfId="30879"/>
    <cellStyle name="Heading 2 2 2 2 6 2 2 4" xfId="30880"/>
    <cellStyle name="Heading 2 2 2 2 6 2 2 4 2" xfId="30881"/>
    <cellStyle name="Heading 2 2 2 2 6 2 2 4 2 2" xfId="30882"/>
    <cellStyle name="Heading 2 2 2 2 6 2 2 4 2 2 2" xfId="30883"/>
    <cellStyle name="Heading 2 2 2 2 6 2 2 4 2 3" xfId="30884"/>
    <cellStyle name="Heading 2 2 2 2 6 2 2 4 3" xfId="30885"/>
    <cellStyle name="Heading 2 2 2 2 6 2 2 4 3 2" xfId="30886"/>
    <cellStyle name="Heading 2 2 2 2 6 2 2 4 3 2 2" xfId="30887"/>
    <cellStyle name="Heading 2 2 2 2 6 2 2 4 3 3" xfId="30888"/>
    <cellStyle name="Heading 2 2 2 2 6 2 2 4 4" xfId="30889"/>
    <cellStyle name="Heading 2 2 2 2 6 2 2 4 4 2" xfId="30890"/>
    <cellStyle name="Heading 2 2 2 2 6 2 2 4 4 2 2" xfId="30891"/>
    <cellStyle name="Heading 2 2 2 2 6 2 2 4 4 3" xfId="30892"/>
    <cellStyle name="Heading 2 2 2 2 6 2 2 4 5" xfId="30893"/>
    <cellStyle name="Heading 2 2 2 2 6 2 2 4 5 2" xfId="30894"/>
    <cellStyle name="Heading 2 2 2 2 6 2 2 4 5 2 2" xfId="30895"/>
    <cellStyle name="Heading 2 2 2 2 6 2 2 4 5 3" xfId="30896"/>
    <cellStyle name="Heading 2 2 2 2 6 2 2 4 6" xfId="30897"/>
    <cellStyle name="Heading 2 2 2 2 6 2 2 4 6 2" xfId="30898"/>
    <cellStyle name="Heading 2 2 2 2 6 2 2 4 6 2 2" xfId="30899"/>
    <cellStyle name="Heading 2 2 2 2 6 2 2 4 6 3" xfId="30900"/>
    <cellStyle name="Heading 2 2 2 2 6 2 2 4 7" xfId="30901"/>
    <cellStyle name="Heading 2 2 2 2 6 2 2 4 7 2" xfId="30902"/>
    <cellStyle name="Heading 2 2 2 2 6 2 2 4 7 2 2" xfId="30903"/>
    <cellStyle name="Heading 2 2 2 2 6 2 2 4 7 3" xfId="30904"/>
    <cellStyle name="Heading 2 2 2 2 6 2 2 4 8" xfId="30905"/>
    <cellStyle name="Heading 2 2 2 2 6 2 2 4 8 2" xfId="30906"/>
    <cellStyle name="Heading 2 2 2 2 6 2 2 4 9" xfId="30907"/>
    <cellStyle name="Heading 2 2 2 2 6 2 2 5" xfId="30908"/>
    <cellStyle name="Heading 2 2 2 2 6 2 2 5 2" xfId="30909"/>
    <cellStyle name="Heading 2 2 2 2 6 2 2 5 2 2" xfId="30910"/>
    <cellStyle name="Heading 2 2 2 2 6 2 2 5 2 2 2" xfId="30911"/>
    <cellStyle name="Heading 2 2 2 2 6 2 2 5 2 3" xfId="30912"/>
    <cellStyle name="Heading 2 2 2 2 6 2 2 5 3" xfId="30913"/>
    <cellStyle name="Heading 2 2 2 2 6 2 2 5 3 2" xfId="30914"/>
    <cellStyle name="Heading 2 2 2 2 6 2 2 5 3 2 2" xfId="30915"/>
    <cellStyle name="Heading 2 2 2 2 6 2 2 5 3 3" xfId="30916"/>
    <cellStyle name="Heading 2 2 2 2 6 2 2 5 4" xfId="30917"/>
    <cellStyle name="Heading 2 2 2 2 6 2 2 5 4 2" xfId="30918"/>
    <cellStyle name="Heading 2 2 2 2 6 2 2 5 4 2 2" xfId="30919"/>
    <cellStyle name="Heading 2 2 2 2 6 2 2 5 4 3" xfId="30920"/>
    <cellStyle name="Heading 2 2 2 2 6 2 2 5 5" xfId="30921"/>
    <cellStyle name="Heading 2 2 2 2 6 2 2 5 5 2" xfId="30922"/>
    <cellStyle name="Heading 2 2 2 2 6 2 2 5 5 2 2" xfId="30923"/>
    <cellStyle name="Heading 2 2 2 2 6 2 2 5 5 3" xfId="30924"/>
    <cellStyle name="Heading 2 2 2 2 6 2 2 5 6" xfId="30925"/>
    <cellStyle name="Heading 2 2 2 2 6 2 2 5 6 2" xfId="30926"/>
    <cellStyle name="Heading 2 2 2 2 6 2 2 5 6 2 2" xfId="30927"/>
    <cellStyle name="Heading 2 2 2 2 6 2 2 5 6 3" xfId="30928"/>
    <cellStyle name="Heading 2 2 2 2 6 2 2 5 7" xfId="30929"/>
    <cellStyle name="Heading 2 2 2 2 6 2 2 5 7 2" xfId="30930"/>
    <cellStyle name="Heading 2 2 2 2 6 2 2 5 7 2 2" xfId="30931"/>
    <cellStyle name="Heading 2 2 2 2 6 2 2 5 7 3" xfId="30932"/>
    <cellStyle name="Heading 2 2 2 2 6 2 2 5 8" xfId="30933"/>
    <cellStyle name="Heading 2 2 2 2 6 2 2 5 8 2" xfId="30934"/>
    <cellStyle name="Heading 2 2 2 2 6 2 2 5 9" xfId="30935"/>
    <cellStyle name="Heading 2 2 2 2 6 2 2 6" xfId="30936"/>
    <cellStyle name="Heading 2 2 2 2 6 2 2 6 2" xfId="30937"/>
    <cellStyle name="Heading 2 2 2 2 6 2 2 6 2 2" xfId="30938"/>
    <cellStyle name="Heading 2 2 2 2 6 2 2 6 2 2 2" xfId="30939"/>
    <cellStyle name="Heading 2 2 2 2 6 2 2 6 2 3" xfId="30940"/>
    <cellStyle name="Heading 2 2 2 2 6 2 2 6 3" xfId="30941"/>
    <cellStyle name="Heading 2 2 2 2 6 2 2 6 3 2" xfId="30942"/>
    <cellStyle name="Heading 2 2 2 2 6 2 2 6 3 2 2" xfId="30943"/>
    <cellStyle name="Heading 2 2 2 2 6 2 2 6 3 3" xfId="30944"/>
    <cellStyle name="Heading 2 2 2 2 6 2 2 6 4" xfId="30945"/>
    <cellStyle name="Heading 2 2 2 2 6 2 2 6 4 2" xfId="30946"/>
    <cellStyle name="Heading 2 2 2 2 6 2 2 6 4 2 2" xfId="30947"/>
    <cellStyle name="Heading 2 2 2 2 6 2 2 6 4 3" xfId="30948"/>
    <cellStyle name="Heading 2 2 2 2 6 2 2 6 5" xfId="30949"/>
    <cellStyle name="Heading 2 2 2 2 6 2 2 6 5 2" xfId="30950"/>
    <cellStyle name="Heading 2 2 2 2 6 2 2 6 5 2 2" xfId="30951"/>
    <cellStyle name="Heading 2 2 2 2 6 2 2 6 5 3" xfId="30952"/>
    <cellStyle name="Heading 2 2 2 2 6 2 2 6 6" xfId="30953"/>
    <cellStyle name="Heading 2 2 2 2 6 2 2 6 6 2" xfId="30954"/>
    <cellStyle name="Heading 2 2 2 2 6 2 2 6 6 2 2" xfId="30955"/>
    <cellStyle name="Heading 2 2 2 2 6 2 2 6 6 3" xfId="30956"/>
    <cellStyle name="Heading 2 2 2 2 6 2 2 6 7" xfId="30957"/>
    <cellStyle name="Heading 2 2 2 2 6 2 2 6 7 2" xfId="30958"/>
    <cellStyle name="Heading 2 2 2 2 6 2 2 6 7 2 2" xfId="30959"/>
    <cellStyle name="Heading 2 2 2 2 6 2 2 6 7 3" xfId="30960"/>
    <cellStyle name="Heading 2 2 2 2 6 2 2 6 8" xfId="30961"/>
    <cellStyle name="Heading 2 2 2 2 6 2 2 6 8 2" xfId="30962"/>
    <cellStyle name="Heading 2 2 2 2 6 2 2 6 9" xfId="30963"/>
    <cellStyle name="Heading 2 2 2 2 6 2 2 7" xfId="30964"/>
    <cellStyle name="Heading 2 2 2 2 6 2 2 7 2" xfId="30965"/>
    <cellStyle name="Heading 2 2 2 2 6 2 2 7 2 2" xfId="30966"/>
    <cellStyle name="Heading 2 2 2 2 6 2 2 7 2 2 2" xfId="30967"/>
    <cellStyle name="Heading 2 2 2 2 6 2 2 7 2 3" xfId="30968"/>
    <cellStyle name="Heading 2 2 2 2 6 2 2 7 3" xfId="30969"/>
    <cellStyle name="Heading 2 2 2 2 6 2 2 7 3 2" xfId="30970"/>
    <cellStyle name="Heading 2 2 2 2 6 2 2 7 3 2 2" xfId="30971"/>
    <cellStyle name="Heading 2 2 2 2 6 2 2 7 3 3" xfId="30972"/>
    <cellStyle name="Heading 2 2 2 2 6 2 2 7 4" xfId="30973"/>
    <cellStyle name="Heading 2 2 2 2 6 2 2 7 4 2" xfId="30974"/>
    <cellStyle name="Heading 2 2 2 2 6 2 2 7 4 2 2" xfId="30975"/>
    <cellStyle name="Heading 2 2 2 2 6 2 2 7 4 3" xfId="30976"/>
    <cellStyle name="Heading 2 2 2 2 6 2 2 7 5" xfId="30977"/>
    <cellStyle name="Heading 2 2 2 2 6 2 2 7 5 2" xfId="30978"/>
    <cellStyle name="Heading 2 2 2 2 6 2 2 7 5 2 2" xfId="30979"/>
    <cellStyle name="Heading 2 2 2 2 6 2 2 7 5 3" xfId="30980"/>
    <cellStyle name="Heading 2 2 2 2 6 2 2 7 6" xfId="30981"/>
    <cellStyle name="Heading 2 2 2 2 6 2 2 7 6 2" xfId="30982"/>
    <cellStyle name="Heading 2 2 2 2 6 2 2 7 6 2 2" xfId="30983"/>
    <cellStyle name="Heading 2 2 2 2 6 2 2 7 6 3" xfId="30984"/>
    <cellStyle name="Heading 2 2 2 2 6 2 2 7 7" xfId="30985"/>
    <cellStyle name="Heading 2 2 2 2 6 2 2 7 7 2" xfId="30986"/>
    <cellStyle name="Heading 2 2 2 2 6 2 2 7 7 2 2" xfId="30987"/>
    <cellStyle name="Heading 2 2 2 2 6 2 2 7 7 3" xfId="30988"/>
    <cellStyle name="Heading 2 2 2 2 6 2 2 7 8" xfId="30989"/>
    <cellStyle name="Heading 2 2 2 2 6 2 2 7 8 2" xfId="30990"/>
    <cellStyle name="Heading 2 2 2 2 6 2 2 7 9" xfId="30991"/>
    <cellStyle name="Heading 2 2 2 2 6 2 2 8" xfId="30992"/>
    <cellStyle name="Heading 2 2 2 2 6 2 2 8 2" xfId="30993"/>
    <cellStyle name="Heading 2 2 2 2 6 2 2 8 2 2" xfId="30994"/>
    <cellStyle name="Heading 2 2 2 2 6 2 2 8 2 2 2" xfId="30995"/>
    <cellStyle name="Heading 2 2 2 2 6 2 2 8 2 3" xfId="30996"/>
    <cellStyle name="Heading 2 2 2 2 6 2 2 8 3" xfId="30997"/>
    <cellStyle name="Heading 2 2 2 2 6 2 2 8 3 2" xfId="30998"/>
    <cellStyle name="Heading 2 2 2 2 6 2 2 8 3 2 2" xfId="30999"/>
    <cellStyle name="Heading 2 2 2 2 6 2 2 8 3 3" xfId="31000"/>
    <cellStyle name="Heading 2 2 2 2 6 2 2 8 4" xfId="31001"/>
    <cellStyle name="Heading 2 2 2 2 6 2 2 8 4 2" xfId="31002"/>
    <cellStyle name="Heading 2 2 2 2 6 2 2 8 4 2 2" xfId="31003"/>
    <cellStyle name="Heading 2 2 2 2 6 2 2 8 4 3" xfId="31004"/>
    <cellStyle name="Heading 2 2 2 2 6 2 2 8 5" xfId="31005"/>
    <cellStyle name="Heading 2 2 2 2 6 2 2 8 5 2" xfId="31006"/>
    <cellStyle name="Heading 2 2 2 2 6 2 2 8 5 2 2" xfId="31007"/>
    <cellStyle name="Heading 2 2 2 2 6 2 2 8 5 3" xfId="31008"/>
    <cellStyle name="Heading 2 2 2 2 6 2 2 8 6" xfId="31009"/>
    <cellStyle name="Heading 2 2 2 2 6 2 2 8 6 2" xfId="31010"/>
    <cellStyle name="Heading 2 2 2 2 6 2 2 8 6 2 2" xfId="31011"/>
    <cellStyle name="Heading 2 2 2 2 6 2 2 8 6 3" xfId="31012"/>
    <cellStyle name="Heading 2 2 2 2 6 2 2 8 7" xfId="31013"/>
    <cellStyle name="Heading 2 2 2 2 6 2 2 8 7 2" xfId="31014"/>
    <cellStyle name="Heading 2 2 2 2 6 2 2 8 7 2 2" xfId="31015"/>
    <cellStyle name="Heading 2 2 2 2 6 2 2 8 7 3" xfId="31016"/>
    <cellStyle name="Heading 2 2 2 2 6 2 2 8 8" xfId="31017"/>
    <cellStyle name="Heading 2 2 2 2 6 2 2 8 8 2" xfId="31018"/>
    <cellStyle name="Heading 2 2 2 2 6 2 2 8 9" xfId="31019"/>
    <cellStyle name="Heading 2 2 2 2 6 2 2 9" xfId="31020"/>
    <cellStyle name="Heading 2 2 2 2 6 2 2 9 2" xfId="31021"/>
    <cellStyle name="Heading 2 2 2 2 6 2 2 9 2 2" xfId="31022"/>
    <cellStyle name="Heading 2 2 2 2 6 2 2 9 3" xfId="31023"/>
    <cellStyle name="Heading 2 2 2 2 6 2 20" xfId="31024"/>
    <cellStyle name="Heading 2 2 2 2 6 2 20 2" xfId="31025"/>
    <cellStyle name="Heading 2 2 2 2 6 2 21" xfId="31026"/>
    <cellStyle name="Heading 2 2 2 2 6 2 21 2" xfId="31027"/>
    <cellStyle name="Heading 2 2 2 2 6 2 22" xfId="31028"/>
    <cellStyle name="Heading 2 2 2 2 6 2 22 2" xfId="31029"/>
    <cellStyle name="Heading 2 2 2 2 6 2 23" xfId="31030"/>
    <cellStyle name="Heading 2 2 2 2 6 2 3" xfId="31031"/>
    <cellStyle name="Heading 2 2 2 2 6 2 3 2" xfId="31032"/>
    <cellStyle name="Heading 2 2 2 2 6 2 3 2 2" xfId="31033"/>
    <cellStyle name="Heading 2 2 2 2 6 2 3 2 2 2" xfId="31034"/>
    <cellStyle name="Heading 2 2 2 2 6 2 3 2 3" xfId="31035"/>
    <cellStyle name="Heading 2 2 2 2 6 2 3 3" xfId="31036"/>
    <cellStyle name="Heading 2 2 2 2 6 2 3 3 2" xfId="31037"/>
    <cellStyle name="Heading 2 2 2 2 6 2 3 3 2 2" xfId="31038"/>
    <cellStyle name="Heading 2 2 2 2 6 2 3 3 3" xfId="31039"/>
    <cellStyle name="Heading 2 2 2 2 6 2 3 4" xfId="31040"/>
    <cellStyle name="Heading 2 2 2 2 6 2 3 4 2" xfId="31041"/>
    <cellStyle name="Heading 2 2 2 2 6 2 3 4 2 2" xfId="31042"/>
    <cellStyle name="Heading 2 2 2 2 6 2 3 4 3" xfId="31043"/>
    <cellStyle name="Heading 2 2 2 2 6 2 3 5" xfId="31044"/>
    <cellStyle name="Heading 2 2 2 2 6 2 3 5 2" xfId="31045"/>
    <cellStyle name="Heading 2 2 2 2 6 2 3 5 2 2" xfId="31046"/>
    <cellStyle name="Heading 2 2 2 2 6 2 3 5 3" xfId="31047"/>
    <cellStyle name="Heading 2 2 2 2 6 2 3 6" xfId="31048"/>
    <cellStyle name="Heading 2 2 2 2 6 2 3 6 2" xfId="31049"/>
    <cellStyle name="Heading 2 2 2 2 6 2 3 6 2 2" xfId="31050"/>
    <cellStyle name="Heading 2 2 2 2 6 2 3 6 3" xfId="31051"/>
    <cellStyle name="Heading 2 2 2 2 6 2 3 7" xfId="31052"/>
    <cellStyle name="Heading 2 2 2 2 6 2 3 7 2" xfId="31053"/>
    <cellStyle name="Heading 2 2 2 2 6 2 3 7 2 2" xfId="31054"/>
    <cellStyle name="Heading 2 2 2 2 6 2 3 7 3" xfId="31055"/>
    <cellStyle name="Heading 2 2 2 2 6 2 3 8" xfId="31056"/>
    <cellStyle name="Heading 2 2 2 2 6 2 3 8 2" xfId="31057"/>
    <cellStyle name="Heading 2 2 2 2 6 2 3 9" xfId="31058"/>
    <cellStyle name="Heading 2 2 2 2 6 2 4" xfId="31059"/>
    <cellStyle name="Heading 2 2 2 2 6 2 4 2" xfId="31060"/>
    <cellStyle name="Heading 2 2 2 2 6 2 4 2 2" xfId="31061"/>
    <cellStyle name="Heading 2 2 2 2 6 2 4 2 2 2" xfId="31062"/>
    <cellStyle name="Heading 2 2 2 2 6 2 4 2 3" xfId="31063"/>
    <cellStyle name="Heading 2 2 2 2 6 2 4 3" xfId="31064"/>
    <cellStyle name="Heading 2 2 2 2 6 2 4 3 2" xfId="31065"/>
    <cellStyle name="Heading 2 2 2 2 6 2 4 3 2 2" xfId="31066"/>
    <cellStyle name="Heading 2 2 2 2 6 2 4 3 3" xfId="31067"/>
    <cellStyle name="Heading 2 2 2 2 6 2 4 4" xfId="31068"/>
    <cellStyle name="Heading 2 2 2 2 6 2 4 4 2" xfId="31069"/>
    <cellStyle name="Heading 2 2 2 2 6 2 4 4 2 2" xfId="31070"/>
    <cellStyle name="Heading 2 2 2 2 6 2 4 4 3" xfId="31071"/>
    <cellStyle name="Heading 2 2 2 2 6 2 4 5" xfId="31072"/>
    <cellStyle name="Heading 2 2 2 2 6 2 4 5 2" xfId="31073"/>
    <cellStyle name="Heading 2 2 2 2 6 2 4 5 2 2" xfId="31074"/>
    <cellStyle name="Heading 2 2 2 2 6 2 4 5 3" xfId="31075"/>
    <cellStyle name="Heading 2 2 2 2 6 2 4 6" xfId="31076"/>
    <cellStyle name="Heading 2 2 2 2 6 2 4 6 2" xfId="31077"/>
    <cellStyle name="Heading 2 2 2 2 6 2 4 6 2 2" xfId="31078"/>
    <cellStyle name="Heading 2 2 2 2 6 2 4 6 3" xfId="31079"/>
    <cellStyle name="Heading 2 2 2 2 6 2 4 7" xfId="31080"/>
    <cellStyle name="Heading 2 2 2 2 6 2 4 7 2" xfId="31081"/>
    <cellStyle name="Heading 2 2 2 2 6 2 4 7 2 2" xfId="31082"/>
    <cellStyle name="Heading 2 2 2 2 6 2 4 7 3" xfId="31083"/>
    <cellStyle name="Heading 2 2 2 2 6 2 4 8" xfId="31084"/>
    <cellStyle name="Heading 2 2 2 2 6 2 4 8 2" xfId="31085"/>
    <cellStyle name="Heading 2 2 2 2 6 2 4 9" xfId="31086"/>
    <cellStyle name="Heading 2 2 2 2 6 2 5" xfId="31087"/>
    <cellStyle name="Heading 2 2 2 2 6 2 5 2" xfId="31088"/>
    <cellStyle name="Heading 2 2 2 2 6 2 5 2 2" xfId="31089"/>
    <cellStyle name="Heading 2 2 2 2 6 2 5 2 2 2" xfId="31090"/>
    <cellStyle name="Heading 2 2 2 2 6 2 5 2 3" xfId="31091"/>
    <cellStyle name="Heading 2 2 2 2 6 2 5 3" xfId="31092"/>
    <cellStyle name="Heading 2 2 2 2 6 2 5 3 2" xfId="31093"/>
    <cellStyle name="Heading 2 2 2 2 6 2 5 3 2 2" xfId="31094"/>
    <cellStyle name="Heading 2 2 2 2 6 2 5 3 3" xfId="31095"/>
    <cellStyle name="Heading 2 2 2 2 6 2 5 4" xfId="31096"/>
    <cellStyle name="Heading 2 2 2 2 6 2 5 4 2" xfId="31097"/>
    <cellStyle name="Heading 2 2 2 2 6 2 5 4 2 2" xfId="31098"/>
    <cellStyle name="Heading 2 2 2 2 6 2 5 4 3" xfId="31099"/>
    <cellStyle name="Heading 2 2 2 2 6 2 5 5" xfId="31100"/>
    <cellStyle name="Heading 2 2 2 2 6 2 5 5 2" xfId="31101"/>
    <cellStyle name="Heading 2 2 2 2 6 2 5 5 2 2" xfId="31102"/>
    <cellStyle name="Heading 2 2 2 2 6 2 5 5 3" xfId="31103"/>
    <cellStyle name="Heading 2 2 2 2 6 2 5 6" xfId="31104"/>
    <cellStyle name="Heading 2 2 2 2 6 2 5 6 2" xfId="31105"/>
    <cellStyle name="Heading 2 2 2 2 6 2 5 6 2 2" xfId="31106"/>
    <cellStyle name="Heading 2 2 2 2 6 2 5 6 3" xfId="31107"/>
    <cellStyle name="Heading 2 2 2 2 6 2 5 7" xfId="31108"/>
    <cellStyle name="Heading 2 2 2 2 6 2 5 7 2" xfId="31109"/>
    <cellStyle name="Heading 2 2 2 2 6 2 5 7 2 2" xfId="31110"/>
    <cellStyle name="Heading 2 2 2 2 6 2 5 7 3" xfId="31111"/>
    <cellStyle name="Heading 2 2 2 2 6 2 5 8" xfId="31112"/>
    <cellStyle name="Heading 2 2 2 2 6 2 5 8 2" xfId="31113"/>
    <cellStyle name="Heading 2 2 2 2 6 2 5 9" xfId="31114"/>
    <cellStyle name="Heading 2 2 2 2 6 2 6" xfId="31115"/>
    <cellStyle name="Heading 2 2 2 2 6 2 6 2" xfId="31116"/>
    <cellStyle name="Heading 2 2 2 2 6 2 6 2 2" xfId="31117"/>
    <cellStyle name="Heading 2 2 2 2 6 2 6 2 2 2" xfId="31118"/>
    <cellStyle name="Heading 2 2 2 2 6 2 6 2 3" xfId="31119"/>
    <cellStyle name="Heading 2 2 2 2 6 2 6 3" xfId="31120"/>
    <cellStyle name="Heading 2 2 2 2 6 2 6 3 2" xfId="31121"/>
    <cellStyle name="Heading 2 2 2 2 6 2 6 3 2 2" xfId="31122"/>
    <cellStyle name="Heading 2 2 2 2 6 2 6 3 3" xfId="31123"/>
    <cellStyle name="Heading 2 2 2 2 6 2 6 4" xfId="31124"/>
    <cellStyle name="Heading 2 2 2 2 6 2 6 4 2" xfId="31125"/>
    <cellStyle name="Heading 2 2 2 2 6 2 6 4 2 2" xfId="31126"/>
    <cellStyle name="Heading 2 2 2 2 6 2 6 4 3" xfId="31127"/>
    <cellStyle name="Heading 2 2 2 2 6 2 6 5" xfId="31128"/>
    <cellStyle name="Heading 2 2 2 2 6 2 6 5 2" xfId="31129"/>
    <cellStyle name="Heading 2 2 2 2 6 2 6 5 2 2" xfId="31130"/>
    <cellStyle name="Heading 2 2 2 2 6 2 6 5 3" xfId="31131"/>
    <cellStyle name="Heading 2 2 2 2 6 2 6 6" xfId="31132"/>
    <cellStyle name="Heading 2 2 2 2 6 2 6 6 2" xfId="31133"/>
    <cellStyle name="Heading 2 2 2 2 6 2 6 6 2 2" xfId="31134"/>
    <cellStyle name="Heading 2 2 2 2 6 2 6 6 3" xfId="31135"/>
    <cellStyle name="Heading 2 2 2 2 6 2 6 7" xfId="31136"/>
    <cellStyle name="Heading 2 2 2 2 6 2 6 7 2" xfId="31137"/>
    <cellStyle name="Heading 2 2 2 2 6 2 6 7 2 2" xfId="31138"/>
    <cellStyle name="Heading 2 2 2 2 6 2 6 7 3" xfId="31139"/>
    <cellStyle name="Heading 2 2 2 2 6 2 6 8" xfId="31140"/>
    <cellStyle name="Heading 2 2 2 2 6 2 6 8 2" xfId="31141"/>
    <cellStyle name="Heading 2 2 2 2 6 2 6 9" xfId="31142"/>
    <cellStyle name="Heading 2 2 2 2 6 2 7" xfId="31143"/>
    <cellStyle name="Heading 2 2 2 2 6 2 7 2" xfId="31144"/>
    <cellStyle name="Heading 2 2 2 2 6 2 7 2 2" xfId="31145"/>
    <cellStyle name="Heading 2 2 2 2 6 2 7 2 2 2" xfId="31146"/>
    <cellStyle name="Heading 2 2 2 2 6 2 7 2 3" xfId="31147"/>
    <cellStyle name="Heading 2 2 2 2 6 2 7 3" xfId="31148"/>
    <cellStyle name="Heading 2 2 2 2 6 2 7 3 2" xfId="31149"/>
    <cellStyle name="Heading 2 2 2 2 6 2 7 3 2 2" xfId="31150"/>
    <cellStyle name="Heading 2 2 2 2 6 2 7 3 3" xfId="31151"/>
    <cellStyle name="Heading 2 2 2 2 6 2 7 4" xfId="31152"/>
    <cellStyle name="Heading 2 2 2 2 6 2 7 4 2" xfId="31153"/>
    <cellStyle name="Heading 2 2 2 2 6 2 7 4 2 2" xfId="31154"/>
    <cellStyle name="Heading 2 2 2 2 6 2 7 4 3" xfId="31155"/>
    <cellStyle name="Heading 2 2 2 2 6 2 7 5" xfId="31156"/>
    <cellStyle name="Heading 2 2 2 2 6 2 7 5 2" xfId="31157"/>
    <cellStyle name="Heading 2 2 2 2 6 2 7 5 2 2" xfId="31158"/>
    <cellStyle name="Heading 2 2 2 2 6 2 7 5 3" xfId="31159"/>
    <cellStyle name="Heading 2 2 2 2 6 2 7 6" xfId="31160"/>
    <cellStyle name="Heading 2 2 2 2 6 2 7 6 2" xfId="31161"/>
    <cellStyle name="Heading 2 2 2 2 6 2 7 6 2 2" xfId="31162"/>
    <cellStyle name="Heading 2 2 2 2 6 2 7 6 3" xfId="31163"/>
    <cellStyle name="Heading 2 2 2 2 6 2 7 7" xfId="31164"/>
    <cellStyle name="Heading 2 2 2 2 6 2 7 7 2" xfId="31165"/>
    <cellStyle name="Heading 2 2 2 2 6 2 7 7 2 2" xfId="31166"/>
    <cellStyle name="Heading 2 2 2 2 6 2 7 7 3" xfId="31167"/>
    <cellStyle name="Heading 2 2 2 2 6 2 7 8" xfId="31168"/>
    <cellStyle name="Heading 2 2 2 2 6 2 7 8 2" xfId="31169"/>
    <cellStyle name="Heading 2 2 2 2 6 2 7 9" xfId="31170"/>
    <cellStyle name="Heading 2 2 2 2 6 2 8" xfId="31171"/>
    <cellStyle name="Heading 2 2 2 2 6 2 8 2" xfId="31172"/>
    <cellStyle name="Heading 2 2 2 2 6 2 8 2 2" xfId="31173"/>
    <cellStyle name="Heading 2 2 2 2 6 2 8 2 2 2" xfId="31174"/>
    <cellStyle name="Heading 2 2 2 2 6 2 8 2 3" xfId="31175"/>
    <cellStyle name="Heading 2 2 2 2 6 2 8 3" xfId="31176"/>
    <cellStyle name="Heading 2 2 2 2 6 2 8 3 2" xfId="31177"/>
    <cellStyle name="Heading 2 2 2 2 6 2 8 3 2 2" xfId="31178"/>
    <cellStyle name="Heading 2 2 2 2 6 2 8 3 3" xfId="31179"/>
    <cellStyle name="Heading 2 2 2 2 6 2 8 4" xfId="31180"/>
    <cellStyle name="Heading 2 2 2 2 6 2 8 4 2" xfId="31181"/>
    <cellStyle name="Heading 2 2 2 2 6 2 8 4 2 2" xfId="31182"/>
    <cellStyle name="Heading 2 2 2 2 6 2 8 4 3" xfId="31183"/>
    <cellStyle name="Heading 2 2 2 2 6 2 8 5" xfId="31184"/>
    <cellStyle name="Heading 2 2 2 2 6 2 8 5 2" xfId="31185"/>
    <cellStyle name="Heading 2 2 2 2 6 2 8 5 2 2" xfId="31186"/>
    <cellStyle name="Heading 2 2 2 2 6 2 8 5 3" xfId="31187"/>
    <cellStyle name="Heading 2 2 2 2 6 2 8 6" xfId="31188"/>
    <cellStyle name="Heading 2 2 2 2 6 2 8 6 2" xfId="31189"/>
    <cellStyle name="Heading 2 2 2 2 6 2 8 6 2 2" xfId="31190"/>
    <cellStyle name="Heading 2 2 2 2 6 2 8 6 3" xfId="31191"/>
    <cellStyle name="Heading 2 2 2 2 6 2 8 7" xfId="31192"/>
    <cellStyle name="Heading 2 2 2 2 6 2 8 7 2" xfId="31193"/>
    <cellStyle name="Heading 2 2 2 2 6 2 8 7 2 2" xfId="31194"/>
    <cellStyle name="Heading 2 2 2 2 6 2 8 7 3" xfId="31195"/>
    <cellStyle name="Heading 2 2 2 2 6 2 8 8" xfId="31196"/>
    <cellStyle name="Heading 2 2 2 2 6 2 8 8 2" xfId="31197"/>
    <cellStyle name="Heading 2 2 2 2 6 2 8 9" xfId="31198"/>
    <cellStyle name="Heading 2 2 2 2 6 2 9" xfId="31199"/>
    <cellStyle name="Heading 2 2 2 2 6 2 9 2" xfId="31200"/>
    <cellStyle name="Heading 2 2 2 2 6 2 9 2 2" xfId="31201"/>
    <cellStyle name="Heading 2 2 2 2 6 2 9 2 2 2" xfId="31202"/>
    <cellStyle name="Heading 2 2 2 2 6 2 9 2 3" xfId="31203"/>
    <cellStyle name="Heading 2 2 2 2 6 2 9 3" xfId="31204"/>
    <cellStyle name="Heading 2 2 2 2 6 2 9 3 2" xfId="31205"/>
    <cellStyle name="Heading 2 2 2 2 6 2 9 3 2 2" xfId="31206"/>
    <cellStyle name="Heading 2 2 2 2 6 2 9 3 3" xfId="31207"/>
    <cellStyle name="Heading 2 2 2 2 6 2 9 4" xfId="31208"/>
    <cellStyle name="Heading 2 2 2 2 6 2 9 4 2" xfId="31209"/>
    <cellStyle name="Heading 2 2 2 2 6 2 9 4 2 2" xfId="31210"/>
    <cellStyle name="Heading 2 2 2 2 6 2 9 4 3" xfId="31211"/>
    <cellStyle name="Heading 2 2 2 2 6 2 9 5" xfId="31212"/>
    <cellStyle name="Heading 2 2 2 2 6 2 9 5 2" xfId="31213"/>
    <cellStyle name="Heading 2 2 2 2 6 2 9 5 2 2" xfId="31214"/>
    <cellStyle name="Heading 2 2 2 2 6 2 9 5 3" xfId="31215"/>
    <cellStyle name="Heading 2 2 2 2 6 2 9 6" xfId="31216"/>
    <cellStyle name="Heading 2 2 2 2 6 2 9 6 2" xfId="31217"/>
    <cellStyle name="Heading 2 2 2 2 6 2 9 6 2 2" xfId="31218"/>
    <cellStyle name="Heading 2 2 2 2 6 2 9 6 3" xfId="31219"/>
    <cellStyle name="Heading 2 2 2 2 6 2 9 7" xfId="31220"/>
    <cellStyle name="Heading 2 2 2 2 6 2 9 7 2" xfId="31221"/>
    <cellStyle name="Heading 2 2 2 2 6 2 9 7 2 2" xfId="31222"/>
    <cellStyle name="Heading 2 2 2 2 6 2 9 7 3" xfId="31223"/>
    <cellStyle name="Heading 2 2 2 2 6 2 9 8" xfId="31224"/>
    <cellStyle name="Heading 2 2 2 2 6 2 9 8 2" xfId="31225"/>
    <cellStyle name="Heading 2 2 2 2 6 2 9 9" xfId="31226"/>
    <cellStyle name="Heading 2 2 2 2 6 3" xfId="31227"/>
    <cellStyle name="Heading 2 2 2 2 6 3 10" xfId="31228"/>
    <cellStyle name="Heading 2 2 2 2 6 3 10 2" xfId="31229"/>
    <cellStyle name="Heading 2 2 2 2 6 3 10 2 2" xfId="31230"/>
    <cellStyle name="Heading 2 2 2 2 6 3 10 3" xfId="31231"/>
    <cellStyle name="Heading 2 2 2 2 6 3 11" xfId="31232"/>
    <cellStyle name="Heading 2 2 2 2 6 3 11 2" xfId="31233"/>
    <cellStyle name="Heading 2 2 2 2 6 3 11 2 2" xfId="31234"/>
    <cellStyle name="Heading 2 2 2 2 6 3 11 3" xfId="31235"/>
    <cellStyle name="Heading 2 2 2 2 6 3 12" xfId="31236"/>
    <cellStyle name="Heading 2 2 2 2 6 3 12 2" xfId="31237"/>
    <cellStyle name="Heading 2 2 2 2 6 3 12 2 2" xfId="31238"/>
    <cellStyle name="Heading 2 2 2 2 6 3 12 3" xfId="31239"/>
    <cellStyle name="Heading 2 2 2 2 6 3 13" xfId="31240"/>
    <cellStyle name="Heading 2 2 2 2 6 3 13 2" xfId="31241"/>
    <cellStyle name="Heading 2 2 2 2 6 3 13 2 2" xfId="31242"/>
    <cellStyle name="Heading 2 2 2 2 6 3 13 3" xfId="31243"/>
    <cellStyle name="Heading 2 2 2 2 6 3 14" xfId="31244"/>
    <cellStyle name="Heading 2 2 2 2 6 3 14 2" xfId="31245"/>
    <cellStyle name="Heading 2 2 2 2 6 3 14 2 2" xfId="31246"/>
    <cellStyle name="Heading 2 2 2 2 6 3 14 3" xfId="31247"/>
    <cellStyle name="Heading 2 2 2 2 6 3 15" xfId="31248"/>
    <cellStyle name="Heading 2 2 2 2 6 3 15 2" xfId="31249"/>
    <cellStyle name="Heading 2 2 2 2 6 3 15 2 2" xfId="31250"/>
    <cellStyle name="Heading 2 2 2 2 6 3 15 3" xfId="31251"/>
    <cellStyle name="Heading 2 2 2 2 6 3 16" xfId="31252"/>
    <cellStyle name="Heading 2 2 2 2 6 3 16 2" xfId="31253"/>
    <cellStyle name="Heading 2 2 2 2 6 3 16 2 2" xfId="31254"/>
    <cellStyle name="Heading 2 2 2 2 6 3 16 3" xfId="31255"/>
    <cellStyle name="Heading 2 2 2 2 6 3 17" xfId="31256"/>
    <cellStyle name="Heading 2 2 2 2 6 3 17 2" xfId="31257"/>
    <cellStyle name="Heading 2 2 2 2 6 3 17 2 2" xfId="31258"/>
    <cellStyle name="Heading 2 2 2 2 6 3 17 3" xfId="31259"/>
    <cellStyle name="Heading 2 2 2 2 6 3 18" xfId="31260"/>
    <cellStyle name="Heading 2 2 2 2 6 3 18 2" xfId="31261"/>
    <cellStyle name="Heading 2 2 2 2 6 3 18 2 2" xfId="31262"/>
    <cellStyle name="Heading 2 2 2 2 6 3 18 3" xfId="31263"/>
    <cellStyle name="Heading 2 2 2 2 6 3 19" xfId="31264"/>
    <cellStyle name="Heading 2 2 2 2 6 3 19 2" xfId="31265"/>
    <cellStyle name="Heading 2 2 2 2 6 3 2" xfId="31266"/>
    <cellStyle name="Heading 2 2 2 2 6 3 2 2" xfId="31267"/>
    <cellStyle name="Heading 2 2 2 2 6 3 2 2 2" xfId="31268"/>
    <cellStyle name="Heading 2 2 2 2 6 3 2 2 2 2" xfId="31269"/>
    <cellStyle name="Heading 2 2 2 2 6 3 2 2 3" xfId="31270"/>
    <cellStyle name="Heading 2 2 2 2 6 3 2 3" xfId="31271"/>
    <cellStyle name="Heading 2 2 2 2 6 3 2 3 2" xfId="31272"/>
    <cellStyle name="Heading 2 2 2 2 6 3 2 3 2 2" xfId="31273"/>
    <cellStyle name="Heading 2 2 2 2 6 3 2 3 3" xfId="31274"/>
    <cellStyle name="Heading 2 2 2 2 6 3 2 4" xfId="31275"/>
    <cellStyle name="Heading 2 2 2 2 6 3 2 4 2" xfId="31276"/>
    <cellStyle name="Heading 2 2 2 2 6 3 2 4 2 2" xfId="31277"/>
    <cellStyle name="Heading 2 2 2 2 6 3 2 4 3" xfId="31278"/>
    <cellStyle name="Heading 2 2 2 2 6 3 2 5" xfId="31279"/>
    <cellStyle name="Heading 2 2 2 2 6 3 2 5 2" xfId="31280"/>
    <cellStyle name="Heading 2 2 2 2 6 3 2 5 2 2" xfId="31281"/>
    <cellStyle name="Heading 2 2 2 2 6 3 2 5 3" xfId="31282"/>
    <cellStyle name="Heading 2 2 2 2 6 3 2 6" xfId="31283"/>
    <cellStyle name="Heading 2 2 2 2 6 3 2 6 2" xfId="31284"/>
    <cellStyle name="Heading 2 2 2 2 6 3 2 6 2 2" xfId="31285"/>
    <cellStyle name="Heading 2 2 2 2 6 3 2 6 3" xfId="31286"/>
    <cellStyle name="Heading 2 2 2 2 6 3 2 7" xfId="31287"/>
    <cellStyle name="Heading 2 2 2 2 6 3 2 7 2" xfId="31288"/>
    <cellStyle name="Heading 2 2 2 2 6 3 2 7 2 2" xfId="31289"/>
    <cellStyle name="Heading 2 2 2 2 6 3 2 7 3" xfId="31290"/>
    <cellStyle name="Heading 2 2 2 2 6 3 2 8" xfId="31291"/>
    <cellStyle name="Heading 2 2 2 2 6 3 2 8 2" xfId="31292"/>
    <cellStyle name="Heading 2 2 2 2 6 3 2 9" xfId="31293"/>
    <cellStyle name="Heading 2 2 2 2 6 3 20" xfId="31294"/>
    <cellStyle name="Heading 2 2 2 2 6 3 20 2" xfId="31295"/>
    <cellStyle name="Heading 2 2 2 2 6 3 21" xfId="31296"/>
    <cellStyle name="Heading 2 2 2 2 6 3 21 2" xfId="31297"/>
    <cellStyle name="Heading 2 2 2 2 6 3 22" xfId="31298"/>
    <cellStyle name="Heading 2 2 2 2 6 3 3" xfId="31299"/>
    <cellStyle name="Heading 2 2 2 2 6 3 3 2" xfId="31300"/>
    <cellStyle name="Heading 2 2 2 2 6 3 3 2 2" xfId="31301"/>
    <cellStyle name="Heading 2 2 2 2 6 3 3 2 2 2" xfId="31302"/>
    <cellStyle name="Heading 2 2 2 2 6 3 3 2 3" xfId="31303"/>
    <cellStyle name="Heading 2 2 2 2 6 3 3 3" xfId="31304"/>
    <cellStyle name="Heading 2 2 2 2 6 3 3 3 2" xfId="31305"/>
    <cellStyle name="Heading 2 2 2 2 6 3 3 3 2 2" xfId="31306"/>
    <cellStyle name="Heading 2 2 2 2 6 3 3 3 3" xfId="31307"/>
    <cellStyle name="Heading 2 2 2 2 6 3 3 4" xfId="31308"/>
    <cellStyle name="Heading 2 2 2 2 6 3 3 4 2" xfId="31309"/>
    <cellStyle name="Heading 2 2 2 2 6 3 3 4 2 2" xfId="31310"/>
    <cellStyle name="Heading 2 2 2 2 6 3 3 4 3" xfId="31311"/>
    <cellStyle name="Heading 2 2 2 2 6 3 3 5" xfId="31312"/>
    <cellStyle name="Heading 2 2 2 2 6 3 3 5 2" xfId="31313"/>
    <cellStyle name="Heading 2 2 2 2 6 3 3 5 2 2" xfId="31314"/>
    <cellStyle name="Heading 2 2 2 2 6 3 3 5 3" xfId="31315"/>
    <cellStyle name="Heading 2 2 2 2 6 3 3 6" xfId="31316"/>
    <cellStyle name="Heading 2 2 2 2 6 3 3 6 2" xfId="31317"/>
    <cellStyle name="Heading 2 2 2 2 6 3 3 6 2 2" xfId="31318"/>
    <cellStyle name="Heading 2 2 2 2 6 3 3 6 3" xfId="31319"/>
    <cellStyle name="Heading 2 2 2 2 6 3 3 7" xfId="31320"/>
    <cellStyle name="Heading 2 2 2 2 6 3 3 7 2" xfId="31321"/>
    <cellStyle name="Heading 2 2 2 2 6 3 3 7 2 2" xfId="31322"/>
    <cellStyle name="Heading 2 2 2 2 6 3 3 7 3" xfId="31323"/>
    <cellStyle name="Heading 2 2 2 2 6 3 3 8" xfId="31324"/>
    <cellStyle name="Heading 2 2 2 2 6 3 3 8 2" xfId="31325"/>
    <cellStyle name="Heading 2 2 2 2 6 3 3 9" xfId="31326"/>
    <cellStyle name="Heading 2 2 2 2 6 3 4" xfId="31327"/>
    <cellStyle name="Heading 2 2 2 2 6 3 4 2" xfId="31328"/>
    <cellStyle name="Heading 2 2 2 2 6 3 4 2 2" xfId="31329"/>
    <cellStyle name="Heading 2 2 2 2 6 3 4 2 2 2" xfId="31330"/>
    <cellStyle name="Heading 2 2 2 2 6 3 4 2 3" xfId="31331"/>
    <cellStyle name="Heading 2 2 2 2 6 3 4 3" xfId="31332"/>
    <cellStyle name="Heading 2 2 2 2 6 3 4 3 2" xfId="31333"/>
    <cellStyle name="Heading 2 2 2 2 6 3 4 3 2 2" xfId="31334"/>
    <cellStyle name="Heading 2 2 2 2 6 3 4 3 3" xfId="31335"/>
    <cellStyle name="Heading 2 2 2 2 6 3 4 4" xfId="31336"/>
    <cellStyle name="Heading 2 2 2 2 6 3 4 4 2" xfId="31337"/>
    <cellStyle name="Heading 2 2 2 2 6 3 4 4 2 2" xfId="31338"/>
    <cellStyle name="Heading 2 2 2 2 6 3 4 4 3" xfId="31339"/>
    <cellStyle name="Heading 2 2 2 2 6 3 4 5" xfId="31340"/>
    <cellStyle name="Heading 2 2 2 2 6 3 4 5 2" xfId="31341"/>
    <cellStyle name="Heading 2 2 2 2 6 3 4 5 2 2" xfId="31342"/>
    <cellStyle name="Heading 2 2 2 2 6 3 4 5 3" xfId="31343"/>
    <cellStyle name="Heading 2 2 2 2 6 3 4 6" xfId="31344"/>
    <cellStyle name="Heading 2 2 2 2 6 3 4 6 2" xfId="31345"/>
    <cellStyle name="Heading 2 2 2 2 6 3 4 6 2 2" xfId="31346"/>
    <cellStyle name="Heading 2 2 2 2 6 3 4 6 3" xfId="31347"/>
    <cellStyle name="Heading 2 2 2 2 6 3 4 7" xfId="31348"/>
    <cellStyle name="Heading 2 2 2 2 6 3 4 7 2" xfId="31349"/>
    <cellStyle name="Heading 2 2 2 2 6 3 4 7 2 2" xfId="31350"/>
    <cellStyle name="Heading 2 2 2 2 6 3 4 7 3" xfId="31351"/>
    <cellStyle name="Heading 2 2 2 2 6 3 4 8" xfId="31352"/>
    <cellStyle name="Heading 2 2 2 2 6 3 4 8 2" xfId="31353"/>
    <cellStyle name="Heading 2 2 2 2 6 3 4 9" xfId="31354"/>
    <cellStyle name="Heading 2 2 2 2 6 3 5" xfId="31355"/>
    <cellStyle name="Heading 2 2 2 2 6 3 5 2" xfId="31356"/>
    <cellStyle name="Heading 2 2 2 2 6 3 5 2 2" xfId="31357"/>
    <cellStyle name="Heading 2 2 2 2 6 3 5 2 2 2" xfId="31358"/>
    <cellStyle name="Heading 2 2 2 2 6 3 5 2 3" xfId="31359"/>
    <cellStyle name="Heading 2 2 2 2 6 3 5 3" xfId="31360"/>
    <cellStyle name="Heading 2 2 2 2 6 3 5 3 2" xfId="31361"/>
    <cellStyle name="Heading 2 2 2 2 6 3 5 3 2 2" xfId="31362"/>
    <cellStyle name="Heading 2 2 2 2 6 3 5 3 3" xfId="31363"/>
    <cellStyle name="Heading 2 2 2 2 6 3 5 4" xfId="31364"/>
    <cellStyle name="Heading 2 2 2 2 6 3 5 4 2" xfId="31365"/>
    <cellStyle name="Heading 2 2 2 2 6 3 5 4 2 2" xfId="31366"/>
    <cellStyle name="Heading 2 2 2 2 6 3 5 4 3" xfId="31367"/>
    <cellStyle name="Heading 2 2 2 2 6 3 5 5" xfId="31368"/>
    <cellStyle name="Heading 2 2 2 2 6 3 5 5 2" xfId="31369"/>
    <cellStyle name="Heading 2 2 2 2 6 3 5 5 2 2" xfId="31370"/>
    <cellStyle name="Heading 2 2 2 2 6 3 5 5 3" xfId="31371"/>
    <cellStyle name="Heading 2 2 2 2 6 3 5 6" xfId="31372"/>
    <cellStyle name="Heading 2 2 2 2 6 3 5 6 2" xfId="31373"/>
    <cellStyle name="Heading 2 2 2 2 6 3 5 6 2 2" xfId="31374"/>
    <cellStyle name="Heading 2 2 2 2 6 3 5 6 3" xfId="31375"/>
    <cellStyle name="Heading 2 2 2 2 6 3 5 7" xfId="31376"/>
    <cellStyle name="Heading 2 2 2 2 6 3 5 7 2" xfId="31377"/>
    <cellStyle name="Heading 2 2 2 2 6 3 5 7 2 2" xfId="31378"/>
    <cellStyle name="Heading 2 2 2 2 6 3 5 7 3" xfId="31379"/>
    <cellStyle name="Heading 2 2 2 2 6 3 5 8" xfId="31380"/>
    <cellStyle name="Heading 2 2 2 2 6 3 5 8 2" xfId="31381"/>
    <cellStyle name="Heading 2 2 2 2 6 3 5 9" xfId="31382"/>
    <cellStyle name="Heading 2 2 2 2 6 3 6" xfId="31383"/>
    <cellStyle name="Heading 2 2 2 2 6 3 6 2" xfId="31384"/>
    <cellStyle name="Heading 2 2 2 2 6 3 6 2 2" xfId="31385"/>
    <cellStyle name="Heading 2 2 2 2 6 3 6 2 2 2" xfId="31386"/>
    <cellStyle name="Heading 2 2 2 2 6 3 6 2 3" xfId="31387"/>
    <cellStyle name="Heading 2 2 2 2 6 3 6 3" xfId="31388"/>
    <cellStyle name="Heading 2 2 2 2 6 3 6 3 2" xfId="31389"/>
    <cellStyle name="Heading 2 2 2 2 6 3 6 3 2 2" xfId="31390"/>
    <cellStyle name="Heading 2 2 2 2 6 3 6 3 3" xfId="31391"/>
    <cellStyle name="Heading 2 2 2 2 6 3 6 4" xfId="31392"/>
    <cellStyle name="Heading 2 2 2 2 6 3 6 4 2" xfId="31393"/>
    <cellStyle name="Heading 2 2 2 2 6 3 6 4 2 2" xfId="31394"/>
    <cellStyle name="Heading 2 2 2 2 6 3 6 4 3" xfId="31395"/>
    <cellStyle name="Heading 2 2 2 2 6 3 6 5" xfId="31396"/>
    <cellStyle name="Heading 2 2 2 2 6 3 6 5 2" xfId="31397"/>
    <cellStyle name="Heading 2 2 2 2 6 3 6 5 2 2" xfId="31398"/>
    <cellStyle name="Heading 2 2 2 2 6 3 6 5 3" xfId="31399"/>
    <cellStyle name="Heading 2 2 2 2 6 3 6 6" xfId="31400"/>
    <cellStyle name="Heading 2 2 2 2 6 3 6 6 2" xfId="31401"/>
    <cellStyle name="Heading 2 2 2 2 6 3 6 6 2 2" xfId="31402"/>
    <cellStyle name="Heading 2 2 2 2 6 3 6 6 3" xfId="31403"/>
    <cellStyle name="Heading 2 2 2 2 6 3 6 7" xfId="31404"/>
    <cellStyle name="Heading 2 2 2 2 6 3 6 7 2" xfId="31405"/>
    <cellStyle name="Heading 2 2 2 2 6 3 6 7 2 2" xfId="31406"/>
    <cellStyle name="Heading 2 2 2 2 6 3 6 7 3" xfId="31407"/>
    <cellStyle name="Heading 2 2 2 2 6 3 6 8" xfId="31408"/>
    <cellStyle name="Heading 2 2 2 2 6 3 6 8 2" xfId="31409"/>
    <cellStyle name="Heading 2 2 2 2 6 3 6 9" xfId="31410"/>
    <cellStyle name="Heading 2 2 2 2 6 3 7" xfId="31411"/>
    <cellStyle name="Heading 2 2 2 2 6 3 7 2" xfId="31412"/>
    <cellStyle name="Heading 2 2 2 2 6 3 7 2 2" xfId="31413"/>
    <cellStyle name="Heading 2 2 2 2 6 3 7 2 2 2" xfId="31414"/>
    <cellStyle name="Heading 2 2 2 2 6 3 7 2 3" xfId="31415"/>
    <cellStyle name="Heading 2 2 2 2 6 3 7 3" xfId="31416"/>
    <cellStyle name="Heading 2 2 2 2 6 3 7 3 2" xfId="31417"/>
    <cellStyle name="Heading 2 2 2 2 6 3 7 3 2 2" xfId="31418"/>
    <cellStyle name="Heading 2 2 2 2 6 3 7 3 3" xfId="31419"/>
    <cellStyle name="Heading 2 2 2 2 6 3 7 4" xfId="31420"/>
    <cellStyle name="Heading 2 2 2 2 6 3 7 4 2" xfId="31421"/>
    <cellStyle name="Heading 2 2 2 2 6 3 7 4 2 2" xfId="31422"/>
    <cellStyle name="Heading 2 2 2 2 6 3 7 4 3" xfId="31423"/>
    <cellStyle name="Heading 2 2 2 2 6 3 7 5" xfId="31424"/>
    <cellStyle name="Heading 2 2 2 2 6 3 7 5 2" xfId="31425"/>
    <cellStyle name="Heading 2 2 2 2 6 3 7 5 2 2" xfId="31426"/>
    <cellStyle name="Heading 2 2 2 2 6 3 7 5 3" xfId="31427"/>
    <cellStyle name="Heading 2 2 2 2 6 3 7 6" xfId="31428"/>
    <cellStyle name="Heading 2 2 2 2 6 3 7 6 2" xfId="31429"/>
    <cellStyle name="Heading 2 2 2 2 6 3 7 6 2 2" xfId="31430"/>
    <cellStyle name="Heading 2 2 2 2 6 3 7 6 3" xfId="31431"/>
    <cellStyle name="Heading 2 2 2 2 6 3 7 7" xfId="31432"/>
    <cellStyle name="Heading 2 2 2 2 6 3 7 7 2" xfId="31433"/>
    <cellStyle name="Heading 2 2 2 2 6 3 7 7 2 2" xfId="31434"/>
    <cellStyle name="Heading 2 2 2 2 6 3 7 7 3" xfId="31435"/>
    <cellStyle name="Heading 2 2 2 2 6 3 7 8" xfId="31436"/>
    <cellStyle name="Heading 2 2 2 2 6 3 7 8 2" xfId="31437"/>
    <cellStyle name="Heading 2 2 2 2 6 3 7 9" xfId="31438"/>
    <cellStyle name="Heading 2 2 2 2 6 3 8" xfId="31439"/>
    <cellStyle name="Heading 2 2 2 2 6 3 8 2" xfId="31440"/>
    <cellStyle name="Heading 2 2 2 2 6 3 8 2 2" xfId="31441"/>
    <cellStyle name="Heading 2 2 2 2 6 3 8 2 2 2" xfId="31442"/>
    <cellStyle name="Heading 2 2 2 2 6 3 8 2 3" xfId="31443"/>
    <cellStyle name="Heading 2 2 2 2 6 3 8 3" xfId="31444"/>
    <cellStyle name="Heading 2 2 2 2 6 3 8 3 2" xfId="31445"/>
    <cellStyle name="Heading 2 2 2 2 6 3 8 3 2 2" xfId="31446"/>
    <cellStyle name="Heading 2 2 2 2 6 3 8 3 3" xfId="31447"/>
    <cellStyle name="Heading 2 2 2 2 6 3 8 4" xfId="31448"/>
    <cellStyle name="Heading 2 2 2 2 6 3 8 4 2" xfId="31449"/>
    <cellStyle name="Heading 2 2 2 2 6 3 8 4 2 2" xfId="31450"/>
    <cellStyle name="Heading 2 2 2 2 6 3 8 4 3" xfId="31451"/>
    <cellStyle name="Heading 2 2 2 2 6 3 8 5" xfId="31452"/>
    <cellStyle name="Heading 2 2 2 2 6 3 8 5 2" xfId="31453"/>
    <cellStyle name="Heading 2 2 2 2 6 3 8 5 2 2" xfId="31454"/>
    <cellStyle name="Heading 2 2 2 2 6 3 8 5 3" xfId="31455"/>
    <cellStyle name="Heading 2 2 2 2 6 3 8 6" xfId="31456"/>
    <cellStyle name="Heading 2 2 2 2 6 3 8 6 2" xfId="31457"/>
    <cellStyle name="Heading 2 2 2 2 6 3 8 6 2 2" xfId="31458"/>
    <cellStyle name="Heading 2 2 2 2 6 3 8 6 3" xfId="31459"/>
    <cellStyle name="Heading 2 2 2 2 6 3 8 7" xfId="31460"/>
    <cellStyle name="Heading 2 2 2 2 6 3 8 7 2" xfId="31461"/>
    <cellStyle name="Heading 2 2 2 2 6 3 8 7 2 2" xfId="31462"/>
    <cellStyle name="Heading 2 2 2 2 6 3 8 7 3" xfId="31463"/>
    <cellStyle name="Heading 2 2 2 2 6 3 8 8" xfId="31464"/>
    <cellStyle name="Heading 2 2 2 2 6 3 8 8 2" xfId="31465"/>
    <cellStyle name="Heading 2 2 2 2 6 3 8 9" xfId="31466"/>
    <cellStyle name="Heading 2 2 2 2 6 3 9" xfId="31467"/>
    <cellStyle name="Heading 2 2 2 2 6 3 9 2" xfId="31468"/>
    <cellStyle name="Heading 2 2 2 2 6 3 9 2 2" xfId="31469"/>
    <cellStyle name="Heading 2 2 2 2 6 3 9 3" xfId="31470"/>
    <cellStyle name="Heading 2 2 2 2 6 4" xfId="31471"/>
    <cellStyle name="Heading 2 2 2 2 6 4 2" xfId="31472"/>
    <cellStyle name="Heading 2 2 2 2 6 4 2 2" xfId="31473"/>
    <cellStyle name="Heading 2 2 2 2 6 4 3" xfId="31474"/>
    <cellStyle name="Heading 2 2 2 2 6 5" xfId="31475"/>
    <cellStyle name="Heading 2 2 2 2 6 5 2" xfId="31476"/>
    <cellStyle name="Heading 2 2 2 2 6 6" xfId="31477"/>
    <cellStyle name="Heading 2 2 2 2 7" xfId="31478"/>
    <cellStyle name="Heading 2 2 2 2 7 2" xfId="31479"/>
    <cellStyle name="Heading 2 2 2 2 7 2 10" xfId="31480"/>
    <cellStyle name="Heading 2 2 2 2 7 2 10 2" xfId="31481"/>
    <cellStyle name="Heading 2 2 2 2 7 2 10 2 2" xfId="31482"/>
    <cellStyle name="Heading 2 2 2 2 7 2 10 3" xfId="31483"/>
    <cellStyle name="Heading 2 2 2 2 7 2 11" xfId="31484"/>
    <cellStyle name="Heading 2 2 2 2 7 2 11 2" xfId="31485"/>
    <cellStyle name="Heading 2 2 2 2 7 2 11 2 2" xfId="31486"/>
    <cellStyle name="Heading 2 2 2 2 7 2 11 3" xfId="31487"/>
    <cellStyle name="Heading 2 2 2 2 7 2 12" xfId="31488"/>
    <cellStyle name="Heading 2 2 2 2 7 2 12 2" xfId="31489"/>
    <cellStyle name="Heading 2 2 2 2 7 2 12 2 2" xfId="31490"/>
    <cellStyle name="Heading 2 2 2 2 7 2 12 3" xfId="31491"/>
    <cellStyle name="Heading 2 2 2 2 7 2 13" xfId="31492"/>
    <cellStyle name="Heading 2 2 2 2 7 2 13 2" xfId="31493"/>
    <cellStyle name="Heading 2 2 2 2 7 2 13 2 2" xfId="31494"/>
    <cellStyle name="Heading 2 2 2 2 7 2 13 3" xfId="31495"/>
    <cellStyle name="Heading 2 2 2 2 7 2 14" xfId="31496"/>
    <cellStyle name="Heading 2 2 2 2 7 2 14 2" xfId="31497"/>
    <cellStyle name="Heading 2 2 2 2 7 2 14 2 2" xfId="31498"/>
    <cellStyle name="Heading 2 2 2 2 7 2 14 3" xfId="31499"/>
    <cellStyle name="Heading 2 2 2 2 7 2 15" xfId="31500"/>
    <cellStyle name="Heading 2 2 2 2 7 2 15 2" xfId="31501"/>
    <cellStyle name="Heading 2 2 2 2 7 2 15 2 2" xfId="31502"/>
    <cellStyle name="Heading 2 2 2 2 7 2 15 3" xfId="31503"/>
    <cellStyle name="Heading 2 2 2 2 7 2 16" xfId="31504"/>
    <cellStyle name="Heading 2 2 2 2 7 2 16 2" xfId="31505"/>
    <cellStyle name="Heading 2 2 2 2 7 2 16 2 2" xfId="31506"/>
    <cellStyle name="Heading 2 2 2 2 7 2 16 3" xfId="31507"/>
    <cellStyle name="Heading 2 2 2 2 7 2 17" xfId="31508"/>
    <cellStyle name="Heading 2 2 2 2 7 2 17 2" xfId="31509"/>
    <cellStyle name="Heading 2 2 2 2 7 2 17 2 2" xfId="31510"/>
    <cellStyle name="Heading 2 2 2 2 7 2 17 3" xfId="31511"/>
    <cellStyle name="Heading 2 2 2 2 7 2 18" xfId="31512"/>
    <cellStyle name="Heading 2 2 2 2 7 2 18 2" xfId="31513"/>
    <cellStyle name="Heading 2 2 2 2 7 2 18 2 2" xfId="31514"/>
    <cellStyle name="Heading 2 2 2 2 7 2 18 3" xfId="31515"/>
    <cellStyle name="Heading 2 2 2 2 7 2 19" xfId="31516"/>
    <cellStyle name="Heading 2 2 2 2 7 2 19 2" xfId="31517"/>
    <cellStyle name="Heading 2 2 2 2 7 2 19 2 2" xfId="31518"/>
    <cellStyle name="Heading 2 2 2 2 7 2 19 3" xfId="31519"/>
    <cellStyle name="Heading 2 2 2 2 7 2 2" xfId="31520"/>
    <cellStyle name="Heading 2 2 2 2 7 2 2 10" xfId="31521"/>
    <cellStyle name="Heading 2 2 2 2 7 2 2 10 2" xfId="31522"/>
    <cellStyle name="Heading 2 2 2 2 7 2 2 10 2 2" xfId="31523"/>
    <cellStyle name="Heading 2 2 2 2 7 2 2 10 3" xfId="31524"/>
    <cellStyle name="Heading 2 2 2 2 7 2 2 11" xfId="31525"/>
    <cellStyle name="Heading 2 2 2 2 7 2 2 11 2" xfId="31526"/>
    <cellStyle name="Heading 2 2 2 2 7 2 2 11 2 2" xfId="31527"/>
    <cellStyle name="Heading 2 2 2 2 7 2 2 11 3" xfId="31528"/>
    <cellStyle name="Heading 2 2 2 2 7 2 2 12" xfId="31529"/>
    <cellStyle name="Heading 2 2 2 2 7 2 2 12 2" xfId="31530"/>
    <cellStyle name="Heading 2 2 2 2 7 2 2 12 2 2" xfId="31531"/>
    <cellStyle name="Heading 2 2 2 2 7 2 2 12 3" xfId="31532"/>
    <cellStyle name="Heading 2 2 2 2 7 2 2 13" xfId="31533"/>
    <cellStyle name="Heading 2 2 2 2 7 2 2 13 2" xfId="31534"/>
    <cellStyle name="Heading 2 2 2 2 7 2 2 13 2 2" xfId="31535"/>
    <cellStyle name="Heading 2 2 2 2 7 2 2 13 3" xfId="31536"/>
    <cellStyle name="Heading 2 2 2 2 7 2 2 14" xfId="31537"/>
    <cellStyle name="Heading 2 2 2 2 7 2 2 14 2" xfId="31538"/>
    <cellStyle name="Heading 2 2 2 2 7 2 2 14 2 2" xfId="31539"/>
    <cellStyle name="Heading 2 2 2 2 7 2 2 14 3" xfId="31540"/>
    <cellStyle name="Heading 2 2 2 2 7 2 2 15" xfId="31541"/>
    <cellStyle name="Heading 2 2 2 2 7 2 2 15 2" xfId="31542"/>
    <cellStyle name="Heading 2 2 2 2 7 2 2 15 2 2" xfId="31543"/>
    <cellStyle name="Heading 2 2 2 2 7 2 2 15 3" xfId="31544"/>
    <cellStyle name="Heading 2 2 2 2 7 2 2 16" xfId="31545"/>
    <cellStyle name="Heading 2 2 2 2 7 2 2 16 2" xfId="31546"/>
    <cellStyle name="Heading 2 2 2 2 7 2 2 16 2 2" xfId="31547"/>
    <cellStyle name="Heading 2 2 2 2 7 2 2 16 3" xfId="31548"/>
    <cellStyle name="Heading 2 2 2 2 7 2 2 17" xfId="31549"/>
    <cellStyle name="Heading 2 2 2 2 7 2 2 17 2" xfId="31550"/>
    <cellStyle name="Heading 2 2 2 2 7 2 2 17 2 2" xfId="31551"/>
    <cellStyle name="Heading 2 2 2 2 7 2 2 17 3" xfId="31552"/>
    <cellStyle name="Heading 2 2 2 2 7 2 2 18" xfId="31553"/>
    <cellStyle name="Heading 2 2 2 2 7 2 2 18 2" xfId="31554"/>
    <cellStyle name="Heading 2 2 2 2 7 2 2 18 2 2" xfId="31555"/>
    <cellStyle name="Heading 2 2 2 2 7 2 2 18 3" xfId="31556"/>
    <cellStyle name="Heading 2 2 2 2 7 2 2 19" xfId="31557"/>
    <cellStyle name="Heading 2 2 2 2 7 2 2 19 2" xfId="31558"/>
    <cellStyle name="Heading 2 2 2 2 7 2 2 2" xfId="31559"/>
    <cellStyle name="Heading 2 2 2 2 7 2 2 2 2" xfId="31560"/>
    <cellStyle name="Heading 2 2 2 2 7 2 2 2 2 2" xfId="31561"/>
    <cellStyle name="Heading 2 2 2 2 7 2 2 2 2 2 2" xfId="31562"/>
    <cellStyle name="Heading 2 2 2 2 7 2 2 2 2 3" xfId="31563"/>
    <cellStyle name="Heading 2 2 2 2 7 2 2 2 3" xfId="31564"/>
    <cellStyle name="Heading 2 2 2 2 7 2 2 2 3 2" xfId="31565"/>
    <cellStyle name="Heading 2 2 2 2 7 2 2 2 3 2 2" xfId="31566"/>
    <cellStyle name="Heading 2 2 2 2 7 2 2 2 3 3" xfId="31567"/>
    <cellStyle name="Heading 2 2 2 2 7 2 2 2 4" xfId="31568"/>
    <cellStyle name="Heading 2 2 2 2 7 2 2 2 4 2" xfId="31569"/>
    <cellStyle name="Heading 2 2 2 2 7 2 2 2 4 2 2" xfId="31570"/>
    <cellStyle name="Heading 2 2 2 2 7 2 2 2 4 3" xfId="31571"/>
    <cellStyle name="Heading 2 2 2 2 7 2 2 2 5" xfId="31572"/>
    <cellStyle name="Heading 2 2 2 2 7 2 2 2 5 2" xfId="31573"/>
    <cellStyle name="Heading 2 2 2 2 7 2 2 2 5 2 2" xfId="31574"/>
    <cellStyle name="Heading 2 2 2 2 7 2 2 2 5 3" xfId="31575"/>
    <cellStyle name="Heading 2 2 2 2 7 2 2 2 6" xfId="31576"/>
    <cellStyle name="Heading 2 2 2 2 7 2 2 2 6 2" xfId="31577"/>
    <cellStyle name="Heading 2 2 2 2 7 2 2 2 6 2 2" xfId="31578"/>
    <cellStyle name="Heading 2 2 2 2 7 2 2 2 6 3" xfId="31579"/>
    <cellStyle name="Heading 2 2 2 2 7 2 2 2 7" xfId="31580"/>
    <cellStyle name="Heading 2 2 2 2 7 2 2 2 7 2" xfId="31581"/>
    <cellStyle name="Heading 2 2 2 2 7 2 2 2 7 2 2" xfId="31582"/>
    <cellStyle name="Heading 2 2 2 2 7 2 2 2 7 3" xfId="31583"/>
    <cellStyle name="Heading 2 2 2 2 7 2 2 2 8" xfId="31584"/>
    <cellStyle name="Heading 2 2 2 2 7 2 2 2 8 2" xfId="31585"/>
    <cellStyle name="Heading 2 2 2 2 7 2 2 2 9" xfId="31586"/>
    <cellStyle name="Heading 2 2 2 2 7 2 2 20" xfId="31587"/>
    <cellStyle name="Heading 2 2 2 2 7 2 2 20 2" xfId="31588"/>
    <cellStyle name="Heading 2 2 2 2 7 2 2 21" xfId="31589"/>
    <cellStyle name="Heading 2 2 2 2 7 2 2 21 2" xfId="31590"/>
    <cellStyle name="Heading 2 2 2 2 7 2 2 22" xfId="31591"/>
    <cellStyle name="Heading 2 2 2 2 7 2 2 3" xfId="31592"/>
    <cellStyle name="Heading 2 2 2 2 7 2 2 3 2" xfId="31593"/>
    <cellStyle name="Heading 2 2 2 2 7 2 2 3 2 2" xfId="31594"/>
    <cellStyle name="Heading 2 2 2 2 7 2 2 3 2 2 2" xfId="31595"/>
    <cellStyle name="Heading 2 2 2 2 7 2 2 3 2 3" xfId="31596"/>
    <cellStyle name="Heading 2 2 2 2 7 2 2 3 3" xfId="31597"/>
    <cellStyle name="Heading 2 2 2 2 7 2 2 3 3 2" xfId="31598"/>
    <cellStyle name="Heading 2 2 2 2 7 2 2 3 3 2 2" xfId="31599"/>
    <cellStyle name="Heading 2 2 2 2 7 2 2 3 3 3" xfId="31600"/>
    <cellStyle name="Heading 2 2 2 2 7 2 2 3 4" xfId="31601"/>
    <cellStyle name="Heading 2 2 2 2 7 2 2 3 4 2" xfId="31602"/>
    <cellStyle name="Heading 2 2 2 2 7 2 2 3 4 2 2" xfId="31603"/>
    <cellStyle name="Heading 2 2 2 2 7 2 2 3 4 3" xfId="31604"/>
    <cellStyle name="Heading 2 2 2 2 7 2 2 3 5" xfId="31605"/>
    <cellStyle name="Heading 2 2 2 2 7 2 2 3 5 2" xfId="31606"/>
    <cellStyle name="Heading 2 2 2 2 7 2 2 3 5 2 2" xfId="31607"/>
    <cellStyle name="Heading 2 2 2 2 7 2 2 3 5 3" xfId="31608"/>
    <cellStyle name="Heading 2 2 2 2 7 2 2 3 6" xfId="31609"/>
    <cellStyle name="Heading 2 2 2 2 7 2 2 3 6 2" xfId="31610"/>
    <cellStyle name="Heading 2 2 2 2 7 2 2 3 6 2 2" xfId="31611"/>
    <cellStyle name="Heading 2 2 2 2 7 2 2 3 6 3" xfId="31612"/>
    <cellStyle name="Heading 2 2 2 2 7 2 2 3 7" xfId="31613"/>
    <cellStyle name="Heading 2 2 2 2 7 2 2 3 7 2" xfId="31614"/>
    <cellStyle name="Heading 2 2 2 2 7 2 2 3 7 2 2" xfId="31615"/>
    <cellStyle name="Heading 2 2 2 2 7 2 2 3 7 3" xfId="31616"/>
    <cellStyle name="Heading 2 2 2 2 7 2 2 3 8" xfId="31617"/>
    <cellStyle name="Heading 2 2 2 2 7 2 2 3 8 2" xfId="31618"/>
    <cellStyle name="Heading 2 2 2 2 7 2 2 3 9" xfId="31619"/>
    <cellStyle name="Heading 2 2 2 2 7 2 2 4" xfId="31620"/>
    <cellStyle name="Heading 2 2 2 2 7 2 2 4 2" xfId="31621"/>
    <cellStyle name="Heading 2 2 2 2 7 2 2 4 2 2" xfId="31622"/>
    <cellStyle name="Heading 2 2 2 2 7 2 2 4 2 2 2" xfId="31623"/>
    <cellStyle name="Heading 2 2 2 2 7 2 2 4 2 3" xfId="31624"/>
    <cellStyle name="Heading 2 2 2 2 7 2 2 4 3" xfId="31625"/>
    <cellStyle name="Heading 2 2 2 2 7 2 2 4 3 2" xfId="31626"/>
    <cellStyle name="Heading 2 2 2 2 7 2 2 4 3 2 2" xfId="31627"/>
    <cellStyle name="Heading 2 2 2 2 7 2 2 4 3 3" xfId="31628"/>
    <cellStyle name="Heading 2 2 2 2 7 2 2 4 4" xfId="31629"/>
    <cellStyle name="Heading 2 2 2 2 7 2 2 4 4 2" xfId="31630"/>
    <cellStyle name="Heading 2 2 2 2 7 2 2 4 4 2 2" xfId="31631"/>
    <cellStyle name="Heading 2 2 2 2 7 2 2 4 4 3" xfId="31632"/>
    <cellStyle name="Heading 2 2 2 2 7 2 2 4 5" xfId="31633"/>
    <cellStyle name="Heading 2 2 2 2 7 2 2 4 5 2" xfId="31634"/>
    <cellStyle name="Heading 2 2 2 2 7 2 2 4 5 2 2" xfId="31635"/>
    <cellStyle name="Heading 2 2 2 2 7 2 2 4 5 3" xfId="31636"/>
    <cellStyle name="Heading 2 2 2 2 7 2 2 4 6" xfId="31637"/>
    <cellStyle name="Heading 2 2 2 2 7 2 2 4 6 2" xfId="31638"/>
    <cellStyle name="Heading 2 2 2 2 7 2 2 4 6 2 2" xfId="31639"/>
    <cellStyle name="Heading 2 2 2 2 7 2 2 4 6 3" xfId="31640"/>
    <cellStyle name="Heading 2 2 2 2 7 2 2 4 7" xfId="31641"/>
    <cellStyle name="Heading 2 2 2 2 7 2 2 4 7 2" xfId="31642"/>
    <cellStyle name="Heading 2 2 2 2 7 2 2 4 7 2 2" xfId="31643"/>
    <cellStyle name="Heading 2 2 2 2 7 2 2 4 7 3" xfId="31644"/>
    <cellStyle name="Heading 2 2 2 2 7 2 2 4 8" xfId="31645"/>
    <cellStyle name="Heading 2 2 2 2 7 2 2 4 8 2" xfId="31646"/>
    <cellStyle name="Heading 2 2 2 2 7 2 2 4 9" xfId="31647"/>
    <cellStyle name="Heading 2 2 2 2 7 2 2 5" xfId="31648"/>
    <cellStyle name="Heading 2 2 2 2 7 2 2 5 2" xfId="31649"/>
    <cellStyle name="Heading 2 2 2 2 7 2 2 5 2 2" xfId="31650"/>
    <cellStyle name="Heading 2 2 2 2 7 2 2 5 2 2 2" xfId="31651"/>
    <cellStyle name="Heading 2 2 2 2 7 2 2 5 2 3" xfId="31652"/>
    <cellStyle name="Heading 2 2 2 2 7 2 2 5 3" xfId="31653"/>
    <cellStyle name="Heading 2 2 2 2 7 2 2 5 3 2" xfId="31654"/>
    <cellStyle name="Heading 2 2 2 2 7 2 2 5 3 2 2" xfId="31655"/>
    <cellStyle name="Heading 2 2 2 2 7 2 2 5 3 3" xfId="31656"/>
    <cellStyle name="Heading 2 2 2 2 7 2 2 5 4" xfId="31657"/>
    <cellStyle name="Heading 2 2 2 2 7 2 2 5 4 2" xfId="31658"/>
    <cellStyle name="Heading 2 2 2 2 7 2 2 5 4 2 2" xfId="31659"/>
    <cellStyle name="Heading 2 2 2 2 7 2 2 5 4 3" xfId="31660"/>
    <cellStyle name="Heading 2 2 2 2 7 2 2 5 5" xfId="31661"/>
    <cellStyle name="Heading 2 2 2 2 7 2 2 5 5 2" xfId="31662"/>
    <cellStyle name="Heading 2 2 2 2 7 2 2 5 5 2 2" xfId="31663"/>
    <cellStyle name="Heading 2 2 2 2 7 2 2 5 5 3" xfId="31664"/>
    <cellStyle name="Heading 2 2 2 2 7 2 2 5 6" xfId="31665"/>
    <cellStyle name="Heading 2 2 2 2 7 2 2 5 6 2" xfId="31666"/>
    <cellStyle name="Heading 2 2 2 2 7 2 2 5 6 2 2" xfId="31667"/>
    <cellStyle name="Heading 2 2 2 2 7 2 2 5 6 3" xfId="31668"/>
    <cellStyle name="Heading 2 2 2 2 7 2 2 5 7" xfId="31669"/>
    <cellStyle name="Heading 2 2 2 2 7 2 2 5 7 2" xfId="31670"/>
    <cellStyle name="Heading 2 2 2 2 7 2 2 5 7 2 2" xfId="31671"/>
    <cellStyle name="Heading 2 2 2 2 7 2 2 5 7 3" xfId="31672"/>
    <cellStyle name="Heading 2 2 2 2 7 2 2 5 8" xfId="31673"/>
    <cellStyle name="Heading 2 2 2 2 7 2 2 5 8 2" xfId="31674"/>
    <cellStyle name="Heading 2 2 2 2 7 2 2 5 9" xfId="31675"/>
    <cellStyle name="Heading 2 2 2 2 7 2 2 6" xfId="31676"/>
    <cellStyle name="Heading 2 2 2 2 7 2 2 6 2" xfId="31677"/>
    <cellStyle name="Heading 2 2 2 2 7 2 2 6 2 2" xfId="31678"/>
    <cellStyle name="Heading 2 2 2 2 7 2 2 6 2 2 2" xfId="31679"/>
    <cellStyle name="Heading 2 2 2 2 7 2 2 6 2 3" xfId="31680"/>
    <cellStyle name="Heading 2 2 2 2 7 2 2 6 3" xfId="31681"/>
    <cellStyle name="Heading 2 2 2 2 7 2 2 6 3 2" xfId="31682"/>
    <cellStyle name="Heading 2 2 2 2 7 2 2 6 3 2 2" xfId="31683"/>
    <cellStyle name="Heading 2 2 2 2 7 2 2 6 3 3" xfId="31684"/>
    <cellStyle name="Heading 2 2 2 2 7 2 2 6 4" xfId="31685"/>
    <cellStyle name="Heading 2 2 2 2 7 2 2 6 4 2" xfId="31686"/>
    <cellStyle name="Heading 2 2 2 2 7 2 2 6 4 2 2" xfId="31687"/>
    <cellStyle name="Heading 2 2 2 2 7 2 2 6 4 3" xfId="31688"/>
    <cellStyle name="Heading 2 2 2 2 7 2 2 6 5" xfId="31689"/>
    <cellStyle name="Heading 2 2 2 2 7 2 2 6 5 2" xfId="31690"/>
    <cellStyle name="Heading 2 2 2 2 7 2 2 6 5 2 2" xfId="31691"/>
    <cellStyle name="Heading 2 2 2 2 7 2 2 6 5 3" xfId="31692"/>
    <cellStyle name="Heading 2 2 2 2 7 2 2 6 6" xfId="31693"/>
    <cellStyle name="Heading 2 2 2 2 7 2 2 6 6 2" xfId="31694"/>
    <cellStyle name="Heading 2 2 2 2 7 2 2 6 6 2 2" xfId="31695"/>
    <cellStyle name="Heading 2 2 2 2 7 2 2 6 6 3" xfId="31696"/>
    <cellStyle name="Heading 2 2 2 2 7 2 2 6 7" xfId="31697"/>
    <cellStyle name="Heading 2 2 2 2 7 2 2 6 7 2" xfId="31698"/>
    <cellStyle name="Heading 2 2 2 2 7 2 2 6 7 2 2" xfId="31699"/>
    <cellStyle name="Heading 2 2 2 2 7 2 2 6 7 3" xfId="31700"/>
    <cellStyle name="Heading 2 2 2 2 7 2 2 6 8" xfId="31701"/>
    <cellStyle name="Heading 2 2 2 2 7 2 2 6 8 2" xfId="31702"/>
    <cellStyle name="Heading 2 2 2 2 7 2 2 6 9" xfId="31703"/>
    <cellStyle name="Heading 2 2 2 2 7 2 2 7" xfId="31704"/>
    <cellStyle name="Heading 2 2 2 2 7 2 2 7 2" xfId="31705"/>
    <cellStyle name="Heading 2 2 2 2 7 2 2 7 2 2" xfId="31706"/>
    <cellStyle name="Heading 2 2 2 2 7 2 2 7 2 2 2" xfId="31707"/>
    <cellStyle name="Heading 2 2 2 2 7 2 2 7 2 3" xfId="31708"/>
    <cellStyle name="Heading 2 2 2 2 7 2 2 7 3" xfId="31709"/>
    <cellStyle name="Heading 2 2 2 2 7 2 2 7 3 2" xfId="31710"/>
    <cellStyle name="Heading 2 2 2 2 7 2 2 7 3 2 2" xfId="31711"/>
    <cellStyle name="Heading 2 2 2 2 7 2 2 7 3 3" xfId="31712"/>
    <cellStyle name="Heading 2 2 2 2 7 2 2 7 4" xfId="31713"/>
    <cellStyle name="Heading 2 2 2 2 7 2 2 7 4 2" xfId="31714"/>
    <cellStyle name="Heading 2 2 2 2 7 2 2 7 4 2 2" xfId="31715"/>
    <cellStyle name="Heading 2 2 2 2 7 2 2 7 4 3" xfId="31716"/>
    <cellStyle name="Heading 2 2 2 2 7 2 2 7 5" xfId="31717"/>
    <cellStyle name="Heading 2 2 2 2 7 2 2 7 5 2" xfId="31718"/>
    <cellStyle name="Heading 2 2 2 2 7 2 2 7 5 2 2" xfId="31719"/>
    <cellStyle name="Heading 2 2 2 2 7 2 2 7 5 3" xfId="31720"/>
    <cellStyle name="Heading 2 2 2 2 7 2 2 7 6" xfId="31721"/>
    <cellStyle name="Heading 2 2 2 2 7 2 2 7 6 2" xfId="31722"/>
    <cellStyle name="Heading 2 2 2 2 7 2 2 7 6 2 2" xfId="31723"/>
    <cellStyle name="Heading 2 2 2 2 7 2 2 7 6 3" xfId="31724"/>
    <cellStyle name="Heading 2 2 2 2 7 2 2 7 7" xfId="31725"/>
    <cellStyle name="Heading 2 2 2 2 7 2 2 7 7 2" xfId="31726"/>
    <cellStyle name="Heading 2 2 2 2 7 2 2 7 7 2 2" xfId="31727"/>
    <cellStyle name="Heading 2 2 2 2 7 2 2 7 7 3" xfId="31728"/>
    <cellStyle name="Heading 2 2 2 2 7 2 2 7 8" xfId="31729"/>
    <cellStyle name="Heading 2 2 2 2 7 2 2 7 8 2" xfId="31730"/>
    <cellStyle name="Heading 2 2 2 2 7 2 2 7 9" xfId="31731"/>
    <cellStyle name="Heading 2 2 2 2 7 2 2 8" xfId="31732"/>
    <cellStyle name="Heading 2 2 2 2 7 2 2 8 2" xfId="31733"/>
    <cellStyle name="Heading 2 2 2 2 7 2 2 8 2 2" xfId="31734"/>
    <cellStyle name="Heading 2 2 2 2 7 2 2 8 2 2 2" xfId="31735"/>
    <cellStyle name="Heading 2 2 2 2 7 2 2 8 2 3" xfId="31736"/>
    <cellStyle name="Heading 2 2 2 2 7 2 2 8 3" xfId="31737"/>
    <cellStyle name="Heading 2 2 2 2 7 2 2 8 3 2" xfId="31738"/>
    <cellStyle name="Heading 2 2 2 2 7 2 2 8 3 2 2" xfId="31739"/>
    <cellStyle name="Heading 2 2 2 2 7 2 2 8 3 3" xfId="31740"/>
    <cellStyle name="Heading 2 2 2 2 7 2 2 8 4" xfId="31741"/>
    <cellStyle name="Heading 2 2 2 2 7 2 2 8 4 2" xfId="31742"/>
    <cellStyle name="Heading 2 2 2 2 7 2 2 8 4 2 2" xfId="31743"/>
    <cellStyle name="Heading 2 2 2 2 7 2 2 8 4 3" xfId="31744"/>
    <cellStyle name="Heading 2 2 2 2 7 2 2 8 5" xfId="31745"/>
    <cellStyle name="Heading 2 2 2 2 7 2 2 8 5 2" xfId="31746"/>
    <cellStyle name="Heading 2 2 2 2 7 2 2 8 5 2 2" xfId="31747"/>
    <cellStyle name="Heading 2 2 2 2 7 2 2 8 5 3" xfId="31748"/>
    <cellStyle name="Heading 2 2 2 2 7 2 2 8 6" xfId="31749"/>
    <cellStyle name="Heading 2 2 2 2 7 2 2 8 6 2" xfId="31750"/>
    <cellStyle name="Heading 2 2 2 2 7 2 2 8 6 2 2" xfId="31751"/>
    <cellStyle name="Heading 2 2 2 2 7 2 2 8 6 3" xfId="31752"/>
    <cellStyle name="Heading 2 2 2 2 7 2 2 8 7" xfId="31753"/>
    <cellStyle name="Heading 2 2 2 2 7 2 2 8 7 2" xfId="31754"/>
    <cellStyle name="Heading 2 2 2 2 7 2 2 8 7 2 2" xfId="31755"/>
    <cellStyle name="Heading 2 2 2 2 7 2 2 8 7 3" xfId="31756"/>
    <cellStyle name="Heading 2 2 2 2 7 2 2 8 8" xfId="31757"/>
    <cellStyle name="Heading 2 2 2 2 7 2 2 8 8 2" xfId="31758"/>
    <cellStyle name="Heading 2 2 2 2 7 2 2 8 9" xfId="31759"/>
    <cellStyle name="Heading 2 2 2 2 7 2 2 9" xfId="31760"/>
    <cellStyle name="Heading 2 2 2 2 7 2 2 9 2" xfId="31761"/>
    <cellStyle name="Heading 2 2 2 2 7 2 2 9 2 2" xfId="31762"/>
    <cellStyle name="Heading 2 2 2 2 7 2 2 9 3" xfId="31763"/>
    <cellStyle name="Heading 2 2 2 2 7 2 20" xfId="31764"/>
    <cellStyle name="Heading 2 2 2 2 7 2 20 2" xfId="31765"/>
    <cellStyle name="Heading 2 2 2 2 7 2 21" xfId="31766"/>
    <cellStyle name="Heading 2 2 2 2 7 2 21 2" xfId="31767"/>
    <cellStyle name="Heading 2 2 2 2 7 2 22" xfId="31768"/>
    <cellStyle name="Heading 2 2 2 2 7 2 22 2" xfId="31769"/>
    <cellStyle name="Heading 2 2 2 2 7 2 23" xfId="31770"/>
    <cellStyle name="Heading 2 2 2 2 7 2 3" xfId="31771"/>
    <cellStyle name="Heading 2 2 2 2 7 2 3 2" xfId="31772"/>
    <cellStyle name="Heading 2 2 2 2 7 2 3 2 2" xfId="31773"/>
    <cellStyle name="Heading 2 2 2 2 7 2 3 2 2 2" xfId="31774"/>
    <cellStyle name="Heading 2 2 2 2 7 2 3 2 3" xfId="31775"/>
    <cellStyle name="Heading 2 2 2 2 7 2 3 3" xfId="31776"/>
    <cellStyle name="Heading 2 2 2 2 7 2 3 3 2" xfId="31777"/>
    <cellStyle name="Heading 2 2 2 2 7 2 3 3 2 2" xfId="31778"/>
    <cellStyle name="Heading 2 2 2 2 7 2 3 3 3" xfId="31779"/>
    <cellStyle name="Heading 2 2 2 2 7 2 3 4" xfId="31780"/>
    <cellStyle name="Heading 2 2 2 2 7 2 3 4 2" xfId="31781"/>
    <cellStyle name="Heading 2 2 2 2 7 2 3 4 2 2" xfId="31782"/>
    <cellStyle name="Heading 2 2 2 2 7 2 3 4 3" xfId="31783"/>
    <cellStyle name="Heading 2 2 2 2 7 2 3 5" xfId="31784"/>
    <cellStyle name="Heading 2 2 2 2 7 2 3 5 2" xfId="31785"/>
    <cellStyle name="Heading 2 2 2 2 7 2 3 5 2 2" xfId="31786"/>
    <cellStyle name="Heading 2 2 2 2 7 2 3 5 3" xfId="31787"/>
    <cellStyle name="Heading 2 2 2 2 7 2 3 6" xfId="31788"/>
    <cellStyle name="Heading 2 2 2 2 7 2 3 6 2" xfId="31789"/>
    <cellStyle name="Heading 2 2 2 2 7 2 3 6 2 2" xfId="31790"/>
    <cellStyle name="Heading 2 2 2 2 7 2 3 6 3" xfId="31791"/>
    <cellStyle name="Heading 2 2 2 2 7 2 3 7" xfId="31792"/>
    <cellStyle name="Heading 2 2 2 2 7 2 3 7 2" xfId="31793"/>
    <cellStyle name="Heading 2 2 2 2 7 2 3 7 2 2" xfId="31794"/>
    <cellStyle name="Heading 2 2 2 2 7 2 3 7 3" xfId="31795"/>
    <cellStyle name="Heading 2 2 2 2 7 2 3 8" xfId="31796"/>
    <cellStyle name="Heading 2 2 2 2 7 2 3 8 2" xfId="31797"/>
    <cellStyle name="Heading 2 2 2 2 7 2 3 9" xfId="31798"/>
    <cellStyle name="Heading 2 2 2 2 7 2 4" xfId="31799"/>
    <cellStyle name="Heading 2 2 2 2 7 2 4 2" xfId="31800"/>
    <cellStyle name="Heading 2 2 2 2 7 2 4 2 2" xfId="31801"/>
    <cellStyle name="Heading 2 2 2 2 7 2 4 2 2 2" xfId="31802"/>
    <cellStyle name="Heading 2 2 2 2 7 2 4 2 3" xfId="31803"/>
    <cellStyle name="Heading 2 2 2 2 7 2 4 3" xfId="31804"/>
    <cellStyle name="Heading 2 2 2 2 7 2 4 3 2" xfId="31805"/>
    <cellStyle name="Heading 2 2 2 2 7 2 4 3 2 2" xfId="31806"/>
    <cellStyle name="Heading 2 2 2 2 7 2 4 3 3" xfId="31807"/>
    <cellStyle name="Heading 2 2 2 2 7 2 4 4" xfId="31808"/>
    <cellStyle name="Heading 2 2 2 2 7 2 4 4 2" xfId="31809"/>
    <cellStyle name="Heading 2 2 2 2 7 2 4 4 2 2" xfId="31810"/>
    <cellStyle name="Heading 2 2 2 2 7 2 4 4 3" xfId="31811"/>
    <cellStyle name="Heading 2 2 2 2 7 2 4 5" xfId="31812"/>
    <cellStyle name="Heading 2 2 2 2 7 2 4 5 2" xfId="31813"/>
    <cellStyle name="Heading 2 2 2 2 7 2 4 5 2 2" xfId="31814"/>
    <cellStyle name="Heading 2 2 2 2 7 2 4 5 3" xfId="31815"/>
    <cellStyle name="Heading 2 2 2 2 7 2 4 6" xfId="31816"/>
    <cellStyle name="Heading 2 2 2 2 7 2 4 6 2" xfId="31817"/>
    <cellStyle name="Heading 2 2 2 2 7 2 4 6 2 2" xfId="31818"/>
    <cellStyle name="Heading 2 2 2 2 7 2 4 6 3" xfId="31819"/>
    <cellStyle name="Heading 2 2 2 2 7 2 4 7" xfId="31820"/>
    <cellStyle name="Heading 2 2 2 2 7 2 4 7 2" xfId="31821"/>
    <cellStyle name="Heading 2 2 2 2 7 2 4 7 2 2" xfId="31822"/>
    <cellStyle name="Heading 2 2 2 2 7 2 4 7 3" xfId="31823"/>
    <cellStyle name="Heading 2 2 2 2 7 2 4 8" xfId="31824"/>
    <cellStyle name="Heading 2 2 2 2 7 2 4 8 2" xfId="31825"/>
    <cellStyle name="Heading 2 2 2 2 7 2 4 9" xfId="31826"/>
    <cellStyle name="Heading 2 2 2 2 7 2 5" xfId="31827"/>
    <cellStyle name="Heading 2 2 2 2 7 2 5 2" xfId="31828"/>
    <cellStyle name="Heading 2 2 2 2 7 2 5 2 2" xfId="31829"/>
    <cellStyle name="Heading 2 2 2 2 7 2 5 2 2 2" xfId="31830"/>
    <cellStyle name="Heading 2 2 2 2 7 2 5 2 3" xfId="31831"/>
    <cellStyle name="Heading 2 2 2 2 7 2 5 3" xfId="31832"/>
    <cellStyle name="Heading 2 2 2 2 7 2 5 3 2" xfId="31833"/>
    <cellStyle name="Heading 2 2 2 2 7 2 5 3 2 2" xfId="31834"/>
    <cellStyle name="Heading 2 2 2 2 7 2 5 3 3" xfId="31835"/>
    <cellStyle name="Heading 2 2 2 2 7 2 5 4" xfId="31836"/>
    <cellStyle name="Heading 2 2 2 2 7 2 5 4 2" xfId="31837"/>
    <cellStyle name="Heading 2 2 2 2 7 2 5 4 2 2" xfId="31838"/>
    <cellStyle name="Heading 2 2 2 2 7 2 5 4 3" xfId="31839"/>
    <cellStyle name="Heading 2 2 2 2 7 2 5 5" xfId="31840"/>
    <cellStyle name="Heading 2 2 2 2 7 2 5 5 2" xfId="31841"/>
    <cellStyle name="Heading 2 2 2 2 7 2 5 5 2 2" xfId="31842"/>
    <cellStyle name="Heading 2 2 2 2 7 2 5 5 3" xfId="31843"/>
    <cellStyle name="Heading 2 2 2 2 7 2 5 6" xfId="31844"/>
    <cellStyle name="Heading 2 2 2 2 7 2 5 6 2" xfId="31845"/>
    <cellStyle name="Heading 2 2 2 2 7 2 5 6 2 2" xfId="31846"/>
    <cellStyle name="Heading 2 2 2 2 7 2 5 6 3" xfId="31847"/>
    <cellStyle name="Heading 2 2 2 2 7 2 5 7" xfId="31848"/>
    <cellStyle name="Heading 2 2 2 2 7 2 5 7 2" xfId="31849"/>
    <cellStyle name="Heading 2 2 2 2 7 2 5 7 2 2" xfId="31850"/>
    <cellStyle name="Heading 2 2 2 2 7 2 5 7 3" xfId="31851"/>
    <cellStyle name="Heading 2 2 2 2 7 2 5 8" xfId="31852"/>
    <cellStyle name="Heading 2 2 2 2 7 2 5 8 2" xfId="31853"/>
    <cellStyle name="Heading 2 2 2 2 7 2 5 9" xfId="31854"/>
    <cellStyle name="Heading 2 2 2 2 7 2 6" xfId="31855"/>
    <cellStyle name="Heading 2 2 2 2 7 2 6 2" xfId="31856"/>
    <cellStyle name="Heading 2 2 2 2 7 2 6 2 2" xfId="31857"/>
    <cellStyle name="Heading 2 2 2 2 7 2 6 2 2 2" xfId="31858"/>
    <cellStyle name="Heading 2 2 2 2 7 2 6 2 3" xfId="31859"/>
    <cellStyle name="Heading 2 2 2 2 7 2 6 3" xfId="31860"/>
    <cellStyle name="Heading 2 2 2 2 7 2 6 3 2" xfId="31861"/>
    <cellStyle name="Heading 2 2 2 2 7 2 6 3 2 2" xfId="31862"/>
    <cellStyle name="Heading 2 2 2 2 7 2 6 3 3" xfId="31863"/>
    <cellStyle name="Heading 2 2 2 2 7 2 6 4" xfId="31864"/>
    <cellStyle name="Heading 2 2 2 2 7 2 6 4 2" xfId="31865"/>
    <cellStyle name="Heading 2 2 2 2 7 2 6 4 2 2" xfId="31866"/>
    <cellStyle name="Heading 2 2 2 2 7 2 6 4 3" xfId="31867"/>
    <cellStyle name="Heading 2 2 2 2 7 2 6 5" xfId="31868"/>
    <cellStyle name="Heading 2 2 2 2 7 2 6 5 2" xfId="31869"/>
    <cellStyle name="Heading 2 2 2 2 7 2 6 5 2 2" xfId="31870"/>
    <cellStyle name="Heading 2 2 2 2 7 2 6 5 3" xfId="31871"/>
    <cellStyle name="Heading 2 2 2 2 7 2 6 6" xfId="31872"/>
    <cellStyle name="Heading 2 2 2 2 7 2 6 6 2" xfId="31873"/>
    <cellStyle name="Heading 2 2 2 2 7 2 6 6 2 2" xfId="31874"/>
    <cellStyle name="Heading 2 2 2 2 7 2 6 6 3" xfId="31875"/>
    <cellStyle name="Heading 2 2 2 2 7 2 6 7" xfId="31876"/>
    <cellStyle name="Heading 2 2 2 2 7 2 6 7 2" xfId="31877"/>
    <cellStyle name="Heading 2 2 2 2 7 2 6 7 2 2" xfId="31878"/>
    <cellStyle name="Heading 2 2 2 2 7 2 6 7 3" xfId="31879"/>
    <cellStyle name="Heading 2 2 2 2 7 2 6 8" xfId="31880"/>
    <cellStyle name="Heading 2 2 2 2 7 2 6 8 2" xfId="31881"/>
    <cellStyle name="Heading 2 2 2 2 7 2 6 9" xfId="31882"/>
    <cellStyle name="Heading 2 2 2 2 7 2 7" xfId="31883"/>
    <cellStyle name="Heading 2 2 2 2 7 2 7 2" xfId="31884"/>
    <cellStyle name="Heading 2 2 2 2 7 2 7 2 2" xfId="31885"/>
    <cellStyle name="Heading 2 2 2 2 7 2 7 2 2 2" xfId="31886"/>
    <cellStyle name="Heading 2 2 2 2 7 2 7 2 3" xfId="31887"/>
    <cellStyle name="Heading 2 2 2 2 7 2 7 3" xfId="31888"/>
    <cellStyle name="Heading 2 2 2 2 7 2 7 3 2" xfId="31889"/>
    <cellStyle name="Heading 2 2 2 2 7 2 7 3 2 2" xfId="31890"/>
    <cellStyle name="Heading 2 2 2 2 7 2 7 3 3" xfId="31891"/>
    <cellStyle name="Heading 2 2 2 2 7 2 7 4" xfId="31892"/>
    <cellStyle name="Heading 2 2 2 2 7 2 7 4 2" xfId="31893"/>
    <cellStyle name="Heading 2 2 2 2 7 2 7 4 2 2" xfId="31894"/>
    <cellStyle name="Heading 2 2 2 2 7 2 7 4 3" xfId="31895"/>
    <cellStyle name="Heading 2 2 2 2 7 2 7 5" xfId="31896"/>
    <cellStyle name="Heading 2 2 2 2 7 2 7 5 2" xfId="31897"/>
    <cellStyle name="Heading 2 2 2 2 7 2 7 5 2 2" xfId="31898"/>
    <cellStyle name="Heading 2 2 2 2 7 2 7 5 3" xfId="31899"/>
    <cellStyle name="Heading 2 2 2 2 7 2 7 6" xfId="31900"/>
    <cellStyle name="Heading 2 2 2 2 7 2 7 6 2" xfId="31901"/>
    <cellStyle name="Heading 2 2 2 2 7 2 7 6 2 2" xfId="31902"/>
    <cellStyle name="Heading 2 2 2 2 7 2 7 6 3" xfId="31903"/>
    <cellStyle name="Heading 2 2 2 2 7 2 7 7" xfId="31904"/>
    <cellStyle name="Heading 2 2 2 2 7 2 7 7 2" xfId="31905"/>
    <cellStyle name="Heading 2 2 2 2 7 2 7 7 2 2" xfId="31906"/>
    <cellStyle name="Heading 2 2 2 2 7 2 7 7 3" xfId="31907"/>
    <cellStyle name="Heading 2 2 2 2 7 2 7 8" xfId="31908"/>
    <cellStyle name="Heading 2 2 2 2 7 2 7 8 2" xfId="31909"/>
    <cellStyle name="Heading 2 2 2 2 7 2 7 9" xfId="31910"/>
    <cellStyle name="Heading 2 2 2 2 7 2 8" xfId="31911"/>
    <cellStyle name="Heading 2 2 2 2 7 2 8 2" xfId="31912"/>
    <cellStyle name="Heading 2 2 2 2 7 2 8 2 2" xfId="31913"/>
    <cellStyle name="Heading 2 2 2 2 7 2 8 2 2 2" xfId="31914"/>
    <cellStyle name="Heading 2 2 2 2 7 2 8 2 3" xfId="31915"/>
    <cellStyle name="Heading 2 2 2 2 7 2 8 3" xfId="31916"/>
    <cellStyle name="Heading 2 2 2 2 7 2 8 3 2" xfId="31917"/>
    <cellStyle name="Heading 2 2 2 2 7 2 8 3 2 2" xfId="31918"/>
    <cellStyle name="Heading 2 2 2 2 7 2 8 3 3" xfId="31919"/>
    <cellStyle name="Heading 2 2 2 2 7 2 8 4" xfId="31920"/>
    <cellStyle name="Heading 2 2 2 2 7 2 8 4 2" xfId="31921"/>
    <cellStyle name="Heading 2 2 2 2 7 2 8 4 2 2" xfId="31922"/>
    <cellStyle name="Heading 2 2 2 2 7 2 8 4 3" xfId="31923"/>
    <cellStyle name="Heading 2 2 2 2 7 2 8 5" xfId="31924"/>
    <cellStyle name="Heading 2 2 2 2 7 2 8 5 2" xfId="31925"/>
    <cellStyle name="Heading 2 2 2 2 7 2 8 5 2 2" xfId="31926"/>
    <cellStyle name="Heading 2 2 2 2 7 2 8 5 3" xfId="31927"/>
    <cellStyle name="Heading 2 2 2 2 7 2 8 6" xfId="31928"/>
    <cellStyle name="Heading 2 2 2 2 7 2 8 6 2" xfId="31929"/>
    <cellStyle name="Heading 2 2 2 2 7 2 8 6 2 2" xfId="31930"/>
    <cellStyle name="Heading 2 2 2 2 7 2 8 6 3" xfId="31931"/>
    <cellStyle name="Heading 2 2 2 2 7 2 8 7" xfId="31932"/>
    <cellStyle name="Heading 2 2 2 2 7 2 8 7 2" xfId="31933"/>
    <cellStyle name="Heading 2 2 2 2 7 2 8 7 2 2" xfId="31934"/>
    <cellStyle name="Heading 2 2 2 2 7 2 8 7 3" xfId="31935"/>
    <cellStyle name="Heading 2 2 2 2 7 2 8 8" xfId="31936"/>
    <cellStyle name="Heading 2 2 2 2 7 2 8 8 2" xfId="31937"/>
    <cellStyle name="Heading 2 2 2 2 7 2 8 9" xfId="31938"/>
    <cellStyle name="Heading 2 2 2 2 7 2 9" xfId="31939"/>
    <cellStyle name="Heading 2 2 2 2 7 2 9 2" xfId="31940"/>
    <cellStyle name="Heading 2 2 2 2 7 2 9 2 2" xfId="31941"/>
    <cellStyle name="Heading 2 2 2 2 7 2 9 2 2 2" xfId="31942"/>
    <cellStyle name="Heading 2 2 2 2 7 2 9 2 3" xfId="31943"/>
    <cellStyle name="Heading 2 2 2 2 7 2 9 3" xfId="31944"/>
    <cellStyle name="Heading 2 2 2 2 7 2 9 3 2" xfId="31945"/>
    <cellStyle name="Heading 2 2 2 2 7 2 9 3 2 2" xfId="31946"/>
    <cellStyle name="Heading 2 2 2 2 7 2 9 3 3" xfId="31947"/>
    <cellStyle name="Heading 2 2 2 2 7 2 9 4" xfId="31948"/>
    <cellStyle name="Heading 2 2 2 2 7 2 9 4 2" xfId="31949"/>
    <cellStyle name="Heading 2 2 2 2 7 2 9 4 2 2" xfId="31950"/>
    <cellStyle name="Heading 2 2 2 2 7 2 9 4 3" xfId="31951"/>
    <cellStyle name="Heading 2 2 2 2 7 2 9 5" xfId="31952"/>
    <cellStyle name="Heading 2 2 2 2 7 2 9 5 2" xfId="31953"/>
    <cellStyle name="Heading 2 2 2 2 7 2 9 5 2 2" xfId="31954"/>
    <cellStyle name="Heading 2 2 2 2 7 2 9 5 3" xfId="31955"/>
    <cellStyle name="Heading 2 2 2 2 7 2 9 6" xfId="31956"/>
    <cellStyle name="Heading 2 2 2 2 7 2 9 6 2" xfId="31957"/>
    <cellStyle name="Heading 2 2 2 2 7 2 9 6 2 2" xfId="31958"/>
    <cellStyle name="Heading 2 2 2 2 7 2 9 6 3" xfId="31959"/>
    <cellStyle name="Heading 2 2 2 2 7 2 9 7" xfId="31960"/>
    <cellStyle name="Heading 2 2 2 2 7 2 9 7 2" xfId="31961"/>
    <cellStyle name="Heading 2 2 2 2 7 2 9 7 2 2" xfId="31962"/>
    <cellStyle name="Heading 2 2 2 2 7 2 9 7 3" xfId="31963"/>
    <cellStyle name="Heading 2 2 2 2 7 2 9 8" xfId="31964"/>
    <cellStyle name="Heading 2 2 2 2 7 2 9 8 2" xfId="31965"/>
    <cellStyle name="Heading 2 2 2 2 7 2 9 9" xfId="31966"/>
    <cellStyle name="Heading 2 2 2 2 7 3" xfId="31967"/>
    <cellStyle name="Heading 2 2 2 2 7 3 10" xfId="31968"/>
    <cellStyle name="Heading 2 2 2 2 7 3 10 2" xfId="31969"/>
    <cellStyle name="Heading 2 2 2 2 7 3 10 2 2" xfId="31970"/>
    <cellStyle name="Heading 2 2 2 2 7 3 10 3" xfId="31971"/>
    <cellStyle name="Heading 2 2 2 2 7 3 11" xfId="31972"/>
    <cellStyle name="Heading 2 2 2 2 7 3 11 2" xfId="31973"/>
    <cellStyle name="Heading 2 2 2 2 7 3 11 2 2" xfId="31974"/>
    <cellStyle name="Heading 2 2 2 2 7 3 11 3" xfId="31975"/>
    <cellStyle name="Heading 2 2 2 2 7 3 12" xfId="31976"/>
    <cellStyle name="Heading 2 2 2 2 7 3 12 2" xfId="31977"/>
    <cellStyle name="Heading 2 2 2 2 7 3 12 2 2" xfId="31978"/>
    <cellStyle name="Heading 2 2 2 2 7 3 12 3" xfId="31979"/>
    <cellStyle name="Heading 2 2 2 2 7 3 13" xfId="31980"/>
    <cellStyle name="Heading 2 2 2 2 7 3 13 2" xfId="31981"/>
    <cellStyle name="Heading 2 2 2 2 7 3 13 2 2" xfId="31982"/>
    <cellStyle name="Heading 2 2 2 2 7 3 13 3" xfId="31983"/>
    <cellStyle name="Heading 2 2 2 2 7 3 14" xfId="31984"/>
    <cellStyle name="Heading 2 2 2 2 7 3 14 2" xfId="31985"/>
    <cellStyle name="Heading 2 2 2 2 7 3 14 2 2" xfId="31986"/>
    <cellStyle name="Heading 2 2 2 2 7 3 14 3" xfId="31987"/>
    <cellStyle name="Heading 2 2 2 2 7 3 15" xfId="31988"/>
    <cellStyle name="Heading 2 2 2 2 7 3 15 2" xfId="31989"/>
    <cellStyle name="Heading 2 2 2 2 7 3 15 2 2" xfId="31990"/>
    <cellStyle name="Heading 2 2 2 2 7 3 15 3" xfId="31991"/>
    <cellStyle name="Heading 2 2 2 2 7 3 16" xfId="31992"/>
    <cellStyle name="Heading 2 2 2 2 7 3 16 2" xfId="31993"/>
    <cellStyle name="Heading 2 2 2 2 7 3 16 2 2" xfId="31994"/>
    <cellStyle name="Heading 2 2 2 2 7 3 16 3" xfId="31995"/>
    <cellStyle name="Heading 2 2 2 2 7 3 17" xfId="31996"/>
    <cellStyle name="Heading 2 2 2 2 7 3 17 2" xfId="31997"/>
    <cellStyle name="Heading 2 2 2 2 7 3 17 2 2" xfId="31998"/>
    <cellStyle name="Heading 2 2 2 2 7 3 17 3" xfId="31999"/>
    <cellStyle name="Heading 2 2 2 2 7 3 18" xfId="32000"/>
    <cellStyle name="Heading 2 2 2 2 7 3 18 2" xfId="32001"/>
    <cellStyle name="Heading 2 2 2 2 7 3 18 2 2" xfId="32002"/>
    <cellStyle name="Heading 2 2 2 2 7 3 18 3" xfId="32003"/>
    <cellStyle name="Heading 2 2 2 2 7 3 19" xfId="32004"/>
    <cellStyle name="Heading 2 2 2 2 7 3 19 2" xfId="32005"/>
    <cellStyle name="Heading 2 2 2 2 7 3 2" xfId="32006"/>
    <cellStyle name="Heading 2 2 2 2 7 3 2 2" xfId="32007"/>
    <cellStyle name="Heading 2 2 2 2 7 3 2 2 2" xfId="32008"/>
    <cellStyle name="Heading 2 2 2 2 7 3 2 2 2 2" xfId="32009"/>
    <cellStyle name="Heading 2 2 2 2 7 3 2 2 3" xfId="32010"/>
    <cellStyle name="Heading 2 2 2 2 7 3 2 3" xfId="32011"/>
    <cellStyle name="Heading 2 2 2 2 7 3 2 3 2" xfId="32012"/>
    <cellStyle name="Heading 2 2 2 2 7 3 2 3 2 2" xfId="32013"/>
    <cellStyle name="Heading 2 2 2 2 7 3 2 3 3" xfId="32014"/>
    <cellStyle name="Heading 2 2 2 2 7 3 2 4" xfId="32015"/>
    <cellStyle name="Heading 2 2 2 2 7 3 2 4 2" xfId="32016"/>
    <cellStyle name="Heading 2 2 2 2 7 3 2 4 2 2" xfId="32017"/>
    <cellStyle name="Heading 2 2 2 2 7 3 2 4 3" xfId="32018"/>
    <cellStyle name="Heading 2 2 2 2 7 3 2 5" xfId="32019"/>
    <cellStyle name="Heading 2 2 2 2 7 3 2 5 2" xfId="32020"/>
    <cellStyle name="Heading 2 2 2 2 7 3 2 5 2 2" xfId="32021"/>
    <cellStyle name="Heading 2 2 2 2 7 3 2 5 3" xfId="32022"/>
    <cellStyle name="Heading 2 2 2 2 7 3 2 6" xfId="32023"/>
    <cellStyle name="Heading 2 2 2 2 7 3 2 6 2" xfId="32024"/>
    <cellStyle name="Heading 2 2 2 2 7 3 2 6 2 2" xfId="32025"/>
    <cellStyle name="Heading 2 2 2 2 7 3 2 6 3" xfId="32026"/>
    <cellStyle name="Heading 2 2 2 2 7 3 2 7" xfId="32027"/>
    <cellStyle name="Heading 2 2 2 2 7 3 2 7 2" xfId="32028"/>
    <cellStyle name="Heading 2 2 2 2 7 3 2 7 2 2" xfId="32029"/>
    <cellStyle name="Heading 2 2 2 2 7 3 2 7 3" xfId="32030"/>
    <cellStyle name="Heading 2 2 2 2 7 3 2 8" xfId="32031"/>
    <cellStyle name="Heading 2 2 2 2 7 3 2 8 2" xfId="32032"/>
    <cellStyle name="Heading 2 2 2 2 7 3 2 9" xfId="32033"/>
    <cellStyle name="Heading 2 2 2 2 7 3 20" xfId="32034"/>
    <cellStyle name="Heading 2 2 2 2 7 3 20 2" xfId="32035"/>
    <cellStyle name="Heading 2 2 2 2 7 3 21" xfId="32036"/>
    <cellStyle name="Heading 2 2 2 2 7 3 21 2" xfId="32037"/>
    <cellStyle name="Heading 2 2 2 2 7 3 22" xfId="32038"/>
    <cellStyle name="Heading 2 2 2 2 7 3 3" xfId="32039"/>
    <cellStyle name="Heading 2 2 2 2 7 3 3 2" xfId="32040"/>
    <cellStyle name="Heading 2 2 2 2 7 3 3 2 2" xfId="32041"/>
    <cellStyle name="Heading 2 2 2 2 7 3 3 2 2 2" xfId="32042"/>
    <cellStyle name="Heading 2 2 2 2 7 3 3 2 3" xfId="32043"/>
    <cellStyle name="Heading 2 2 2 2 7 3 3 3" xfId="32044"/>
    <cellStyle name="Heading 2 2 2 2 7 3 3 3 2" xfId="32045"/>
    <cellStyle name="Heading 2 2 2 2 7 3 3 3 2 2" xfId="32046"/>
    <cellStyle name="Heading 2 2 2 2 7 3 3 3 3" xfId="32047"/>
    <cellStyle name="Heading 2 2 2 2 7 3 3 4" xfId="32048"/>
    <cellStyle name="Heading 2 2 2 2 7 3 3 4 2" xfId="32049"/>
    <cellStyle name="Heading 2 2 2 2 7 3 3 4 2 2" xfId="32050"/>
    <cellStyle name="Heading 2 2 2 2 7 3 3 4 3" xfId="32051"/>
    <cellStyle name="Heading 2 2 2 2 7 3 3 5" xfId="32052"/>
    <cellStyle name="Heading 2 2 2 2 7 3 3 5 2" xfId="32053"/>
    <cellStyle name="Heading 2 2 2 2 7 3 3 5 2 2" xfId="32054"/>
    <cellStyle name="Heading 2 2 2 2 7 3 3 5 3" xfId="32055"/>
    <cellStyle name="Heading 2 2 2 2 7 3 3 6" xfId="32056"/>
    <cellStyle name="Heading 2 2 2 2 7 3 3 6 2" xfId="32057"/>
    <cellStyle name="Heading 2 2 2 2 7 3 3 6 2 2" xfId="32058"/>
    <cellStyle name="Heading 2 2 2 2 7 3 3 6 3" xfId="32059"/>
    <cellStyle name="Heading 2 2 2 2 7 3 3 7" xfId="32060"/>
    <cellStyle name="Heading 2 2 2 2 7 3 3 7 2" xfId="32061"/>
    <cellStyle name="Heading 2 2 2 2 7 3 3 7 2 2" xfId="32062"/>
    <cellStyle name="Heading 2 2 2 2 7 3 3 7 3" xfId="32063"/>
    <cellStyle name="Heading 2 2 2 2 7 3 3 8" xfId="32064"/>
    <cellStyle name="Heading 2 2 2 2 7 3 3 8 2" xfId="32065"/>
    <cellStyle name="Heading 2 2 2 2 7 3 3 9" xfId="32066"/>
    <cellStyle name="Heading 2 2 2 2 7 3 4" xfId="32067"/>
    <cellStyle name="Heading 2 2 2 2 7 3 4 2" xfId="32068"/>
    <cellStyle name="Heading 2 2 2 2 7 3 4 2 2" xfId="32069"/>
    <cellStyle name="Heading 2 2 2 2 7 3 4 2 2 2" xfId="32070"/>
    <cellStyle name="Heading 2 2 2 2 7 3 4 2 3" xfId="32071"/>
    <cellStyle name="Heading 2 2 2 2 7 3 4 3" xfId="32072"/>
    <cellStyle name="Heading 2 2 2 2 7 3 4 3 2" xfId="32073"/>
    <cellStyle name="Heading 2 2 2 2 7 3 4 3 2 2" xfId="32074"/>
    <cellStyle name="Heading 2 2 2 2 7 3 4 3 3" xfId="32075"/>
    <cellStyle name="Heading 2 2 2 2 7 3 4 4" xfId="32076"/>
    <cellStyle name="Heading 2 2 2 2 7 3 4 4 2" xfId="32077"/>
    <cellStyle name="Heading 2 2 2 2 7 3 4 4 2 2" xfId="32078"/>
    <cellStyle name="Heading 2 2 2 2 7 3 4 4 3" xfId="32079"/>
    <cellStyle name="Heading 2 2 2 2 7 3 4 5" xfId="32080"/>
    <cellStyle name="Heading 2 2 2 2 7 3 4 5 2" xfId="32081"/>
    <cellStyle name="Heading 2 2 2 2 7 3 4 5 2 2" xfId="32082"/>
    <cellStyle name="Heading 2 2 2 2 7 3 4 5 3" xfId="32083"/>
    <cellStyle name="Heading 2 2 2 2 7 3 4 6" xfId="32084"/>
    <cellStyle name="Heading 2 2 2 2 7 3 4 6 2" xfId="32085"/>
    <cellStyle name="Heading 2 2 2 2 7 3 4 6 2 2" xfId="32086"/>
    <cellStyle name="Heading 2 2 2 2 7 3 4 6 3" xfId="32087"/>
    <cellStyle name="Heading 2 2 2 2 7 3 4 7" xfId="32088"/>
    <cellStyle name="Heading 2 2 2 2 7 3 4 7 2" xfId="32089"/>
    <cellStyle name="Heading 2 2 2 2 7 3 4 7 2 2" xfId="32090"/>
    <cellStyle name="Heading 2 2 2 2 7 3 4 7 3" xfId="32091"/>
    <cellStyle name="Heading 2 2 2 2 7 3 4 8" xfId="32092"/>
    <cellStyle name="Heading 2 2 2 2 7 3 4 8 2" xfId="32093"/>
    <cellStyle name="Heading 2 2 2 2 7 3 4 9" xfId="32094"/>
    <cellStyle name="Heading 2 2 2 2 7 3 5" xfId="32095"/>
    <cellStyle name="Heading 2 2 2 2 7 3 5 2" xfId="32096"/>
    <cellStyle name="Heading 2 2 2 2 7 3 5 2 2" xfId="32097"/>
    <cellStyle name="Heading 2 2 2 2 7 3 5 2 2 2" xfId="32098"/>
    <cellStyle name="Heading 2 2 2 2 7 3 5 2 3" xfId="32099"/>
    <cellStyle name="Heading 2 2 2 2 7 3 5 3" xfId="32100"/>
    <cellStyle name="Heading 2 2 2 2 7 3 5 3 2" xfId="32101"/>
    <cellStyle name="Heading 2 2 2 2 7 3 5 3 2 2" xfId="32102"/>
    <cellStyle name="Heading 2 2 2 2 7 3 5 3 3" xfId="32103"/>
    <cellStyle name="Heading 2 2 2 2 7 3 5 4" xfId="32104"/>
    <cellStyle name="Heading 2 2 2 2 7 3 5 4 2" xfId="32105"/>
    <cellStyle name="Heading 2 2 2 2 7 3 5 4 2 2" xfId="32106"/>
    <cellStyle name="Heading 2 2 2 2 7 3 5 4 3" xfId="32107"/>
    <cellStyle name="Heading 2 2 2 2 7 3 5 5" xfId="32108"/>
    <cellStyle name="Heading 2 2 2 2 7 3 5 5 2" xfId="32109"/>
    <cellStyle name="Heading 2 2 2 2 7 3 5 5 2 2" xfId="32110"/>
    <cellStyle name="Heading 2 2 2 2 7 3 5 5 3" xfId="32111"/>
    <cellStyle name="Heading 2 2 2 2 7 3 5 6" xfId="32112"/>
    <cellStyle name="Heading 2 2 2 2 7 3 5 6 2" xfId="32113"/>
    <cellStyle name="Heading 2 2 2 2 7 3 5 6 2 2" xfId="32114"/>
    <cellStyle name="Heading 2 2 2 2 7 3 5 6 3" xfId="32115"/>
    <cellStyle name="Heading 2 2 2 2 7 3 5 7" xfId="32116"/>
    <cellStyle name="Heading 2 2 2 2 7 3 5 7 2" xfId="32117"/>
    <cellStyle name="Heading 2 2 2 2 7 3 5 7 2 2" xfId="32118"/>
    <cellStyle name="Heading 2 2 2 2 7 3 5 7 3" xfId="32119"/>
    <cellStyle name="Heading 2 2 2 2 7 3 5 8" xfId="32120"/>
    <cellStyle name="Heading 2 2 2 2 7 3 5 8 2" xfId="32121"/>
    <cellStyle name="Heading 2 2 2 2 7 3 5 9" xfId="32122"/>
    <cellStyle name="Heading 2 2 2 2 7 3 6" xfId="32123"/>
    <cellStyle name="Heading 2 2 2 2 7 3 6 2" xfId="32124"/>
    <cellStyle name="Heading 2 2 2 2 7 3 6 2 2" xfId="32125"/>
    <cellStyle name="Heading 2 2 2 2 7 3 6 2 2 2" xfId="32126"/>
    <cellStyle name="Heading 2 2 2 2 7 3 6 2 3" xfId="32127"/>
    <cellStyle name="Heading 2 2 2 2 7 3 6 3" xfId="32128"/>
    <cellStyle name="Heading 2 2 2 2 7 3 6 3 2" xfId="32129"/>
    <cellStyle name="Heading 2 2 2 2 7 3 6 3 2 2" xfId="32130"/>
    <cellStyle name="Heading 2 2 2 2 7 3 6 3 3" xfId="32131"/>
    <cellStyle name="Heading 2 2 2 2 7 3 6 4" xfId="32132"/>
    <cellStyle name="Heading 2 2 2 2 7 3 6 4 2" xfId="32133"/>
    <cellStyle name="Heading 2 2 2 2 7 3 6 4 2 2" xfId="32134"/>
    <cellStyle name="Heading 2 2 2 2 7 3 6 4 3" xfId="32135"/>
    <cellStyle name="Heading 2 2 2 2 7 3 6 5" xfId="32136"/>
    <cellStyle name="Heading 2 2 2 2 7 3 6 5 2" xfId="32137"/>
    <cellStyle name="Heading 2 2 2 2 7 3 6 5 2 2" xfId="32138"/>
    <cellStyle name="Heading 2 2 2 2 7 3 6 5 3" xfId="32139"/>
    <cellStyle name="Heading 2 2 2 2 7 3 6 6" xfId="32140"/>
    <cellStyle name="Heading 2 2 2 2 7 3 6 6 2" xfId="32141"/>
    <cellStyle name="Heading 2 2 2 2 7 3 6 6 2 2" xfId="32142"/>
    <cellStyle name="Heading 2 2 2 2 7 3 6 6 3" xfId="32143"/>
    <cellStyle name="Heading 2 2 2 2 7 3 6 7" xfId="32144"/>
    <cellStyle name="Heading 2 2 2 2 7 3 6 7 2" xfId="32145"/>
    <cellStyle name="Heading 2 2 2 2 7 3 6 7 2 2" xfId="32146"/>
    <cellStyle name="Heading 2 2 2 2 7 3 6 7 3" xfId="32147"/>
    <cellStyle name="Heading 2 2 2 2 7 3 6 8" xfId="32148"/>
    <cellStyle name="Heading 2 2 2 2 7 3 6 8 2" xfId="32149"/>
    <cellStyle name="Heading 2 2 2 2 7 3 6 9" xfId="32150"/>
    <cellStyle name="Heading 2 2 2 2 7 3 7" xfId="32151"/>
    <cellStyle name="Heading 2 2 2 2 7 3 7 2" xfId="32152"/>
    <cellStyle name="Heading 2 2 2 2 7 3 7 2 2" xfId="32153"/>
    <cellStyle name="Heading 2 2 2 2 7 3 7 2 2 2" xfId="32154"/>
    <cellStyle name="Heading 2 2 2 2 7 3 7 2 3" xfId="32155"/>
    <cellStyle name="Heading 2 2 2 2 7 3 7 3" xfId="32156"/>
    <cellStyle name="Heading 2 2 2 2 7 3 7 3 2" xfId="32157"/>
    <cellStyle name="Heading 2 2 2 2 7 3 7 3 2 2" xfId="32158"/>
    <cellStyle name="Heading 2 2 2 2 7 3 7 3 3" xfId="32159"/>
    <cellStyle name="Heading 2 2 2 2 7 3 7 4" xfId="32160"/>
    <cellStyle name="Heading 2 2 2 2 7 3 7 4 2" xfId="32161"/>
    <cellStyle name="Heading 2 2 2 2 7 3 7 4 2 2" xfId="32162"/>
    <cellStyle name="Heading 2 2 2 2 7 3 7 4 3" xfId="32163"/>
    <cellStyle name="Heading 2 2 2 2 7 3 7 5" xfId="32164"/>
    <cellStyle name="Heading 2 2 2 2 7 3 7 5 2" xfId="32165"/>
    <cellStyle name="Heading 2 2 2 2 7 3 7 5 2 2" xfId="32166"/>
    <cellStyle name="Heading 2 2 2 2 7 3 7 5 3" xfId="32167"/>
    <cellStyle name="Heading 2 2 2 2 7 3 7 6" xfId="32168"/>
    <cellStyle name="Heading 2 2 2 2 7 3 7 6 2" xfId="32169"/>
    <cellStyle name="Heading 2 2 2 2 7 3 7 6 2 2" xfId="32170"/>
    <cellStyle name="Heading 2 2 2 2 7 3 7 6 3" xfId="32171"/>
    <cellStyle name="Heading 2 2 2 2 7 3 7 7" xfId="32172"/>
    <cellStyle name="Heading 2 2 2 2 7 3 7 7 2" xfId="32173"/>
    <cellStyle name="Heading 2 2 2 2 7 3 7 7 2 2" xfId="32174"/>
    <cellStyle name="Heading 2 2 2 2 7 3 7 7 3" xfId="32175"/>
    <cellStyle name="Heading 2 2 2 2 7 3 7 8" xfId="32176"/>
    <cellStyle name="Heading 2 2 2 2 7 3 7 8 2" xfId="32177"/>
    <cellStyle name="Heading 2 2 2 2 7 3 7 9" xfId="32178"/>
    <cellStyle name="Heading 2 2 2 2 7 3 8" xfId="32179"/>
    <cellStyle name="Heading 2 2 2 2 7 3 8 2" xfId="32180"/>
    <cellStyle name="Heading 2 2 2 2 7 3 8 2 2" xfId="32181"/>
    <cellStyle name="Heading 2 2 2 2 7 3 8 2 2 2" xfId="32182"/>
    <cellStyle name="Heading 2 2 2 2 7 3 8 2 3" xfId="32183"/>
    <cellStyle name="Heading 2 2 2 2 7 3 8 3" xfId="32184"/>
    <cellStyle name="Heading 2 2 2 2 7 3 8 3 2" xfId="32185"/>
    <cellStyle name="Heading 2 2 2 2 7 3 8 3 2 2" xfId="32186"/>
    <cellStyle name="Heading 2 2 2 2 7 3 8 3 3" xfId="32187"/>
    <cellStyle name="Heading 2 2 2 2 7 3 8 4" xfId="32188"/>
    <cellStyle name="Heading 2 2 2 2 7 3 8 4 2" xfId="32189"/>
    <cellStyle name="Heading 2 2 2 2 7 3 8 4 2 2" xfId="32190"/>
    <cellStyle name="Heading 2 2 2 2 7 3 8 4 3" xfId="32191"/>
    <cellStyle name="Heading 2 2 2 2 7 3 8 5" xfId="32192"/>
    <cellStyle name="Heading 2 2 2 2 7 3 8 5 2" xfId="32193"/>
    <cellStyle name="Heading 2 2 2 2 7 3 8 5 2 2" xfId="32194"/>
    <cellStyle name="Heading 2 2 2 2 7 3 8 5 3" xfId="32195"/>
    <cellStyle name="Heading 2 2 2 2 7 3 8 6" xfId="32196"/>
    <cellStyle name="Heading 2 2 2 2 7 3 8 6 2" xfId="32197"/>
    <cellStyle name="Heading 2 2 2 2 7 3 8 6 2 2" xfId="32198"/>
    <cellStyle name="Heading 2 2 2 2 7 3 8 6 3" xfId="32199"/>
    <cellStyle name="Heading 2 2 2 2 7 3 8 7" xfId="32200"/>
    <cellStyle name="Heading 2 2 2 2 7 3 8 7 2" xfId="32201"/>
    <cellStyle name="Heading 2 2 2 2 7 3 8 7 2 2" xfId="32202"/>
    <cellStyle name="Heading 2 2 2 2 7 3 8 7 3" xfId="32203"/>
    <cellStyle name="Heading 2 2 2 2 7 3 8 8" xfId="32204"/>
    <cellStyle name="Heading 2 2 2 2 7 3 8 8 2" xfId="32205"/>
    <cellStyle name="Heading 2 2 2 2 7 3 8 9" xfId="32206"/>
    <cellStyle name="Heading 2 2 2 2 7 3 9" xfId="32207"/>
    <cellStyle name="Heading 2 2 2 2 7 3 9 2" xfId="32208"/>
    <cellStyle name="Heading 2 2 2 2 7 3 9 2 2" xfId="32209"/>
    <cellStyle name="Heading 2 2 2 2 7 3 9 3" xfId="32210"/>
    <cellStyle name="Heading 2 2 2 2 7 4" xfId="32211"/>
    <cellStyle name="Heading 2 2 2 2 7 4 2" xfId="32212"/>
    <cellStyle name="Heading 2 2 2 2 7 4 2 2" xfId="32213"/>
    <cellStyle name="Heading 2 2 2 2 7 4 3" xfId="32214"/>
    <cellStyle name="Heading 2 2 2 2 7 5" xfId="32215"/>
    <cellStyle name="Heading 2 2 2 2 7 5 2" xfId="32216"/>
    <cellStyle name="Heading 2 2 2 2 7 6" xfId="32217"/>
    <cellStyle name="Heading 2 2 2 2 8" xfId="32218"/>
    <cellStyle name="Heading 2 2 2 2 8 10" xfId="32219"/>
    <cellStyle name="Heading 2 2 2 2 8 10 2" xfId="32220"/>
    <cellStyle name="Heading 2 2 2 2 8 10 2 2" xfId="32221"/>
    <cellStyle name="Heading 2 2 2 2 8 10 3" xfId="32222"/>
    <cellStyle name="Heading 2 2 2 2 8 11" xfId="32223"/>
    <cellStyle name="Heading 2 2 2 2 8 11 2" xfId="32224"/>
    <cellStyle name="Heading 2 2 2 2 8 11 2 2" xfId="32225"/>
    <cellStyle name="Heading 2 2 2 2 8 11 3" xfId="32226"/>
    <cellStyle name="Heading 2 2 2 2 8 12" xfId="32227"/>
    <cellStyle name="Heading 2 2 2 2 8 12 2" xfId="32228"/>
    <cellStyle name="Heading 2 2 2 2 8 12 2 2" xfId="32229"/>
    <cellStyle name="Heading 2 2 2 2 8 12 3" xfId="32230"/>
    <cellStyle name="Heading 2 2 2 2 8 13" xfId="32231"/>
    <cellStyle name="Heading 2 2 2 2 8 13 2" xfId="32232"/>
    <cellStyle name="Heading 2 2 2 2 8 13 2 2" xfId="32233"/>
    <cellStyle name="Heading 2 2 2 2 8 13 3" xfId="32234"/>
    <cellStyle name="Heading 2 2 2 2 8 14" xfId="32235"/>
    <cellStyle name="Heading 2 2 2 2 8 14 2" xfId="32236"/>
    <cellStyle name="Heading 2 2 2 2 8 14 2 2" xfId="32237"/>
    <cellStyle name="Heading 2 2 2 2 8 14 3" xfId="32238"/>
    <cellStyle name="Heading 2 2 2 2 8 15" xfId="32239"/>
    <cellStyle name="Heading 2 2 2 2 8 15 2" xfId="32240"/>
    <cellStyle name="Heading 2 2 2 2 8 15 2 2" xfId="32241"/>
    <cellStyle name="Heading 2 2 2 2 8 15 3" xfId="32242"/>
    <cellStyle name="Heading 2 2 2 2 8 16" xfId="32243"/>
    <cellStyle name="Heading 2 2 2 2 8 16 2" xfId="32244"/>
    <cellStyle name="Heading 2 2 2 2 8 16 2 2" xfId="32245"/>
    <cellStyle name="Heading 2 2 2 2 8 16 3" xfId="32246"/>
    <cellStyle name="Heading 2 2 2 2 8 17" xfId="32247"/>
    <cellStyle name="Heading 2 2 2 2 8 17 2" xfId="32248"/>
    <cellStyle name="Heading 2 2 2 2 8 17 2 2" xfId="32249"/>
    <cellStyle name="Heading 2 2 2 2 8 17 3" xfId="32250"/>
    <cellStyle name="Heading 2 2 2 2 8 18" xfId="32251"/>
    <cellStyle name="Heading 2 2 2 2 8 18 2" xfId="32252"/>
    <cellStyle name="Heading 2 2 2 2 8 18 2 2" xfId="32253"/>
    <cellStyle name="Heading 2 2 2 2 8 18 3" xfId="32254"/>
    <cellStyle name="Heading 2 2 2 2 8 19" xfId="32255"/>
    <cellStyle name="Heading 2 2 2 2 8 19 2" xfId="32256"/>
    <cellStyle name="Heading 2 2 2 2 8 19 2 2" xfId="32257"/>
    <cellStyle name="Heading 2 2 2 2 8 19 3" xfId="32258"/>
    <cellStyle name="Heading 2 2 2 2 8 2" xfId="32259"/>
    <cellStyle name="Heading 2 2 2 2 8 2 10" xfId="32260"/>
    <cellStyle name="Heading 2 2 2 2 8 2 10 2" xfId="32261"/>
    <cellStyle name="Heading 2 2 2 2 8 2 10 2 2" xfId="32262"/>
    <cellStyle name="Heading 2 2 2 2 8 2 10 3" xfId="32263"/>
    <cellStyle name="Heading 2 2 2 2 8 2 11" xfId="32264"/>
    <cellStyle name="Heading 2 2 2 2 8 2 11 2" xfId="32265"/>
    <cellStyle name="Heading 2 2 2 2 8 2 11 2 2" xfId="32266"/>
    <cellStyle name="Heading 2 2 2 2 8 2 11 3" xfId="32267"/>
    <cellStyle name="Heading 2 2 2 2 8 2 12" xfId="32268"/>
    <cellStyle name="Heading 2 2 2 2 8 2 12 2" xfId="32269"/>
    <cellStyle name="Heading 2 2 2 2 8 2 12 2 2" xfId="32270"/>
    <cellStyle name="Heading 2 2 2 2 8 2 12 3" xfId="32271"/>
    <cellStyle name="Heading 2 2 2 2 8 2 13" xfId="32272"/>
    <cellStyle name="Heading 2 2 2 2 8 2 13 2" xfId="32273"/>
    <cellStyle name="Heading 2 2 2 2 8 2 13 2 2" xfId="32274"/>
    <cellStyle name="Heading 2 2 2 2 8 2 13 3" xfId="32275"/>
    <cellStyle name="Heading 2 2 2 2 8 2 14" xfId="32276"/>
    <cellStyle name="Heading 2 2 2 2 8 2 14 2" xfId="32277"/>
    <cellStyle name="Heading 2 2 2 2 8 2 14 2 2" xfId="32278"/>
    <cellStyle name="Heading 2 2 2 2 8 2 14 3" xfId="32279"/>
    <cellStyle name="Heading 2 2 2 2 8 2 15" xfId="32280"/>
    <cellStyle name="Heading 2 2 2 2 8 2 15 2" xfId="32281"/>
    <cellStyle name="Heading 2 2 2 2 8 2 15 2 2" xfId="32282"/>
    <cellStyle name="Heading 2 2 2 2 8 2 15 3" xfId="32283"/>
    <cellStyle name="Heading 2 2 2 2 8 2 16" xfId="32284"/>
    <cellStyle name="Heading 2 2 2 2 8 2 16 2" xfId="32285"/>
    <cellStyle name="Heading 2 2 2 2 8 2 16 2 2" xfId="32286"/>
    <cellStyle name="Heading 2 2 2 2 8 2 16 3" xfId="32287"/>
    <cellStyle name="Heading 2 2 2 2 8 2 17" xfId="32288"/>
    <cellStyle name="Heading 2 2 2 2 8 2 17 2" xfId="32289"/>
    <cellStyle name="Heading 2 2 2 2 8 2 17 2 2" xfId="32290"/>
    <cellStyle name="Heading 2 2 2 2 8 2 17 3" xfId="32291"/>
    <cellStyle name="Heading 2 2 2 2 8 2 18" xfId="32292"/>
    <cellStyle name="Heading 2 2 2 2 8 2 18 2" xfId="32293"/>
    <cellStyle name="Heading 2 2 2 2 8 2 18 2 2" xfId="32294"/>
    <cellStyle name="Heading 2 2 2 2 8 2 18 3" xfId="32295"/>
    <cellStyle name="Heading 2 2 2 2 8 2 19" xfId="32296"/>
    <cellStyle name="Heading 2 2 2 2 8 2 19 2" xfId="32297"/>
    <cellStyle name="Heading 2 2 2 2 8 2 2" xfId="32298"/>
    <cellStyle name="Heading 2 2 2 2 8 2 2 2" xfId="32299"/>
    <cellStyle name="Heading 2 2 2 2 8 2 2 2 2" xfId="32300"/>
    <cellStyle name="Heading 2 2 2 2 8 2 2 2 2 2" xfId="32301"/>
    <cellStyle name="Heading 2 2 2 2 8 2 2 2 3" xfId="32302"/>
    <cellStyle name="Heading 2 2 2 2 8 2 2 3" xfId="32303"/>
    <cellStyle name="Heading 2 2 2 2 8 2 2 3 2" xfId="32304"/>
    <cellStyle name="Heading 2 2 2 2 8 2 2 3 2 2" xfId="32305"/>
    <cellStyle name="Heading 2 2 2 2 8 2 2 3 3" xfId="32306"/>
    <cellStyle name="Heading 2 2 2 2 8 2 2 4" xfId="32307"/>
    <cellStyle name="Heading 2 2 2 2 8 2 2 4 2" xfId="32308"/>
    <cellStyle name="Heading 2 2 2 2 8 2 2 4 2 2" xfId="32309"/>
    <cellStyle name="Heading 2 2 2 2 8 2 2 4 3" xfId="32310"/>
    <cellStyle name="Heading 2 2 2 2 8 2 2 5" xfId="32311"/>
    <cellStyle name="Heading 2 2 2 2 8 2 2 5 2" xfId="32312"/>
    <cellStyle name="Heading 2 2 2 2 8 2 2 5 2 2" xfId="32313"/>
    <cellStyle name="Heading 2 2 2 2 8 2 2 5 3" xfId="32314"/>
    <cellStyle name="Heading 2 2 2 2 8 2 2 6" xfId="32315"/>
    <cellStyle name="Heading 2 2 2 2 8 2 2 6 2" xfId="32316"/>
    <cellStyle name="Heading 2 2 2 2 8 2 2 6 2 2" xfId="32317"/>
    <cellStyle name="Heading 2 2 2 2 8 2 2 6 3" xfId="32318"/>
    <cellStyle name="Heading 2 2 2 2 8 2 2 7" xfId="32319"/>
    <cellStyle name="Heading 2 2 2 2 8 2 2 7 2" xfId="32320"/>
    <cellStyle name="Heading 2 2 2 2 8 2 2 7 2 2" xfId="32321"/>
    <cellStyle name="Heading 2 2 2 2 8 2 2 7 3" xfId="32322"/>
    <cellStyle name="Heading 2 2 2 2 8 2 2 8" xfId="32323"/>
    <cellStyle name="Heading 2 2 2 2 8 2 2 8 2" xfId="32324"/>
    <cellStyle name="Heading 2 2 2 2 8 2 2 9" xfId="32325"/>
    <cellStyle name="Heading 2 2 2 2 8 2 20" xfId="32326"/>
    <cellStyle name="Heading 2 2 2 2 8 2 20 2" xfId="32327"/>
    <cellStyle name="Heading 2 2 2 2 8 2 21" xfId="32328"/>
    <cellStyle name="Heading 2 2 2 2 8 2 21 2" xfId="32329"/>
    <cellStyle name="Heading 2 2 2 2 8 2 22" xfId="32330"/>
    <cellStyle name="Heading 2 2 2 2 8 2 3" xfId="32331"/>
    <cellStyle name="Heading 2 2 2 2 8 2 3 2" xfId="32332"/>
    <cellStyle name="Heading 2 2 2 2 8 2 3 2 2" xfId="32333"/>
    <cellStyle name="Heading 2 2 2 2 8 2 3 2 2 2" xfId="32334"/>
    <cellStyle name="Heading 2 2 2 2 8 2 3 2 3" xfId="32335"/>
    <cellStyle name="Heading 2 2 2 2 8 2 3 3" xfId="32336"/>
    <cellStyle name="Heading 2 2 2 2 8 2 3 3 2" xfId="32337"/>
    <cellStyle name="Heading 2 2 2 2 8 2 3 3 2 2" xfId="32338"/>
    <cellStyle name="Heading 2 2 2 2 8 2 3 3 3" xfId="32339"/>
    <cellStyle name="Heading 2 2 2 2 8 2 3 4" xfId="32340"/>
    <cellStyle name="Heading 2 2 2 2 8 2 3 4 2" xfId="32341"/>
    <cellStyle name="Heading 2 2 2 2 8 2 3 4 2 2" xfId="32342"/>
    <cellStyle name="Heading 2 2 2 2 8 2 3 4 3" xfId="32343"/>
    <cellStyle name="Heading 2 2 2 2 8 2 3 5" xfId="32344"/>
    <cellStyle name="Heading 2 2 2 2 8 2 3 5 2" xfId="32345"/>
    <cellStyle name="Heading 2 2 2 2 8 2 3 5 2 2" xfId="32346"/>
    <cellStyle name="Heading 2 2 2 2 8 2 3 5 3" xfId="32347"/>
    <cellStyle name="Heading 2 2 2 2 8 2 3 6" xfId="32348"/>
    <cellStyle name="Heading 2 2 2 2 8 2 3 6 2" xfId="32349"/>
    <cellStyle name="Heading 2 2 2 2 8 2 3 6 2 2" xfId="32350"/>
    <cellStyle name="Heading 2 2 2 2 8 2 3 6 3" xfId="32351"/>
    <cellStyle name="Heading 2 2 2 2 8 2 3 7" xfId="32352"/>
    <cellStyle name="Heading 2 2 2 2 8 2 3 7 2" xfId="32353"/>
    <cellStyle name="Heading 2 2 2 2 8 2 3 7 2 2" xfId="32354"/>
    <cellStyle name="Heading 2 2 2 2 8 2 3 7 3" xfId="32355"/>
    <cellStyle name="Heading 2 2 2 2 8 2 3 8" xfId="32356"/>
    <cellStyle name="Heading 2 2 2 2 8 2 3 8 2" xfId="32357"/>
    <cellStyle name="Heading 2 2 2 2 8 2 3 9" xfId="32358"/>
    <cellStyle name="Heading 2 2 2 2 8 2 4" xfId="32359"/>
    <cellStyle name="Heading 2 2 2 2 8 2 4 2" xfId="32360"/>
    <cellStyle name="Heading 2 2 2 2 8 2 4 2 2" xfId="32361"/>
    <cellStyle name="Heading 2 2 2 2 8 2 4 2 2 2" xfId="32362"/>
    <cellStyle name="Heading 2 2 2 2 8 2 4 2 3" xfId="32363"/>
    <cellStyle name="Heading 2 2 2 2 8 2 4 3" xfId="32364"/>
    <cellStyle name="Heading 2 2 2 2 8 2 4 3 2" xfId="32365"/>
    <cellStyle name="Heading 2 2 2 2 8 2 4 3 2 2" xfId="32366"/>
    <cellStyle name="Heading 2 2 2 2 8 2 4 3 3" xfId="32367"/>
    <cellStyle name="Heading 2 2 2 2 8 2 4 4" xfId="32368"/>
    <cellStyle name="Heading 2 2 2 2 8 2 4 4 2" xfId="32369"/>
    <cellStyle name="Heading 2 2 2 2 8 2 4 4 2 2" xfId="32370"/>
    <cellStyle name="Heading 2 2 2 2 8 2 4 4 3" xfId="32371"/>
    <cellStyle name="Heading 2 2 2 2 8 2 4 5" xfId="32372"/>
    <cellStyle name="Heading 2 2 2 2 8 2 4 5 2" xfId="32373"/>
    <cellStyle name="Heading 2 2 2 2 8 2 4 5 2 2" xfId="32374"/>
    <cellStyle name="Heading 2 2 2 2 8 2 4 5 3" xfId="32375"/>
    <cellStyle name="Heading 2 2 2 2 8 2 4 6" xfId="32376"/>
    <cellStyle name="Heading 2 2 2 2 8 2 4 6 2" xfId="32377"/>
    <cellStyle name="Heading 2 2 2 2 8 2 4 6 2 2" xfId="32378"/>
    <cellStyle name="Heading 2 2 2 2 8 2 4 6 3" xfId="32379"/>
    <cellStyle name="Heading 2 2 2 2 8 2 4 7" xfId="32380"/>
    <cellStyle name="Heading 2 2 2 2 8 2 4 7 2" xfId="32381"/>
    <cellStyle name="Heading 2 2 2 2 8 2 4 7 2 2" xfId="32382"/>
    <cellStyle name="Heading 2 2 2 2 8 2 4 7 3" xfId="32383"/>
    <cellStyle name="Heading 2 2 2 2 8 2 4 8" xfId="32384"/>
    <cellStyle name="Heading 2 2 2 2 8 2 4 8 2" xfId="32385"/>
    <cellStyle name="Heading 2 2 2 2 8 2 4 9" xfId="32386"/>
    <cellStyle name="Heading 2 2 2 2 8 2 5" xfId="32387"/>
    <cellStyle name="Heading 2 2 2 2 8 2 5 2" xfId="32388"/>
    <cellStyle name="Heading 2 2 2 2 8 2 5 2 2" xfId="32389"/>
    <cellStyle name="Heading 2 2 2 2 8 2 5 2 2 2" xfId="32390"/>
    <cellStyle name="Heading 2 2 2 2 8 2 5 2 3" xfId="32391"/>
    <cellStyle name="Heading 2 2 2 2 8 2 5 3" xfId="32392"/>
    <cellStyle name="Heading 2 2 2 2 8 2 5 3 2" xfId="32393"/>
    <cellStyle name="Heading 2 2 2 2 8 2 5 3 2 2" xfId="32394"/>
    <cellStyle name="Heading 2 2 2 2 8 2 5 3 3" xfId="32395"/>
    <cellStyle name="Heading 2 2 2 2 8 2 5 4" xfId="32396"/>
    <cellStyle name="Heading 2 2 2 2 8 2 5 4 2" xfId="32397"/>
    <cellStyle name="Heading 2 2 2 2 8 2 5 4 2 2" xfId="32398"/>
    <cellStyle name="Heading 2 2 2 2 8 2 5 4 3" xfId="32399"/>
    <cellStyle name="Heading 2 2 2 2 8 2 5 5" xfId="32400"/>
    <cellStyle name="Heading 2 2 2 2 8 2 5 5 2" xfId="32401"/>
    <cellStyle name="Heading 2 2 2 2 8 2 5 5 2 2" xfId="32402"/>
    <cellStyle name="Heading 2 2 2 2 8 2 5 5 3" xfId="32403"/>
    <cellStyle name="Heading 2 2 2 2 8 2 5 6" xfId="32404"/>
    <cellStyle name="Heading 2 2 2 2 8 2 5 6 2" xfId="32405"/>
    <cellStyle name="Heading 2 2 2 2 8 2 5 6 2 2" xfId="32406"/>
    <cellStyle name="Heading 2 2 2 2 8 2 5 6 3" xfId="32407"/>
    <cellStyle name="Heading 2 2 2 2 8 2 5 7" xfId="32408"/>
    <cellStyle name="Heading 2 2 2 2 8 2 5 7 2" xfId="32409"/>
    <cellStyle name="Heading 2 2 2 2 8 2 5 7 2 2" xfId="32410"/>
    <cellStyle name="Heading 2 2 2 2 8 2 5 7 3" xfId="32411"/>
    <cellStyle name="Heading 2 2 2 2 8 2 5 8" xfId="32412"/>
    <cellStyle name="Heading 2 2 2 2 8 2 5 8 2" xfId="32413"/>
    <cellStyle name="Heading 2 2 2 2 8 2 5 9" xfId="32414"/>
    <cellStyle name="Heading 2 2 2 2 8 2 6" xfId="32415"/>
    <cellStyle name="Heading 2 2 2 2 8 2 6 2" xfId="32416"/>
    <cellStyle name="Heading 2 2 2 2 8 2 6 2 2" xfId="32417"/>
    <cellStyle name="Heading 2 2 2 2 8 2 6 2 2 2" xfId="32418"/>
    <cellStyle name="Heading 2 2 2 2 8 2 6 2 3" xfId="32419"/>
    <cellStyle name="Heading 2 2 2 2 8 2 6 3" xfId="32420"/>
    <cellStyle name="Heading 2 2 2 2 8 2 6 3 2" xfId="32421"/>
    <cellStyle name="Heading 2 2 2 2 8 2 6 3 2 2" xfId="32422"/>
    <cellStyle name="Heading 2 2 2 2 8 2 6 3 3" xfId="32423"/>
    <cellStyle name="Heading 2 2 2 2 8 2 6 4" xfId="32424"/>
    <cellStyle name="Heading 2 2 2 2 8 2 6 4 2" xfId="32425"/>
    <cellStyle name="Heading 2 2 2 2 8 2 6 4 2 2" xfId="32426"/>
    <cellStyle name="Heading 2 2 2 2 8 2 6 4 3" xfId="32427"/>
    <cellStyle name="Heading 2 2 2 2 8 2 6 5" xfId="32428"/>
    <cellStyle name="Heading 2 2 2 2 8 2 6 5 2" xfId="32429"/>
    <cellStyle name="Heading 2 2 2 2 8 2 6 5 2 2" xfId="32430"/>
    <cellStyle name="Heading 2 2 2 2 8 2 6 5 3" xfId="32431"/>
    <cellStyle name="Heading 2 2 2 2 8 2 6 6" xfId="32432"/>
    <cellStyle name="Heading 2 2 2 2 8 2 6 6 2" xfId="32433"/>
    <cellStyle name="Heading 2 2 2 2 8 2 6 6 2 2" xfId="32434"/>
    <cellStyle name="Heading 2 2 2 2 8 2 6 6 3" xfId="32435"/>
    <cellStyle name="Heading 2 2 2 2 8 2 6 7" xfId="32436"/>
    <cellStyle name="Heading 2 2 2 2 8 2 6 7 2" xfId="32437"/>
    <cellStyle name="Heading 2 2 2 2 8 2 6 7 2 2" xfId="32438"/>
    <cellStyle name="Heading 2 2 2 2 8 2 6 7 3" xfId="32439"/>
    <cellStyle name="Heading 2 2 2 2 8 2 6 8" xfId="32440"/>
    <cellStyle name="Heading 2 2 2 2 8 2 6 8 2" xfId="32441"/>
    <cellStyle name="Heading 2 2 2 2 8 2 6 9" xfId="32442"/>
    <cellStyle name="Heading 2 2 2 2 8 2 7" xfId="32443"/>
    <cellStyle name="Heading 2 2 2 2 8 2 7 2" xfId="32444"/>
    <cellStyle name="Heading 2 2 2 2 8 2 7 2 2" xfId="32445"/>
    <cellStyle name="Heading 2 2 2 2 8 2 7 2 2 2" xfId="32446"/>
    <cellStyle name="Heading 2 2 2 2 8 2 7 2 3" xfId="32447"/>
    <cellStyle name="Heading 2 2 2 2 8 2 7 3" xfId="32448"/>
    <cellStyle name="Heading 2 2 2 2 8 2 7 3 2" xfId="32449"/>
    <cellStyle name="Heading 2 2 2 2 8 2 7 3 2 2" xfId="32450"/>
    <cellStyle name="Heading 2 2 2 2 8 2 7 3 3" xfId="32451"/>
    <cellStyle name="Heading 2 2 2 2 8 2 7 4" xfId="32452"/>
    <cellStyle name="Heading 2 2 2 2 8 2 7 4 2" xfId="32453"/>
    <cellStyle name="Heading 2 2 2 2 8 2 7 4 2 2" xfId="32454"/>
    <cellStyle name="Heading 2 2 2 2 8 2 7 4 3" xfId="32455"/>
    <cellStyle name="Heading 2 2 2 2 8 2 7 5" xfId="32456"/>
    <cellStyle name="Heading 2 2 2 2 8 2 7 5 2" xfId="32457"/>
    <cellStyle name="Heading 2 2 2 2 8 2 7 5 2 2" xfId="32458"/>
    <cellStyle name="Heading 2 2 2 2 8 2 7 5 3" xfId="32459"/>
    <cellStyle name="Heading 2 2 2 2 8 2 7 6" xfId="32460"/>
    <cellStyle name="Heading 2 2 2 2 8 2 7 6 2" xfId="32461"/>
    <cellStyle name="Heading 2 2 2 2 8 2 7 6 2 2" xfId="32462"/>
    <cellStyle name="Heading 2 2 2 2 8 2 7 6 3" xfId="32463"/>
    <cellStyle name="Heading 2 2 2 2 8 2 7 7" xfId="32464"/>
    <cellStyle name="Heading 2 2 2 2 8 2 7 7 2" xfId="32465"/>
    <cellStyle name="Heading 2 2 2 2 8 2 7 7 2 2" xfId="32466"/>
    <cellStyle name="Heading 2 2 2 2 8 2 7 7 3" xfId="32467"/>
    <cellStyle name="Heading 2 2 2 2 8 2 7 8" xfId="32468"/>
    <cellStyle name="Heading 2 2 2 2 8 2 7 8 2" xfId="32469"/>
    <cellStyle name="Heading 2 2 2 2 8 2 7 9" xfId="32470"/>
    <cellStyle name="Heading 2 2 2 2 8 2 8" xfId="32471"/>
    <cellStyle name="Heading 2 2 2 2 8 2 8 2" xfId="32472"/>
    <cellStyle name="Heading 2 2 2 2 8 2 8 2 2" xfId="32473"/>
    <cellStyle name="Heading 2 2 2 2 8 2 8 2 2 2" xfId="32474"/>
    <cellStyle name="Heading 2 2 2 2 8 2 8 2 3" xfId="32475"/>
    <cellStyle name="Heading 2 2 2 2 8 2 8 3" xfId="32476"/>
    <cellStyle name="Heading 2 2 2 2 8 2 8 3 2" xfId="32477"/>
    <cellStyle name="Heading 2 2 2 2 8 2 8 3 2 2" xfId="32478"/>
    <cellStyle name="Heading 2 2 2 2 8 2 8 3 3" xfId="32479"/>
    <cellStyle name="Heading 2 2 2 2 8 2 8 4" xfId="32480"/>
    <cellStyle name="Heading 2 2 2 2 8 2 8 4 2" xfId="32481"/>
    <cellStyle name="Heading 2 2 2 2 8 2 8 4 2 2" xfId="32482"/>
    <cellStyle name="Heading 2 2 2 2 8 2 8 4 3" xfId="32483"/>
    <cellStyle name="Heading 2 2 2 2 8 2 8 5" xfId="32484"/>
    <cellStyle name="Heading 2 2 2 2 8 2 8 5 2" xfId="32485"/>
    <cellStyle name="Heading 2 2 2 2 8 2 8 5 2 2" xfId="32486"/>
    <cellStyle name="Heading 2 2 2 2 8 2 8 5 3" xfId="32487"/>
    <cellStyle name="Heading 2 2 2 2 8 2 8 6" xfId="32488"/>
    <cellStyle name="Heading 2 2 2 2 8 2 8 6 2" xfId="32489"/>
    <cellStyle name="Heading 2 2 2 2 8 2 8 6 2 2" xfId="32490"/>
    <cellStyle name="Heading 2 2 2 2 8 2 8 6 3" xfId="32491"/>
    <cellStyle name="Heading 2 2 2 2 8 2 8 7" xfId="32492"/>
    <cellStyle name="Heading 2 2 2 2 8 2 8 7 2" xfId="32493"/>
    <cellStyle name="Heading 2 2 2 2 8 2 8 7 2 2" xfId="32494"/>
    <cellStyle name="Heading 2 2 2 2 8 2 8 7 3" xfId="32495"/>
    <cellStyle name="Heading 2 2 2 2 8 2 8 8" xfId="32496"/>
    <cellStyle name="Heading 2 2 2 2 8 2 8 8 2" xfId="32497"/>
    <cellStyle name="Heading 2 2 2 2 8 2 8 9" xfId="32498"/>
    <cellStyle name="Heading 2 2 2 2 8 2 9" xfId="32499"/>
    <cellStyle name="Heading 2 2 2 2 8 2 9 2" xfId="32500"/>
    <cellStyle name="Heading 2 2 2 2 8 2 9 2 2" xfId="32501"/>
    <cellStyle name="Heading 2 2 2 2 8 2 9 3" xfId="32502"/>
    <cellStyle name="Heading 2 2 2 2 8 20" xfId="32503"/>
    <cellStyle name="Heading 2 2 2 2 8 20 2" xfId="32504"/>
    <cellStyle name="Heading 2 2 2 2 8 21" xfId="32505"/>
    <cellStyle name="Heading 2 2 2 2 8 21 2" xfId="32506"/>
    <cellStyle name="Heading 2 2 2 2 8 22" xfId="32507"/>
    <cellStyle name="Heading 2 2 2 2 8 22 2" xfId="32508"/>
    <cellStyle name="Heading 2 2 2 2 8 23" xfId="32509"/>
    <cellStyle name="Heading 2 2 2 2 8 3" xfId="32510"/>
    <cellStyle name="Heading 2 2 2 2 8 3 2" xfId="32511"/>
    <cellStyle name="Heading 2 2 2 2 8 3 2 2" xfId="32512"/>
    <cellStyle name="Heading 2 2 2 2 8 3 2 2 2" xfId="32513"/>
    <cellStyle name="Heading 2 2 2 2 8 3 2 3" xfId="32514"/>
    <cellStyle name="Heading 2 2 2 2 8 3 3" xfId="32515"/>
    <cellStyle name="Heading 2 2 2 2 8 3 3 2" xfId="32516"/>
    <cellStyle name="Heading 2 2 2 2 8 3 3 2 2" xfId="32517"/>
    <cellStyle name="Heading 2 2 2 2 8 3 3 3" xfId="32518"/>
    <cellStyle name="Heading 2 2 2 2 8 3 4" xfId="32519"/>
    <cellStyle name="Heading 2 2 2 2 8 3 4 2" xfId="32520"/>
    <cellStyle name="Heading 2 2 2 2 8 3 4 2 2" xfId="32521"/>
    <cellStyle name="Heading 2 2 2 2 8 3 4 3" xfId="32522"/>
    <cellStyle name="Heading 2 2 2 2 8 3 5" xfId="32523"/>
    <cellStyle name="Heading 2 2 2 2 8 3 5 2" xfId="32524"/>
    <cellStyle name="Heading 2 2 2 2 8 3 5 2 2" xfId="32525"/>
    <cellStyle name="Heading 2 2 2 2 8 3 5 3" xfId="32526"/>
    <cellStyle name="Heading 2 2 2 2 8 3 6" xfId="32527"/>
    <cellStyle name="Heading 2 2 2 2 8 3 6 2" xfId="32528"/>
    <cellStyle name="Heading 2 2 2 2 8 3 6 2 2" xfId="32529"/>
    <cellStyle name="Heading 2 2 2 2 8 3 6 3" xfId="32530"/>
    <cellStyle name="Heading 2 2 2 2 8 3 7" xfId="32531"/>
    <cellStyle name="Heading 2 2 2 2 8 3 7 2" xfId="32532"/>
    <cellStyle name="Heading 2 2 2 2 8 3 7 2 2" xfId="32533"/>
    <cellStyle name="Heading 2 2 2 2 8 3 7 3" xfId="32534"/>
    <cellStyle name="Heading 2 2 2 2 8 3 8" xfId="32535"/>
    <cellStyle name="Heading 2 2 2 2 8 3 8 2" xfId="32536"/>
    <cellStyle name="Heading 2 2 2 2 8 3 9" xfId="32537"/>
    <cellStyle name="Heading 2 2 2 2 8 4" xfId="32538"/>
    <cellStyle name="Heading 2 2 2 2 8 4 2" xfId="32539"/>
    <cellStyle name="Heading 2 2 2 2 8 4 2 2" xfId="32540"/>
    <cellStyle name="Heading 2 2 2 2 8 4 2 2 2" xfId="32541"/>
    <cellStyle name="Heading 2 2 2 2 8 4 2 3" xfId="32542"/>
    <cellStyle name="Heading 2 2 2 2 8 4 3" xfId="32543"/>
    <cellStyle name="Heading 2 2 2 2 8 4 3 2" xfId="32544"/>
    <cellStyle name="Heading 2 2 2 2 8 4 3 2 2" xfId="32545"/>
    <cellStyle name="Heading 2 2 2 2 8 4 3 3" xfId="32546"/>
    <cellStyle name="Heading 2 2 2 2 8 4 4" xfId="32547"/>
    <cellStyle name="Heading 2 2 2 2 8 4 4 2" xfId="32548"/>
    <cellStyle name="Heading 2 2 2 2 8 4 4 2 2" xfId="32549"/>
    <cellStyle name="Heading 2 2 2 2 8 4 4 3" xfId="32550"/>
    <cellStyle name="Heading 2 2 2 2 8 4 5" xfId="32551"/>
    <cellStyle name="Heading 2 2 2 2 8 4 5 2" xfId="32552"/>
    <cellStyle name="Heading 2 2 2 2 8 4 5 2 2" xfId="32553"/>
    <cellStyle name="Heading 2 2 2 2 8 4 5 3" xfId="32554"/>
    <cellStyle name="Heading 2 2 2 2 8 4 6" xfId="32555"/>
    <cellStyle name="Heading 2 2 2 2 8 4 6 2" xfId="32556"/>
    <cellStyle name="Heading 2 2 2 2 8 4 6 2 2" xfId="32557"/>
    <cellStyle name="Heading 2 2 2 2 8 4 6 3" xfId="32558"/>
    <cellStyle name="Heading 2 2 2 2 8 4 7" xfId="32559"/>
    <cellStyle name="Heading 2 2 2 2 8 4 7 2" xfId="32560"/>
    <cellStyle name="Heading 2 2 2 2 8 4 7 2 2" xfId="32561"/>
    <cellStyle name="Heading 2 2 2 2 8 4 7 3" xfId="32562"/>
    <cellStyle name="Heading 2 2 2 2 8 4 8" xfId="32563"/>
    <cellStyle name="Heading 2 2 2 2 8 4 8 2" xfId="32564"/>
    <cellStyle name="Heading 2 2 2 2 8 4 9" xfId="32565"/>
    <cellStyle name="Heading 2 2 2 2 8 5" xfId="32566"/>
    <cellStyle name="Heading 2 2 2 2 8 5 2" xfId="32567"/>
    <cellStyle name="Heading 2 2 2 2 8 5 2 2" xfId="32568"/>
    <cellStyle name="Heading 2 2 2 2 8 5 2 2 2" xfId="32569"/>
    <cellStyle name="Heading 2 2 2 2 8 5 2 3" xfId="32570"/>
    <cellStyle name="Heading 2 2 2 2 8 5 3" xfId="32571"/>
    <cellStyle name="Heading 2 2 2 2 8 5 3 2" xfId="32572"/>
    <cellStyle name="Heading 2 2 2 2 8 5 3 2 2" xfId="32573"/>
    <cellStyle name="Heading 2 2 2 2 8 5 3 3" xfId="32574"/>
    <cellStyle name="Heading 2 2 2 2 8 5 4" xfId="32575"/>
    <cellStyle name="Heading 2 2 2 2 8 5 4 2" xfId="32576"/>
    <cellStyle name="Heading 2 2 2 2 8 5 4 2 2" xfId="32577"/>
    <cellStyle name="Heading 2 2 2 2 8 5 4 3" xfId="32578"/>
    <cellStyle name="Heading 2 2 2 2 8 5 5" xfId="32579"/>
    <cellStyle name="Heading 2 2 2 2 8 5 5 2" xfId="32580"/>
    <cellStyle name="Heading 2 2 2 2 8 5 5 2 2" xfId="32581"/>
    <cellStyle name="Heading 2 2 2 2 8 5 5 3" xfId="32582"/>
    <cellStyle name="Heading 2 2 2 2 8 5 6" xfId="32583"/>
    <cellStyle name="Heading 2 2 2 2 8 5 6 2" xfId="32584"/>
    <cellStyle name="Heading 2 2 2 2 8 5 6 2 2" xfId="32585"/>
    <cellStyle name="Heading 2 2 2 2 8 5 6 3" xfId="32586"/>
    <cellStyle name="Heading 2 2 2 2 8 5 7" xfId="32587"/>
    <cellStyle name="Heading 2 2 2 2 8 5 7 2" xfId="32588"/>
    <cellStyle name="Heading 2 2 2 2 8 5 7 2 2" xfId="32589"/>
    <cellStyle name="Heading 2 2 2 2 8 5 7 3" xfId="32590"/>
    <cellStyle name="Heading 2 2 2 2 8 5 8" xfId="32591"/>
    <cellStyle name="Heading 2 2 2 2 8 5 8 2" xfId="32592"/>
    <cellStyle name="Heading 2 2 2 2 8 5 9" xfId="32593"/>
    <cellStyle name="Heading 2 2 2 2 8 6" xfId="32594"/>
    <cellStyle name="Heading 2 2 2 2 8 6 2" xfId="32595"/>
    <cellStyle name="Heading 2 2 2 2 8 6 2 2" xfId="32596"/>
    <cellStyle name="Heading 2 2 2 2 8 6 2 2 2" xfId="32597"/>
    <cellStyle name="Heading 2 2 2 2 8 6 2 3" xfId="32598"/>
    <cellStyle name="Heading 2 2 2 2 8 6 3" xfId="32599"/>
    <cellStyle name="Heading 2 2 2 2 8 6 3 2" xfId="32600"/>
    <cellStyle name="Heading 2 2 2 2 8 6 3 2 2" xfId="32601"/>
    <cellStyle name="Heading 2 2 2 2 8 6 3 3" xfId="32602"/>
    <cellStyle name="Heading 2 2 2 2 8 6 4" xfId="32603"/>
    <cellStyle name="Heading 2 2 2 2 8 6 4 2" xfId="32604"/>
    <cellStyle name="Heading 2 2 2 2 8 6 4 2 2" xfId="32605"/>
    <cellStyle name="Heading 2 2 2 2 8 6 4 3" xfId="32606"/>
    <cellStyle name="Heading 2 2 2 2 8 6 5" xfId="32607"/>
    <cellStyle name="Heading 2 2 2 2 8 6 5 2" xfId="32608"/>
    <cellStyle name="Heading 2 2 2 2 8 6 5 2 2" xfId="32609"/>
    <cellStyle name="Heading 2 2 2 2 8 6 5 3" xfId="32610"/>
    <cellStyle name="Heading 2 2 2 2 8 6 6" xfId="32611"/>
    <cellStyle name="Heading 2 2 2 2 8 6 6 2" xfId="32612"/>
    <cellStyle name="Heading 2 2 2 2 8 6 6 2 2" xfId="32613"/>
    <cellStyle name="Heading 2 2 2 2 8 6 6 3" xfId="32614"/>
    <cellStyle name="Heading 2 2 2 2 8 6 7" xfId="32615"/>
    <cellStyle name="Heading 2 2 2 2 8 6 7 2" xfId="32616"/>
    <cellStyle name="Heading 2 2 2 2 8 6 7 2 2" xfId="32617"/>
    <cellStyle name="Heading 2 2 2 2 8 6 7 3" xfId="32618"/>
    <cellStyle name="Heading 2 2 2 2 8 6 8" xfId="32619"/>
    <cellStyle name="Heading 2 2 2 2 8 6 8 2" xfId="32620"/>
    <cellStyle name="Heading 2 2 2 2 8 6 9" xfId="32621"/>
    <cellStyle name="Heading 2 2 2 2 8 7" xfId="32622"/>
    <cellStyle name="Heading 2 2 2 2 8 7 2" xfId="32623"/>
    <cellStyle name="Heading 2 2 2 2 8 7 2 2" xfId="32624"/>
    <cellStyle name="Heading 2 2 2 2 8 7 2 2 2" xfId="32625"/>
    <cellStyle name="Heading 2 2 2 2 8 7 2 3" xfId="32626"/>
    <cellStyle name="Heading 2 2 2 2 8 7 3" xfId="32627"/>
    <cellStyle name="Heading 2 2 2 2 8 7 3 2" xfId="32628"/>
    <cellStyle name="Heading 2 2 2 2 8 7 3 2 2" xfId="32629"/>
    <cellStyle name="Heading 2 2 2 2 8 7 3 3" xfId="32630"/>
    <cellStyle name="Heading 2 2 2 2 8 7 4" xfId="32631"/>
    <cellStyle name="Heading 2 2 2 2 8 7 4 2" xfId="32632"/>
    <cellStyle name="Heading 2 2 2 2 8 7 4 2 2" xfId="32633"/>
    <cellStyle name="Heading 2 2 2 2 8 7 4 3" xfId="32634"/>
    <cellStyle name="Heading 2 2 2 2 8 7 5" xfId="32635"/>
    <cellStyle name="Heading 2 2 2 2 8 7 5 2" xfId="32636"/>
    <cellStyle name="Heading 2 2 2 2 8 7 5 2 2" xfId="32637"/>
    <cellStyle name="Heading 2 2 2 2 8 7 5 3" xfId="32638"/>
    <cellStyle name="Heading 2 2 2 2 8 7 6" xfId="32639"/>
    <cellStyle name="Heading 2 2 2 2 8 7 6 2" xfId="32640"/>
    <cellStyle name="Heading 2 2 2 2 8 7 6 2 2" xfId="32641"/>
    <cellStyle name="Heading 2 2 2 2 8 7 6 3" xfId="32642"/>
    <cellStyle name="Heading 2 2 2 2 8 7 7" xfId="32643"/>
    <cellStyle name="Heading 2 2 2 2 8 7 7 2" xfId="32644"/>
    <cellStyle name="Heading 2 2 2 2 8 7 7 2 2" xfId="32645"/>
    <cellStyle name="Heading 2 2 2 2 8 7 7 3" xfId="32646"/>
    <cellStyle name="Heading 2 2 2 2 8 7 8" xfId="32647"/>
    <cellStyle name="Heading 2 2 2 2 8 7 8 2" xfId="32648"/>
    <cellStyle name="Heading 2 2 2 2 8 7 9" xfId="32649"/>
    <cellStyle name="Heading 2 2 2 2 8 8" xfId="32650"/>
    <cellStyle name="Heading 2 2 2 2 8 8 2" xfId="32651"/>
    <cellStyle name="Heading 2 2 2 2 8 8 2 2" xfId="32652"/>
    <cellStyle name="Heading 2 2 2 2 8 8 2 2 2" xfId="32653"/>
    <cellStyle name="Heading 2 2 2 2 8 8 2 3" xfId="32654"/>
    <cellStyle name="Heading 2 2 2 2 8 8 3" xfId="32655"/>
    <cellStyle name="Heading 2 2 2 2 8 8 3 2" xfId="32656"/>
    <cellStyle name="Heading 2 2 2 2 8 8 3 2 2" xfId="32657"/>
    <cellStyle name="Heading 2 2 2 2 8 8 3 3" xfId="32658"/>
    <cellStyle name="Heading 2 2 2 2 8 8 4" xfId="32659"/>
    <cellStyle name="Heading 2 2 2 2 8 8 4 2" xfId="32660"/>
    <cellStyle name="Heading 2 2 2 2 8 8 4 2 2" xfId="32661"/>
    <cellStyle name="Heading 2 2 2 2 8 8 4 3" xfId="32662"/>
    <cellStyle name="Heading 2 2 2 2 8 8 5" xfId="32663"/>
    <cellStyle name="Heading 2 2 2 2 8 8 5 2" xfId="32664"/>
    <cellStyle name="Heading 2 2 2 2 8 8 5 2 2" xfId="32665"/>
    <cellStyle name="Heading 2 2 2 2 8 8 5 3" xfId="32666"/>
    <cellStyle name="Heading 2 2 2 2 8 8 6" xfId="32667"/>
    <cellStyle name="Heading 2 2 2 2 8 8 6 2" xfId="32668"/>
    <cellStyle name="Heading 2 2 2 2 8 8 6 2 2" xfId="32669"/>
    <cellStyle name="Heading 2 2 2 2 8 8 6 3" xfId="32670"/>
    <cellStyle name="Heading 2 2 2 2 8 8 7" xfId="32671"/>
    <cellStyle name="Heading 2 2 2 2 8 8 7 2" xfId="32672"/>
    <cellStyle name="Heading 2 2 2 2 8 8 7 2 2" xfId="32673"/>
    <cellStyle name="Heading 2 2 2 2 8 8 7 3" xfId="32674"/>
    <cellStyle name="Heading 2 2 2 2 8 8 8" xfId="32675"/>
    <cellStyle name="Heading 2 2 2 2 8 8 8 2" xfId="32676"/>
    <cellStyle name="Heading 2 2 2 2 8 8 9" xfId="32677"/>
    <cellStyle name="Heading 2 2 2 2 8 9" xfId="32678"/>
    <cellStyle name="Heading 2 2 2 2 8 9 2" xfId="32679"/>
    <cellStyle name="Heading 2 2 2 2 8 9 2 2" xfId="32680"/>
    <cellStyle name="Heading 2 2 2 2 8 9 2 2 2" xfId="32681"/>
    <cellStyle name="Heading 2 2 2 2 8 9 2 3" xfId="32682"/>
    <cellStyle name="Heading 2 2 2 2 8 9 3" xfId="32683"/>
    <cellStyle name="Heading 2 2 2 2 8 9 3 2" xfId="32684"/>
    <cellStyle name="Heading 2 2 2 2 8 9 3 2 2" xfId="32685"/>
    <cellStyle name="Heading 2 2 2 2 8 9 3 3" xfId="32686"/>
    <cellStyle name="Heading 2 2 2 2 8 9 4" xfId="32687"/>
    <cellStyle name="Heading 2 2 2 2 8 9 4 2" xfId="32688"/>
    <cellStyle name="Heading 2 2 2 2 8 9 4 2 2" xfId="32689"/>
    <cellStyle name="Heading 2 2 2 2 8 9 4 3" xfId="32690"/>
    <cellStyle name="Heading 2 2 2 2 8 9 5" xfId="32691"/>
    <cellStyle name="Heading 2 2 2 2 8 9 5 2" xfId="32692"/>
    <cellStyle name="Heading 2 2 2 2 8 9 5 2 2" xfId="32693"/>
    <cellStyle name="Heading 2 2 2 2 8 9 5 3" xfId="32694"/>
    <cellStyle name="Heading 2 2 2 2 8 9 6" xfId="32695"/>
    <cellStyle name="Heading 2 2 2 2 8 9 6 2" xfId="32696"/>
    <cellStyle name="Heading 2 2 2 2 8 9 6 2 2" xfId="32697"/>
    <cellStyle name="Heading 2 2 2 2 8 9 6 3" xfId="32698"/>
    <cellStyle name="Heading 2 2 2 2 8 9 7" xfId="32699"/>
    <cellStyle name="Heading 2 2 2 2 8 9 7 2" xfId="32700"/>
    <cellStyle name="Heading 2 2 2 2 8 9 7 2 2" xfId="32701"/>
    <cellStyle name="Heading 2 2 2 2 8 9 7 3" xfId="32702"/>
    <cellStyle name="Heading 2 2 2 2 8 9 8" xfId="32703"/>
    <cellStyle name="Heading 2 2 2 2 8 9 8 2" xfId="32704"/>
    <cellStyle name="Heading 2 2 2 2 8 9 9" xfId="32705"/>
    <cellStyle name="Heading 2 2 2 2 9" xfId="32706"/>
    <cellStyle name="Heading 2 2 2 2 9 2" xfId="32707"/>
    <cellStyle name="Heading 2 2 2 2 9 2 2" xfId="32708"/>
    <cellStyle name="Heading 2 2 2 2 9 3" xfId="32709"/>
    <cellStyle name="Heading 2 2 2 2 9 3 2" xfId="32710"/>
    <cellStyle name="Heading 2 2 2 2 9 4" xfId="32711"/>
    <cellStyle name="Heading 2 2 2 2 9 4 2" xfId="32712"/>
    <cellStyle name="Heading 2 2 2 2 9 5" xfId="32713"/>
    <cellStyle name="Heading 2 2 2 3" xfId="32714"/>
    <cellStyle name="Heading 2 2 2 3 2" xfId="32715"/>
    <cellStyle name="Heading 2 2 2 3 2 10" xfId="32716"/>
    <cellStyle name="Heading 2 2 2 3 2 10 2" xfId="32717"/>
    <cellStyle name="Heading 2 2 2 3 2 10 2 2" xfId="32718"/>
    <cellStyle name="Heading 2 2 2 3 2 10 3" xfId="32719"/>
    <cellStyle name="Heading 2 2 2 3 2 11" xfId="32720"/>
    <cellStyle name="Heading 2 2 2 3 2 11 2" xfId="32721"/>
    <cellStyle name="Heading 2 2 2 3 2 11 2 2" xfId="32722"/>
    <cellStyle name="Heading 2 2 2 3 2 11 3" xfId="32723"/>
    <cellStyle name="Heading 2 2 2 3 2 12" xfId="32724"/>
    <cellStyle name="Heading 2 2 2 3 2 12 2" xfId="32725"/>
    <cellStyle name="Heading 2 2 2 3 2 12 2 2" xfId="32726"/>
    <cellStyle name="Heading 2 2 2 3 2 12 3" xfId="32727"/>
    <cellStyle name="Heading 2 2 2 3 2 13" xfId="32728"/>
    <cellStyle name="Heading 2 2 2 3 2 13 2" xfId="32729"/>
    <cellStyle name="Heading 2 2 2 3 2 13 2 2" xfId="32730"/>
    <cellStyle name="Heading 2 2 2 3 2 13 3" xfId="32731"/>
    <cellStyle name="Heading 2 2 2 3 2 14" xfId="32732"/>
    <cellStyle name="Heading 2 2 2 3 2 14 2" xfId="32733"/>
    <cellStyle name="Heading 2 2 2 3 2 14 2 2" xfId="32734"/>
    <cellStyle name="Heading 2 2 2 3 2 14 3" xfId="32735"/>
    <cellStyle name="Heading 2 2 2 3 2 15" xfId="32736"/>
    <cellStyle name="Heading 2 2 2 3 2 15 2" xfId="32737"/>
    <cellStyle name="Heading 2 2 2 3 2 15 2 2" xfId="32738"/>
    <cellStyle name="Heading 2 2 2 3 2 15 3" xfId="32739"/>
    <cellStyle name="Heading 2 2 2 3 2 16" xfId="32740"/>
    <cellStyle name="Heading 2 2 2 3 2 16 2" xfId="32741"/>
    <cellStyle name="Heading 2 2 2 3 2 16 2 2" xfId="32742"/>
    <cellStyle name="Heading 2 2 2 3 2 16 3" xfId="32743"/>
    <cellStyle name="Heading 2 2 2 3 2 17" xfId="32744"/>
    <cellStyle name="Heading 2 2 2 3 2 17 2" xfId="32745"/>
    <cellStyle name="Heading 2 2 2 3 2 17 2 2" xfId="32746"/>
    <cellStyle name="Heading 2 2 2 3 2 17 3" xfId="32747"/>
    <cellStyle name="Heading 2 2 2 3 2 18" xfId="32748"/>
    <cellStyle name="Heading 2 2 2 3 2 18 2" xfId="32749"/>
    <cellStyle name="Heading 2 2 2 3 2 18 2 2" xfId="32750"/>
    <cellStyle name="Heading 2 2 2 3 2 18 3" xfId="32751"/>
    <cellStyle name="Heading 2 2 2 3 2 19" xfId="32752"/>
    <cellStyle name="Heading 2 2 2 3 2 19 2" xfId="32753"/>
    <cellStyle name="Heading 2 2 2 3 2 19 2 2" xfId="32754"/>
    <cellStyle name="Heading 2 2 2 3 2 19 3" xfId="32755"/>
    <cellStyle name="Heading 2 2 2 3 2 2" xfId="32756"/>
    <cellStyle name="Heading 2 2 2 3 2 2 10" xfId="32757"/>
    <cellStyle name="Heading 2 2 2 3 2 2 10 2" xfId="32758"/>
    <cellStyle name="Heading 2 2 2 3 2 2 10 2 2" xfId="32759"/>
    <cellStyle name="Heading 2 2 2 3 2 2 10 3" xfId="32760"/>
    <cellStyle name="Heading 2 2 2 3 2 2 11" xfId="32761"/>
    <cellStyle name="Heading 2 2 2 3 2 2 11 2" xfId="32762"/>
    <cellStyle name="Heading 2 2 2 3 2 2 11 2 2" xfId="32763"/>
    <cellStyle name="Heading 2 2 2 3 2 2 11 3" xfId="32764"/>
    <cellStyle name="Heading 2 2 2 3 2 2 12" xfId="32765"/>
    <cellStyle name="Heading 2 2 2 3 2 2 12 2" xfId="32766"/>
    <cellStyle name="Heading 2 2 2 3 2 2 12 2 2" xfId="32767"/>
    <cellStyle name="Heading 2 2 2 3 2 2 12 3" xfId="32768"/>
    <cellStyle name="Heading 2 2 2 3 2 2 13" xfId="32769"/>
    <cellStyle name="Heading 2 2 2 3 2 2 13 2" xfId="32770"/>
    <cellStyle name="Heading 2 2 2 3 2 2 13 2 2" xfId="32771"/>
    <cellStyle name="Heading 2 2 2 3 2 2 13 3" xfId="32772"/>
    <cellStyle name="Heading 2 2 2 3 2 2 14" xfId="32773"/>
    <cellStyle name="Heading 2 2 2 3 2 2 14 2" xfId="32774"/>
    <cellStyle name="Heading 2 2 2 3 2 2 14 2 2" xfId="32775"/>
    <cellStyle name="Heading 2 2 2 3 2 2 14 3" xfId="32776"/>
    <cellStyle name="Heading 2 2 2 3 2 2 15" xfId="32777"/>
    <cellStyle name="Heading 2 2 2 3 2 2 15 2" xfId="32778"/>
    <cellStyle name="Heading 2 2 2 3 2 2 15 2 2" xfId="32779"/>
    <cellStyle name="Heading 2 2 2 3 2 2 15 3" xfId="32780"/>
    <cellStyle name="Heading 2 2 2 3 2 2 16" xfId="32781"/>
    <cellStyle name="Heading 2 2 2 3 2 2 16 2" xfId="32782"/>
    <cellStyle name="Heading 2 2 2 3 2 2 16 2 2" xfId="32783"/>
    <cellStyle name="Heading 2 2 2 3 2 2 16 3" xfId="32784"/>
    <cellStyle name="Heading 2 2 2 3 2 2 17" xfId="32785"/>
    <cellStyle name="Heading 2 2 2 3 2 2 17 2" xfId="32786"/>
    <cellStyle name="Heading 2 2 2 3 2 2 17 2 2" xfId="32787"/>
    <cellStyle name="Heading 2 2 2 3 2 2 17 3" xfId="32788"/>
    <cellStyle name="Heading 2 2 2 3 2 2 18" xfId="32789"/>
    <cellStyle name="Heading 2 2 2 3 2 2 18 2" xfId="32790"/>
    <cellStyle name="Heading 2 2 2 3 2 2 18 2 2" xfId="32791"/>
    <cellStyle name="Heading 2 2 2 3 2 2 18 3" xfId="32792"/>
    <cellStyle name="Heading 2 2 2 3 2 2 19" xfId="32793"/>
    <cellStyle name="Heading 2 2 2 3 2 2 19 2" xfId="32794"/>
    <cellStyle name="Heading 2 2 2 3 2 2 2" xfId="32795"/>
    <cellStyle name="Heading 2 2 2 3 2 2 2 2" xfId="32796"/>
    <cellStyle name="Heading 2 2 2 3 2 2 2 2 2" xfId="32797"/>
    <cellStyle name="Heading 2 2 2 3 2 2 2 2 2 2" xfId="32798"/>
    <cellStyle name="Heading 2 2 2 3 2 2 2 2 3" xfId="32799"/>
    <cellStyle name="Heading 2 2 2 3 2 2 2 3" xfId="32800"/>
    <cellStyle name="Heading 2 2 2 3 2 2 2 3 2" xfId="32801"/>
    <cellStyle name="Heading 2 2 2 3 2 2 2 3 2 2" xfId="32802"/>
    <cellStyle name="Heading 2 2 2 3 2 2 2 3 3" xfId="32803"/>
    <cellStyle name="Heading 2 2 2 3 2 2 2 4" xfId="32804"/>
    <cellStyle name="Heading 2 2 2 3 2 2 2 4 2" xfId="32805"/>
    <cellStyle name="Heading 2 2 2 3 2 2 2 4 2 2" xfId="32806"/>
    <cellStyle name="Heading 2 2 2 3 2 2 2 4 3" xfId="32807"/>
    <cellStyle name="Heading 2 2 2 3 2 2 2 5" xfId="32808"/>
    <cellStyle name="Heading 2 2 2 3 2 2 2 5 2" xfId="32809"/>
    <cellStyle name="Heading 2 2 2 3 2 2 2 5 2 2" xfId="32810"/>
    <cellStyle name="Heading 2 2 2 3 2 2 2 5 3" xfId="32811"/>
    <cellStyle name="Heading 2 2 2 3 2 2 2 6" xfId="32812"/>
    <cellStyle name="Heading 2 2 2 3 2 2 2 6 2" xfId="32813"/>
    <cellStyle name="Heading 2 2 2 3 2 2 2 6 2 2" xfId="32814"/>
    <cellStyle name="Heading 2 2 2 3 2 2 2 6 3" xfId="32815"/>
    <cellStyle name="Heading 2 2 2 3 2 2 2 7" xfId="32816"/>
    <cellStyle name="Heading 2 2 2 3 2 2 2 7 2" xfId="32817"/>
    <cellStyle name="Heading 2 2 2 3 2 2 2 7 2 2" xfId="32818"/>
    <cellStyle name="Heading 2 2 2 3 2 2 2 7 3" xfId="32819"/>
    <cellStyle name="Heading 2 2 2 3 2 2 2 8" xfId="32820"/>
    <cellStyle name="Heading 2 2 2 3 2 2 2 8 2" xfId="32821"/>
    <cellStyle name="Heading 2 2 2 3 2 2 2 9" xfId="32822"/>
    <cellStyle name="Heading 2 2 2 3 2 2 20" xfId="32823"/>
    <cellStyle name="Heading 2 2 2 3 2 2 20 2" xfId="32824"/>
    <cellStyle name="Heading 2 2 2 3 2 2 21" xfId="32825"/>
    <cellStyle name="Heading 2 2 2 3 2 2 21 2" xfId="32826"/>
    <cellStyle name="Heading 2 2 2 3 2 2 22" xfId="32827"/>
    <cellStyle name="Heading 2 2 2 3 2 2 3" xfId="32828"/>
    <cellStyle name="Heading 2 2 2 3 2 2 3 2" xfId="32829"/>
    <cellStyle name="Heading 2 2 2 3 2 2 3 2 2" xfId="32830"/>
    <cellStyle name="Heading 2 2 2 3 2 2 3 2 2 2" xfId="32831"/>
    <cellStyle name="Heading 2 2 2 3 2 2 3 2 3" xfId="32832"/>
    <cellStyle name="Heading 2 2 2 3 2 2 3 3" xfId="32833"/>
    <cellStyle name="Heading 2 2 2 3 2 2 3 3 2" xfId="32834"/>
    <cellStyle name="Heading 2 2 2 3 2 2 3 3 2 2" xfId="32835"/>
    <cellStyle name="Heading 2 2 2 3 2 2 3 3 3" xfId="32836"/>
    <cellStyle name="Heading 2 2 2 3 2 2 3 4" xfId="32837"/>
    <cellStyle name="Heading 2 2 2 3 2 2 3 4 2" xfId="32838"/>
    <cellStyle name="Heading 2 2 2 3 2 2 3 4 2 2" xfId="32839"/>
    <cellStyle name="Heading 2 2 2 3 2 2 3 4 3" xfId="32840"/>
    <cellStyle name="Heading 2 2 2 3 2 2 3 5" xfId="32841"/>
    <cellStyle name="Heading 2 2 2 3 2 2 3 5 2" xfId="32842"/>
    <cellStyle name="Heading 2 2 2 3 2 2 3 5 2 2" xfId="32843"/>
    <cellStyle name="Heading 2 2 2 3 2 2 3 5 3" xfId="32844"/>
    <cellStyle name="Heading 2 2 2 3 2 2 3 6" xfId="32845"/>
    <cellStyle name="Heading 2 2 2 3 2 2 3 6 2" xfId="32846"/>
    <cellStyle name="Heading 2 2 2 3 2 2 3 6 2 2" xfId="32847"/>
    <cellStyle name="Heading 2 2 2 3 2 2 3 6 3" xfId="32848"/>
    <cellStyle name="Heading 2 2 2 3 2 2 3 7" xfId="32849"/>
    <cellStyle name="Heading 2 2 2 3 2 2 3 7 2" xfId="32850"/>
    <cellStyle name="Heading 2 2 2 3 2 2 3 7 2 2" xfId="32851"/>
    <cellStyle name="Heading 2 2 2 3 2 2 3 7 3" xfId="32852"/>
    <cellStyle name="Heading 2 2 2 3 2 2 3 8" xfId="32853"/>
    <cellStyle name="Heading 2 2 2 3 2 2 3 8 2" xfId="32854"/>
    <cellStyle name="Heading 2 2 2 3 2 2 3 9" xfId="32855"/>
    <cellStyle name="Heading 2 2 2 3 2 2 4" xfId="32856"/>
    <cellStyle name="Heading 2 2 2 3 2 2 4 2" xfId="32857"/>
    <cellStyle name="Heading 2 2 2 3 2 2 4 2 2" xfId="32858"/>
    <cellStyle name="Heading 2 2 2 3 2 2 4 2 2 2" xfId="32859"/>
    <cellStyle name="Heading 2 2 2 3 2 2 4 2 3" xfId="32860"/>
    <cellStyle name="Heading 2 2 2 3 2 2 4 3" xfId="32861"/>
    <cellStyle name="Heading 2 2 2 3 2 2 4 3 2" xfId="32862"/>
    <cellStyle name="Heading 2 2 2 3 2 2 4 3 2 2" xfId="32863"/>
    <cellStyle name="Heading 2 2 2 3 2 2 4 3 3" xfId="32864"/>
    <cellStyle name="Heading 2 2 2 3 2 2 4 4" xfId="32865"/>
    <cellStyle name="Heading 2 2 2 3 2 2 4 4 2" xfId="32866"/>
    <cellStyle name="Heading 2 2 2 3 2 2 4 4 2 2" xfId="32867"/>
    <cellStyle name="Heading 2 2 2 3 2 2 4 4 3" xfId="32868"/>
    <cellStyle name="Heading 2 2 2 3 2 2 4 5" xfId="32869"/>
    <cellStyle name="Heading 2 2 2 3 2 2 4 5 2" xfId="32870"/>
    <cellStyle name="Heading 2 2 2 3 2 2 4 5 2 2" xfId="32871"/>
    <cellStyle name="Heading 2 2 2 3 2 2 4 5 3" xfId="32872"/>
    <cellStyle name="Heading 2 2 2 3 2 2 4 6" xfId="32873"/>
    <cellStyle name="Heading 2 2 2 3 2 2 4 6 2" xfId="32874"/>
    <cellStyle name="Heading 2 2 2 3 2 2 4 6 2 2" xfId="32875"/>
    <cellStyle name="Heading 2 2 2 3 2 2 4 6 3" xfId="32876"/>
    <cellStyle name="Heading 2 2 2 3 2 2 4 7" xfId="32877"/>
    <cellStyle name="Heading 2 2 2 3 2 2 4 7 2" xfId="32878"/>
    <cellStyle name="Heading 2 2 2 3 2 2 4 7 2 2" xfId="32879"/>
    <cellStyle name="Heading 2 2 2 3 2 2 4 7 3" xfId="32880"/>
    <cellStyle name="Heading 2 2 2 3 2 2 4 8" xfId="32881"/>
    <cellStyle name="Heading 2 2 2 3 2 2 4 8 2" xfId="32882"/>
    <cellStyle name="Heading 2 2 2 3 2 2 4 9" xfId="32883"/>
    <cellStyle name="Heading 2 2 2 3 2 2 5" xfId="32884"/>
    <cellStyle name="Heading 2 2 2 3 2 2 5 2" xfId="32885"/>
    <cellStyle name="Heading 2 2 2 3 2 2 5 2 2" xfId="32886"/>
    <cellStyle name="Heading 2 2 2 3 2 2 5 2 2 2" xfId="32887"/>
    <cellStyle name="Heading 2 2 2 3 2 2 5 2 3" xfId="32888"/>
    <cellStyle name="Heading 2 2 2 3 2 2 5 3" xfId="32889"/>
    <cellStyle name="Heading 2 2 2 3 2 2 5 3 2" xfId="32890"/>
    <cellStyle name="Heading 2 2 2 3 2 2 5 3 2 2" xfId="32891"/>
    <cellStyle name="Heading 2 2 2 3 2 2 5 3 3" xfId="32892"/>
    <cellStyle name="Heading 2 2 2 3 2 2 5 4" xfId="32893"/>
    <cellStyle name="Heading 2 2 2 3 2 2 5 4 2" xfId="32894"/>
    <cellStyle name="Heading 2 2 2 3 2 2 5 4 2 2" xfId="32895"/>
    <cellStyle name="Heading 2 2 2 3 2 2 5 4 3" xfId="32896"/>
    <cellStyle name="Heading 2 2 2 3 2 2 5 5" xfId="32897"/>
    <cellStyle name="Heading 2 2 2 3 2 2 5 5 2" xfId="32898"/>
    <cellStyle name="Heading 2 2 2 3 2 2 5 5 2 2" xfId="32899"/>
    <cellStyle name="Heading 2 2 2 3 2 2 5 5 3" xfId="32900"/>
    <cellStyle name="Heading 2 2 2 3 2 2 5 6" xfId="32901"/>
    <cellStyle name="Heading 2 2 2 3 2 2 5 6 2" xfId="32902"/>
    <cellStyle name="Heading 2 2 2 3 2 2 5 6 2 2" xfId="32903"/>
    <cellStyle name="Heading 2 2 2 3 2 2 5 6 3" xfId="32904"/>
    <cellStyle name="Heading 2 2 2 3 2 2 5 7" xfId="32905"/>
    <cellStyle name="Heading 2 2 2 3 2 2 5 7 2" xfId="32906"/>
    <cellStyle name="Heading 2 2 2 3 2 2 5 7 2 2" xfId="32907"/>
    <cellStyle name="Heading 2 2 2 3 2 2 5 7 3" xfId="32908"/>
    <cellStyle name="Heading 2 2 2 3 2 2 5 8" xfId="32909"/>
    <cellStyle name="Heading 2 2 2 3 2 2 5 8 2" xfId="32910"/>
    <cellStyle name="Heading 2 2 2 3 2 2 5 9" xfId="32911"/>
    <cellStyle name="Heading 2 2 2 3 2 2 6" xfId="32912"/>
    <cellStyle name="Heading 2 2 2 3 2 2 6 2" xfId="32913"/>
    <cellStyle name="Heading 2 2 2 3 2 2 6 2 2" xfId="32914"/>
    <cellStyle name="Heading 2 2 2 3 2 2 6 2 2 2" xfId="32915"/>
    <cellStyle name="Heading 2 2 2 3 2 2 6 2 3" xfId="32916"/>
    <cellStyle name="Heading 2 2 2 3 2 2 6 3" xfId="32917"/>
    <cellStyle name="Heading 2 2 2 3 2 2 6 3 2" xfId="32918"/>
    <cellStyle name="Heading 2 2 2 3 2 2 6 3 2 2" xfId="32919"/>
    <cellStyle name="Heading 2 2 2 3 2 2 6 3 3" xfId="32920"/>
    <cellStyle name="Heading 2 2 2 3 2 2 6 4" xfId="32921"/>
    <cellStyle name="Heading 2 2 2 3 2 2 6 4 2" xfId="32922"/>
    <cellStyle name="Heading 2 2 2 3 2 2 6 4 2 2" xfId="32923"/>
    <cellStyle name="Heading 2 2 2 3 2 2 6 4 3" xfId="32924"/>
    <cellStyle name="Heading 2 2 2 3 2 2 6 5" xfId="32925"/>
    <cellStyle name="Heading 2 2 2 3 2 2 6 5 2" xfId="32926"/>
    <cellStyle name="Heading 2 2 2 3 2 2 6 5 2 2" xfId="32927"/>
    <cellStyle name="Heading 2 2 2 3 2 2 6 5 3" xfId="32928"/>
    <cellStyle name="Heading 2 2 2 3 2 2 6 6" xfId="32929"/>
    <cellStyle name="Heading 2 2 2 3 2 2 6 6 2" xfId="32930"/>
    <cellStyle name="Heading 2 2 2 3 2 2 6 6 2 2" xfId="32931"/>
    <cellStyle name="Heading 2 2 2 3 2 2 6 6 3" xfId="32932"/>
    <cellStyle name="Heading 2 2 2 3 2 2 6 7" xfId="32933"/>
    <cellStyle name="Heading 2 2 2 3 2 2 6 7 2" xfId="32934"/>
    <cellStyle name="Heading 2 2 2 3 2 2 6 7 2 2" xfId="32935"/>
    <cellStyle name="Heading 2 2 2 3 2 2 6 7 3" xfId="32936"/>
    <cellStyle name="Heading 2 2 2 3 2 2 6 8" xfId="32937"/>
    <cellStyle name="Heading 2 2 2 3 2 2 6 8 2" xfId="32938"/>
    <cellStyle name="Heading 2 2 2 3 2 2 6 9" xfId="32939"/>
    <cellStyle name="Heading 2 2 2 3 2 2 7" xfId="32940"/>
    <cellStyle name="Heading 2 2 2 3 2 2 7 2" xfId="32941"/>
    <cellStyle name="Heading 2 2 2 3 2 2 7 2 2" xfId="32942"/>
    <cellStyle name="Heading 2 2 2 3 2 2 7 2 2 2" xfId="32943"/>
    <cellStyle name="Heading 2 2 2 3 2 2 7 2 3" xfId="32944"/>
    <cellStyle name="Heading 2 2 2 3 2 2 7 3" xfId="32945"/>
    <cellStyle name="Heading 2 2 2 3 2 2 7 3 2" xfId="32946"/>
    <cellStyle name="Heading 2 2 2 3 2 2 7 3 2 2" xfId="32947"/>
    <cellStyle name="Heading 2 2 2 3 2 2 7 3 3" xfId="32948"/>
    <cellStyle name="Heading 2 2 2 3 2 2 7 4" xfId="32949"/>
    <cellStyle name="Heading 2 2 2 3 2 2 7 4 2" xfId="32950"/>
    <cellStyle name="Heading 2 2 2 3 2 2 7 4 2 2" xfId="32951"/>
    <cellStyle name="Heading 2 2 2 3 2 2 7 4 3" xfId="32952"/>
    <cellStyle name="Heading 2 2 2 3 2 2 7 5" xfId="32953"/>
    <cellStyle name="Heading 2 2 2 3 2 2 7 5 2" xfId="32954"/>
    <cellStyle name="Heading 2 2 2 3 2 2 7 5 2 2" xfId="32955"/>
    <cellStyle name="Heading 2 2 2 3 2 2 7 5 3" xfId="32956"/>
    <cellStyle name="Heading 2 2 2 3 2 2 7 6" xfId="32957"/>
    <cellStyle name="Heading 2 2 2 3 2 2 7 6 2" xfId="32958"/>
    <cellStyle name="Heading 2 2 2 3 2 2 7 6 2 2" xfId="32959"/>
    <cellStyle name="Heading 2 2 2 3 2 2 7 6 3" xfId="32960"/>
    <cellStyle name="Heading 2 2 2 3 2 2 7 7" xfId="32961"/>
    <cellStyle name="Heading 2 2 2 3 2 2 7 7 2" xfId="32962"/>
    <cellStyle name="Heading 2 2 2 3 2 2 7 7 2 2" xfId="32963"/>
    <cellStyle name="Heading 2 2 2 3 2 2 7 7 3" xfId="32964"/>
    <cellStyle name="Heading 2 2 2 3 2 2 7 8" xfId="32965"/>
    <cellStyle name="Heading 2 2 2 3 2 2 7 8 2" xfId="32966"/>
    <cellStyle name="Heading 2 2 2 3 2 2 7 9" xfId="32967"/>
    <cellStyle name="Heading 2 2 2 3 2 2 8" xfId="32968"/>
    <cellStyle name="Heading 2 2 2 3 2 2 8 2" xfId="32969"/>
    <cellStyle name="Heading 2 2 2 3 2 2 8 2 2" xfId="32970"/>
    <cellStyle name="Heading 2 2 2 3 2 2 8 2 2 2" xfId="32971"/>
    <cellStyle name="Heading 2 2 2 3 2 2 8 2 3" xfId="32972"/>
    <cellStyle name="Heading 2 2 2 3 2 2 8 3" xfId="32973"/>
    <cellStyle name="Heading 2 2 2 3 2 2 8 3 2" xfId="32974"/>
    <cellStyle name="Heading 2 2 2 3 2 2 8 3 2 2" xfId="32975"/>
    <cellStyle name="Heading 2 2 2 3 2 2 8 3 3" xfId="32976"/>
    <cellStyle name="Heading 2 2 2 3 2 2 8 4" xfId="32977"/>
    <cellStyle name="Heading 2 2 2 3 2 2 8 4 2" xfId="32978"/>
    <cellStyle name="Heading 2 2 2 3 2 2 8 4 2 2" xfId="32979"/>
    <cellStyle name="Heading 2 2 2 3 2 2 8 4 3" xfId="32980"/>
    <cellStyle name="Heading 2 2 2 3 2 2 8 5" xfId="32981"/>
    <cellStyle name="Heading 2 2 2 3 2 2 8 5 2" xfId="32982"/>
    <cellStyle name="Heading 2 2 2 3 2 2 8 5 2 2" xfId="32983"/>
    <cellStyle name="Heading 2 2 2 3 2 2 8 5 3" xfId="32984"/>
    <cellStyle name="Heading 2 2 2 3 2 2 8 6" xfId="32985"/>
    <cellStyle name="Heading 2 2 2 3 2 2 8 6 2" xfId="32986"/>
    <cellStyle name="Heading 2 2 2 3 2 2 8 6 2 2" xfId="32987"/>
    <cellStyle name="Heading 2 2 2 3 2 2 8 6 3" xfId="32988"/>
    <cellStyle name="Heading 2 2 2 3 2 2 8 7" xfId="32989"/>
    <cellStyle name="Heading 2 2 2 3 2 2 8 7 2" xfId="32990"/>
    <cellStyle name="Heading 2 2 2 3 2 2 8 7 2 2" xfId="32991"/>
    <cellStyle name="Heading 2 2 2 3 2 2 8 7 3" xfId="32992"/>
    <cellStyle name="Heading 2 2 2 3 2 2 8 8" xfId="32993"/>
    <cellStyle name="Heading 2 2 2 3 2 2 8 8 2" xfId="32994"/>
    <cellStyle name="Heading 2 2 2 3 2 2 8 9" xfId="32995"/>
    <cellStyle name="Heading 2 2 2 3 2 2 9" xfId="32996"/>
    <cellStyle name="Heading 2 2 2 3 2 2 9 2" xfId="32997"/>
    <cellStyle name="Heading 2 2 2 3 2 2 9 2 2" xfId="32998"/>
    <cellStyle name="Heading 2 2 2 3 2 2 9 3" xfId="32999"/>
    <cellStyle name="Heading 2 2 2 3 2 20" xfId="33000"/>
    <cellStyle name="Heading 2 2 2 3 2 20 2" xfId="33001"/>
    <cellStyle name="Heading 2 2 2 3 2 21" xfId="33002"/>
    <cellStyle name="Heading 2 2 2 3 2 21 2" xfId="33003"/>
    <cellStyle name="Heading 2 2 2 3 2 22" xfId="33004"/>
    <cellStyle name="Heading 2 2 2 3 2 22 2" xfId="33005"/>
    <cellStyle name="Heading 2 2 2 3 2 23" xfId="33006"/>
    <cellStyle name="Heading 2 2 2 3 2 3" xfId="33007"/>
    <cellStyle name="Heading 2 2 2 3 2 3 2" xfId="33008"/>
    <cellStyle name="Heading 2 2 2 3 2 3 2 2" xfId="33009"/>
    <cellStyle name="Heading 2 2 2 3 2 3 2 2 2" xfId="33010"/>
    <cellStyle name="Heading 2 2 2 3 2 3 2 3" xfId="33011"/>
    <cellStyle name="Heading 2 2 2 3 2 3 3" xfId="33012"/>
    <cellStyle name="Heading 2 2 2 3 2 3 3 2" xfId="33013"/>
    <cellStyle name="Heading 2 2 2 3 2 3 3 2 2" xfId="33014"/>
    <cellStyle name="Heading 2 2 2 3 2 3 3 3" xfId="33015"/>
    <cellStyle name="Heading 2 2 2 3 2 3 4" xfId="33016"/>
    <cellStyle name="Heading 2 2 2 3 2 3 4 2" xfId="33017"/>
    <cellStyle name="Heading 2 2 2 3 2 3 4 2 2" xfId="33018"/>
    <cellStyle name="Heading 2 2 2 3 2 3 4 3" xfId="33019"/>
    <cellStyle name="Heading 2 2 2 3 2 3 5" xfId="33020"/>
    <cellStyle name="Heading 2 2 2 3 2 3 5 2" xfId="33021"/>
    <cellStyle name="Heading 2 2 2 3 2 3 5 2 2" xfId="33022"/>
    <cellStyle name="Heading 2 2 2 3 2 3 5 3" xfId="33023"/>
    <cellStyle name="Heading 2 2 2 3 2 3 6" xfId="33024"/>
    <cellStyle name="Heading 2 2 2 3 2 3 6 2" xfId="33025"/>
    <cellStyle name="Heading 2 2 2 3 2 3 6 2 2" xfId="33026"/>
    <cellStyle name="Heading 2 2 2 3 2 3 6 3" xfId="33027"/>
    <cellStyle name="Heading 2 2 2 3 2 3 7" xfId="33028"/>
    <cellStyle name="Heading 2 2 2 3 2 3 7 2" xfId="33029"/>
    <cellStyle name="Heading 2 2 2 3 2 3 7 2 2" xfId="33030"/>
    <cellStyle name="Heading 2 2 2 3 2 3 7 3" xfId="33031"/>
    <cellStyle name="Heading 2 2 2 3 2 3 8" xfId="33032"/>
    <cellStyle name="Heading 2 2 2 3 2 3 8 2" xfId="33033"/>
    <cellStyle name="Heading 2 2 2 3 2 3 9" xfId="33034"/>
    <cellStyle name="Heading 2 2 2 3 2 4" xfId="33035"/>
    <cellStyle name="Heading 2 2 2 3 2 4 2" xfId="33036"/>
    <cellStyle name="Heading 2 2 2 3 2 4 2 2" xfId="33037"/>
    <cellStyle name="Heading 2 2 2 3 2 4 2 2 2" xfId="33038"/>
    <cellStyle name="Heading 2 2 2 3 2 4 2 3" xfId="33039"/>
    <cellStyle name="Heading 2 2 2 3 2 4 3" xfId="33040"/>
    <cellStyle name="Heading 2 2 2 3 2 4 3 2" xfId="33041"/>
    <cellStyle name="Heading 2 2 2 3 2 4 3 2 2" xfId="33042"/>
    <cellStyle name="Heading 2 2 2 3 2 4 3 3" xfId="33043"/>
    <cellStyle name="Heading 2 2 2 3 2 4 4" xfId="33044"/>
    <cellStyle name="Heading 2 2 2 3 2 4 4 2" xfId="33045"/>
    <cellStyle name="Heading 2 2 2 3 2 4 4 2 2" xfId="33046"/>
    <cellStyle name="Heading 2 2 2 3 2 4 4 3" xfId="33047"/>
    <cellStyle name="Heading 2 2 2 3 2 4 5" xfId="33048"/>
    <cellStyle name="Heading 2 2 2 3 2 4 5 2" xfId="33049"/>
    <cellStyle name="Heading 2 2 2 3 2 4 5 2 2" xfId="33050"/>
    <cellStyle name="Heading 2 2 2 3 2 4 5 3" xfId="33051"/>
    <cellStyle name="Heading 2 2 2 3 2 4 6" xfId="33052"/>
    <cellStyle name="Heading 2 2 2 3 2 4 6 2" xfId="33053"/>
    <cellStyle name="Heading 2 2 2 3 2 4 6 2 2" xfId="33054"/>
    <cellStyle name="Heading 2 2 2 3 2 4 6 3" xfId="33055"/>
    <cellStyle name="Heading 2 2 2 3 2 4 7" xfId="33056"/>
    <cellStyle name="Heading 2 2 2 3 2 4 7 2" xfId="33057"/>
    <cellStyle name="Heading 2 2 2 3 2 4 7 2 2" xfId="33058"/>
    <cellStyle name="Heading 2 2 2 3 2 4 7 3" xfId="33059"/>
    <cellStyle name="Heading 2 2 2 3 2 4 8" xfId="33060"/>
    <cellStyle name="Heading 2 2 2 3 2 4 8 2" xfId="33061"/>
    <cellStyle name="Heading 2 2 2 3 2 4 9" xfId="33062"/>
    <cellStyle name="Heading 2 2 2 3 2 5" xfId="33063"/>
    <cellStyle name="Heading 2 2 2 3 2 5 2" xfId="33064"/>
    <cellStyle name="Heading 2 2 2 3 2 5 2 2" xfId="33065"/>
    <cellStyle name="Heading 2 2 2 3 2 5 2 2 2" xfId="33066"/>
    <cellStyle name="Heading 2 2 2 3 2 5 2 3" xfId="33067"/>
    <cellStyle name="Heading 2 2 2 3 2 5 3" xfId="33068"/>
    <cellStyle name="Heading 2 2 2 3 2 5 3 2" xfId="33069"/>
    <cellStyle name="Heading 2 2 2 3 2 5 3 2 2" xfId="33070"/>
    <cellStyle name="Heading 2 2 2 3 2 5 3 3" xfId="33071"/>
    <cellStyle name="Heading 2 2 2 3 2 5 4" xfId="33072"/>
    <cellStyle name="Heading 2 2 2 3 2 5 4 2" xfId="33073"/>
    <cellStyle name="Heading 2 2 2 3 2 5 4 2 2" xfId="33074"/>
    <cellStyle name="Heading 2 2 2 3 2 5 4 3" xfId="33075"/>
    <cellStyle name="Heading 2 2 2 3 2 5 5" xfId="33076"/>
    <cellStyle name="Heading 2 2 2 3 2 5 5 2" xfId="33077"/>
    <cellStyle name="Heading 2 2 2 3 2 5 5 2 2" xfId="33078"/>
    <cellStyle name="Heading 2 2 2 3 2 5 5 3" xfId="33079"/>
    <cellStyle name="Heading 2 2 2 3 2 5 6" xfId="33080"/>
    <cellStyle name="Heading 2 2 2 3 2 5 6 2" xfId="33081"/>
    <cellStyle name="Heading 2 2 2 3 2 5 6 2 2" xfId="33082"/>
    <cellStyle name="Heading 2 2 2 3 2 5 6 3" xfId="33083"/>
    <cellStyle name="Heading 2 2 2 3 2 5 7" xfId="33084"/>
    <cellStyle name="Heading 2 2 2 3 2 5 7 2" xfId="33085"/>
    <cellStyle name="Heading 2 2 2 3 2 5 7 2 2" xfId="33086"/>
    <cellStyle name="Heading 2 2 2 3 2 5 7 3" xfId="33087"/>
    <cellStyle name="Heading 2 2 2 3 2 5 8" xfId="33088"/>
    <cellStyle name="Heading 2 2 2 3 2 5 8 2" xfId="33089"/>
    <cellStyle name="Heading 2 2 2 3 2 5 9" xfId="33090"/>
    <cellStyle name="Heading 2 2 2 3 2 6" xfId="33091"/>
    <cellStyle name="Heading 2 2 2 3 2 6 2" xfId="33092"/>
    <cellStyle name="Heading 2 2 2 3 2 6 2 2" xfId="33093"/>
    <cellStyle name="Heading 2 2 2 3 2 6 2 2 2" xfId="33094"/>
    <cellStyle name="Heading 2 2 2 3 2 6 2 3" xfId="33095"/>
    <cellStyle name="Heading 2 2 2 3 2 6 3" xfId="33096"/>
    <cellStyle name="Heading 2 2 2 3 2 6 3 2" xfId="33097"/>
    <cellStyle name="Heading 2 2 2 3 2 6 3 2 2" xfId="33098"/>
    <cellStyle name="Heading 2 2 2 3 2 6 3 3" xfId="33099"/>
    <cellStyle name="Heading 2 2 2 3 2 6 4" xfId="33100"/>
    <cellStyle name="Heading 2 2 2 3 2 6 4 2" xfId="33101"/>
    <cellStyle name="Heading 2 2 2 3 2 6 4 2 2" xfId="33102"/>
    <cellStyle name="Heading 2 2 2 3 2 6 4 3" xfId="33103"/>
    <cellStyle name="Heading 2 2 2 3 2 6 5" xfId="33104"/>
    <cellStyle name="Heading 2 2 2 3 2 6 5 2" xfId="33105"/>
    <cellStyle name="Heading 2 2 2 3 2 6 5 2 2" xfId="33106"/>
    <cellStyle name="Heading 2 2 2 3 2 6 5 3" xfId="33107"/>
    <cellStyle name="Heading 2 2 2 3 2 6 6" xfId="33108"/>
    <cellStyle name="Heading 2 2 2 3 2 6 6 2" xfId="33109"/>
    <cellStyle name="Heading 2 2 2 3 2 6 6 2 2" xfId="33110"/>
    <cellStyle name="Heading 2 2 2 3 2 6 6 3" xfId="33111"/>
    <cellStyle name="Heading 2 2 2 3 2 6 7" xfId="33112"/>
    <cellStyle name="Heading 2 2 2 3 2 6 7 2" xfId="33113"/>
    <cellStyle name="Heading 2 2 2 3 2 6 7 2 2" xfId="33114"/>
    <cellStyle name="Heading 2 2 2 3 2 6 7 3" xfId="33115"/>
    <cellStyle name="Heading 2 2 2 3 2 6 8" xfId="33116"/>
    <cellStyle name="Heading 2 2 2 3 2 6 8 2" xfId="33117"/>
    <cellStyle name="Heading 2 2 2 3 2 6 9" xfId="33118"/>
    <cellStyle name="Heading 2 2 2 3 2 7" xfId="33119"/>
    <cellStyle name="Heading 2 2 2 3 2 7 2" xfId="33120"/>
    <cellStyle name="Heading 2 2 2 3 2 7 2 2" xfId="33121"/>
    <cellStyle name="Heading 2 2 2 3 2 7 2 2 2" xfId="33122"/>
    <cellStyle name="Heading 2 2 2 3 2 7 2 3" xfId="33123"/>
    <cellStyle name="Heading 2 2 2 3 2 7 3" xfId="33124"/>
    <cellStyle name="Heading 2 2 2 3 2 7 3 2" xfId="33125"/>
    <cellStyle name="Heading 2 2 2 3 2 7 3 2 2" xfId="33126"/>
    <cellStyle name="Heading 2 2 2 3 2 7 3 3" xfId="33127"/>
    <cellStyle name="Heading 2 2 2 3 2 7 4" xfId="33128"/>
    <cellStyle name="Heading 2 2 2 3 2 7 4 2" xfId="33129"/>
    <cellStyle name="Heading 2 2 2 3 2 7 4 2 2" xfId="33130"/>
    <cellStyle name="Heading 2 2 2 3 2 7 4 3" xfId="33131"/>
    <cellStyle name="Heading 2 2 2 3 2 7 5" xfId="33132"/>
    <cellStyle name="Heading 2 2 2 3 2 7 5 2" xfId="33133"/>
    <cellStyle name="Heading 2 2 2 3 2 7 5 2 2" xfId="33134"/>
    <cellStyle name="Heading 2 2 2 3 2 7 5 3" xfId="33135"/>
    <cellStyle name="Heading 2 2 2 3 2 7 6" xfId="33136"/>
    <cellStyle name="Heading 2 2 2 3 2 7 6 2" xfId="33137"/>
    <cellStyle name="Heading 2 2 2 3 2 7 6 2 2" xfId="33138"/>
    <cellStyle name="Heading 2 2 2 3 2 7 6 3" xfId="33139"/>
    <cellStyle name="Heading 2 2 2 3 2 7 7" xfId="33140"/>
    <cellStyle name="Heading 2 2 2 3 2 7 7 2" xfId="33141"/>
    <cellStyle name="Heading 2 2 2 3 2 7 7 2 2" xfId="33142"/>
    <cellStyle name="Heading 2 2 2 3 2 7 7 3" xfId="33143"/>
    <cellStyle name="Heading 2 2 2 3 2 7 8" xfId="33144"/>
    <cellStyle name="Heading 2 2 2 3 2 7 8 2" xfId="33145"/>
    <cellStyle name="Heading 2 2 2 3 2 7 9" xfId="33146"/>
    <cellStyle name="Heading 2 2 2 3 2 8" xfId="33147"/>
    <cellStyle name="Heading 2 2 2 3 2 8 2" xfId="33148"/>
    <cellStyle name="Heading 2 2 2 3 2 8 2 2" xfId="33149"/>
    <cellStyle name="Heading 2 2 2 3 2 8 2 2 2" xfId="33150"/>
    <cellStyle name="Heading 2 2 2 3 2 8 2 3" xfId="33151"/>
    <cellStyle name="Heading 2 2 2 3 2 8 3" xfId="33152"/>
    <cellStyle name="Heading 2 2 2 3 2 8 3 2" xfId="33153"/>
    <cellStyle name="Heading 2 2 2 3 2 8 3 2 2" xfId="33154"/>
    <cellStyle name="Heading 2 2 2 3 2 8 3 3" xfId="33155"/>
    <cellStyle name="Heading 2 2 2 3 2 8 4" xfId="33156"/>
    <cellStyle name="Heading 2 2 2 3 2 8 4 2" xfId="33157"/>
    <cellStyle name="Heading 2 2 2 3 2 8 4 2 2" xfId="33158"/>
    <cellStyle name="Heading 2 2 2 3 2 8 4 3" xfId="33159"/>
    <cellStyle name="Heading 2 2 2 3 2 8 5" xfId="33160"/>
    <cellStyle name="Heading 2 2 2 3 2 8 5 2" xfId="33161"/>
    <cellStyle name="Heading 2 2 2 3 2 8 5 2 2" xfId="33162"/>
    <cellStyle name="Heading 2 2 2 3 2 8 5 3" xfId="33163"/>
    <cellStyle name="Heading 2 2 2 3 2 8 6" xfId="33164"/>
    <cellStyle name="Heading 2 2 2 3 2 8 6 2" xfId="33165"/>
    <cellStyle name="Heading 2 2 2 3 2 8 6 2 2" xfId="33166"/>
    <cellStyle name="Heading 2 2 2 3 2 8 6 3" xfId="33167"/>
    <cellStyle name="Heading 2 2 2 3 2 8 7" xfId="33168"/>
    <cellStyle name="Heading 2 2 2 3 2 8 7 2" xfId="33169"/>
    <cellStyle name="Heading 2 2 2 3 2 8 7 2 2" xfId="33170"/>
    <cellStyle name="Heading 2 2 2 3 2 8 7 3" xfId="33171"/>
    <cellStyle name="Heading 2 2 2 3 2 8 8" xfId="33172"/>
    <cellStyle name="Heading 2 2 2 3 2 8 8 2" xfId="33173"/>
    <cellStyle name="Heading 2 2 2 3 2 8 9" xfId="33174"/>
    <cellStyle name="Heading 2 2 2 3 2 9" xfId="33175"/>
    <cellStyle name="Heading 2 2 2 3 2 9 2" xfId="33176"/>
    <cellStyle name="Heading 2 2 2 3 2 9 2 2" xfId="33177"/>
    <cellStyle name="Heading 2 2 2 3 2 9 2 2 2" xfId="33178"/>
    <cellStyle name="Heading 2 2 2 3 2 9 2 3" xfId="33179"/>
    <cellStyle name="Heading 2 2 2 3 2 9 3" xfId="33180"/>
    <cellStyle name="Heading 2 2 2 3 2 9 3 2" xfId="33181"/>
    <cellStyle name="Heading 2 2 2 3 2 9 3 2 2" xfId="33182"/>
    <cellStyle name="Heading 2 2 2 3 2 9 3 3" xfId="33183"/>
    <cellStyle name="Heading 2 2 2 3 2 9 4" xfId="33184"/>
    <cellStyle name="Heading 2 2 2 3 2 9 4 2" xfId="33185"/>
    <cellStyle name="Heading 2 2 2 3 2 9 4 2 2" xfId="33186"/>
    <cellStyle name="Heading 2 2 2 3 2 9 4 3" xfId="33187"/>
    <cellStyle name="Heading 2 2 2 3 2 9 5" xfId="33188"/>
    <cellStyle name="Heading 2 2 2 3 2 9 5 2" xfId="33189"/>
    <cellStyle name="Heading 2 2 2 3 2 9 5 2 2" xfId="33190"/>
    <cellStyle name="Heading 2 2 2 3 2 9 5 3" xfId="33191"/>
    <cellStyle name="Heading 2 2 2 3 2 9 6" xfId="33192"/>
    <cellStyle name="Heading 2 2 2 3 2 9 6 2" xfId="33193"/>
    <cellStyle name="Heading 2 2 2 3 2 9 6 2 2" xfId="33194"/>
    <cellStyle name="Heading 2 2 2 3 2 9 6 3" xfId="33195"/>
    <cellStyle name="Heading 2 2 2 3 2 9 7" xfId="33196"/>
    <cellStyle name="Heading 2 2 2 3 2 9 7 2" xfId="33197"/>
    <cellStyle name="Heading 2 2 2 3 2 9 7 2 2" xfId="33198"/>
    <cellStyle name="Heading 2 2 2 3 2 9 7 3" xfId="33199"/>
    <cellStyle name="Heading 2 2 2 3 2 9 8" xfId="33200"/>
    <cellStyle name="Heading 2 2 2 3 2 9 8 2" xfId="33201"/>
    <cellStyle name="Heading 2 2 2 3 2 9 9" xfId="33202"/>
    <cellStyle name="Heading 2 2 2 3 3" xfId="33203"/>
    <cellStyle name="Heading 2 2 2 3 3 10" xfId="33204"/>
    <cellStyle name="Heading 2 2 2 3 3 10 2" xfId="33205"/>
    <cellStyle name="Heading 2 2 2 3 3 10 2 2" xfId="33206"/>
    <cellStyle name="Heading 2 2 2 3 3 10 3" xfId="33207"/>
    <cellStyle name="Heading 2 2 2 3 3 11" xfId="33208"/>
    <cellStyle name="Heading 2 2 2 3 3 11 2" xfId="33209"/>
    <cellStyle name="Heading 2 2 2 3 3 11 2 2" xfId="33210"/>
    <cellStyle name="Heading 2 2 2 3 3 11 3" xfId="33211"/>
    <cellStyle name="Heading 2 2 2 3 3 12" xfId="33212"/>
    <cellStyle name="Heading 2 2 2 3 3 12 2" xfId="33213"/>
    <cellStyle name="Heading 2 2 2 3 3 12 2 2" xfId="33214"/>
    <cellStyle name="Heading 2 2 2 3 3 12 3" xfId="33215"/>
    <cellStyle name="Heading 2 2 2 3 3 13" xfId="33216"/>
    <cellStyle name="Heading 2 2 2 3 3 13 2" xfId="33217"/>
    <cellStyle name="Heading 2 2 2 3 3 13 2 2" xfId="33218"/>
    <cellStyle name="Heading 2 2 2 3 3 13 3" xfId="33219"/>
    <cellStyle name="Heading 2 2 2 3 3 14" xfId="33220"/>
    <cellStyle name="Heading 2 2 2 3 3 14 2" xfId="33221"/>
    <cellStyle name="Heading 2 2 2 3 3 14 2 2" xfId="33222"/>
    <cellStyle name="Heading 2 2 2 3 3 14 3" xfId="33223"/>
    <cellStyle name="Heading 2 2 2 3 3 15" xfId="33224"/>
    <cellStyle name="Heading 2 2 2 3 3 15 2" xfId="33225"/>
    <cellStyle name="Heading 2 2 2 3 3 15 2 2" xfId="33226"/>
    <cellStyle name="Heading 2 2 2 3 3 15 3" xfId="33227"/>
    <cellStyle name="Heading 2 2 2 3 3 16" xfId="33228"/>
    <cellStyle name="Heading 2 2 2 3 3 16 2" xfId="33229"/>
    <cellStyle name="Heading 2 2 2 3 3 16 2 2" xfId="33230"/>
    <cellStyle name="Heading 2 2 2 3 3 16 3" xfId="33231"/>
    <cellStyle name="Heading 2 2 2 3 3 17" xfId="33232"/>
    <cellStyle name="Heading 2 2 2 3 3 17 2" xfId="33233"/>
    <cellStyle name="Heading 2 2 2 3 3 17 2 2" xfId="33234"/>
    <cellStyle name="Heading 2 2 2 3 3 17 3" xfId="33235"/>
    <cellStyle name="Heading 2 2 2 3 3 18" xfId="33236"/>
    <cellStyle name="Heading 2 2 2 3 3 18 2" xfId="33237"/>
    <cellStyle name="Heading 2 2 2 3 3 18 2 2" xfId="33238"/>
    <cellStyle name="Heading 2 2 2 3 3 18 3" xfId="33239"/>
    <cellStyle name="Heading 2 2 2 3 3 19" xfId="33240"/>
    <cellStyle name="Heading 2 2 2 3 3 19 2" xfId="33241"/>
    <cellStyle name="Heading 2 2 2 3 3 2" xfId="33242"/>
    <cellStyle name="Heading 2 2 2 3 3 2 2" xfId="33243"/>
    <cellStyle name="Heading 2 2 2 3 3 2 2 2" xfId="33244"/>
    <cellStyle name="Heading 2 2 2 3 3 2 2 2 2" xfId="33245"/>
    <cellStyle name="Heading 2 2 2 3 3 2 2 3" xfId="33246"/>
    <cellStyle name="Heading 2 2 2 3 3 2 3" xfId="33247"/>
    <cellStyle name="Heading 2 2 2 3 3 2 3 2" xfId="33248"/>
    <cellStyle name="Heading 2 2 2 3 3 2 3 2 2" xfId="33249"/>
    <cellStyle name="Heading 2 2 2 3 3 2 3 3" xfId="33250"/>
    <cellStyle name="Heading 2 2 2 3 3 2 4" xfId="33251"/>
    <cellStyle name="Heading 2 2 2 3 3 2 4 2" xfId="33252"/>
    <cellStyle name="Heading 2 2 2 3 3 2 4 2 2" xfId="33253"/>
    <cellStyle name="Heading 2 2 2 3 3 2 4 3" xfId="33254"/>
    <cellStyle name="Heading 2 2 2 3 3 2 5" xfId="33255"/>
    <cellStyle name="Heading 2 2 2 3 3 2 5 2" xfId="33256"/>
    <cellStyle name="Heading 2 2 2 3 3 2 5 2 2" xfId="33257"/>
    <cellStyle name="Heading 2 2 2 3 3 2 5 3" xfId="33258"/>
    <cellStyle name="Heading 2 2 2 3 3 2 6" xfId="33259"/>
    <cellStyle name="Heading 2 2 2 3 3 2 6 2" xfId="33260"/>
    <cellStyle name="Heading 2 2 2 3 3 2 6 2 2" xfId="33261"/>
    <cellStyle name="Heading 2 2 2 3 3 2 6 3" xfId="33262"/>
    <cellStyle name="Heading 2 2 2 3 3 2 7" xfId="33263"/>
    <cellStyle name="Heading 2 2 2 3 3 2 7 2" xfId="33264"/>
    <cellStyle name="Heading 2 2 2 3 3 2 7 2 2" xfId="33265"/>
    <cellStyle name="Heading 2 2 2 3 3 2 7 3" xfId="33266"/>
    <cellStyle name="Heading 2 2 2 3 3 2 8" xfId="33267"/>
    <cellStyle name="Heading 2 2 2 3 3 2 8 2" xfId="33268"/>
    <cellStyle name="Heading 2 2 2 3 3 2 9" xfId="33269"/>
    <cellStyle name="Heading 2 2 2 3 3 20" xfId="33270"/>
    <cellStyle name="Heading 2 2 2 3 3 20 2" xfId="33271"/>
    <cellStyle name="Heading 2 2 2 3 3 21" xfId="33272"/>
    <cellStyle name="Heading 2 2 2 3 3 21 2" xfId="33273"/>
    <cellStyle name="Heading 2 2 2 3 3 22" xfId="33274"/>
    <cellStyle name="Heading 2 2 2 3 3 3" xfId="33275"/>
    <cellStyle name="Heading 2 2 2 3 3 3 2" xfId="33276"/>
    <cellStyle name="Heading 2 2 2 3 3 3 2 2" xfId="33277"/>
    <cellStyle name="Heading 2 2 2 3 3 3 2 2 2" xfId="33278"/>
    <cellStyle name="Heading 2 2 2 3 3 3 2 3" xfId="33279"/>
    <cellStyle name="Heading 2 2 2 3 3 3 3" xfId="33280"/>
    <cellStyle name="Heading 2 2 2 3 3 3 3 2" xfId="33281"/>
    <cellStyle name="Heading 2 2 2 3 3 3 3 2 2" xfId="33282"/>
    <cellStyle name="Heading 2 2 2 3 3 3 3 3" xfId="33283"/>
    <cellStyle name="Heading 2 2 2 3 3 3 4" xfId="33284"/>
    <cellStyle name="Heading 2 2 2 3 3 3 4 2" xfId="33285"/>
    <cellStyle name="Heading 2 2 2 3 3 3 4 2 2" xfId="33286"/>
    <cellStyle name="Heading 2 2 2 3 3 3 4 3" xfId="33287"/>
    <cellStyle name="Heading 2 2 2 3 3 3 5" xfId="33288"/>
    <cellStyle name="Heading 2 2 2 3 3 3 5 2" xfId="33289"/>
    <cellStyle name="Heading 2 2 2 3 3 3 5 2 2" xfId="33290"/>
    <cellStyle name="Heading 2 2 2 3 3 3 5 3" xfId="33291"/>
    <cellStyle name="Heading 2 2 2 3 3 3 6" xfId="33292"/>
    <cellStyle name="Heading 2 2 2 3 3 3 6 2" xfId="33293"/>
    <cellStyle name="Heading 2 2 2 3 3 3 6 2 2" xfId="33294"/>
    <cellStyle name="Heading 2 2 2 3 3 3 6 3" xfId="33295"/>
    <cellStyle name="Heading 2 2 2 3 3 3 7" xfId="33296"/>
    <cellStyle name="Heading 2 2 2 3 3 3 7 2" xfId="33297"/>
    <cellStyle name="Heading 2 2 2 3 3 3 7 2 2" xfId="33298"/>
    <cellStyle name="Heading 2 2 2 3 3 3 7 3" xfId="33299"/>
    <cellStyle name="Heading 2 2 2 3 3 3 8" xfId="33300"/>
    <cellStyle name="Heading 2 2 2 3 3 3 8 2" xfId="33301"/>
    <cellStyle name="Heading 2 2 2 3 3 3 9" xfId="33302"/>
    <cellStyle name="Heading 2 2 2 3 3 4" xfId="33303"/>
    <cellStyle name="Heading 2 2 2 3 3 4 2" xfId="33304"/>
    <cellStyle name="Heading 2 2 2 3 3 4 2 2" xfId="33305"/>
    <cellStyle name="Heading 2 2 2 3 3 4 2 2 2" xfId="33306"/>
    <cellStyle name="Heading 2 2 2 3 3 4 2 3" xfId="33307"/>
    <cellStyle name="Heading 2 2 2 3 3 4 3" xfId="33308"/>
    <cellStyle name="Heading 2 2 2 3 3 4 3 2" xfId="33309"/>
    <cellStyle name="Heading 2 2 2 3 3 4 3 2 2" xfId="33310"/>
    <cellStyle name="Heading 2 2 2 3 3 4 3 3" xfId="33311"/>
    <cellStyle name="Heading 2 2 2 3 3 4 4" xfId="33312"/>
    <cellStyle name="Heading 2 2 2 3 3 4 4 2" xfId="33313"/>
    <cellStyle name="Heading 2 2 2 3 3 4 4 2 2" xfId="33314"/>
    <cellStyle name="Heading 2 2 2 3 3 4 4 3" xfId="33315"/>
    <cellStyle name="Heading 2 2 2 3 3 4 5" xfId="33316"/>
    <cellStyle name="Heading 2 2 2 3 3 4 5 2" xfId="33317"/>
    <cellStyle name="Heading 2 2 2 3 3 4 5 2 2" xfId="33318"/>
    <cellStyle name="Heading 2 2 2 3 3 4 5 3" xfId="33319"/>
    <cellStyle name="Heading 2 2 2 3 3 4 6" xfId="33320"/>
    <cellStyle name="Heading 2 2 2 3 3 4 6 2" xfId="33321"/>
    <cellStyle name="Heading 2 2 2 3 3 4 6 2 2" xfId="33322"/>
    <cellStyle name="Heading 2 2 2 3 3 4 6 3" xfId="33323"/>
    <cellStyle name="Heading 2 2 2 3 3 4 7" xfId="33324"/>
    <cellStyle name="Heading 2 2 2 3 3 4 7 2" xfId="33325"/>
    <cellStyle name="Heading 2 2 2 3 3 4 7 2 2" xfId="33326"/>
    <cellStyle name="Heading 2 2 2 3 3 4 7 3" xfId="33327"/>
    <cellStyle name="Heading 2 2 2 3 3 4 8" xfId="33328"/>
    <cellStyle name="Heading 2 2 2 3 3 4 8 2" xfId="33329"/>
    <cellStyle name="Heading 2 2 2 3 3 4 9" xfId="33330"/>
    <cellStyle name="Heading 2 2 2 3 3 5" xfId="33331"/>
    <cellStyle name="Heading 2 2 2 3 3 5 2" xfId="33332"/>
    <cellStyle name="Heading 2 2 2 3 3 5 2 2" xfId="33333"/>
    <cellStyle name="Heading 2 2 2 3 3 5 2 2 2" xfId="33334"/>
    <cellStyle name="Heading 2 2 2 3 3 5 2 3" xfId="33335"/>
    <cellStyle name="Heading 2 2 2 3 3 5 3" xfId="33336"/>
    <cellStyle name="Heading 2 2 2 3 3 5 3 2" xfId="33337"/>
    <cellStyle name="Heading 2 2 2 3 3 5 3 2 2" xfId="33338"/>
    <cellStyle name="Heading 2 2 2 3 3 5 3 3" xfId="33339"/>
    <cellStyle name="Heading 2 2 2 3 3 5 4" xfId="33340"/>
    <cellStyle name="Heading 2 2 2 3 3 5 4 2" xfId="33341"/>
    <cellStyle name="Heading 2 2 2 3 3 5 4 2 2" xfId="33342"/>
    <cellStyle name="Heading 2 2 2 3 3 5 4 3" xfId="33343"/>
    <cellStyle name="Heading 2 2 2 3 3 5 5" xfId="33344"/>
    <cellStyle name="Heading 2 2 2 3 3 5 5 2" xfId="33345"/>
    <cellStyle name="Heading 2 2 2 3 3 5 5 2 2" xfId="33346"/>
    <cellStyle name="Heading 2 2 2 3 3 5 5 3" xfId="33347"/>
    <cellStyle name="Heading 2 2 2 3 3 5 6" xfId="33348"/>
    <cellStyle name="Heading 2 2 2 3 3 5 6 2" xfId="33349"/>
    <cellStyle name="Heading 2 2 2 3 3 5 6 2 2" xfId="33350"/>
    <cellStyle name="Heading 2 2 2 3 3 5 6 3" xfId="33351"/>
    <cellStyle name="Heading 2 2 2 3 3 5 7" xfId="33352"/>
    <cellStyle name="Heading 2 2 2 3 3 5 7 2" xfId="33353"/>
    <cellStyle name="Heading 2 2 2 3 3 5 7 2 2" xfId="33354"/>
    <cellStyle name="Heading 2 2 2 3 3 5 7 3" xfId="33355"/>
    <cellStyle name="Heading 2 2 2 3 3 5 8" xfId="33356"/>
    <cellStyle name="Heading 2 2 2 3 3 5 8 2" xfId="33357"/>
    <cellStyle name="Heading 2 2 2 3 3 5 9" xfId="33358"/>
    <cellStyle name="Heading 2 2 2 3 3 6" xfId="33359"/>
    <cellStyle name="Heading 2 2 2 3 3 6 2" xfId="33360"/>
    <cellStyle name="Heading 2 2 2 3 3 6 2 2" xfId="33361"/>
    <cellStyle name="Heading 2 2 2 3 3 6 2 2 2" xfId="33362"/>
    <cellStyle name="Heading 2 2 2 3 3 6 2 3" xfId="33363"/>
    <cellStyle name="Heading 2 2 2 3 3 6 3" xfId="33364"/>
    <cellStyle name="Heading 2 2 2 3 3 6 3 2" xfId="33365"/>
    <cellStyle name="Heading 2 2 2 3 3 6 3 2 2" xfId="33366"/>
    <cellStyle name="Heading 2 2 2 3 3 6 3 3" xfId="33367"/>
    <cellStyle name="Heading 2 2 2 3 3 6 4" xfId="33368"/>
    <cellStyle name="Heading 2 2 2 3 3 6 4 2" xfId="33369"/>
    <cellStyle name="Heading 2 2 2 3 3 6 4 2 2" xfId="33370"/>
    <cellStyle name="Heading 2 2 2 3 3 6 4 3" xfId="33371"/>
    <cellStyle name="Heading 2 2 2 3 3 6 5" xfId="33372"/>
    <cellStyle name="Heading 2 2 2 3 3 6 5 2" xfId="33373"/>
    <cellStyle name="Heading 2 2 2 3 3 6 5 2 2" xfId="33374"/>
    <cellStyle name="Heading 2 2 2 3 3 6 5 3" xfId="33375"/>
    <cellStyle name="Heading 2 2 2 3 3 6 6" xfId="33376"/>
    <cellStyle name="Heading 2 2 2 3 3 6 6 2" xfId="33377"/>
    <cellStyle name="Heading 2 2 2 3 3 6 6 2 2" xfId="33378"/>
    <cellStyle name="Heading 2 2 2 3 3 6 6 3" xfId="33379"/>
    <cellStyle name="Heading 2 2 2 3 3 6 7" xfId="33380"/>
    <cellStyle name="Heading 2 2 2 3 3 6 7 2" xfId="33381"/>
    <cellStyle name="Heading 2 2 2 3 3 6 7 2 2" xfId="33382"/>
    <cellStyle name="Heading 2 2 2 3 3 6 7 3" xfId="33383"/>
    <cellStyle name="Heading 2 2 2 3 3 6 8" xfId="33384"/>
    <cellStyle name="Heading 2 2 2 3 3 6 8 2" xfId="33385"/>
    <cellStyle name="Heading 2 2 2 3 3 6 9" xfId="33386"/>
    <cellStyle name="Heading 2 2 2 3 3 7" xfId="33387"/>
    <cellStyle name="Heading 2 2 2 3 3 7 2" xfId="33388"/>
    <cellStyle name="Heading 2 2 2 3 3 7 2 2" xfId="33389"/>
    <cellStyle name="Heading 2 2 2 3 3 7 2 2 2" xfId="33390"/>
    <cellStyle name="Heading 2 2 2 3 3 7 2 3" xfId="33391"/>
    <cellStyle name="Heading 2 2 2 3 3 7 3" xfId="33392"/>
    <cellStyle name="Heading 2 2 2 3 3 7 3 2" xfId="33393"/>
    <cellStyle name="Heading 2 2 2 3 3 7 3 2 2" xfId="33394"/>
    <cellStyle name="Heading 2 2 2 3 3 7 3 3" xfId="33395"/>
    <cellStyle name="Heading 2 2 2 3 3 7 4" xfId="33396"/>
    <cellStyle name="Heading 2 2 2 3 3 7 4 2" xfId="33397"/>
    <cellStyle name="Heading 2 2 2 3 3 7 4 2 2" xfId="33398"/>
    <cellStyle name="Heading 2 2 2 3 3 7 4 3" xfId="33399"/>
    <cellStyle name="Heading 2 2 2 3 3 7 5" xfId="33400"/>
    <cellStyle name="Heading 2 2 2 3 3 7 5 2" xfId="33401"/>
    <cellStyle name="Heading 2 2 2 3 3 7 5 2 2" xfId="33402"/>
    <cellStyle name="Heading 2 2 2 3 3 7 5 3" xfId="33403"/>
    <cellStyle name="Heading 2 2 2 3 3 7 6" xfId="33404"/>
    <cellStyle name="Heading 2 2 2 3 3 7 6 2" xfId="33405"/>
    <cellStyle name="Heading 2 2 2 3 3 7 6 2 2" xfId="33406"/>
    <cellStyle name="Heading 2 2 2 3 3 7 6 3" xfId="33407"/>
    <cellStyle name="Heading 2 2 2 3 3 7 7" xfId="33408"/>
    <cellStyle name="Heading 2 2 2 3 3 7 7 2" xfId="33409"/>
    <cellStyle name="Heading 2 2 2 3 3 7 7 2 2" xfId="33410"/>
    <cellStyle name="Heading 2 2 2 3 3 7 7 3" xfId="33411"/>
    <cellStyle name="Heading 2 2 2 3 3 7 8" xfId="33412"/>
    <cellStyle name="Heading 2 2 2 3 3 7 8 2" xfId="33413"/>
    <cellStyle name="Heading 2 2 2 3 3 7 9" xfId="33414"/>
    <cellStyle name="Heading 2 2 2 3 3 8" xfId="33415"/>
    <cellStyle name="Heading 2 2 2 3 3 8 2" xfId="33416"/>
    <cellStyle name="Heading 2 2 2 3 3 8 2 2" xfId="33417"/>
    <cellStyle name="Heading 2 2 2 3 3 8 2 2 2" xfId="33418"/>
    <cellStyle name="Heading 2 2 2 3 3 8 2 3" xfId="33419"/>
    <cellStyle name="Heading 2 2 2 3 3 8 3" xfId="33420"/>
    <cellStyle name="Heading 2 2 2 3 3 8 3 2" xfId="33421"/>
    <cellStyle name="Heading 2 2 2 3 3 8 3 2 2" xfId="33422"/>
    <cellStyle name="Heading 2 2 2 3 3 8 3 3" xfId="33423"/>
    <cellStyle name="Heading 2 2 2 3 3 8 4" xfId="33424"/>
    <cellStyle name="Heading 2 2 2 3 3 8 4 2" xfId="33425"/>
    <cellStyle name="Heading 2 2 2 3 3 8 4 2 2" xfId="33426"/>
    <cellStyle name="Heading 2 2 2 3 3 8 4 3" xfId="33427"/>
    <cellStyle name="Heading 2 2 2 3 3 8 5" xfId="33428"/>
    <cellStyle name="Heading 2 2 2 3 3 8 5 2" xfId="33429"/>
    <cellStyle name="Heading 2 2 2 3 3 8 5 2 2" xfId="33430"/>
    <cellStyle name="Heading 2 2 2 3 3 8 5 3" xfId="33431"/>
    <cellStyle name="Heading 2 2 2 3 3 8 6" xfId="33432"/>
    <cellStyle name="Heading 2 2 2 3 3 8 6 2" xfId="33433"/>
    <cellStyle name="Heading 2 2 2 3 3 8 6 2 2" xfId="33434"/>
    <cellStyle name="Heading 2 2 2 3 3 8 6 3" xfId="33435"/>
    <cellStyle name="Heading 2 2 2 3 3 8 7" xfId="33436"/>
    <cellStyle name="Heading 2 2 2 3 3 8 7 2" xfId="33437"/>
    <cellStyle name="Heading 2 2 2 3 3 8 7 2 2" xfId="33438"/>
    <cellStyle name="Heading 2 2 2 3 3 8 7 3" xfId="33439"/>
    <cellStyle name="Heading 2 2 2 3 3 8 8" xfId="33440"/>
    <cellStyle name="Heading 2 2 2 3 3 8 8 2" xfId="33441"/>
    <cellStyle name="Heading 2 2 2 3 3 8 9" xfId="33442"/>
    <cellStyle name="Heading 2 2 2 3 3 9" xfId="33443"/>
    <cellStyle name="Heading 2 2 2 3 3 9 2" xfId="33444"/>
    <cellStyle name="Heading 2 2 2 3 3 9 2 2" xfId="33445"/>
    <cellStyle name="Heading 2 2 2 3 3 9 3" xfId="33446"/>
    <cellStyle name="Heading 2 2 2 3 4" xfId="33447"/>
    <cellStyle name="Heading 2 2 2 3 4 2" xfId="33448"/>
    <cellStyle name="Heading 2 2 2 3 4 2 2" xfId="33449"/>
    <cellStyle name="Heading 2 2 2 3 4 3" xfId="33450"/>
    <cellStyle name="Heading 2 2 2 3 5" xfId="33451"/>
    <cellStyle name="Heading 2 2 2 3 5 2" xfId="33452"/>
    <cellStyle name="Heading 2 2 2 3 6" xfId="33453"/>
    <cellStyle name="Heading 2 2 2 4" xfId="33454"/>
    <cellStyle name="Heading 2 2 2 4 2" xfId="33455"/>
    <cellStyle name="Heading 2 2 2 4 2 10" xfId="33456"/>
    <cellStyle name="Heading 2 2 2 4 2 10 2" xfId="33457"/>
    <cellStyle name="Heading 2 2 2 4 2 10 2 2" xfId="33458"/>
    <cellStyle name="Heading 2 2 2 4 2 10 3" xfId="33459"/>
    <cellStyle name="Heading 2 2 2 4 2 11" xfId="33460"/>
    <cellStyle name="Heading 2 2 2 4 2 11 2" xfId="33461"/>
    <cellStyle name="Heading 2 2 2 4 2 11 2 2" xfId="33462"/>
    <cellStyle name="Heading 2 2 2 4 2 11 3" xfId="33463"/>
    <cellStyle name="Heading 2 2 2 4 2 12" xfId="33464"/>
    <cellStyle name="Heading 2 2 2 4 2 12 2" xfId="33465"/>
    <cellStyle name="Heading 2 2 2 4 2 12 2 2" xfId="33466"/>
    <cellStyle name="Heading 2 2 2 4 2 12 3" xfId="33467"/>
    <cellStyle name="Heading 2 2 2 4 2 13" xfId="33468"/>
    <cellStyle name="Heading 2 2 2 4 2 13 2" xfId="33469"/>
    <cellStyle name="Heading 2 2 2 4 2 13 2 2" xfId="33470"/>
    <cellStyle name="Heading 2 2 2 4 2 13 3" xfId="33471"/>
    <cellStyle name="Heading 2 2 2 4 2 14" xfId="33472"/>
    <cellStyle name="Heading 2 2 2 4 2 14 2" xfId="33473"/>
    <cellStyle name="Heading 2 2 2 4 2 14 2 2" xfId="33474"/>
    <cellStyle name="Heading 2 2 2 4 2 14 3" xfId="33475"/>
    <cellStyle name="Heading 2 2 2 4 2 15" xfId="33476"/>
    <cellStyle name="Heading 2 2 2 4 2 15 2" xfId="33477"/>
    <cellStyle name="Heading 2 2 2 4 2 15 2 2" xfId="33478"/>
    <cellStyle name="Heading 2 2 2 4 2 15 3" xfId="33479"/>
    <cellStyle name="Heading 2 2 2 4 2 16" xfId="33480"/>
    <cellStyle name="Heading 2 2 2 4 2 16 2" xfId="33481"/>
    <cellStyle name="Heading 2 2 2 4 2 16 2 2" xfId="33482"/>
    <cellStyle name="Heading 2 2 2 4 2 16 3" xfId="33483"/>
    <cellStyle name="Heading 2 2 2 4 2 17" xfId="33484"/>
    <cellStyle name="Heading 2 2 2 4 2 17 2" xfId="33485"/>
    <cellStyle name="Heading 2 2 2 4 2 17 2 2" xfId="33486"/>
    <cellStyle name="Heading 2 2 2 4 2 17 3" xfId="33487"/>
    <cellStyle name="Heading 2 2 2 4 2 18" xfId="33488"/>
    <cellStyle name="Heading 2 2 2 4 2 18 2" xfId="33489"/>
    <cellStyle name="Heading 2 2 2 4 2 18 2 2" xfId="33490"/>
    <cellStyle name="Heading 2 2 2 4 2 18 3" xfId="33491"/>
    <cellStyle name="Heading 2 2 2 4 2 19" xfId="33492"/>
    <cellStyle name="Heading 2 2 2 4 2 19 2" xfId="33493"/>
    <cellStyle name="Heading 2 2 2 4 2 19 2 2" xfId="33494"/>
    <cellStyle name="Heading 2 2 2 4 2 19 3" xfId="33495"/>
    <cellStyle name="Heading 2 2 2 4 2 2" xfId="33496"/>
    <cellStyle name="Heading 2 2 2 4 2 2 10" xfId="33497"/>
    <cellStyle name="Heading 2 2 2 4 2 2 10 2" xfId="33498"/>
    <cellStyle name="Heading 2 2 2 4 2 2 10 2 2" xfId="33499"/>
    <cellStyle name="Heading 2 2 2 4 2 2 10 3" xfId="33500"/>
    <cellStyle name="Heading 2 2 2 4 2 2 11" xfId="33501"/>
    <cellStyle name="Heading 2 2 2 4 2 2 11 2" xfId="33502"/>
    <cellStyle name="Heading 2 2 2 4 2 2 11 2 2" xfId="33503"/>
    <cellStyle name="Heading 2 2 2 4 2 2 11 3" xfId="33504"/>
    <cellStyle name="Heading 2 2 2 4 2 2 12" xfId="33505"/>
    <cellStyle name="Heading 2 2 2 4 2 2 12 2" xfId="33506"/>
    <cellStyle name="Heading 2 2 2 4 2 2 12 2 2" xfId="33507"/>
    <cellStyle name="Heading 2 2 2 4 2 2 12 3" xfId="33508"/>
    <cellStyle name="Heading 2 2 2 4 2 2 13" xfId="33509"/>
    <cellStyle name="Heading 2 2 2 4 2 2 13 2" xfId="33510"/>
    <cellStyle name="Heading 2 2 2 4 2 2 13 2 2" xfId="33511"/>
    <cellStyle name="Heading 2 2 2 4 2 2 13 3" xfId="33512"/>
    <cellStyle name="Heading 2 2 2 4 2 2 14" xfId="33513"/>
    <cellStyle name="Heading 2 2 2 4 2 2 14 2" xfId="33514"/>
    <cellStyle name="Heading 2 2 2 4 2 2 14 2 2" xfId="33515"/>
    <cellStyle name="Heading 2 2 2 4 2 2 14 3" xfId="33516"/>
    <cellStyle name="Heading 2 2 2 4 2 2 15" xfId="33517"/>
    <cellStyle name="Heading 2 2 2 4 2 2 15 2" xfId="33518"/>
    <cellStyle name="Heading 2 2 2 4 2 2 15 2 2" xfId="33519"/>
    <cellStyle name="Heading 2 2 2 4 2 2 15 3" xfId="33520"/>
    <cellStyle name="Heading 2 2 2 4 2 2 16" xfId="33521"/>
    <cellStyle name="Heading 2 2 2 4 2 2 16 2" xfId="33522"/>
    <cellStyle name="Heading 2 2 2 4 2 2 16 2 2" xfId="33523"/>
    <cellStyle name="Heading 2 2 2 4 2 2 16 3" xfId="33524"/>
    <cellStyle name="Heading 2 2 2 4 2 2 17" xfId="33525"/>
    <cellStyle name="Heading 2 2 2 4 2 2 17 2" xfId="33526"/>
    <cellStyle name="Heading 2 2 2 4 2 2 17 2 2" xfId="33527"/>
    <cellStyle name="Heading 2 2 2 4 2 2 17 3" xfId="33528"/>
    <cellStyle name="Heading 2 2 2 4 2 2 18" xfId="33529"/>
    <cellStyle name="Heading 2 2 2 4 2 2 18 2" xfId="33530"/>
    <cellStyle name="Heading 2 2 2 4 2 2 18 2 2" xfId="33531"/>
    <cellStyle name="Heading 2 2 2 4 2 2 18 3" xfId="33532"/>
    <cellStyle name="Heading 2 2 2 4 2 2 19" xfId="33533"/>
    <cellStyle name="Heading 2 2 2 4 2 2 19 2" xfId="33534"/>
    <cellStyle name="Heading 2 2 2 4 2 2 2" xfId="33535"/>
    <cellStyle name="Heading 2 2 2 4 2 2 2 2" xfId="33536"/>
    <cellStyle name="Heading 2 2 2 4 2 2 2 2 2" xfId="33537"/>
    <cellStyle name="Heading 2 2 2 4 2 2 2 2 2 2" xfId="33538"/>
    <cellStyle name="Heading 2 2 2 4 2 2 2 2 3" xfId="33539"/>
    <cellStyle name="Heading 2 2 2 4 2 2 2 3" xfId="33540"/>
    <cellStyle name="Heading 2 2 2 4 2 2 2 3 2" xfId="33541"/>
    <cellStyle name="Heading 2 2 2 4 2 2 2 3 2 2" xfId="33542"/>
    <cellStyle name="Heading 2 2 2 4 2 2 2 3 3" xfId="33543"/>
    <cellStyle name="Heading 2 2 2 4 2 2 2 4" xfId="33544"/>
    <cellStyle name="Heading 2 2 2 4 2 2 2 4 2" xfId="33545"/>
    <cellStyle name="Heading 2 2 2 4 2 2 2 4 2 2" xfId="33546"/>
    <cellStyle name="Heading 2 2 2 4 2 2 2 4 3" xfId="33547"/>
    <cellStyle name="Heading 2 2 2 4 2 2 2 5" xfId="33548"/>
    <cellStyle name="Heading 2 2 2 4 2 2 2 5 2" xfId="33549"/>
    <cellStyle name="Heading 2 2 2 4 2 2 2 5 2 2" xfId="33550"/>
    <cellStyle name="Heading 2 2 2 4 2 2 2 5 3" xfId="33551"/>
    <cellStyle name="Heading 2 2 2 4 2 2 2 6" xfId="33552"/>
    <cellStyle name="Heading 2 2 2 4 2 2 2 6 2" xfId="33553"/>
    <cellStyle name="Heading 2 2 2 4 2 2 2 6 2 2" xfId="33554"/>
    <cellStyle name="Heading 2 2 2 4 2 2 2 6 3" xfId="33555"/>
    <cellStyle name="Heading 2 2 2 4 2 2 2 7" xfId="33556"/>
    <cellStyle name="Heading 2 2 2 4 2 2 2 7 2" xfId="33557"/>
    <cellStyle name="Heading 2 2 2 4 2 2 2 7 2 2" xfId="33558"/>
    <cellStyle name="Heading 2 2 2 4 2 2 2 7 3" xfId="33559"/>
    <cellStyle name="Heading 2 2 2 4 2 2 2 8" xfId="33560"/>
    <cellStyle name="Heading 2 2 2 4 2 2 2 8 2" xfId="33561"/>
    <cellStyle name="Heading 2 2 2 4 2 2 2 9" xfId="33562"/>
    <cellStyle name="Heading 2 2 2 4 2 2 20" xfId="33563"/>
    <cellStyle name="Heading 2 2 2 4 2 2 20 2" xfId="33564"/>
    <cellStyle name="Heading 2 2 2 4 2 2 21" xfId="33565"/>
    <cellStyle name="Heading 2 2 2 4 2 2 21 2" xfId="33566"/>
    <cellStyle name="Heading 2 2 2 4 2 2 22" xfId="33567"/>
    <cellStyle name="Heading 2 2 2 4 2 2 3" xfId="33568"/>
    <cellStyle name="Heading 2 2 2 4 2 2 3 2" xfId="33569"/>
    <cellStyle name="Heading 2 2 2 4 2 2 3 2 2" xfId="33570"/>
    <cellStyle name="Heading 2 2 2 4 2 2 3 2 2 2" xfId="33571"/>
    <cellStyle name="Heading 2 2 2 4 2 2 3 2 3" xfId="33572"/>
    <cellStyle name="Heading 2 2 2 4 2 2 3 3" xfId="33573"/>
    <cellStyle name="Heading 2 2 2 4 2 2 3 3 2" xfId="33574"/>
    <cellStyle name="Heading 2 2 2 4 2 2 3 3 2 2" xfId="33575"/>
    <cellStyle name="Heading 2 2 2 4 2 2 3 3 3" xfId="33576"/>
    <cellStyle name="Heading 2 2 2 4 2 2 3 4" xfId="33577"/>
    <cellStyle name="Heading 2 2 2 4 2 2 3 4 2" xfId="33578"/>
    <cellStyle name="Heading 2 2 2 4 2 2 3 4 2 2" xfId="33579"/>
    <cellStyle name="Heading 2 2 2 4 2 2 3 4 3" xfId="33580"/>
    <cellStyle name="Heading 2 2 2 4 2 2 3 5" xfId="33581"/>
    <cellStyle name="Heading 2 2 2 4 2 2 3 5 2" xfId="33582"/>
    <cellStyle name="Heading 2 2 2 4 2 2 3 5 2 2" xfId="33583"/>
    <cellStyle name="Heading 2 2 2 4 2 2 3 5 3" xfId="33584"/>
    <cellStyle name="Heading 2 2 2 4 2 2 3 6" xfId="33585"/>
    <cellStyle name="Heading 2 2 2 4 2 2 3 6 2" xfId="33586"/>
    <cellStyle name="Heading 2 2 2 4 2 2 3 6 2 2" xfId="33587"/>
    <cellStyle name="Heading 2 2 2 4 2 2 3 6 3" xfId="33588"/>
    <cellStyle name="Heading 2 2 2 4 2 2 3 7" xfId="33589"/>
    <cellStyle name="Heading 2 2 2 4 2 2 3 7 2" xfId="33590"/>
    <cellStyle name="Heading 2 2 2 4 2 2 3 7 2 2" xfId="33591"/>
    <cellStyle name="Heading 2 2 2 4 2 2 3 7 3" xfId="33592"/>
    <cellStyle name="Heading 2 2 2 4 2 2 3 8" xfId="33593"/>
    <cellStyle name="Heading 2 2 2 4 2 2 3 8 2" xfId="33594"/>
    <cellStyle name="Heading 2 2 2 4 2 2 3 9" xfId="33595"/>
    <cellStyle name="Heading 2 2 2 4 2 2 4" xfId="33596"/>
    <cellStyle name="Heading 2 2 2 4 2 2 4 2" xfId="33597"/>
    <cellStyle name="Heading 2 2 2 4 2 2 4 2 2" xfId="33598"/>
    <cellStyle name="Heading 2 2 2 4 2 2 4 2 2 2" xfId="33599"/>
    <cellStyle name="Heading 2 2 2 4 2 2 4 2 3" xfId="33600"/>
    <cellStyle name="Heading 2 2 2 4 2 2 4 3" xfId="33601"/>
    <cellStyle name="Heading 2 2 2 4 2 2 4 3 2" xfId="33602"/>
    <cellStyle name="Heading 2 2 2 4 2 2 4 3 2 2" xfId="33603"/>
    <cellStyle name="Heading 2 2 2 4 2 2 4 3 3" xfId="33604"/>
    <cellStyle name="Heading 2 2 2 4 2 2 4 4" xfId="33605"/>
    <cellStyle name="Heading 2 2 2 4 2 2 4 4 2" xfId="33606"/>
    <cellStyle name="Heading 2 2 2 4 2 2 4 4 2 2" xfId="33607"/>
    <cellStyle name="Heading 2 2 2 4 2 2 4 4 3" xfId="33608"/>
    <cellStyle name="Heading 2 2 2 4 2 2 4 5" xfId="33609"/>
    <cellStyle name="Heading 2 2 2 4 2 2 4 5 2" xfId="33610"/>
    <cellStyle name="Heading 2 2 2 4 2 2 4 5 2 2" xfId="33611"/>
    <cellStyle name="Heading 2 2 2 4 2 2 4 5 3" xfId="33612"/>
    <cellStyle name="Heading 2 2 2 4 2 2 4 6" xfId="33613"/>
    <cellStyle name="Heading 2 2 2 4 2 2 4 6 2" xfId="33614"/>
    <cellStyle name="Heading 2 2 2 4 2 2 4 6 2 2" xfId="33615"/>
    <cellStyle name="Heading 2 2 2 4 2 2 4 6 3" xfId="33616"/>
    <cellStyle name="Heading 2 2 2 4 2 2 4 7" xfId="33617"/>
    <cellStyle name="Heading 2 2 2 4 2 2 4 7 2" xfId="33618"/>
    <cellStyle name="Heading 2 2 2 4 2 2 4 7 2 2" xfId="33619"/>
    <cellStyle name="Heading 2 2 2 4 2 2 4 7 3" xfId="33620"/>
    <cellStyle name="Heading 2 2 2 4 2 2 4 8" xfId="33621"/>
    <cellStyle name="Heading 2 2 2 4 2 2 4 8 2" xfId="33622"/>
    <cellStyle name="Heading 2 2 2 4 2 2 4 9" xfId="33623"/>
    <cellStyle name="Heading 2 2 2 4 2 2 5" xfId="33624"/>
    <cellStyle name="Heading 2 2 2 4 2 2 5 2" xfId="33625"/>
    <cellStyle name="Heading 2 2 2 4 2 2 5 2 2" xfId="33626"/>
    <cellStyle name="Heading 2 2 2 4 2 2 5 2 2 2" xfId="33627"/>
    <cellStyle name="Heading 2 2 2 4 2 2 5 2 3" xfId="33628"/>
    <cellStyle name="Heading 2 2 2 4 2 2 5 3" xfId="33629"/>
    <cellStyle name="Heading 2 2 2 4 2 2 5 3 2" xfId="33630"/>
    <cellStyle name="Heading 2 2 2 4 2 2 5 3 2 2" xfId="33631"/>
    <cellStyle name="Heading 2 2 2 4 2 2 5 3 3" xfId="33632"/>
    <cellStyle name="Heading 2 2 2 4 2 2 5 4" xfId="33633"/>
    <cellStyle name="Heading 2 2 2 4 2 2 5 4 2" xfId="33634"/>
    <cellStyle name="Heading 2 2 2 4 2 2 5 4 2 2" xfId="33635"/>
    <cellStyle name="Heading 2 2 2 4 2 2 5 4 3" xfId="33636"/>
    <cellStyle name="Heading 2 2 2 4 2 2 5 5" xfId="33637"/>
    <cellStyle name="Heading 2 2 2 4 2 2 5 5 2" xfId="33638"/>
    <cellStyle name="Heading 2 2 2 4 2 2 5 5 2 2" xfId="33639"/>
    <cellStyle name="Heading 2 2 2 4 2 2 5 5 3" xfId="33640"/>
    <cellStyle name="Heading 2 2 2 4 2 2 5 6" xfId="33641"/>
    <cellStyle name="Heading 2 2 2 4 2 2 5 6 2" xfId="33642"/>
    <cellStyle name="Heading 2 2 2 4 2 2 5 6 2 2" xfId="33643"/>
    <cellStyle name="Heading 2 2 2 4 2 2 5 6 3" xfId="33644"/>
    <cellStyle name="Heading 2 2 2 4 2 2 5 7" xfId="33645"/>
    <cellStyle name="Heading 2 2 2 4 2 2 5 7 2" xfId="33646"/>
    <cellStyle name="Heading 2 2 2 4 2 2 5 7 2 2" xfId="33647"/>
    <cellStyle name="Heading 2 2 2 4 2 2 5 7 3" xfId="33648"/>
    <cellStyle name="Heading 2 2 2 4 2 2 5 8" xfId="33649"/>
    <cellStyle name="Heading 2 2 2 4 2 2 5 8 2" xfId="33650"/>
    <cellStyle name="Heading 2 2 2 4 2 2 5 9" xfId="33651"/>
    <cellStyle name="Heading 2 2 2 4 2 2 6" xfId="33652"/>
    <cellStyle name="Heading 2 2 2 4 2 2 6 2" xfId="33653"/>
    <cellStyle name="Heading 2 2 2 4 2 2 6 2 2" xfId="33654"/>
    <cellStyle name="Heading 2 2 2 4 2 2 6 2 2 2" xfId="33655"/>
    <cellStyle name="Heading 2 2 2 4 2 2 6 2 3" xfId="33656"/>
    <cellStyle name="Heading 2 2 2 4 2 2 6 3" xfId="33657"/>
    <cellStyle name="Heading 2 2 2 4 2 2 6 3 2" xfId="33658"/>
    <cellStyle name="Heading 2 2 2 4 2 2 6 3 2 2" xfId="33659"/>
    <cellStyle name="Heading 2 2 2 4 2 2 6 3 3" xfId="33660"/>
    <cellStyle name="Heading 2 2 2 4 2 2 6 4" xfId="33661"/>
    <cellStyle name="Heading 2 2 2 4 2 2 6 4 2" xfId="33662"/>
    <cellStyle name="Heading 2 2 2 4 2 2 6 4 2 2" xfId="33663"/>
    <cellStyle name="Heading 2 2 2 4 2 2 6 4 3" xfId="33664"/>
    <cellStyle name="Heading 2 2 2 4 2 2 6 5" xfId="33665"/>
    <cellStyle name="Heading 2 2 2 4 2 2 6 5 2" xfId="33666"/>
    <cellStyle name="Heading 2 2 2 4 2 2 6 5 2 2" xfId="33667"/>
    <cellStyle name="Heading 2 2 2 4 2 2 6 5 3" xfId="33668"/>
    <cellStyle name="Heading 2 2 2 4 2 2 6 6" xfId="33669"/>
    <cellStyle name="Heading 2 2 2 4 2 2 6 6 2" xfId="33670"/>
    <cellStyle name="Heading 2 2 2 4 2 2 6 6 2 2" xfId="33671"/>
    <cellStyle name="Heading 2 2 2 4 2 2 6 6 3" xfId="33672"/>
    <cellStyle name="Heading 2 2 2 4 2 2 6 7" xfId="33673"/>
    <cellStyle name="Heading 2 2 2 4 2 2 6 7 2" xfId="33674"/>
    <cellStyle name="Heading 2 2 2 4 2 2 6 7 2 2" xfId="33675"/>
    <cellStyle name="Heading 2 2 2 4 2 2 6 7 3" xfId="33676"/>
    <cellStyle name="Heading 2 2 2 4 2 2 6 8" xfId="33677"/>
    <cellStyle name="Heading 2 2 2 4 2 2 6 8 2" xfId="33678"/>
    <cellStyle name="Heading 2 2 2 4 2 2 6 9" xfId="33679"/>
    <cellStyle name="Heading 2 2 2 4 2 2 7" xfId="33680"/>
    <cellStyle name="Heading 2 2 2 4 2 2 7 2" xfId="33681"/>
    <cellStyle name="Heading 2 2 2 4 2 2 7 2 2" xfId="33682"/>
    <cellStyle name="Heading 2 2 2 4 2 2 7 2 2 2" xfId="33683"/>
    <cellStyle name="Heading 2 2 2 4 2 2 7 2 3" xfId="33684"/>
    <cellStyle name="Heading 2 2 2 4 2 2 7 3" xfId="33685"/>
    <cellStyle name="Heading 2 2 2 4 2 2 7 3 2" xfId="33686"/>
    <cellStyle name="Heading 2 2 2 4 2 2 7 3 2 2" xfId="33687"/>
    <cellStyle name="Heading 2 2 2 4 2 2 7 3 3" xfId="33688"/>
    <cellStyle name="Heading 2 2 2 4 2 2 7 4" xfId="33689"/>
    <cellStyle name="Heading 2 2 2 4 2 2 7 4 2" xfId="33690"/>
    <cellStyle name="Heading 2 2 2 4 2 2 7 4 2 2" xfId="33691"/>
    <cellStyle name="Heading 2 2 2 4 2 2 7 4 3" xfId="33692"/>
    <cellStyle name="Heading 2 2 2 4 2 2 7 5" xfId="33693"/>
    <cellStyle name="Heading 2 2 2 4 2 2 7 5 2" xfId="33694"/>
    <cellStyle name="Heading 2 2 2 4 2 2 7 5 2 2" xfId="33695"/>
    <cellStyle name="Heading 2 2 2 4 2 2 7 5 3" xfId="33696"/>
    <cellStyle name="Heading 2 2 2 4 2 2 7 6" xfId="33697"/>
    <cellStyle name="Heading 2 2 2 4 2 2 7 6 2" xfId="33698"/>
    <cellStyle name="Heading 2 2 2 4 2 2 7 6 2 2" xfId="33699"/>
    <cellStyle name="Heading 2 2 2 4 2 2 7 6 3" xfId="33700"/>
    <cellStyle name="Heading 2 2 2 4 2 2 7 7" xfId="33701"/>
    <cellStyle name="Heading 2 2 2 4 2 2 7 7 2" xfId="33702"/>
    <cellStyle name="Heading 2 2 2 4 2 2 7 7 2 2" xfId="33703"/>
    <cellStyle name="Heading 2 2 2 4 2 2 7 7 3" xfId="33704"/>
    <cellStyle name="Heading 2 2 2 4 2 2 7 8" xfId="33705"/>
    <cellStyle name="Heading 2 2 2 4 2 2 7 8 2" xfId="33706"/>
    <cellStyle name="Heading 2 2 2 4 2 2 7 9" xfId="33707"/>
    <cellStyle name="Heading 2 2 2 4 2 2 8" xfId="33708"/>
    <cellStyle name="Heading 2 2 2 4 2 2 8 2" xfId="33709"/>
    <cellStyle name="Heading 2 2 2 4 2 2 8 2 2" xfId="33710"/>
    <cellStyle name="Heading 2 2 2 4 2 2 8 2 2 2" xfId="33711"/>
    <cellStyle name="Heading 2 2 2 4 2 2 8 2 3" xfId="33712"/>
    <cellStyle name="Heading 2 2 2 4 2 2 8 3" xfId="33713"/>
    <cellStyle name="Heading 2 2 2 4 2 2 8 3 2" xfId="33714"/>
    <cellStyle name="Heading 2 2 2 4 2 2 8 3 2 2" xfId="33715"/>
    <cellStyle name="Heading 2 2 2 4 2 2 8 3 3" xfId="33716"/>
    <cellStyle name="Heading 2 2 2 4 2 2 8 4" xfId="33717"/>
    <cellStyle name="Heading 2 2 2 4 2 2 8 4 2" xfId="33718"/>
    <cellStyle name="Heading 2 2 2 4 2 2 8 4 2 2" xfId="33719"/>
    <cellStyle name="Heading 2 2 2 4 2 2 8 4 3" xfId="33720"/>
    <cellStyle name="Heading 2 2 2 4 2 2 8 5" xfId="33721"/>
    <cellStyle name="Heading 2 2 2 4 2 2 8 5 2" xfId="33722"/>
    <cellStyle name="Heading 2 2 2 4 2 2 8 5 2 2" xfId="33723"/>
    <cellStyle name="Heading 2 2 2 4 2 2 8 5 3" xfId="33724"/>
    <cellStyle name="Heading 2 2 2 4 2 2 8 6" xfId="33725"/>
    <cellStyle name="Heading 2 2 2 4 2 2 8 6 2" xfId="33726"/>
    <cellStyle name="Heading 2 2 2 4 2 2 8 6 2 2" xfId="33727"/>
    <cellStyle name="Heading 2 2 2 4 2 2 8 6 3" xfId="33728"/>
    <cellStyle name="Heading 2 2 2 4 2 2 8 7" xfId="33729"/>
    <cellStyle name="Heading 2 2 2 4 2 2 8 7 2" xfId="33730"/>
    <cellStyle name="Heading 2 2 2 4 2 2 8 7 2 2" xfId="33731"/>
    <cellStyle name="Heading 2 2 2 4 2 2 8 7 3" xfId="33732"/>
    <cellStyle name="Heading 2 2 2 4 2 2 8 8" xfId="33733"/>
    <cellStyle name="Heading 2 2 2 4 2 2 8 8 2" xfId="33734"/>
    <cellStyle name="Heading 2 2 2 4 2 2 8 9" xfId="33735"/>
    <cellStyle name="Heading 2 2 2 4 2 2 9" xfId="33736"/>
    <cellStyle name="Heading 2 2 2 4 2 2 9 2" xfId="33737"/>
    <cellStyle name="Heading 2 2 2 4 2 2 9 2 2" xfId="33738"/>
    <cellStyle name="Heading 2 2 2 4 2 2 9 3" xfId="33739"/>
    <cellStyle name="Heading 2 2 2 4 2 20" xfId="33740"/>
    <cellStyle name="Heading 2 2 2 4 2 20 2" xfId="33741"/>
    <cellStyle name="Heading 2 2 2 4 2 21" xfId="33742"/>
    <cellStyle name="Heading 2 2 2 4 2 21 2" xfId="33743"/>
    <cellStyle name="Heading 2 2 2 4 2 22" xfId="33744"/>
    <cellStyle name="Heading 2 2 2 4 2 22 2" xfId="33745"/>
    <cellStyle name="Heading 2 2 2 4 2 23" xfId="33746"/>
    <cellStyle name="Heading 2 2 2 4 2 3" xfId="33747"/>
    <cellStyle name="Heading 2 2 2 4 2 3 2" xfId="33748"/>
    <cellStyle name="Heading 2 2 2 4 2 3 2 2" xfId="33749"/>
    <cellStyle name="Heading 2 2 2 4 2 3 2 2 2" xfId="33750"/>
    <cellStyle name="Heading 2 2 2 4 2 3 2 3" xfId="33751"/>
    <cellStyle name="Heading 2 2 2 4 2 3 3" xfId="33752"/>
    <cellStyle name="Heading 2 2 2 4 2 3 3 2" xfId="33753"/>
    <cellStyle name="Heading 2 2 2 4 2 3 3 2 2" xfId="33754"/>
    <cellStyle name="Heading 2 2 2 4 2 3 3 3" xfId="33755"/>
    <cellStyle name="Heading 2 2 2 4 2 3 4" xfId="33756"/>
    <cellStyle name="Heading 2 2 2 4 2 3 4 2" xfId="33757"/>
    <cellStyle name="Heading 2 2 2 4 2 3 4 2 2" xfId="33758"/>
    <cellStyle name="Heading 2 2 2 4 2 3 4 3" xfId="33759"/>
    <cellStyle name="Heading 2 2 2 4 2 3 5" xfId="33760"/>
    <cellStyle name="Heading 2 2 2 4 2 3 5 2" xfId="33761"/>
    <cellStyle name="Heading 2 2 2 4 2 3 5 2 2" xfId="33762"/>
    <cellStyle name="Heading 2 2 2 4 2 3 5 3" xfId="33763"/>
    <cellStyle name="Heading 2 2 2 4 2 3 6" xfId="33764"/>
    <cellStyle name="Heading 2 2 2 4 2 3 6 2" xfId="33765"/>
    <cellStyle name="Heading 2 2 2 4 2 3 6 2 2" xfId="33766"/>
    <cellStyle name="Heading 2 2 2 4 2 3 6 3" xfId="33767"/>
    <cellStyle name="Heading 2 2 2 4 2 3 7" xfId="33768"/>
    <cellStyle name="Heading 2 2 2 4 2 3 7 2" xfId="33769"/>
    <cellStyle name="Heading 2 2 2 4 2 3 7 2 2" xfId="33770"/>
    <cellStyle name="Heading 2 2 2 4 2 3 7 3" xfId="33771"/>
    <cellStyle name="Heading 2 2 2 4 2 3 8" xfId="33772"/>
    <cellStyle name="Heading 2 2 2 4 2 3 8 2" xfId="33773"/>
    <cellStyle name="Heading 2 2 2 4 2 3 9" xfId="33774"/>
    <cellStyle name="Heading 2 2 2 4 2 4" xfId="33775"/>
    <cellStyle name="Heading 2 2 2 4 2 4 2" xfId="33776"/>
    <cellStyle name="Heading 2 2 2 4 2 4 2 2" xfId="33777"/>
    <cellStyle name="Heading 2 2 2 4 2 4 2 2 2" xfId="33778"/>
    <cellStyle name="Heading 2 2 2 4 2 4 2 3" xfId="33779"/>
    <cellStyle name="Heading 2 2 2 4 2 4 3" xfId="33780"/>
    <cellStyle name="Heading 2 2 2 4 2 4 3 2" xfId="33781"/>
    <cellStyle name="Heading 2 2 2 4 2 4 3 2 2" xfId="33782"/>
    <cellStyle name="Heading 2 2 2 4 2 4 3 3" xfId="33783"/>
    <cellStyle name="Heading 2 2 2 4 2 4 4" xfId="33784"/>
    <cellStyle name="Heading 2 2 2 4 2 4 4 2" xfId="33785"/>
    <cellStyle name="Heading 2 2 2 4 2 4 4 2 2" xfId="33786"/>
    <cellStyle name="Heading 2 2 2 4 2 4 4 3" xfId="33787"/>
    <cellStyle name="Heading 2 2 2 4 2 4 5" xfId="33788"/>
    <cellStyle name="Heading 2 2 2 4 2 4 5 2" xfId="33789"/>
    <cellStyle name="Heading 2 2 2 4 2 4 5 2 2" xfId="33790"/>
    <cellStyle name="Heading 2 2 2 4 2 4 5 3" xfId="33791"/>
    <cellStyle name="Heading 2 2 2 4 2 4 6" xfId="33792"/>
    <cellStyle name="Heading 2 2 2 4 2 4 6 2" xfId="33793"/>
    <cellStyle name="Heading 2 2 2 4 2 4 6 2 2" xfId="33794"/>
    <cellStyle name="Heading 2 2 2 4 2 4 6 3" xfId="33795"/>
    <cellStyle name="Heading 2 2 2 4 2 4 7" xfId="33796"/>
    <cellStyle name="Heading 2 2 2 4 2 4 7 2" xfId="33797"/>
    <cellStyle name="Heading 2 2 2 4 2 4 7 2 2" xfId="33798"/>
    <cellStyle name="Heading 2 2 2 4 2 4 7 3" xfId="33799"/>
    <cellStyle name="Heading 2 2 2 4 2 4 8" xfId="33800"/>
    <cellStyle name="Heading 2 2 2 4 2 4 8 2" xfId="33801"/>
    <cellStyle name="Heading 2 2 2 4 2 4 9" xfId="33802"/>
    <cellStyle name="Heading 2 2 2 4 2 5" xfId="33803"/>
    <cellStyle name="Heading 2 2 2 4 2 5 2" xfId="33804"/>
    <cellStyle name="Heading 2 2 2 4 2 5 2 2" xfId="33805"/>
    <cellStyle name="Heading 2 2 2 4 2 5 2 2 2" xfId="33806"/>
    <cellStyle name="Heading 2 2 2 4 2 5 2 3" xfId="33807"/>
    <cellStyle name="Heading 2 2 2 4 2 5 3" xfId="33808"/>
    <cellStyle name="Heading 2 2 2 4 2 5 3 2" xfId="33809"/>
    <cellStyle name="Heading 2 2 2 4 2 5 3 2 2" xfId="33810"/>
    <cellStyle name="Heading 2 2 2 4 2 5 3 3" xfId="33811"/>
    <cellStyle name="Heading 2 2 2 4 2 5 4" xfId="33812"/>
    <cellStyle name="Heading 2 2 2 4 2 5 4 2" xfId="33813"/>
    <cellStyle name="Heading 2 2 2 4 2 5 4 2 2" xfId="33814"/>
    <cellStyle name="Heading 2 2 2 4 2 5 4 3" xfId="33815"/>
    <cellStyle name="Heading 2 2 2 4 2 5 5" xfId="33816"/>
    <cellStyle name="Heading 2 2 2 4 2 5 5 2" xfId="33817"/>
    <cellStyle name="Heading 2 2 2 4 2 5 5 2 2" xfId="33818"/>
    <cellStyle name="Heading 2 2 2 4 2 5 5 3" xfId="33819"/>
    <cellStyle name="Heading 2 2 2 4 2 5 6" xfId="33820"/>
    <cellStyle name="Heading 2 2 2 4 2 5 6 2" xfId="33821"/>
    <cellStyle name="Heading 2 2 2 4 2 5 6 2 2" xfId="33822"/>
    <cellStyle name="Heading 2 2 2 4 2 5 6 3" xfId="33823"/>
    <cellStyle name="Heading 2 2 2 4 2 5 7" xfId="33824"/>
    <cellStyle name="Heading 2 2 2 4 2 5 7 2" xfId="33825"/>
    <cellStyle name="Heading 2 2 2 4 2 5 7 2 2" xfId="33826"/>
    <cellStyle name="Heading 2 2 2 4 2 5 7 3" xfId="33827"/>
    <cellStyle name="Heading 2 2 2 4 2 5 8" xfId="33828"/>
    <cellStyle name="Heading 2 2 2 4 2 5 8 2" xfId="33829"/>
    <cellStyle name="Heading 2 2 2 4 2 5 9" xfId="33830"/>
    <cellStyle name="Heading 2 2 2 4 2 6" xfId="33831"/>
    <cellStyle name="Heading 2 2 2 4 2 6 2" xfId="33832"/>
    <cellStyle name="Heading 2 2 2 4 2 6 2 2" xfId="33833"/>
    <cellStyle name="Heading 2 2 2 4 2 6 2 2 2" xfId="33834"/>
    <cellStyle name="Heading 2 2 2 4 2 6 2 3" xfId="33835"/>
    <cellStyle name="Heading 2 2 2 4 2 6 3" xfId="33836"/>
    <cellStyle name="Heading 2 2 2 4 2 6 3 2" xfId="33837"/>
    <cellStyle name="Heading 2 2 2 4 2 6 3 2 2" xfId="33838"/>
    <cellStyle name="Heading 2 2 2 4 2 6 3 3" xfId="33839"/>
    <cellStyle name="Heading 2 2 2 4 2 6 4" xfId="33840"/>
    <cellStyle name="Heading 2 2 2 4 2 6 4 2" xfId="33841"/>
    <cellStyle name="Heading 2 2 2 4 2 6 4 2 2" xfId="33842"/>
    <cellStyle name="Heading 2 2 2 4 2 6 4 3" xfId="33843"/>
    <cellStyle name="Heading 2 2 2 4 2 6 5" xfId="33844"/>
    <cellStyle name="Heading 2 2 2 4 2 6 5 2" xfId="33845"/>
    <cellStyle name="Heading 2 2 2 4 2 6 5 2 2" xfId="33846"/>
    <cellStyle name="Heading 2 2 2 4 2 6 5 3" xfId="33847"/>
    <cellStyle name="Heading 2 2 2 4 2 6 6" xfId="33848"/>
    <cellStyle name="Heading 2 2 2 4 2 6 6 2" xfId="33849"/>
    <cellStyle name="Heading 2 2 2 4 2 6 6 2 2" xfId="33850"/>
    <cellStyle name="Heading 2 2 2 4 2 6 6 3" xfId="33851"/>
    <cellStyle name="Heading 2 2 2 4 2 6 7" xfId="33852"/>
    <cellStyle name="Heading 2 2 2 4 2 6 7 2" xfId="33853"/>
    <cellStyle name="Heading 2 2 2 4 2 6 7 2 2" xfId="33854"/>
    <cellStyle name="Heading 2 2 2 4 2 6 7 3" xfId="33855"/>
    <cellStyle name="Heading 2 2 2 4 2 6 8" xfId="33856"/>
    <cellStyle name="Heading 2 2 2 4 2 6 8 2" xfId="33857"/>
    <cellStyle name="Heading 2 2 2 4 2 6 9" xfId="33858"/>
    <cellStyle name="Heading 2 2 2 4 2 7" xfId="33859"/>
    <cellStyle name="Heading 2 2 2 4 2 7 2" xfId="33860"/>
    <cellStyle name="Heading 2 2 2 4 2 7 2 2" xfId="33861"/>
    <cellStyle name="Heading 2 2 2 4 2 7 2 2 2" xfId="33862"/>
    <cellStyle name="Heading 2 2 2 4 2 7 2 3" xfId="33863"/>
    <cellStyle name="Heading 2 2 2 4 2 7 3" xfId="33864"/>
    <cellStyle name="Heading 2 2 2 4 2 7 3 2" xfId="33865"/>
    <cellStyle name="Heading 2 2 2 4 2 7 3 2 2" xfId="33866"/>
    <cellStyle name="Heading 2 2 2 4 2 7 3 3" xfId="33867"/>
    <cellStyle name="Heading 2 2 2 4 2 7 4" xfId="33868"/>
    <cellStyle name="Heading 2 2 2 4 2 7 4 2" xfId="33869"/>
    <cellStyle name="Heading 2 2 2 4 2 7 4 2 2" xfId="33870"/>
    <cellStyle name="Heading 2 2 2 4 2 7 4 3" xfId="33871"/>
    <cellStyle name="Heading 2 2 2 4 2 7 5" xfId="33872"/>
    <cellStyle name="Heading 2 2 2 4 2 7 5 2" xfId="33873"/>
    <cellStyle name="Heading 2 2 2 4 2 7 5 2 2" xfId="33874"/>
    <cellStyle name="Heading 2 2 2 4 2 7 5 3" xfId="33875"/>
    <cellStyle name="Heading 2 2 2 4 2 7 6" xfId="33876"/>
    <cellStyle name="Heading 2 2 2 4 2 7 6 2" xfId="33877"/>
    <cellStyle name="Heading 2 2 2 4 2 7 6 2 2" xfId="33878"/>
    <cellStyle name="Heading 2 2 2 4 2 7 6 3" xfId="33879"/>
    <cellStyle name="Heading 2 2 2 4 2 7 7" xfId="33880"/>
    <cellStyle name="Heading 2 2 2 4 2 7 7 2" xfId="33881"/>
    <cellStyle name="Heading 2 2 2 4 2 7 7 2 2" xfId="33882"/>
    <cellStyle name="Heading 2 2 2 4 2 7 7 3" xfId="33883"/>
    <cellStyle name="Heading 2 2 2 4 2 7 8" xfId="33884"/>
    <cellStyle name="Heading 2 2 2 4 2 7 8 2" xfId="33885"/>
    <cellStyle name="Heading 2 2 2 4 2 7 9" xfId="33886"/>
    <cellStyle name="Heading 2 2 2 4 2 8" xfId="33887"/>
    <cellStyle name="Heading 2 2 2 4 2 8 2" xfId="33888"/>
    <cellStyle name="Heading 2 2 2 4 2 8 2 2" xfId="33889"/>
    <cellStyle name="Heading 2 2 2 4 2 8 2 2 2" xfId="33890"/>
    <cellStyle name="Heading 2 2 2 4 2 8 2 3" xfId="33891"/>
    <cellStyle name="Heading 2 2 2 4 2 8 3" xfId="33892"/>
    <cellStyle name="Heading 2 2 2 4 2 8 3 2" xfId="33893"/>
    <cellStyle name="Heading 2 2 2 4 2 8 3 2 2" xfId="33894"/>
    <cellStyle name="Heading 2 2 2 4 2 8 3 3" xfId="33895"/>
    <cellStyle name="Heading 2 2 2 4 2 8 4" xfId="33896"/>
    <cellStyle name="Heading 2 2 2 4 2 8 4 2" xfId="33897"/>
    <cellStyle name="Heading 2 2 2 4 2 8 4 2 2" xfId="33898"/>
    <cellStyle name="Heading 2 2 2 4 2 8 4 3" xfId="33899"/>
    <cellStyle name="Heading 2 2 2 4 2 8 5" xfId="33900"/>
    <cellStyle name="Heading 2 2 2 4 2 8 5 2" xfId="33901"/>
    <cellStyle name="Heading 2 2 2 4 2 8 5 2 2" xfId="33902"/>
    <cellStyle name="Heading 2 2 2 4 2 8 5 3" xfId="33903"/>
    <cellStyle name="Heading 2 2 2 4 2 8 6" xfId="33904"/>
    <cellStyle name="Heading 2 2 2 4 2 8 6 2" xfId="33905"/>
    <cellStyle name="Heading 2 2 2 4 2 8 6 2 2" xfId="33906"/>
    <cellStyle name="Heading 2 2 2 4 2 8 6 3" xfId="33907"/>
    <cellStyle name="Heading 2 2 2 4 2 8 7" xfId="33908"/>
    <cellStyle name="Heading 2 2 2 4 2 8 7 2" xfId="33909"/>
    <cellStyle name="Heading 2 2 2 4 2 8 7 2 2" xfId="33910"/>
    <cellStyle name="Heading 2 2 2 4 2 8 7 3" xfId="33911"/>
    <cellStyle name="Heading 2 2 2 4 2 8 8" xfId="33912"/>
    <cellStyle name="Heading 2 2 2 4 2 8 8 2" xfId="33913"/>
    <cellStyle name="Heading 2 2 2 4 2 8 9" xfId="33914"/>
    <cellStyle name="Heading 2 2 2 4 2 9" xfId="33915"/>
    <cellStyle name="Heading 2 2 2 4 2 9 2" xfId="33916"/>
    <cellStyle name="Heading 2 2 2 4 2 9 2 2" xfId="33917"/>
    <cellStyle name="Heading 2 2 2 4 2 9 2 2 2" xfId="33918"/>
    <cellStyle name="Heading 2 2 2 4 2 9 2 3" xfId="33919"/>
    <cellStyle name="Heading 2 2 2 4 2 9 3" xfId="33920"/>
    <cellStyle name="Heading 2 2 2 4 2 9 3 2" xfId="33921"/>
    <cellStyle name="Heading 2 2 2 4 2 9 3 2 2" xfId="33922"/>
    <cellStyle name="Heading 2 2 2 4 2 9 3 3" xfId="33923"/>
    <cellStyle name="Heading 2 2 2 4 2 9 4" xfId="33924"/>
    <cellStyle name="Heading 2 2 2 4 2 9 4 2" xfId="33925"/>
    <cellStyle name="Heading 2 2 2 4 2 9 4 2 2" xfId="33926"/>
    <cellStyle name="Heading 2 2 2 4 2 9 4 3" xfId="33927"/>
    <cellStyle name="Heading 2 2 2 4 2 9 5" xfId="33928"/>
    <cellStyle name="Heading 2 2 2 4 2 9 5 2" xfId="33929"/>
    <cellStyle name="Heading 2 2 2 4 2 9 5 2 2" xfId="33930"/>
    <cellStyle name="Heading 2 2 2 4 2 9 5 3" xfId="33931"/>
    <cellStyle name="Heading 2 2 2 4 2 9 6" xfId="33932"/>
    <cellStyle name="Heading 2 2 2 4 2 9 6 2" xfId="33933"/>
    <cellStyle name="Heading 2 2 2 4 2 9 6 2 2" xfId="33934"/>
    <cellStyle name="Heading 2 2 2 4 2 9 6 3" xfId="33935"/>
    <cellStyle name="Heading 2 2 2 4 2 9 7" xfId="33936"/>
    <cellStyle name="Heading 2 2 2 4 2 9 7 2" xfId="33937"/>
    <cellStyle name="Heading 2 2 2 4 2 9 7 2 2" xfId="33938"/>
    <cellStyle name="Heading 2 2 2 4 2 9 7 3" xfId="33939"/>
    <cellStyle name="Heading 2 2 2 4 2 9 8" xfId="33940"/>
    <cellStyle name="Heading 2 2 2 4 2 9 8 2" xfId="33941"/>
    <cellStyle name="Heading 2 2 2 4 2 9 9" xfId="33942"/>
    <cellStyle name="Heading 2 2 2 4 3" xfId="33943"/>
    <cellStyle name="Heading 2 2 2 4 3 10" xfId="33944"/>
    <cellStyle name="Heading 2 2 2 4 3 10 2" xfId="33945"/>
    <cellStyle name="Heading 2 2 2 4 3 10 2 2" xfId="33946"/>
    <cellStyle name="Heading 2 2 2 4 3 10 3" xfId="33947"/>
    <cellStyle name="Heading 2 2 2 4 3 11" xfId="33948"/>
    <cellStyle name="Heading 2 2 2 4 3 11 2" xfId="33949"/>
    <cellStyle name="Heading 2 2 2 4 3 11 2 2" xfId="33950"/>
    <cellStyle name="Heading 2 2 2 4 3 11 3" xfId="33951"/>
    <cellStyle name="Heading 2 2 2 4 3 12" xfId="33952"/>
    <cellStyle name="Heading 2 2 2 4 3 12 2" xfId="33953"/>
    <cellStyle name="Heading 2 2 2 4 3 12 2 2" xfId="33954"/>
    <cellStyle name="Heading 2 2 2 4 3 12 3" xfId="33955"/>
    <cellStyle name="Heading 2 2 2 4 3 13" xfId="33956"/>
    <cellStyle name="Heading 2 2 2 4 3 13 2" xfId="33957"/>
    <cellStyle name="Heading 2 2 2 4 3 13 2 2" xfId="33958"/>
    <cellStyle name="Heading 2 2 2 4 3 13 3" xfId="33959"/>
    <cellStyle name="Heading 2 2 2 4 3 14" xfId="33960"/>
    <cellStyle name="Heading 2 2 2 4 3 14 2" xfId="33961"/>
    <cellStyle name="Heading 2 2 2 4 3 14 2 2" xfId="33962"/>
    <cellStyle name="Heading 2 2 2 4 3 14 3" xfId="33963"/>
    <cellStyle name="Heading 2 2 2 4 3 15" xfId="33964"/>
    <cellStyle name="Heading 2 2 2 4 3 15 2" xfId="33965"/>
    <cellStyle name="Heading 2 2 2 4 3 15 2 2" xfId="33966"/>
    <cellStyle name="Heading 2 2 2 4 3 15 3" xfId="33967"/>
    <cellStyle name="Heading 2 2 2 4 3 16" xfId="33968"/>
    <cellStyle name="Heading 2 2 2 4 3 16 2" xfId="33969"/>
    <cellStyle name="Heading 2 2 2 4 3 16 2 2" xfId="33970"/>
    <cellStyle name="Heading 2 2 2 4 3 16 3" xfId="33971"/>
    <cellStyle name="Heading 2 2 2 4 3 17" xfId="33972"/>
    <cellStyle name="Heading 2 2 2 4 3 17 2" xfId="33973"/>
    <cellStyle name="Heading 2 2 2 4 3 17 2 2" xfId="33974"/>
    <cellStyle name="Heading 2 2 2 4 3 17 3" xfId="33975"/>
    <cellStyle name="Heading 2 2 2 4 3 18" xfId="33976"/>
    <cellStyle name="Heading 2 2 2 4 3 18 2" xfId="33977"/>
    <cellStyle name="Heading 2 2 2 4 3 18 2 2" xfId="33978"/>
    <cellStyle name="Heading 2 2 2 4 3 18 3" xfId="33979"/>
    <cellStyle name="Heading 2 2 2 4 3 19" xfId="33980"/>
    <cellStyle name="Heading 2 2 2 4 3 19 2" xfId="33981"/>
    <cellStyle name="Heading 2 2 2 4 3 2" xfId="33982"/>
    <cellStyle name="Heading 2 2 2 4 3 2 2" xfId="33983"/>
    <cellStyle name="Heading 2 2 2 4 3 2 2 2" xfId="33984"/>
    <cellStyle name="Heading 2 2 2 4 3 2 2 2 2" xfId="33985"/>
    <cellStyle name="Heading 2 2 2 4 3 2 2 3" xfId="33986"/>
    <cellStyle name="Heading 2 2 2 4 3 2 3" xfId="33987"/>
    <cellStyle name="Heading 2 2 2 4 3 2 3 2" xfId="33988"/>
    <cellStyle name="Heading 2 2 2 4 3 2 3 2 2" xfId="33989"/>
    <cellStyle name="Heading 2 2 2 4 3 2 3 3" xfId="33990"/>
    <cellStyle name="Heading 2 2 2 4 3 2 4" xfId="33991"/>
    <cellStyle name="Heading 2 2 2 4 3 2 4 2" xfId="33992"/>
    <cellStyle name="Heading 2 2 2 4 3 2 4 2 2" xfId="33993"/>
    <cellStyle name="Heading 2 2 2 4 3 2 4 3" xfId="33994"/>
    <cellStyle name="Heading 2 2 2 4 3 2 5" xfId="33995"/>
    <cellStyle name="Heading 2 2 2 4 3 2 5 2" xfId="33996"/>
    <cellStyle name="Heading 2 2 2 4 3 2 5 2 2" xfId="33997"/>
    <cellStyle name="Heading 2 2 2 4 3 2 5 3" xfId="33998"/>
    <cellStyle name="Heading 2 2 2 4 3 2 6" xfId="33999"/>
    <cellStyle name="Heading 2 2 2 4 3 2 6 2" xfId="34000"/>
    <cellStyle name="Heading 2 2 2 4 3 2 6 2 2" xfId="34001"/>
    <cellStyle name="Heading 2 2 2 4 3 2 6 3" xfId="34002"/>
    <cellStyle name="Heading 2 2 2 4 3 2 7" xfId="34003"/>
    <cellStyle name="Heading 2 2 2 4 3 2 7 2" xfId="34004"/>
    <cellStyle name="Heading 2 2 2 4 3 2 7 2 2" xfId="34005"/>
    <cellStyle name="Heading 2 2 2 4 3 2 7 3" xfId="34006"/>
    <cellStyle name="Heading 2 2 2 4 3 2 8" xfId="34007"/>
    <cellStyle name="Heading 2 2 2 4 3 2 8 2" xfId="34008"/>
    <cellStyle name="Heading 2 2 2 4 3 2 9" xfId="34009"/>
    <cellStyle name="Heading 2 2 2 4 3 20" xfId="34010"/>
    <cellStyle name="Heading 2 2 2 4 3 20 2" xfId="34011"/>
    <cellStyle name="Heading 2 2 2 4 3 21" xfId="34012"/>
    <cellStyle name="Heading 2 2 2 4 3 21 2" xfId="34013"/>
    <cellStyle name="Heading 2 2 2 4 3 22" xfId="34014"/>
    <cellStyle name="Heading 2 2 2 4 3 3" xfId="34015"/>
    <cellStyle name="Heading 2 2 2 4 3 3 2" xfId="34016"/>
    <cellStyle name="Heading 2 2 2 4 3 3 2 2" xfId="34017"/>
    <cellStyle name="Heading 2 2 2 4 3 3 2 2 2" xfId="34018"/>
    <cellStyle name="Heading 2 2 2 4 3 3 2 3" xfId="34019"/>
    <cellStyle name="Heading 2 2 2 4 3 3 3" xfId="34020"/>
    <cellStyle name="Heading 2 2 2 4 3 3 3 2" xfId="34021"/>
    <cellStyle name="Heading 2 2 2 4 3 3 3 2 2" xfId="34022"/>
    <cellStyle name="Heading 2 2 2 4 3 3 3 3" xfId="34023"/>
    <cellStyle name="Heading 2 2 2 4 3 3 4" xfId="34024"/>
    <cellStyle name="Heading 2 2 2 4 3 3 4 2" xfId="34025"/>
    <cellStyle name="Heading 2 2 2 4 3 3 4 2 2" xfId="34026"/>
    <cellStyle name="Heading 2 2 2 4 3 3 4 3" xfId="34027"/>
    <cellStyle name="Heading 2 2 2 4 3 3 5" xfId="34028"/>
    <cellStyle name="Heading 2 2 2 4 3 3 5 2" xfId="34029"/>
    <cellStyle name="Heading 2 2 2 4 3 3 5 2 2" xfId="34030"/>
    <cellStyle name="Heading 2 2 2 4 3 3 5 3" xfId="34031"/>
    <cellStyle name="Heading 2 2 2 4 3 3 6" xfId="34032"/>
    <cellStyle name="Heading 2 2 2 4 3 3 6 2" xfId="34033"/>
    <cellStyle name="Heading 2 2 2 4 3 3 6 2 2" xfId="34034"/>
    <cellStyle name="Heading 2 2 2 4 3 3 6 3" xfId="34035"/>
    <cellStyle name="Heading 2 2 2 4 3 3 7" xfId="34036"/>
    <cellStyle name="Heading 2 2 2 4 3 3 7 2" xfId="34037"/>
    <cellStyle name="Heading 2 2 2 4 3 3 7 2 2" xfId="34038"/>
    <cellStyle name="Heading 2 2 2 4 3 3 7 3" xfId="34039"/>
    <cellStyle name="Heading 2 2 2 4 3 3 8" xfId="34040"/>
    <cellStyle name="Heading 2 2 2 4 3 3 8 2" xfId="34041"/>
    <cellStyle name="Heading 2 2 2 4 3 3 9" xfId="34042"/>
    <cellStyle name="Heading 2 2 2 4 3 4" xfId="34043"/>
    <cellStyle name="Heading 2 2 2 4 3 4 2" xfId="34044"/>
    <cellStyle name="Heading 2 2 2 4 3 4 2 2" xfId="34045"/>
    <cellStyle name="Heading 2 2 2 4 3 4 2 2 2" xfId="34046"/>
    <cellStyle name="Heading 2 2 2 4 3 4 2 3" xfId="34047"/>
    <cellStyle name="Heading 2 2 2 4 3 4 3" xfId="34048"/>
    <cellStyle name="Heading 2 2 2 4 3 4 3 2" xfId="34049"/>
    <cellStyle name="Heading 2 2 2 4 3 4 3 2 2" xfId="34050"/>
    <cellStyle name="Heading 2 2 2 4 3 4 3 3" xfId="34051"/>
    <cellStyle name="Heading 2 2 2 4 3 4 4" xfId="34052"/>
    <cellStyle name="Heading 2 2 2 4 3 4 4 2" xfId="34053"/>
    <cellStyle name="Heading 2 2 2 4 3 4 4 2 2" xfId="34054"/>
    <cellStyle name="Heading 2 2 2 4 3 4 4 3" xfId="34055"/>
    <cellStyle name="Heading 2 2 2 4 3 4 5" xfId="34056"/>
    <cellStyle name="Heading 2 2 2 4 3 4 5 2" xfId="34057"/>
    <cellStyle name="Heading 2 2 2 4 3 4 5 2 2" xfId="34058"/>
    <cellStyle name="Heading 2 2 2 4 3 4 5 3" xfId="34059"/>
    <cellStyle name="Heading 2 2 2 4 3 4 6" xfId="34060"/>
    <cellStyle name="Heading 2 2 2 4 3 4 6 2" xfId="34061"/>
    <cellStyle name="Heading 2 2 2 4 3 4 6 2 2" xfId="34062"/>
    <cellStyle name="Heading 2 2 2 4 3 4 6 3" xfId="34063"/>
    <cellStyle name="Heading 2 2 2 4 3 4 7" xfId="34064"/>
    <cellStyle name="Heading 2 2 2 4 3 4 7 2" xfId="34065"/>
    <cellStyle name="Heading 2 2 2 4 3 4 7 2 2" xfId="34066"/>
    <cellStyle name="Heading 2 2 2 4 3 4 7 3" xfId="34067"/>
    <cellStyle name="Heading 2 2 2 4 3 4 8" xfId="34068"/>
    <cellStyle name="Heading 2 2 2 4 3 4 8 2" xfId="34069"/>
    <cellStyle name="Heading 2 2 2 4 3 4 9" xfId="34070"/>
    <cellStyle name="Heading 2 2 2 4 3 5" xfId="34071"/>
    <cellStyle name="Heading 2 2 2 4 3 5 2" xfId="34072"/>
    <cellStyle name="Heading 2 2 2 4 3 5 2 2" xfId="34073"/>
    <cellStyle name="Heading 2 2 2 4 3 5 2 2 2" xfId="34074"/>
    <cellStyle name="Heading 2 2 2 4 3 5 2 3" xfId="34075"/>
    <cellStyle name="Heading 2 2 2 4 3 5 3" xfId="34076"/>
    <cellStyle name="Heading 2 2 2 4 3 5 3 2" xfId="34077"/>
    <cellStyle name="Heading 2 2 2 4 3 5 3 2 2" xfId="34078"/>
    <cellStyle name="Heading 2 2 2 4 3 5 3 3" xfId="34079"/>
    <cellStyle name="Heading 2 2 2 4 3 5 4" xfId="34080"/>
    <cellStyle name="Heading 2 2 2 4 3 5 4 2" xfId="34081"/>
    <cellStyle name="Heading 2 2 2 4 3 5 4 2 2" xfId="34082"/>
    <cellStyle name="Heading 2 2 2 4 3 5 4 3" xfId="34083"/>
    <cellStyle name="Heading 2 2 2 4 3 5 5" xfId="34084"/>
    <cellStyle name="Heading 2 2 2 4 3 5 5 2" xfId="34085"/>
    <cellStyle name="Heading 2 2 2 4 3 5 5 2 2" xfId="34086"/>
    <cellStyle name="Heading 2 2 2 4 3 5 5 3" xfId="34087"/>
    <cellStyle name="Heading 2 2 2 4 3 5 6" xfId="34088"/>
    <cellStyle name="Heading 2 2 2 4 3 5 6 2" xfId="34089"/>
    <cellStyle name="Heading 2 2 2 4 3 5 6 2 2" xfId="34090"/>
    <cellStyle name="Heading 2 2 2 4 3 5 6 3" xfId="34091"/>
    <cellStyle name="Heading 2 2 2 4 3 5 7" xfId="34092"/>
    <cellStyle name="Heading 2 2 2 4 3 5 7 2" xfId="34093"/>
    <cellStyle name="Heading 2 2 2 4 3 5 7 2 2" xfId="34094"/>
    <cellStyle name="Heading 2 2 2 4 3 5 7 3" xfId="34095"/>
    <cellStyle name="Heading 2 2 2 4 3 5 8" xfId="34096"/>
    <cellStyle name="Heading 2 2 2 4 3 5 8 2" xfId="34097"/>
    <cellStyle name="Heading 2 2 2 4 3 5 9" xfId="34098"/>
    <cellStyle name="Heading 2 2 2 4 3 6" xfId="34099"/>
    <cellStyle name="Heading 2 2 2 4 3 6 2" xfId="34100"/>
    <cellStyle name="Heading 2 2 2 4 3 6 2 2" xfId="34101"/>
    <cellStyle name="Heading 2 2 2 4 3 6 2 2 2" xfId="34102"/>
    <cellStyle name="Heading 2 2 2 4 3 6 2 3" xfId="34103"/>
    <cellStyle name="Heading 2 2 2 4 3 6 3" xfId="34104"/>
    <cellStyle name="Heading 2 2 2 4 3 6 3 2" xfId="34105"/>
    <cellStyle name="Heading 2 2 2 4 3 6 3 2 2" xfId="34106"/>
    <cellStyle name="Heading 2 2 2 4 3 6 3 3" xfId="34107"/>
    <cellStyle name="Heading 2 2 2 4 3 6 4" xfId="34108"/>
    <cellStyle name="Heading 2 2 2 4 3 6 4 2" xfId="34109"/>
    <cellStyle name="Heading 2 2 2 4 3 6 4 2 2" xfId="34110"/>
    <cellStyle name="Heading 2 2 2 4 3 6 4 3" xfId="34111"/>
    <cellStyle name="Heading 2 2 2 4 3 6 5" xfId="34112"/>
    <cellStyle name="Heading 2 2 2 4 3 6 5 2" xfId="34113"/>
    <cellStyle name="Heading 2 2 2 4 3 6 5 2 2" xfId="34114"/>
    <cellStyle name="Heading 2 2 2 4 3 6 5 3" xfId="34115"/>
    <cellStyle name="Heading 2 2 2 4 3 6 6" xfId="34116"/>
    <cellStyle name="Heading 2 2 2 4 3 6 6 2" xfId="34117"/>
    <cellStyle name="Heading 2 2 2 4 3 6 6 2 2" xfId="34118"/>
    <cellStyle name="Heading 2 2 2 4 3 6 6 3" xfId="34119"/>
    <cellStyle name="Heading 2 2 2 4 3 6 7" xfId="34120"/>
    <cellStyle name="Heading 2 2 2 4 3 6 7 2" xfId="34121"/>
    <cellStyle name="Heading 2 2 2 4 3 6 7 2 2" xfId="34122"/>
    <cellStyle name="Heading 2 2 2 4 3 6 7 3" xfId="34123"/>
    <cellStyle name="Heading 2 2 2 4 3 6 8" xfId="34124"/>
    <cellStyle name="Heading 2 2 2 4 3 6 8 2" xfId="34125"/>
    <cellStyle name="Heading 2 2 2 4 3 6 9" xfId="34126"/>
    <cellStyle name="Heading 2 2 2 4 3 7" xfId="34127"/>
    <cellStyle name="Heading 2 2 2 4 3 7 2" xfId="34128"/>
    <cellStyle name="Heading 2 2 2 4 3 7 2 2" xfId="34129"/>
    <cellStyle name="Heading 2 2 2 4 3 7 2 2 2" xfId="34130"/>
    <cellStyle name="Heading 2 2 2 4 3 7 2 3" xfId="34131"/>
    <cellStyle name="Heading 2 2 2 4 3 7 3" xfId="34132"/>
    <cellStyle name="Heading 2 2 2 4 3 7 3 2" xfId="34133"/>
    <cellStyle name="Heading 2 2 2 4 3 7 3 2 2" xfId="34134"/>
    <cellStyle name="Heading 2 2 2 4 3 7 3 3" xfId="34135"/>
    <cellStyle name="Heading 2 2 2 4 3 7 4" xfId="34136"/>
    <cellStyle name="Heading 2 2 2 4 3 7 4 2" xfId="34137"/>
    <cellStyle name="Heading 2 2 2 4 3 7 4 2 2" xfId="34138"/>
    <cellStyle name="Heading 2 2 2 4 3 7 4 3" xfId="34139"/>
    <cellStyle name="Heading 2 2 2 4 3 7 5" xfId="34140"/>
    <cellStyle name="Heading 2 2 2 4 3 7 5 2" xfId="34141"/>
    <cellStyle name="Heading 2 2 2 4 3 7 5 2 2" xfId="34142"/>
    <cellStyle name="Heading 2 2 2 4 3 7 5 3" xfId="34143"/>
    <cellStyle name="Heading 2 2 2 4 3 7 6" xfId="34144"/>
    <cellStyle name="Heading 2 2 2 4 3 7 6 2" xfId="34145"/>
    <cellStyle name="Heading 2 2 2 4 3 7 6 2 2" xfId="34146"/>
    <cellStyle name="Heading 2 2 2 4 3 7 6 3" xfId="34147"/>
    <cellStyle name="Heading 2 2 2 4 3 7 7" xfId="34148"/>
    <cellStyle name="Heading 2 2 2 4 3 7 7 2" xfId="34149"/>
    <cellStyle name="Heading 2 2 2 4 3 7 7 2 2" xfId="34150"/>
    <cellStyle name="Heading 2 2 2 4 3 7 7 3" xfId="34151"/>
    <cellStyle name="Heading 2 2 2 4 3 7 8" xfId="34152"/>
    <cellStyle name="Heading 2 2 2 4 3 7 8 2" xfId="34153"/>
    <cellStyle name="Heading 2 2 2 4 3 7 9" xfId="34154"/>
    <cellStyle name="Heading 2 2 2 4 3 8" xfId="34155"/>
    <cellStyle name="Heading 2 2 2 4 3 8 2" xfId="34156"/>
    <cellStyle name="Heading 2 2 2 4 3 8 2 2" xfId="34157"/>
    <cellStyle name="Heading 2 2 2 4 3 8 2 2 2" xfId="34158"/>
    <cellStyle name="Heading 2 2 2 4 3 8 2 3" xfId="34159"/>
    <cellStyle name="Heading 2 2 2 4 3 8 3" xfId="34160"/>
    <cellStyle name="Heading 2 2 2 4 3 8 3 2" xfId="34161"/>
    <cellStyle name="Heading 2 2 2 4 3 8 3 2 2" xfId="34162"/>
    <cellStyle name="Heading 2 2 2 4 3 8 3 3" xfId="34163"/>
    <cellStyle name="Heading 2 2 2 4 3 8 4" xfId="34164"/>
    <cellStyle name="Heading 2 2 2 4 3 8 4 2" xfId="34165"/>
    <cellStyle name="Heading 2 2 2 4 3 8 4 2 2" xfId="34166"/>
    <cellStyle name="Heading 2 2 2 4 3 8 4 3" xfId="34167"/>
    <cellStyle name="Heading 2 2 2 4 3 8 5" xfId="34168"/>
    <cellStyle name="Heading 2 2 2 4 3 8 5 2" xfId="34169"/>
    <cellStyle name="Heading 2 2 2 4 3 8 5 2 2" xfId="34170"/>
    <cellStyle name="Heading 2 2 2 4 3 8 5 3" xfId="34171"/>
    <cellStyle name="Heading 2 2 2 4 3 8 6" xfId="34172"/>
    <cellStyle name="Heading 2 2 2 4 3 8 6 2" xfId="34173"/>
    <cellStyle name="Heading 2 2 2 4 3 8 6 2 2" xfId="34174"/>
    <cellStyle name="Heading 2 2 2 4 3 8 6 3" xfId="34175"/>
    <cellStyle name="Heading 2 2 2 4 3 8 7" xfId="34176"/>
    <cellStyle name="Heading 2 2 2 4 3 8 7 2" xfId="34177"/>
    <cellStyle name="Heading 2 2 2 4 3 8 7 2 2" xfId="34178"/>
    <cellStyle name="Heading 2 2 2 4 3 8 7 3" xfId="34179"/>
    <cellStyle name="Heading 2 2 2 4 3 8 8" xfId="34180"/>
    <cellStyle name="Heading 2 2 2 4 3 8 8 2" xfId="34181"/>
    <cellStyle name="Heading 2 2 2 4 3 8 9" xfId="34182"/>
    <cellStyle name="Heading 2 2 2 4 3 9" xfId="34183"/>
    <cellStyle name="Heading 2 2 2 4 3 9 2" xfId="34184"/>
    <cellStyle name="Heading 2 2 2 4 3 9 2 2" xfId="34185"/>
    <cellStyle name="Heading 2 2 2 4 3 9 3" xfId="34186"/>
    <cellStyle name="Heading 2 2 2 4 4" xfId="34187"/>
    <cellStyle name="Heading 2 2 2 4 4 2" xfId="34188"/>
    <cellStyle name="Heading 2 2 2 4 4 2 2" xfId="34189"/>
    <cellStyle name="Heading 2 2 2 4 4 3" xfId="34190"/>
    <cellStyle name="Heading 2 2 2 4 5" xfId="34191"/>
    <cellStyle name="Heading 2 2 2 4 5 2" xfId="34192"/>
    <cellStyle name="Heading 2 2 2 4 6" xfId="34193"/>
    <cellStyle name="Heading 2 2 2 5" xfId="34194"/>
    <cellStyle name="Heading 2 2 2 5 2" xfId="34195"/>
    <cellStyle name="Heading 2 2 2 5 2 10" xfId="34196"/>
    <cellStyle name="Heading 2 2 2 5 2 10 2" xfId="34197"/>
    <cellStyle name="Heading 2 2 2 5 2 10 2 2" xfId="34198"/>
    <cellStyle name="Heading 2 2 2 5 2 10 3" xfId="34199"/>
    <cellStyle name="Heading 2 2 2 5 2 11" xfId="34200"/>
    <cellStyle name="Heading 2 2 2 5 2 11 2" xfId="34201"/>
    <cellStyle name="Heading 2 2 2 5 2 11 2 2" xfId="34202"/>
    <cellStyle name="Heading 2 2 2 5 2 11 3" xfId="34203"/>
    <cellStyle name="Heading 2 2 2 5 2 12" xfId="34204"/>
    <cellStyle name="Heading 2 2 2 5 2 12 2" xfId="34205"/>
    <cellStyle name="Heading 2 2 2 5 2 12 2 2" xfId="34206"/>
    <cellStyle name="Heading 2 2 2 5 2 12 3" xfId="34207"/>
    <cellStyle name="Heading 2 2 2 5 2 13" xfId="34208"/>
    <cellStyle name="Heading 2 2 2 5 2 13 2" xfId="34209"/>
    <cellStyle name="Heading 2 2 2 5 2 13 2 2" xfId="34210"/>
    <cellStyle name="Heading 2 2 2 5 2 13 3" xfId="34211"/>
    <cellStyle name="Heading 2 2 2 5 2 14" xfId="34212"/>
    <cellStyle name="Heading 2 2 2 5 2 14 2" xfId="34213"/>
    <cellStyle name="Heading 2 2 2 5 2 14 2 2" xfId="34214"/>
    <cellStyle name="Heading 2 2 2 5 2 14 3" xfId="34215"/>
    <cellStyle name="Heading 2 2 2 5 2 15" xfId="34216"/>
    <cellStyle name="Heading 2 2 2 5 2 15 2" xfId="34217"/>
    <cellStyle name="Heading 2 2 2 5 2 15 2 2" xfId="34218"/>
    <cellStyle name="Heading 2 2 2 5 2 15 3" xfId="34219"/>
    <cellStyle name="Heading 2 2 2 5 2 16" xfId="34220"/>
    <cellStyle name="Heading 2 2 2 5 2 16 2" xfId="34221"/>
    <cellStyle name="Heading 2 2 2 5 2 16 2 2" xfId="34222"/>
    <cellStyle name="Heading 2 2 2 5 2 16 3" xfId="34223"/>
    <cellStyle name="Heading 2 2 2 5 2 17" xfId="34224"/>
    <cellStyle name="Heading 2 2 2 5 2 17 2" xfId="34225"/>
    <cellStyle name="Heading 2 2 2 5 2 17 2 2" xfId="34226"/>
    <cellStyle name="Heading 2 2 2 5 2 17 3" xfId="34227"/>
    <cellStyle name="Heading 2 2 2 5 2 18" xfId="34228"/>
    <cellStyle name="Heading 2 2 2 5 2 18 2" xfId="34229"/>
    <cellStyle name="Heading 2 2 2 5 2 18 2 2" xfId="34230"/>
    <cellStyle name="Heading 2 2 2 5 2 18 3" xfId="34231"/>
    <cellStyle name="Heading 2 2 2 5 2 19" xfId="34232"/>
    <cellStyle name="Heading 2 2 2 5 2 19 2" xfId="34233"/>
    <cellStyle name="Heading 2 2 2 5 2 19 2 2" xfId="34234"/>
    <cellStyle name="Heading 2 2 2 5 2 19 3" xfId="34235"/>
    <cellStyle name="Heading 2 2 2 5 2 2" xfId="34236"/>
    <cellStyle name="Heading 2 2 2 5 2 2 10" xfId="34237"/>
    <cellStyle name="Heading 2 2 2 5 2 2 10 2" xfId="34238"/>
    <cellStyle name="Heading 2 2 2 5 2 2 10 2 2" xfId="34239"/>
    <cellStyle name="Heading 2 2 2 5 2 2 10 3" xfId="34240"/>
    <cellStyle name="Heading 2 2 2 5 2 2 11" xfId="34241"/>
    <cellStyle name="Heading 2 2 2 5 2 2 11 2" xfId="34242"/>
    <cellStyle name="Heading 2 2 2 5 2 2 11 2 2" xfId="34243"/>
    <cellStyle name="Heading 2 2 2 5 2 2 11 3" xfId="34244"/>
    <cellStyle name="Heading 2 2 2 5 2 2 12" xfId="34245"/>
    <cellStyle name="Heading 2 2 2 5 2 2 12 2" xfId="34246"/>
    <cellStyle name="Heading 2 2 2 5 2 2 12 2 2" xfId="34247"/>
    <cellStyle name="Heading 2 2 2 5 2 2 12 3" xfId="34248"/>
    <cellStyle name="Heading 2 2 2 5 2 2 13" xfId="34249"/>
    <cellStyle name="Heading 2 2 2 5 2 2 13 2" xfId="34250"/>
    <cellStyle name="Heading 2 2 2 5 2 2 13 2 2" xfId="34251"/>
    <cellStyle name="Heading 2 2 2 5 2 2 13 3" xfId="34252"/>
    <cellStyle name="Heading 2 2 2 5 2 2 14" xfId="34253"/>
    <cellStyle name="Heading 2 2 2 5 2 2 14 2" xfId="34254"/>
    <cellStyle name="Heading 2 2 2 5 2 2 14 2 2" xfId="34255"/>
    <cellStyle name="Heading 2 2 2 5 2 2 14 3" xfId="34256"/>
    <cellStyle name="Heading 2 2 2 5 2 2 15" xfId="34257"/>
    <cellStyle name="Heading 2 2 2 5 2 2 15 2" xfId="34258"/>
    <cellStyle name="Heading 2 2 2 5 2 2 15 2 2" xfId="34259"/>
    <cellStyle name="Heading 2 2 2 5 2 2 15 3" xfId="34260"/>
    <cellStyle name="Heading 2 2 2 5 2 2 16" xfId="34261"/>
    <cellStyle name="Heading 2 2 2 5 2 2 16 2" xfId="34262"/>
    <cellStyle name="Heading 2 2 2 5 2 2 16 2 2" xfId="34263"/>
    <cellStyle name="Heading 2 2 2 5 2 2 16 3" xfId="34264"/>
    <cellStyle name="Heading 2 2 2 5 2 2 17" xfId="34265"/>
    <cellStyle name="Heading 2 2 2 5 2 2 17 2" xfId="34266"/>
    <cellStyle name="Heading 2 2 2 5 2 2 17 2 2" xfId="34267"/>
    <cellStyle name="Heading 2 2 2 5 2 2 17 3" xfId="34268"/>
    <cellStyle name="Heading 2 2 2 5 2 2 18" xfId="34269"/>
    <cellStyle name="Heading 2 2 2 5 2 2 18 2" xfId="34270"/>
    <cellStyle name="Heading 2 2 2 5 2 2 18 2 2" xfId="34271"/>
    <cellStyle name="Heading 2 2 2 5 2 2 18 3" xfId="34272"/>
    <cellStyle name="Heading 2 2 2 5 2 2 19" xfId="34273"/>
    <cellStyle name="Heading 2 2 2 5 2 2 19 2" xfId="34274"/>
    <cellStyle name="Heading 2 2 2 5 2 2 2" xfId="34275"/>
    <cellStyle name="Heading 2 2 2 5 2 2 2 2" xfId="34276"/>
    <cellStyle name="Heading 2 2 2 5 2 2 2 2 2" xfId="34277"/>
    <cellStyle name="Heading 2 2 2 5 2 2 2 2 2 2" xfId="34278"/>
    <cellStyle name="Heading 2 2 2 5 2 2 2 2 3" xfId="34279"/>
    <cellStyle name="Heading 2 2 2 5 2 2 2 3" xfId="34280"/>
    <cellStyle name="Heading 2 2 2 5 2 2 2 3 2" xfId="34281"/>
    <cellStyle name="Heading 2 2 2 5 2 2 2 3 2 2" xfId="34282"/>
    <cellStyle name="Heading 2 2 2 5 2 2 2 3 3" xfId="34283"/>
    <cellStyle name="Heading 2 2 2 5 2 2 2 4" xfId="34284"/>
    <cellStyle name="Heading 2 2 2 5 2 2 2 4 2" xfId="34285"/>
    <cellStyle name="Heading 2 2 2 5 2 2 2 4 2 2" xfId="34286"/>
    <cellStyle name="Heading 2 2 2 5 2 2 2 4 3" xfId="34287"/>
    <cellStyle name="Heading 2 2 2 5 2 2 2 5" xfId="34288"/>
    <cellStyle name="Heading 2 2 2 5 2 2 2 5 2" xfId="34289"/>
    <cellStyle name="Heading 2 2 2 5 2 2 2 5 2 2" xfId="34290"/>
    <cellStyle name="Heading 2 2 2 5 2 2 2 5 3" xfId="34291"/>
    <cellStyle name="Heading 2 2 2 5 2 2 2 6" xfId="34292"/>
    <cellStyle name="Heading 2 2 2 5 2 2 2 6 2" xfId="34293"/>
    <cellStyle name="Heading 2 2 2 5 2 2 2 6 2 2" xfId="34294"/>
    <cellStyle name="Heading 2 2 2 5 2 2 2 6 3" xfId="34295"/>
    <cellStyle name="Heading 2 2 2 5 2 2 2 7" xfId="34296"/>
    <cellStyle name="Heading 2 2 2 5 2 2 2 7 2" xfId="34297"/>
    <cellStyle name="Heading 2 2 2 5 2 2 2 7 2 2" xfId="34298"/>
    <cellStyle name="Heading 2 2 2 5 2 2 2 7 3" xfId="34299"/>
    <cellStyle name="Heading 2 2 2 5 2 2 2 8" xfId="34300"/>
    <cellStyle name="Heading 2 2 2 5 2 2 2 8 2" xfId="34301"/>
    <cellStyle name="Heading 2 2 2 5 2 2 2 9" xfId="34302"/>
    <cellStyle name="Heading 2 2 2 5 2 2 20" xfId="34303"/>
    <cellStyle name="Heading 2 2 2 5 2 2 20 2" xfId="34304"/>
    <cellStyle name="Heading 2 2 2 5 2 2 21" xfId="34305"/>
    <cellStyle name="Heading 2 2 2 5 2 2 21 2" xfId="34306"/>
    <cellStyle name="Heading 2 2 2 5 2 2 22" xfId="34307"/>
    <cellStyle name="Heading 2 2 2 5 2 2 3" xfId="34308"/>
    <cellStyle name="Heading 2 2 2 5 2 2 3 2" xfId="34309"/>
    <cellStyle name="Heading 2 2 2 5 2 2 3 2 2" xfId="34310"/>
    <cellStyle name="Heading 2 2 2 5 2 2 3 2 2 2" xfId="34311"/>
    <cellStyle name="Heading 2 2 2 5 2 2 3 2 3" xfId="34312"/>
    <cellStyle name="Heading 2 2 2 5 2 2 3 3" xfId="34313"/>
    <cellStyle name="Heading 2 2 2 5 2 2 3 3 2" xfId="34314"/>
    <cellStyle name="Heading 2 2 2 5 2 2 3 3 2 2" xfId="34315"/>
    <cellStyle name="Heading 2 2 2 5 2 2 3 3 3" xfId="34316"/>
    <cellStyle name="Heading 2 2 2 5 2 2 3 4" xfId="34317"/>
    <cellStyle name="Heading 2 2 2 5 2 2 3 4 2" xfId="34318"/>
    <cellStyle name="Heading 2 2 2 5 2 2 3 4 2 2" xfId="34319"/>
    <cellStyle name="Heading 2 2 2 5 2 2 3 4 3" xfId="34320"/>
    <cellStyle name="Heading 2 2 2 5 2 2 3 5" xfId="34321"/>
    <cellStyle name="Heading 2 2 2 5 2 2 3 5 2" xfId="34322"/>
    <cellStyle name="Heading 2 2 2 5 2 2 3 5 2 2" xfId="34323"/>
    <cellStyle name="Heading 2 2 2 5 2 2 3 5 3" xfId="34324"/>
    <cellStyle name="Heading 2 2 2 5 2 2 3 6" xfId="34325"/>
    <cellStyle name="Heading 2 2 2 5 2 2 3 6 2" xfId="34326"/>
    <cellStyle name="Heading 2 2 2 5 2 2 3 6 2 2" xfId="34327"/>
    <cellStyle name="Heading 2 2 2 5 2 2 3 6 3" xfId="34328"/>
    <cellStyle name="Heading 2 2 2 5 2 2 3 7" xfId="34329"/>
    <cellStyle name="Heading 2 2 2 5 2 2 3 7 2" xfId="34330"/>
    <cellStyle name="Heading 2 2 2 5 2 2 3 7 2 2" xfId="34331"/>
    <cellStyle name="Heading 2 2 2 5 2 2 3 7 3" xfId="34332"/>
    <cellStyle name="Heading 2 2 2 5 2 2 3 8" xfId="34333"/>
    <cellStyle name="Heading 2 2 2 5 2 2 3 8 2" xfId="34334"/>
    <cellStyle name="Heading 2 2 2 5 2 2 3 9" xfId="34335"/>
    <cellStyle name="Heading 2 2 2 5 2 2 4" xfId="34336"/>
    <cellStyle name="Heading 2 2 2 5 2 2 4 2" xfId="34337"/>
    <cellStyle name="Heading 2 2 2 5 2 2 4 2 2" xfId="34338"/>
    <cellStyle name="Heading 2 2 2 5 2 2 4 2 2 2" xfId="34339"/>
    <cellStyle name="Heading 2 2 2 5 2 2 4 2 3" xfId="34340"/>
    <cellStyle name="Heading 2 2 2 5 2 2 4 3" xfId="34341"/>
    <cellStyle name="Heading 2 2 2 5 2 2 4 3 2" xfId="34342"/>
    <cellStyle name="Heading 2 2 2 5 2 2 4 3 2 2" xfId="34343"/>
    <cellStyle name="Heading 2 2 2 5 2 2 4 3 3" xfId="34344"/>
    <cellStyle name="Heading 2 2 2 5 2 2 4 4" xfId="34345"/>
    <cellStyle name="Heading 2 2 2 5 2 2 4 4 2" xfId="34346"/>
    <cellStyle name="Heading 2 2 2 5 2 2 4 4 2 2" xfId="34347"/>
    <cellStyle name="Heading 2 2 2 5 2 2 4 4 3" xfId="34348"/>
    <cellStyle name="Heading 2 2 2 5 2 2 4 5" xfId="34349"/>
    <cellStyle name="Heading 2 2 2 5 2 2 4 5 2" xfId="34350"/>
    <cellStyle name="Heading 2 2 2 5 2 2 4 5 2 2" xfId="34351"/>
    <cellStyle name="Heading 2 2 2 5 2 2 4 5 3" xfId="34352"/>
    <cellStyle name="Heading 2 2 2 5 2 2 4 6" xfId="34353"/>
    <cellStyle name="Heading 2 2 2 5 2 2 4 6 2" xfId="34354"/>
    <cellStyle name="Heading 2 2 2 5 2 2 4 6 2 2" xfId="34355"/>
    <cellStyle name="Heading 2 2 2 5 2 2 4 6 3" xfId="34356"/>
    <cellStyle name="Heading 2 2 2 5 2 2 4 7" xfId="34357"/>
    <cellStyle name="Heading 2 2 2 5 2 2 4 7 2" xfId="34358"/>
    <cellStyle name="Heading 2 2 2 5 2 2 4 7 2 2" xfId="34359"/>
    <cellStyle name="Heading 2 2 2 5 2 2 4 7 3" xfId="34360"/>
    <cellStyle name="Heading 2 2 2 5 2 2 4 8" xfId="34361"/>
    <cellStyle name="Heading 2 2 2 5 2 2 4 8 2" xfId="34362"/>
    <cellStyle name="Heading 2 2 2 5 2 2 4 9" xfId="34363"/>
    <cellStyle name="Heading 2 2 2 5 2 2 5" xfId="34364"/>
    <cellStyle name="Heading 2 2 2 5 2 2 5 2" xfId="34365"/>
    <cellStyle name="Heading 2 2 2 5 2 2 5 2 2" xfId="34366"/>
    <cellStyle name="Heading 2 2 2 5 2 2 5 2 2 2" xfId="34367"/>
    <cellStyle name="Heading 2 2 2 5 2 2 5 2 3" xfId="34368"/>
    <cellStyle name="Heading 2 2 2 5 2 2 5 3" xfId="34369"/>
    <cellStyle name="Heading 2 2 2 5 2 2 5 3 2" xfId="34370"/>
    <cellStyle name="Heading 2 2 2 5 2 2 5 3 2 2" xfId="34371"/>
    <cellStyle name="Heading 2 2 2 5 2 2 5 3 3" xfId="34372"/>
    <cellStyle name="Heading 2 2 2 5 2 2 5 4" xfId="34373"/>
    <cellStyle name="Heading 2 2 2 5 2 2 5 4 2" xfId="34374"/>
    <cellStyle name="Heading 2 2 2 5 2 2 5 4 2 2" xfId="34375"/>
    <cellStyle name="Heading 2 2 2 5 2 2 5 4 3" xfId="34376"/>
    <cellStyle name="Heading 2 2 2 5 2 2 5 5" xfId="34377"/>
    <cellStyle name="Heading 2 2 2 5 2 2 5 5 2" xfId="34378"/>
    <cellStyle name="Heading 2 2 2 5 2 2 5 5 2 2" xfId="34379"/>
    <cellStyle name="Heading 2 2 2 5 2 2 5 5 3" xfId="34380"/>
    <cellStyle name="Heading 2 2 2 5 2 2 5 6" xfId="34381"/>
    <cellStyle name="Heading 2 2 2 5 2 2 5 6 2" xfId="34382"/>
    <cellStyle name="Heading 2 2 2 5 2 2 5 6 2 2" xfId="34383"/>
    <cellStyle name="Heading 2 2 2 5 2 2 5 6 3" xfId="34384"/>
    <cellStyle name="Heading 2 2 2 5 2 2 5 7" xfId="34385"/>
    <cellStyle name="Heading 2 2 2 5 2 2 5 7 2" xfId="34386"/>
    <cellStyle name="Heading 2 2 2 5 2 2 5 7 2 2" xfId="34387"/>
    <cellStyle name="Heading 2 2 2 5 2 2 5 7 3" xfId="34388"/>
    <cellStyle name="Heading 2 2 2 5 2 2 5 8" xfId="34389"/>
    <cellStyle name="Heading 2 2 2 5 2 2 5 8 2" xfId="34390"/>
    <cellStyle name="Heading 2 2 2 5 2 2 5 9" xfId="34391"/>
    <cellStyle name="Heading 2 2 2 5 2 2 6" xfId="34392"/>
    <cellStyle name="Heading 2 2 2 5 2 2 6 2" xfId="34393"/>
    <cellStyle name="Heading 2 2 2 5 2 2 6 2 2" xfId="34394"/>
    <cellStyle name="Heading 2 2 2 5 2 2 6 2 2 2" xfId="34395"/>
    <cellStyle name="Heading 2 2 2 5 2 2 6 2 3" xfId="34396"/>
    <cellStyle name="Heading 2 2 2 5 2 2 6 3" xfId="34397"/>
    <cellStyle name="Heading 2 2 2 5 2 2 6 3 2" xfId="34398"/>
    <cellStyle name="Heading 2 2 2 5 2 2 6 3 2 2" xfId="34399"/>
    <cellStyle name="Heading 2 2 2 5 2 2 6 3 3" xfId="34400"/>
    <cellStyle name="Heading 2 2 2 5 2 2 6 4" xfId="34401"/>
    <cellStyle name="Heading 2 2 2 5 2 2 6 4 2" xfId="34402"/>
    <cellStyle name="Heading 2 2 2 5 2 2 6 4 2 2" xfId="34403"/>
    <cellStyle name="Heading 2 2 2 5 2 2 6 4 3" xfId="34404"/>
    <cellStyle name="Heading 2 2 2 5 2 2 6 5" xfId="34405"/>
    <cellStyle name="Heading 2 2 2 5 2 2 6 5 2" xfId="34406"/>
    <cellStyle name="Heading 2 2 2 5 2 2 6 5 2 2" xfId="34407"/>
    <cellStyle name="Heading 2 2 2 5 2 2 6 5 3" xfId="34408"/>
    <cellStyle name="Heading 2 2 2 5 2 2 6 6" xfId="34409"/>
    <cellStyle name="Heading 2 2 2 5 2 2 6 6 2" xfId="34410"/>
    <cellStyle name="Heading 2 2 2 5 2 2 6 6 2 2" xfId="34411"/>
    <cellStyle name="Heading 2 2 2 5 2 2 6 6 3" xfId="34412"/>
    <cellStyle name="Heading 2 2 2 5 2 2 6 7" xfId="34413"/>
    <cellStyle name="Heading 2 2 2 5 2 2 6 7 2" xfId="34414"/>
    <cellStyle name="Heading 2 2 2 5 2 2 6 7 2 2" xfId="34415"/>
    <cellStyle name="Heading 2 2 2 5 2 2 6 7 3" xfId="34416"/>
    <cellStyle name="Heading 2 2 2 5 2 2 6 8" xfId="34417"/>
    <cellStyle name="Heading 2 2 2 5 2 2 6 8 2" xfId="34418"/>
    <cellStyle name="Heading 2 2 2 5 2 2 6 9" xfId="34419"/>
    <cellStyle name="Heading 2 2 2 5 2 2 7" xfId="34420"/>
    <cellStyle name="Heading 2 2 2 5 2 2 7 2" xfId="34421"/>
    <cellStyle name="Heading 2 2 2 5 2 2 7 2 2" xfId="34422"/>
    <cellStyle name="Heading 2 2 2 5 2 2 7 2 2 2" xfId="34423"/>
    <cellStyle name="Heading 2 2 2 5 2 2 7 2 3" xfId="34424"/>
    <cellStyle name="Heading 2 2 2 5 2 2 7 3" xfId="34425"/>
    <cellStyle name="Heading 2 2 2 5 2 2 7 3 2" xfId="34426"/>
    <cellStyle name="Heading 2 2 2 5 2 2 7 3 2 2" xfId="34427"/>
    <cellStyle name="Heading 2 2 2 5 2 2 7 3 3" xfId="34428"/>
    <cellStyle name="Heading 2 2 2 5 2 2 7 4" xfId="34429"/>
    <cellStyle name="Heading 2 2 2 5 2 2 7 4 2" xfId="34430"/>
    <cellStyle name="Heading 2 2 2 5 2 2 7 4 2 2" xfId="34431"/>
    <cellStyle name="Heading 2 2 2 5 2 2 7 4 3" xfId="34432"/>
    <cellStyle name="Heading 2 2 2 5 2 2 7 5" xfId="34433"/>
    <cellStyle name="Heading 2 2 2 5 2 2 7 5 2" xfId="34434"/>
    <cellStyle name="Heading 2 2 2 5 2 2 7 5 2 2" xfId="34435"/>
    <cellStyle name="Heading 2 2 2 5 2 2 7 5 3" xfId="34436"/>
    <cellStyle name="Heading 2 2 2 5 2 2 7 6" xfId="34437"/>
    <cellStyle name="Heading 2 2 2 5 2 2 7 6 2" xfId="34438"/>
    <cellStyle name="Heading 2 2 2 5 2 2 7 6 2 2" xfId="34439"/>
    <cellStyle name="Heading 2 2 2 5 2 2 7 6 3" xfId="34440"/>
    <cellStyle name="Heading 2 2 2 5 2 2 7 7" xfId="34441"/>
    <cellStyle name="Heading 2 2 2 5 2 2 7 7 2" xfId="34442"/>
    <cellStyle name="Heading 2 2 2 5 2 2 7 7 2 2" xfId="34443"/>
    <cellStyle name="Heading 2 2 2 5 2 2 7 7 3" xfId="34444"/>
    <cellStyle name="Heading 2 2 2 5 2 2 7 8" xfId="34445"/>
    <cellStyle name="Heading 2 2 2 5 2 2 7 8 2" xfId="34446"/>
    <cellStyle name="Heading 2 2 2 5 2 2 7 9" xfId="34447"/>
    <cellStyle name="Heading 2 2 2 5 2 2 8" xfId="34448"/>
    <cellStyle name="Heading 2 2 2 5 2 2 8 2" xfId="34449"/>
    <cellStyle name="Heading 2 2 2 5 2 2 8 2 2" xfId="34450"/>
    <cellStyle name="Heading 2 2 2 5 2 2 8 2 2 2" xfId="34451"/>
    <cellStyle name="Heading 2 2 2 5 2 2 8 2 3" xfId="34452"/>
    <cellStyle name="Heading 2 2 2 5 2 2 8 3" xfId="34453"/>
    <cellStyle name="Heading 2 2 2 5 2 2 8 3 2" xfId="34454"/>
    <cellStyle name="Heading 2 2 2 5 2 2 8 3 2 2" xfId="34455"/>
    <cellStyle name="Heading 2 2 2 5 2 2 8 3 3" xfId="34456"/>
    <cellStyle name="Heading 2 2 2 5 2 2 8 4" xfId="34457"/>
    <cellStyle name="Heading 2 2 2 5 2 2 8 4 2" xfId="34458"/>
    <cellStyle name="Heading 2 2 2 5 2 2 8 4 2 2" xfId="34459"/>
    <cellStyle name="Heading 2 2 2 5 2 2 8 4 3" xfId="34460"/>
    <cellStyle name="Heading 2 2 2 5 2 2 8 5" xfId="34461"/>
    <cellStyle name="Heading 2 2 2 5 2 2 8 5 2" xfId="34462"/>
    <cellStyle name="Heading 2 2 2 5 2 2 8 5 2 2" xfId="34463"/>
    <cellStyle name="Heading 2 2 2 5 2 2 8 5 3" xfId="34464"/>
    <cellStyle name="Heading 2 2 2 5 2 2 8 6" xfId="34465"/>
    <cellStyle name="Heading 2 2 2 5 2 2 8 6 2" xfId="34466"/>
    <cellStyle name="Heading 2 2 2 5 2 2 8 6 2 2" xfId="34467"/>
    <cellStyle name="Heading 2 2 2 5 2 2 8 6 3" xfId="34468"/>
    <cellStyle name="Heading 2 2 2 5 2 2 8 7" xfId="34469"/>
    <cellStyle name="Heading 2 2 2 5 2 2 8 7 2" xfId="34470"/>
    <cellStyle name="Heading 2 2 2 5 2 2 8 7 2 2" xfId="34471"/>
    <cellStyle name="Heading 2 2 2 5 2 2 8 7 3" xfId="34472"/>
    <cellStyle name="Heading 2 2 2 5 2 2 8 8" xfId="34473"/>
    <cellStyle name="Heading 2 2 2 5 2 2 8 8 2" xfId="34474"/>
    <cellStyle name="Heading 2 2 2 5 2 2 8 9" xfId="34475"/>
    <cellStyle name="Heading 2 2 2 5 2 2 9" xfId="34476"/>
    <cellStyle name="Heading 2 2 2 5 2 2 9 2" xfId="34477"/>
    <cellStyle name="Heading 2 2 2 5 2 2 9 2 2" xfId="34478"/>
    <cellStyle name="Heading 2 2 2 5 2 2 9 3" xfId="34479"/>
    <cellStyle name="Heading 2 2 2 5 2 20" xfId="34480"/>
    <cellStyle name="Heading 2 2 2 5 2 20 2" xfId="34481"/>
    <cellStyle name="Heading 2 2 2 5 2 21" xfId="34482"/>
    <cellStyle name="Heading 2 2 2 5 2 21 2" xfId="34483"/>
    <cellStyle name="Heading 2 2 2 5 2 22" xfId="34484"/>
    <cellStyle name="Heading 2 2 2 5 2 22 2" xfId="34485"/>
    <cellStyle name="Heading 2 2 2 5 2 23" xfId="34486"/>
    <cellStyle name="Heading 2 2 2 5 2 3" xfId="34487"/>
    <cellStyle name="Heading 2 2 2 5 2 3 2" xfId="34488"/>
    <cellStyle name="Heading 2 2 2 5 2 3 2 2" xfId="34489"/>
    <cellStyle name="Heading 2 2 2 5 2 3 2 2 2" xfId="34490"/>
    <cellStyle name="Heading 2 2 2 5 2 3 2 3" xfId="34491"/>
    <cellStyle name="Heading 2 2 2 5 2 3 3" xfId="34492"/>
    <cellStyle name="Heading 2 2 2 5 2 3 3 2" xfId="34493"/>
    <cellStyle name="Heading 2 2 2 5 2 3 3 2 2" xfId="34494"/>
    <cellStyle name="Heading 2 2 2 5 2 3 3 3" xfId="34495"/>
    <cellStyle name="Heading 2 2 2 5 2 3 4" xfId="34496"/>
    <cellStyle name="Heading 2 2 2 5 2 3 4 2" xfId="34497"/>
    <cellStyle name="Heading 2 2 2 5 2 3 4 2 2" xfId="34498"/>
    <cellStyle name="Heading 2 2 2 5 2 3 4 3" xfId="34499"/>
    <cellStyle name="Heading 2 2 2 5 2 3 5" xfId="34500"/>
    <cellStyle name="Heading 2 2 2 5 2 3 5 2" xfId="34501"/>
    <cellStyle name="Heading 2 2 2 5 2 3 5 2 2" xfId="34502"/>
    <cellStyle name="Heading 2 2 2 5 2 3 5 3" xfId="34503"/>
    <cellStyle name="Heading 2 2 2 5 2 3 6" xfId="34504"/>
    <cellStyle name="Heading 2 2 2 5 2 3 6 2" xfId="34505"/>
    <cellStyle name="Heading 2 2 2 5 2 3 6 2 2" xfId="34506"/>
    <cellStyle name="Heading 2 2 2 5 2 3 6 3" xfId="34507"/>
    <cellStyle name="Heading 2 2 2 5 2 3 7" xfId="34508"/>
    <cellStyle name="Heading 2 2 2 5 2 3 7 2" xfId="34509"/>
    <cellStyle name="Heading 2 2 2 5 2 3 7 2 2" xfId="34510"/>
    <cellStyle name="Heading 2 2 2 5 2 3 7 3" xfId="34511"/>
    <cellStyle name="Heading 2 2 2 5 2 3 8" xfId="34512"/>
    <cellStyle name="Heading 2 2 2 5 2 3 8 2" xfId="34513"/>
    <cellStyle name="Heading 2 2 2 5 2 3 9" xfId="34514"/>
    <cellStyle name="Heading 2 2 2 5 2 4" xfId="34515"/>
    <cellStyle name="Heading 2 2 2 5 2 4 2" xfId="34516"/>
    <cellStyle name="Heading 2 2 2 5 2 4 2 2" xfId="34517"/>
    <cellStyle name="Heading 2 2 2 5 2 4 2 2 2" xfId="34518"/>
    <cellStyle name="Heading 2 2 2 5 2 4 2 3" xfId="34519"/>
    <cellStyle name="Heading 2 2 2 5 2 4 3" xfId="34520"/>
    <cellStyle name="Heading 2 2 2 5 2 4 3 2" xfId="34521"/>
    <cellStyle name="Heading 2 2 2 5 2 4 3 2 2" xfId="34522"/>
    <cellStyle name="Heading 2 2 2 5 2 4 3 3" xfId="34523"/>
    <cellStyle name="Heading 2 2 2 5 2 4 4" xfId="34524"/>
    <cellStyle name="Heading 2 2 2 5 2 4 4 2" xfId="34525"/>
    <cellStyle name="Heading 2 2 2 5 2 4 4 2 2" xfId="34526"/>
    <cellStyle name="Heading 2 2 2 5 2 4 4 3" xfId="34527"/>
    <cellStyle name="Heading 2 2 2 5 2 4 5" xfId="34528"/>
    <cellStyle name="Heading 2 2 2 5 2 4 5 2" xfId="34529"/>
    <cellStyle name="Heading 2 2 2 5 2 4 5 2 2" xfId="34530"/>
    <cellStyle name="Heading 2 2 2 5 2 4 5 3" xfId="34531"/>
    <cellStyle name="Heading 2 2 2 5 2 4 6" xfId="34532"/>
    <cellStyle name="Heading 2 2 2 5 2 4 6 2" xfId="34533"/>
    <cellStyle name="Heading 2 2 2 5 2 4 6 2 2" xfId="34534"/>
    <cellStyle name="Heading 2 2 2 5 2 4 6 3" xfId="34535"/>
    <cellStyle name="Heading 2 2 2 5 2 4 7" xfId="34536"/>
    <cellStyle name="Heading 2 2 2 5 2 4 7 2" xfId="34537"/>
    <cellStyle name="Heading 2 2 2 5 2 4 7 2 2" xfId="34538"/>
    <cellStyle name="Heading 2 2 2 5 2 4 7 3" xfId="34539"/>
    <cellStyle name="Heading 2 2 2 5 2 4 8" xfId="34540"/>
    <cellStyle name="Heading 2 2 2 5 2 4 8 2" xfId="34541"/>
    <cellStyle name="Heading 2 2 2 5 2 4 9" xfId="34542"/>
    <cellStyle name="Heading 2 2 2 5 2 5" xfId="34543"/>
    <cellStyle name="Heading 2 2 2 5 2 5 2" xfId="34544"/>
    <cellStyle name="Heading 2 2 2 5 2 5 2 2" xfId="34545"/>
    <cellStyle name="Heading 2 2 2 5 2 5 2 2 2" xfId="34546"/>
    <cellStyle name="Heading 2 2 2 5 2 5 2 3" xfId="34547"/>
    <cellStyle name="Heading 2 2 2 5 2 5 3" xfId="34548"/>
    <cellStyle name="Heading 2 2 2 5 2 5 3 2" xfId="34549"/>
    <cellStyle name="Heading 2 2 2 5 2 5 3 2 2" xfId="34550"/>
    <cellStyle name="Heading 2 2 2 5 2 5 3 3" xfId="34551"/>
    <cellStyle name="Heading 2 2 2 5 2 5 4" xfId="34552"/>
    <cellStyle name="Heading 2 2 2 5 2 5 4 2" xfId="34553"/>
    <cellStyle name="Heading 2 2 2 5 2 5 4 2 2" xfId="34554"/>
    <cellStyle name="Heading 2 2 2 5 2 5 4 3" xfId="34555"/>
    <cellStyle name="Heading 2 2 2 5 2 5 5" xfId="34556"/>
    <cellStyle name="Heading 2 2 2 5 2 5 5 2" xfId="34557"/>
    <cellStyle name="Heading 2 2 2 5 2 5 5 2 2" xfId="34558"/>
    <cellStyle name="Heading 2 2 2 5 2 5 5 3" xfId="34559"/>
    <cellStyle name="Heading 2 2 2 5 2 5 6" xfId="34560"/>
    <cellStyle name="Heading 2 2 2 5 2 5 6 2" xfId="34561"/>
    <cellStyle name="Heading 2 2 2 5 2 5 6 2 2" xfId="34562"/>
    <cellStyle name="Heading 2 2 2 5 2 5 6 3" xfId="34563"/>
    <cellStyle name="Heading 2 2 2 5 2 5 7" xfId="34564"/>
    <cellStyle name="Heading 2 2 2 5 2 5 7 2" xfId="34565"/>
    <cellStyle name="Heading 2 2 2 5 2 5 7 2 2" xfId="34566"/>
    <cellStyle name="Heading 2 2 2 5 2 5 7 3" xfId="34567"/>
    <cellStyle name="Heading 2 2 2 5 2 5 8" xfId="34568"/>
    <cellStyle name="Heading 2 2 2 5 2 5 8 2" xfId="34569"/>
    <cellStyle name="Heading 2 2 2 5 2 5 9" xfId="34570"/>
    <cellStyle name="Heading 2 2 2 5 2 6" xfId="34571"/>
    <cellStyle name="Heading 2 2 2 5 2 6 2" xfId="34572"/>
    <cellStyle name="Heading 2 2 2 5 2 6 2 2" xfId="34573"/>
    <cellStyle name="Heading 2 2 2 5 2 6 2 2 2" xfId="34574"/>
    <cellStyle name="Heading 2 2 2 5 2 6 2 3" xfId="34575"/>
    <cellStyle name="Heading 2 2 2 5 2 6 3" xfId="34576"/>
    <cellStyle name="Heading 2 2 2 5 2 6 3 2" xfId="34577"/>
    <cellStyle name="Heading 2 2 2 5 2 6 3 2 2" xfId="34578"/>
    <cellStyle name="Heading 2 2 2 5 2 6 3 3" xfId="34579"/>
    <cellStyle name="Heading 2 2 2 5 2 6 4" xfId="34580"/>
    <cellStyle name="Heading 2 2 2 5 2 6 4 2" xfId="34581"/>
    <cellStyle name="Heading 2 2 2 5 2 6 4 2 2" xfId="34582"/>
    <cellStyle name="Heading 2 2 2 5 2 6 4 3" xfId="34583"/>
    <cellStyle name="Heading 2 2 2 5 2 6 5" xfId="34584"/>
    <cellStyle name="Heading 2 2 2 5 2 6 5 2" xfId="34585"/>
    <cellStyle name="Heading 2 2 2 5 2 6 5 2 2" xfId="34586"/>
    <cellStyle name="Heading 2 2 2 5 2 6 5 3" xfId="34587"/>
    <cellStyle name="Heading 2 2 2 5 2 6 6" xfId="34588"/>
    <cellStyle name="Heading 2 2 2 5 2 6 6 2" xfId="34589"/>
    <cellStyle name="Heading 2 2 2 5 2 6 6 2 2" xfId="34590"/>
    <cellStyle name="Heading 2 2 2 5 2 6 6 3" xfId="34591"/>
    <cellStyle name="Heading 2 2 2 5 2 6 7" xfId="34592"/>
    <cellStyle name="Heading 2 2 2 5 2 6 7 2" xfId="34593"/>
    <cellStyle name="Heading 2 2 2 5 2 6 7 2 2" xfId="34594"/>
    <cellStyle name="Heading 2 2 2 5 2 6 7 3" xfId="34595"/>
    <cellStyle name="Heading 2 2 2 5 2 6 8" xfId="34596"/>
    <cellStyle name="Heading 2 2 2 5 2 6 8 2" xfId="34597"/>
    <cellStyle name="Heading 2 2 2 5 2 6 9" xfId="34598"/>
    <cellStyle name="Heading 2 2 2 5 2 7" xfId="34599"/>
    <cellStyle name="Heading 2 2 2 5 2 7 2" xfId="34600"/>
    <cellStyle name="Heading 2 2 2 5 2 7 2 2" xfId="34601"/>
    <cellStyle name="Heading 2 2 2 5 2 7 2 2 2" xfId="34602"/>
    <cellStyle name="Heading 2 2 2 5 2 7 2 3" xfId="34603"/>
    <cellStyle name="Heading 2 2 2 5 2 7 3" xfId="34604"/>
    <cellStyle name="Heading 2 2 2 5 2 7 3 2" xfId="34605"/>
    <cellStyle name="Heading 2 2 2 5 2 7 3 2 2" xfId="34606"/>
    <cellStyle name="Heading 2 2 2 5 2 7 3 3" xfId="34607"/>
    <cellStyle name="Heading 2 2 2 5 2 7 4" xfId="34608"/>
    <cellStyle name="Heading 2 2 2 5 2 7 4 2" xfId="34609"/>
    <cellStyle name="Heading 2 2 2 5 2 7 4 2 2" xfId="34610"/>
    <cellStyle name="Heading 2 2 2 5 2 7 4 3" xfId="34611"/>
    <cellStyle name="Heading 2 2 2 5 2 7 5" xfId="34612"/>
    <cellStyle name="Heading 2 2 2 5 2 7 5 2" xfId="34613"/>
    <cellStyle name="Heading 2 2 2 5 2 7 5 2 2" xfId="34614"/>
    <cellStyle name="Heading 2 2 2 5 2 7 5 3" xfId="34615"/>
    <cellStyle name="Heading 2 2 2 5 2 7 6" xfId="34616"/>
    <cellStyle name="Heading 2 2 2 5 2 7 6 2" xfId="34617"/>
    <cellStyle name="Heading 2 2 2 5 2 7 6 2 2" xfId="34618"/>
    <cellStyle name="Heading 2 2 2 5 2 7 6 3" xfId="34619"/>
    <cellStyle name="Heading 2 2 2 5 2 7 7" xfId="34620"/>
    <cellStyle name="Heading 2 2 2 5 2 7 7 2" xfId="34621"/>
    <cellStyle name="Heading 2 2 2 5 2 7 7 2 2" xfId="34622"/>
    <cellStyle name="Heading 2 2 2 5 2 7 7 3" xfId="34623"/>
    <cellStyle name="Heading 2 2 2 5 2 7 8" xfId="34624"/>
    <cellStyle name="Heading 2 2 2 5 2 7 8 2" xfId="34625"/>
    <cellStyle name="Heading 2 2 2 5 2 7 9" xfId="34626"/>
    <cellStyle name="Heading 2 2 2 5 2 8" xfId="34627"/>
    <cellStyle name="Heading 2 2 2 5 2 8 2" xfId="34628"/>
    <cellStyle name="Heading 2 2 2 5 2 8 2 2" xfId="34629"/>
    <cellStyle name="Heading 2 2 2 5 2 8 2 2 2" xfId="34630"/>
    <cellStyle name="Heading 2 2 2 5 2 8 2 3" xfId="34631"/>
    <cellStyle name="Heading 2 2 2 5 2 8 3" xfId="34632"/>
    <cellStyle name="Heading 2 2 2 5 2 8 3 2" xfId="34633"/>
    <cellStyle name="Heading 2 2 2 5 2 8 3 2 2" xfId="34634"/>
    <cellStyle name="Heading 2 2 2 5 2 8 3 3" xfId="34635"/>
    <cellStyle name="Heading 2 2 2 5 2 8 4" xfId="34636"/>
    <cellStyle name="Heading 2 2 2 5 2 8 4 2" xfId="34637"/>
    <cellStyle name="Heading 2 2 2 5 2 8 4 2 2" xfId="34638"/>
    <cellStyle name="Heading 2 2 2 5 2 8 4 3" xfId="34639"/>
    <cellStyle name="Heading 2 2 2 5 2 8 5" xfId="34640"/>
    <cellStyle name="Heading 2 2 2 5 2 8 5 2" xfId="34641"/>
    <cellStyle name="Heading 2 2 2 5 2 8 5 2 2" xfId="34642"/>
    <cellStyle name="Heading 2 2 2 5 2 8 5 3" xfId="34643"/>
    <cellStyle name="Heading 2 2 2 5 2 8 6" xfId="34644"/>
    <cellStyle name="Heading 2 2 2 5 2 8 6 2" xfId="34645"/>
    <cellStyle name="Heading 2 2 2 5 2 8 6 2 2" xfId="34646"/>
    <cellStyle name="Heading 2 2 2 5 2 8 6 3" xfId="34647"/>
    <cellStyle name="Heading 2 2 2 5 2 8 7" xfId="34648"/>
    <cellStyle name="Heading 2 2 2 5 2 8 7 2" xfId="34649"/>
    <cellStyle name="Heading 2 2 2 5 2 8 7 2 2" xfId="34650"/>
    <cellStyle name="Heading 2 2 2 5 2 8 7 3" xfId="34651"/>
    <cellStyle name="Heading 2 2 2 5 2 8 8" xfId="34652"/>
    <cellStyle name="Heading 2 2 2 5 2 8 8 2" xfId="34653"/>
    <cellStyle name="Heading 2 2 2 5 2 8 9" xfId="34654"/>
    <cellStyle name="Heading 2 2 2 5 2 9" xfId="34655"/>
    <cellStyle name="Heading 2 2 2 5 2 9 2" xfId="34656"/>
    <cellStyle name="Heading 2 2 2 5 2 9 2 2" xfId="34657"/>
    <cellStyle name="Heading 2 2 2 5 2 9 2 2 2" xfId="34658"/>
    <cellStyle name="Heading 2 2 2 5 2 9 2 3" xfId="34659"/>
    <cellStyle name="Heading 2 2 2 5 2 9 3" xfId="34660"/>
    <cellStyle name="Heading 2 2 2 5 2 9 3 2" xfId="34661"/>
    <cellStyle name="Heading 2 2 2 5 2 9 3 2 2" xfId="34662"/>
    <cellStyle name="Heading 2 2 2 5 2 9 3 3" xfId="34663"/>
    <cellStyle name="Heading 2 2 2 5 2 9 4" xfId="34664"/>
    <cellStyle name="Heading 2 2 2 5 2 9 4 2" xfId="34665"/>
    <cellStyle name="Heading 2 2 2 5 2 9 4 2 2" xfId="34666"/>
    <cellStyle name="Heading 2 2 2 5 2 9 4 3" xfId="34667"/>
    <cellStyle name="Heading 2 2 2 5 2 9 5" xfId="34668"/>
    <cellStyle name="Heading 2 2 2 5 2 9 5 2" xfId="34669"/>
    <cellStyle name="Heading 2 2 2 5 2 9 5 2 2" xfId="34670"/>
    <cellStyle name="Heading 2 2 2 5 2 9 5 3" xfId="34671"/>
    <cellStyle name="Heading 2 2 2 5 2 9 6" xfId="34672"/>
    <cellStyle name="Heading 2 2 2 5 2 9 6 2" xfId="34673"/>
    <cellStyle name="Heading 2 2 2 5 2 9 6 2 2" xfId="34674"/>
    <cellStyle name="Heading 2 2 2 5 2 9 6 3" xfId="34675"/>
    <cellStyle name="Heading 2 2 2 5 2 9 7" xfId="34676"/>
    <cellStyle name="Heading 2 2 2 5 2 9 7 2" xfId="34677"/>
    <cellStyle name="Heading 2 2 2 5 2 9 7 2 2" xfId="34678"/>
    <cellStyle name="Heading 2 2 2 5 2 9 7 3" xfId="34679"/>
    <cellStyle name="Heading 2 2 2 5 2 9 8" xfId="34680"/>
    <cellStyle name="Heading 2 2 2 5 2 9 8 2" xfId="34681"/>
    <cellStyle name="Heading 2 2 2 5 2 9 9" xfId="34682"/>
    <cellStyle name="Heading 2 2 2 5 3" xfId="34683"/>
    <cellStyle name="Heading 2 2 2 5 3 10" xfId="34684"/>
    <cellStyle name="Heading 2 2 2 5 3 10 2" xfId="34685"/>
    <cellStyle name="Heading 2 2 2 5 3 10 2 2" xfId="34686"/>
    <cellStyle name="Heading 2 2 2 5 3 10 3" xfId="34687"/>
    <cellStyle name="Heading 2 2 2 5 3 11" xfId="34688"/>
    <cellStyle name="Heading 2 2 2 5 3 11 2" xfId="34689"/>
    <cellStyle name="Heading 2 2 2 5 3 11 2 2" xfId="34690"/>
    <cellStyle name="Heading 2 2 2 5 3 11 3" xfId="34691"/>
    <cellStyle name="Heading 2 2 2 5 3 12" xfId="34692"/>
    <cellStyle name="Heading 2 2 2 5 3 12 2" xfId="34693"/>
    <cellStyle name="Heading 2 2 2 5 3 12 2 2" xfId="34694"/>
    <cellStyle name="Heading 2 2 2 5 3 12 3" xfId="34695"/>
    <cellStyle name="Heading 2 2 2 5 3 13" xfId="34696"/>
    <cellStyle name="Heading 2 2 2 5 3 13 2" xfId="34697"/>
    <cellStyle name="Heading 2 2 2 5 3 13 2 2" xfId="34698"/>
    <cellStyle name="Heading 2 2 2 5 3 13 3" xfId="34699"/>
    <cellStyle name="Heading 2 2 2 5 3 14" xfId="34700"/>
    <cellStyle name="Heading 2 2 2 5 3 14 2" xfId="34701"/>
    <cellStyle name="Heading 2 2 2 5 3 14 2 2" xfId="34702"/>
    <cellStyle name="Heading 2 2 2 5 3 14 3" xfId="34703"/>
    <cellStyle name="Heading 2 2 2 5 3 15" xfId="34704"/>
    <cellStyle name="Heading 2 2 2 5 3 15 2" xfId="34705"/>
    <cellStyle name="Heading 2 2 2 5 3 15 2 2" xfId="34706"/>
    <cellStyle name="Heading 2 2 2 5 3 15 3" xfId="34707"/>
    <cellStyle name="Heading 2 2 2 5 3 16" xfId="34708"/>
    <cellStyle name="Heading 2 2 2 5 3 16 2" xfId="34709"/>
    <cellStyle name="Heading 2 2 2 5 3 16 2 2" xfId="34710"/>
    <cellStyle name="Heading 2 2 2 5 3 16 3" xfId="34711"/>
    <cellStyle name="Heading 2 2 2 5 3 17" xfId="34712"/>
    <cellStyle name="Heading 2 2 2 5 3 17 2" xfId="34713"/>
    <cellStyle name="Heading 2 2 2 5 3 17 2 2" xfId="34714"/>
    <cellStyle name="Heading 2 2 2 5 3 17 3" xfId="34715"/>
    <cellStyle name="Heading 2 2 2 5 3 18" xfId="34716"/>
    <cellStyle name="Heading 2 2 2 5 3 18 2" xfId="34717"/>
    <cellStyle name="Heading 2 2 2 5 3 18 2 2" xfId="34718"/>
    <cellStyle name="Heading 2 2 2 5 3 18 3" xfId="34719"/>
    <cellStyle name="Heading 2 2 2 5 3 19" xfId="34720"/>
    <cellStyle name="Heading 2 2 2 5 3 19 2" xfId="34721"/>
    <cellStyle name="Heading 2 2 2 5 3 2" xfId="34722"/>
    <cellStyle name="Heading 2 2 2 5 3 2 2" xfId="34723"/>
    <cellStyle name="Heading 2 2 2 5 3 2 2 2" xfId="34724"/>
    <cellStyle name="Heading 2 2 2 5 3 2 2 2 2" xfId="34725"/>
    <cellStyle name="Heading 2 2 2 5 3 2 2 3" xfId="34726"/>
    <cellStyle name="Heading 2 2 2 5 3 2 3" xfId="34727"/>
    <cellStyle name="Heading 2 2 2 5 3 2 3 2" xfId="34728"/>
    <cellStyle name="Heading 2 2 2 5 3 2 3 2 2" xfId="34729"/>
    <cellStyle name="Heading 2 2 2 5 3 2 3 3" xfId="34730"/>
    <cellStyle name="Heading 2 2 2 5 3 2 4" xfId="34731"/>
    <cellStyle name="Heading 2 2 2 5 3 2 4 2" xfId="34732"/>
    <cellStyle name="Heading 2 2 2 5 3 2 4 2 2" xfId="34733"/>
    <cellStyle name="Heading 2 2 2 5 3 2 4 3" xfId="34734"/>
    <cellStyle name="Heading 2 2 2 5 3 2 5" xfId="34735"/>
    <cellStyle name="Heading 2 2 2 5 3 2 5 2" xfId="34736"/>
    <cellStyle name="Heading 2 2 2 5 3 2 5 2 2" xfId="34737"/>
    <cellStyle name="Heading 2 2 2 5 3 2 5 3" xfId="34738"/>
    <cellStyle name="Heading 2 2 2 5 3 2 6" xfId="34739"/>
    <cellStyle name="Heading 2 2 2 5 3 2 6 2" xfId="34740"/>
    <cellStyle name="Heading 2 2 2 5 3 2 6 2 2" xfId="34741"/>
    <cellStyle name="Heading 2 2 2 5 3 2 6 3" xfId="34742"/>
    <cellStyle name="Heading 2 2 2 5 3 2 7" xfId="34743"/>
    <cellStyle name="Heading 2 2 2 5 3 2 7 2" xfId="34744"/>
    <cellStyle name="Heading 2 2 2 5 3 2 7 2 2" xfId="34745"/>
    <cellStyle name="Heading 2 2 2 5 3 2 7 3" xfId="34746"/>
    <cellStyle name="Heading 2 2 2 5 3 2 8" xfId="34747"/>
    <cellStyle name="Heading 2 2 2 5 3 2 8 2" xfId="34748"/>
    <cellStyle name="Heading 2 2 2 5 3 2 9" xfId="34749"/>
    <cellStyle name="Heading 2 2 2 5 3 20" xfId="34750"/>
    <cellStyle name="Heading 2 2 2 5 3 20 2" xfId="34751"/>
    <cellStyle name="Heading 2 2 2 5 3 21" xfId="34752"/>
    <cellStyle name="Heading 2 2 2 5 3 21 2" xfId="34753"/>
    <cellStyle name="Heading 2 2 2 5 3 22" xfId="34754"/>
    <cellStyle name="Heading 2 2 2 5 3 3" xfId="34755"/>
    <cellStyle name="Heading 2 2 2 5 3 3 2" xfId="34756"/>
    <cellStyle name="Heading 2 2 2 5 3 3 2 2" xfId="34757"/>
    <cellStyle name="Heading 2 2 2 5 3 3 2 2 2" xfId="34758"/>
    <cellStyle name="Heading 2 2 2 5 3 3 2 3" xfId="34759"/>
    <cellStyle name="Heading 2 2 2 5 3 3 3" xfId="34760"/>
    <cellStyle name="Heading 2 2 2 5 3 3 3 2" xfId="34761"/>
    <cellStyle name="Heading 2 2 2 5 3 3 3 2 2" xfId="34762"/>
    <cellStyle name="Heading 2 2 2 5 3 3 3 3" xfId="34763"/>
    <cellStyle name="Heading 2 2 2 5 3 3 4" xfId="34764"/>
    <cellStyle name="Heading 2 2 2 5 3 3 4 2" xfId="34765"/>
    <cellStyle name="Heading 2 2 2 5 3 3 4 2 2" xfId="34766"/>
    <cellStyle name="Heading 2 2 2 5 3 3 4 3" xfId="34767"/>
    <cellStyle name="Heading 2 2 2 5 3 3 5" xfId="34768"/>
    <cellStyle name="Heading 2 2 2 5 3 3 5 2" xfId="34769"/>
    <cellStyle name="Heading 2 2 2 5 3 3 5 2 2" xfId="34770"/>
    <cellStyle name="Heading 2 2 2 5 3 3 5 3" xfId="34771"/>
    <cellStyle name="Heading 2 2 2 5 3 3 6" xfId="34772"/>
    <cellStyle name="Heading 2 2 2 5 3 3 6 2" xfId="34773"/>
    <cellStyle name="Heading 2 2 2 5 3 3 6 2 2" xfId="34774"/>
    <cellStyle name="Heading 2 2 2 5 3 3 6 3" xfId="34775"/>
    <cellStyle name="Heading 2 2 2 5 3 3 7" xfId="34776"/>
    <cellStyle name="Heading 2 2 2 5 3 3 7 2" xfId="34777"/>
    <cellStyle name="Heading 2 2 2 5 3 3 7 2 2" xfId="34778"/>
    <cellStyle name="Heading 2 2 2 5 3 3 7 3" xfId="34779"/>
    <cellStyle name="Heading 2 2 2 5 3 3 8" xfId="34780"/>
    <cellStyle name="Heading 2 2 2 5 3 3 8 2" xfId="34781"/>
    <cellStyle name="Heading 2 2 2 5 3 3 9" xfId="34782"/>
    <cellStyle name="Heading 2 2 2 5 3 4" xfId="34783"/>
    <cellStyle name="Heading 2 2 2 5 3 4 2" xfId="34784"/>
    <cellStyle name="Heading 2 2 2 5 3 4 2 2" xfId="34785"/>
    <cellStyle name="Heading 2 2 2 5 3 4 2 2 2" xfId="34786"/>
    <cellStyle name="Heading 2 2 2 5 3 4 2 3" xfId="34787"/>
    <cellStyle name="Heading 2 2 2 5 3 4 3" xfId="34788"/>
    <cellStyle name="Heading 2 2 2 5 3 4 3 2" xfId="34789"/>
    <cellStyle name="Heading 2 2 2 5 3 4 3 2 2" xfId="34790"/>
    <cellStyle name="Heading 2 2 2 5 3 4 3 3" xfId="34791"/>
    <cellStyle name="Heading 2 2 2 5 3 4 4" xfId="34792"/>
    <cellStyle name="Heading 2 2 2 5 3 4 4 2" xfId="34793"/>
    <cellStyle name="Heading 2 2 2 5 3 4 4 2 2" xfId="34794"/>
    <cellStyle name="Heading 2 2 2 5 3 4 4 3" xfId="34795"/>
    <cellStyle name="Heading 2 2 2 5 3 4 5" xfId="34796"/>
    <cellStyle name="Heading 2 2 2 5 3 4 5 2" xfId="34797"/>
    <cellStyle name="Heading 2 2 2 5 3 4 5 2 2" xfId="34798"/>
    <cellStyle name="Heading 2 2 2 5 3 4 5 3" xfId="34799"/>
    <cellStyle name="Heading 2 2 2 5 3 4 6" xfId="34800"/>
    <cellStyle name="Heading 2 2 2 5 3 4 6 2" xfId="34801"/>
    <cellStyle name="Heading 2 2 2 5 3 4 6 2 2" xfId="34802"/>
    <cellStyle name="Heading 2 2 2 5 3 4 6 3" xfId="34803"/>
    <cellStyle name="Heading 2 2 2 5 3 4 7" xfId="34804"/>
    <cellStyle name="Heading 2 2 2 5 3 4 7 2" xfId="34805"/>
    <cellStyle name="Heading 2 2 2 5 3 4 7 2 2" xfId="34806"/>
    <cellStyle name="Heading 2 2 2 5 3 4 7 3" xfId="34807"/>
    <cellStyle name="Heading 2 2 2 5 3 4 8" xfId="34808"/>
    <cellStyle name="Heading 2 2 2 5 3 4 8 2" xfId="34809"/>
    <cellStyle name="Heading 2 2 2 5 3 4 9" xfId="34810"/>
    <cellStyle name="Heading 2 2 2 5 3 5" xfId="34811"/>
    <cellStyle name="Heading 2 2 2 5 3 5 2" xfId="34812"/>
    <cellStyle name="Heading 2 2 2 5 3 5 2 2" xfId="34813"/>
    <cellStyle name="Heading 2 2 2 5 3 5 2 2 2" xfId="34814"/>
    <cellStyle name="Heading 2 2 2 5 3 5 2 3" xfId="34815"/>
    <cellStyle name="Heading 2 2 2 5 3 5 3" xfId="34816"/>
    <cellStyle name="Heading 2 2 2 5 3 5 3 2" xfId="34817"/>
    <cellStyle name="Heading 2 2 2 5 3 5 3 2 2" xfId="34818"/>
    <cellStyle name="Heading 2 2 2 5 3 5 3 3" xfId="34819"/>
    <cellStyle name="Heading 2 2 2 5 3 5 4" xfId="34820"/>
    <cellStyle name="Heading 2 2 2 5 3 5 4 2" xfId="34821"/>
    <cellStyle name="Heading 2 2 2 5 3 5 4 2 2" xfId="34822"/>
    <cellStyle name="Heading 2 2 2 5 3 5 4 3" xfId="34823"/>
    <cellStyle name="Heading 2 2 2 5 3 5 5" xfId="34824"/>
    <cellStyle name="Heading 2 2 2 5 3 5 5 2" xfId="34825"/>
    <cellStyle name="Heading 2 2 2 5 3 5 5 2 2" xfId="34826"/>
    <cellStyle name="Heading 2 2 2 5 3 5 5 3" xfId="34827"/>
    <cellStyle name="Heading 2 2 2 5 3 5 6" xfId="34828"/>
    <cellStyle name="Heading 2 2 2 5 3 5 6 2" xfId="34829"/>
    <cellStyle name="Heading 2 2 2 5 3 5 6 2 2" xfId="34830"/>
    <cellStyle name="Heading 2 2 2 5 3 5 6 3" xfId="34831"/>
    <cellStyle name="Heading 2 2 2 5 3 5 7" xfId="34832"/>
    <cellStyle name="Heading 2 2 2 5 3 5 7 2" xfId="34833"/>
    <cellStyle name="Heading 2 2 2 5 3 5 7 2 2" xfId="34834"/>
    <cellStyle name="Heading 2 2 2 5 3 5 7 3" xfId="34835"/>
    <cellStyle name="Heading 2 2 2 5 3 5 8" xfId="34836"/>
    <cellStyle name="Heading 2 2 2 5 3 5 8 2" xfId="34837"/>
    <cellStyle name="Heading 2 2 2 5 3 5 9" xfId="34838"/>
    <cellStyle name="Heading 2 2 2 5 3 6" xfId="34839"/>
    <cellStyle name="Heading 2 2 2 5 3 6 2" xfId="34840"/>
    <cellStyle name="Heading 2 2 2 5 3 6 2 2" xfId="34841"/>
    <cellStyle name="Heading 2 2 2 5 3 6 2 2 2" xfId="34842"/>
    <cellStyle name="Heading 2 2 2 5 3 6 2 3" xfId="34843"/>
    <cellStyle name="Heading 2 2 2 5 3 6 3" xfId="34844"/>
    <cellStyle name="Heading 2 2 2 5 3 6 3 2" xfId="34845"/>
    <cellStyle name="Heading 2 2 2 5 3 6 3 2 2" xfId="34846"/>
    <cellStyle name="Heading 2 2 2 5 3 6 3 3" xfId="34847"/>
    <cellStyle name="Heading 2 2 2 5 3 6 4" xfId="34848"/>
    <cellStyle name="Heading 2 2 2 5 3 6 4 2" xfId="34849"/>
    <cellStyle name="Heading 2 2 2 5 3 6 4 2 2" xfId="34850"/>
    <cellStyle name="Heading 2 2 2 5 3 6 4 3" xfId="34851"/>
    <cellStyle name="Heading 2 2 2 5 3 6 5" xfId="34852"/>
    <cellStyle name="Heading 2 2 2 5 3 6 5 2" xfId="34853"/>
    <cellStyle name="Heading 2 2 2 5 3 6 5 2 2" xfId="34854"/>
    <cellStyle name="Heading 2 2 2 5 3 6 5 3" xfId="34855"/>
    <cellStyle name="Heading 2 2 2 5 3 6 6" xfId="34856"/>
    <cellStyle name="Heading 2 2 2 5 3 6 6 2" xfId="34857"/>
    <cellStyle name="Heading 2 2 2 5 3 6 6 2 2" xfId="34858"/>
    <cellStyle name="Heading 2 2 2 5 3 6 6 3" xfId="34859"/>
    <cellStyle name="Heading 2 2 2 5 3 6 7" xfId="34860"/>
    <cellStyle name="Heading 2 2 2 5 3 6 7 2" xfId="34861"/>
    <cellStyle name="Heading 2 2 2 5 3 6 7 2 2" xfId="34862"/>
    <cellStyle name="Heading 2 2 2 5 3 6 7 3" xfId="34863"/>
    <cellStyle name="Heading 2 2 2 5 3 6 8" xfId="34864"/>
    <cellStyle name="Heading 2 2 2 5 3 6 8 2" xfId="34865"/>
    <cellStyle name="Heading 2 2 2 5 3 6 9" xfId="34866"/>
    <cellStyle name="Heading 2 2 2 5 3 7" xfId="34867"/>
    <cellStyle name="Heading 2 2 2 5 3 7 2" xfId="34868"/>
    <cellStyle name="Heading 2 2 2 5 3 7 2 2" xfId="34869"/>
    <cellStyle name="Heading 2 2 2 5 3 7 2 2 2" xfId="34870"/>
    <cellStyle name="Heading 2 2 2 5 3 7 2 3" xfId="34871"/>
    <cellStyle name="Heading 2 2 2 5 3 7 3" xfId="34872"/>
    <cellStyle name="Heading 2 2 2 5 3 7 3 2" xfId="34873"/>
    <cellStyle name="Heading 2 2 2 5 3 7 3 2 2" xfId="34874"/>
    <cellStyle name="Heading 2 2 2 5 3 7 3 3" xfId="34875"/>
    <cellStyle name="Heading 2 2 2 5 3 7 4" xfId="34876"/>
    <cellStyle name="Heading 2 2 2 5 3 7 4 2" xfId="34877"/>
    <cellStyle name="Heading 2 2 2 5 3 7 4 2 2" xfId="34878"/>
    <cellStyle name="Heading 2 2 2 5 3 7 4 3" xfId="34879"/>
    <cellStyle name="Heading 2 2 2 5 3 7 5" xfId="34880"/>
    <cellStyle name="Heading 2 2 2 5 3 7 5 2" xfId="34881"/>
    <cellStyle name="Heading 2 2 2 5 3 7 5 2 2" xfId="34882"/>
    <cellStyle name="Heading 2 2 2 5 3 7 5 3" xfId="34883"/>
    <cellStyle name="Heading 2 2 2 5 3 7 6" xfId="34884"/>
    <cellStyle name="Heading 2 2 2 5 3 7 6 2" xfId="34885"/>
    <cellStyle name="Heading 2 2 2 5 3 7 6 2 2" xfId="34886"/>
    <cellStyle name="Heading 2 2 2 5 3 7 6 3" xfId="34887"/>
    <cellStyle name="Heading 2 2 2 5 3 7 7" xfId="34888"/>
    <cellStyle name="Heading 2 2 2 5 3 7 7 2" xfId="34889"/>
    <cellStyle name="Heading 2 2 2 5 3 7 7 2 2" xfId="34890"/>
    <cellStyle name="Heading 2 2 2 5 3 7 7 3" xfId="34891"/>
    <cellStyle name="Heading 2 2 2 5 3 7 8" xfId="34892"/>
    <cellStyle name="Heading 2 2 2 5 3 7 8 2" xfId="34893"/>
    <cellStyle name="Heading 2 2 2 5 3 7 9" xfId="34894"/>
    <cellStyle name="Heading 2 2 2 5 3 8" xfId="34895"/>
    <cellStyle name="Heading 2 2 2 5 3 8 2" xfId="34896"/>
    <cellStyle name="Heading 2 2 2 5 3 8 2 2" xfId="34897"/>
    <cellStyle name="Heading 2 2 2 5 3 8 2 2 2" xfId="34898"/>
    <cellStyle name="Heading 2 2 2 5 3 8 2 3" xfId="34899"/>
    <cellStyle name="Heading 2 2 2 5 3 8 3" xfId="34900"/>
    <cellStyle name="Heading 2 2 2 5 3 8 3 2" xfId="34901"/>
    <cellStyle name="Heading 2 2 2 5 3 8 3 2 2" xfId="34902"/>
    <cellStyle name="Heading 2 2 2 5 3 8 3 3" xfId="34903"/>
    <cellStyle name="Heading 2 2 2 5 3 8 4" xfId="34904"/>
    <cellStyle name="Heading 2 2 2 5 3 8 4 2" xfId="34905"/>
    <cellStyle name="Heading 2 2 2 5 3 8 4 2 2" xfId="34906"/>
    <cellStyle name="Heading 2 2 2 5 3 8 4 3" xfId="34907"/>
    <cellStyle name="Heading 2 2 2 5 3 8 5" xfId="34908"/>
    <cellStyle name="Heading 2 2 2 5 3 8 5 2" xfId="34909"/>
    <cellStyle name="Heading 2 2 2 5 3 8 5 2 2" xfId="34910"/>
    <cellStyle name="Heading 2 2 2 5 3 8 5 3" xfId="34911"/>
    <cellStyle name="Heading 2 2 2 5 3 8 6" xfId="34912"/>
    <cellStyle name="Heading 2 2 2 5 3 8 6 2" xfId="34913"/>
    <cellStyle name="Heading 2 2 2 5 3 8 6 2 2" xfId="34914"/>
    <cellStyle name="Heading 2 2 2 5 3 8 6 3" xfId="34915"/>
    <cellStyle name="Heading 2 2 2 5 3 8 7" xfId="34916"/>
    <cellStyle name="Heading 2 2 2 5 3 8 7 2" xfId="34917"/>
    <cellStyle name="Heading 2 2 2 5 3 8 7 2 2" xfId="34918"/>
    <cellStyle name="Heading 2 2 2 5 3 8 7 3" xfId="34919"/>
    <cellStyle name="Heading 2 2 2 5 3 8 8" xfId="34920"/>
    <cellStyle name="Heading 2 2 2 5 3 8 8 2" xfId="34921"/>
    <cellStyle name="Heading 2 2 2 5 3 8 9" xfId="34922"/>
    <cellStyle name="Heading 2 2 2 5 3 9" xfId="34923"/>
    <cellStyle name="Heading 2 2 2 5 3 9 2" xfId="34924"/>
    <cellStyle name="Heading 2 2 2 5 3 9 2 2" xfId="34925"/>
    <cellStyle name="Heading 2 2 2 5 3 9 3" xfId="34926"/>
    <cellStyle name="Heading 2 2 2 5 4" xfId="34927"/>
    <cellStyle name="Heading 2 2 2 5 4 2" xfId="34928"/>
    <cellStyle name="Heading 2 2 2 5 4 2 2" xfId="34929"/>
    <cellStyle name="Heading 2 2 2 5 4 3" xfId="34930"/>
    <cellStyle name="Heading 2 2 2 5 5" xfId="34931"/>
    <cellStyle name="Heading 2 2 2 5 5 2" xfId="34932"/>
    <cellStyle name="Heading 2 2 2 5 6" xfId="34933"/>
    <cellStyle name="Heading 2 2 2 6" xfId="34934"/>
    <cellStyle name="Heading 2 2 2 6 2" xfId="34935"/>
    <cellStyle name="Heading 2 2 2 6 2 10" xfId="34936"/>
    <cellStyle name="Heading 2 2 2 6 2 10 2" xfId="34937"/>
    <cellStyle name="Heading 2 2 2 6 2 10 2 2" xfId="34938"/>
    <cellStyle name="Heading 2 2 2 6 2 10 3" xfId="34939"/>
    <cellStyle name="Heading 2 2 2 6 2 11" xfId="34940"/>
    <cellStyle name="Heading 2 2 2 6 2 11 2" xfId="34941"/>
    <cellStyle name="Heading 2 2 2 6 2 11 2 2" xfId="34942"/>
    <cellStyle name="Heading 2 2 2 6 2 11 3" xfId="34943"/>
    <cellStyle name="Heading 2 2 2 6 2 12" xfId="34944"/>
    <cellStyle name="Heading 2 2 2 6 2 12 2" xfId="34945"/>
    <cellStyle name="Heading 2 2 2 6 2 12 2 2" xfId="34946"/>
    <cellStyle name="Heading 2 2 2 6 2 12 3" xfId="34947"/>
    <cellStyle name="Heading 2 2 2 6 2 13" xfId="34948"/>
    <cellStyle name="Heading 2 2 2 6 2 13 2" xfId="34949"/>
    <cellStyle name="Heading 2 2 2 6 2 13 2 2" xfId="34950"/>
    <cellStyle name="Heading 2 2 2 6 2 13 3" xfId="34951"/>
    <cellStyle name="Heading 2 2 2 6 2 14" xfId="34952"/>
    <cellStyle name="Heading 2 2 2 6 2 14 2" xfId="34953"/>
    <cellStyle name="Heading 2 2 2 6 2 14 2 2" xfId="34954"/>
    <cellStyle name="Heading 2 2 2 6 2 14 3" xfId="34955"/>
    <cellStyle name="Heading 2 2 2 6 2 15" xfId="34956"/>
    <cellStyle name="Heading 2 2 2 6 2 15 2" xfId="34957"/>
    <cellStyle name="Heading 2 2 2 6 2 15 2 2" xfId="34958"/>
    <cellStyle name="Heading 2 2 2 6 2 15 3" xfId="34959"/>
    <cellStyle name="Heading 2 2 2 6 2 16" xfId="34960"/>
    <cellStyle name="Heading 2 2 2 6 2 16 2" xfId="34961"/>
    <cellStyle name="Heading 2 2 2 6 2 16 2 2" xfId="34962"/>
    <cellStyle name="Heading 2 2 2 6 2 16 3" xfId="34963"/>
    <cellStyle name="Heading 2 2 2 6 2 17" xfId="34964"/>
    <cellStyle name="Heading 2 2 2 6 2 17 2" xfId="34965"/>
    <cellStyle name="Heading 2 2 2 6 2 17 2 2" xfId="34966"/>
    <cellStyle name="Heading 2 2 2 6 2 17 3" xfId="34967"/>
    <cellStyle name="Heading 2 2 2 6 2 18" xfId="34968"/>
    <cellStyle name="Heading 2 2 2 6 2 18 2" xfId="34969"/>
    <cellStyle name="Heading 2 2 2 6 2 18 2 2" xfId="34970"/>
    <cellStyle name="Heading 2 2 2 6 2 18 3" xfId="34971"/>
    <cellStyle name="Heading 2 2 2 6 2 19" xfId="34972"/>
    <cellStyle name="Heading 2 2 2 6 2 19 2" xfId="34973"/>
    <cellStyle name="Heading 2 2 2 6 2 19 2 2" xfId="34974"/>
    <cellStyle name="Heading 2 2 2 6 2 19 3" xfId="34975"/>
    <cellStyle name="Heading 2 2 2 6 2 2" xfId="34976"/>
    <cellStyle name="Heading 2 2 2 6 2 2 10" xfId="34977"/>
    <cellStyle name="Heading 2 2 2 6 2 2 10 2" xfId="34978"/>
    <cellStyle name="Heading 2 2 2 6 2 2 10 2 2" xfId="34979"/>
    <cellStyle name="Heading 2 2 2 6 2 2 10 3" xfId="34980"/>
    <cellStyle name="Heading 2 2 2 6 2 2 11" xfId="34981"/>
    <cellStyle name="Heading 2 2 2 6 2 2 11 2" xfId="34982"/>
    <cellStyle name="Heading 2 2 2 6 2 2 11 2 2" xfId="34983"/>
    <cellStyle name="Heading 2 2 2 6 2 2 11 3" xfId="34984"/>
    <cellStyle name="Heading 2 2 2 6 2 2 12" xfId="34985"/>
    <cellStyle name="Heading 2 2 2 6 2 2 12 2" xfId="34986"/>
    <cellStyle name="Heading 2 2 2 6 2 2 12 2 2" xfId="34987"/>
    <cellStyle name="Heading 2 2 2 6 2 2 12 3" xfId="34988"/>
    <cellStyle name="Heading 2 2 2 6 2 2 13" xfId="34989"/>
    <cellStyle name="Heading 2 2 2 6 2 2 13 2" xfId="34990"/>
    <cellStyle name="Heading 2 2 2 6 2 2 13 2 2" xfId="34991"/>
    <cellStyle name="Heading 2 2 2 6 2 2 13 3" xfId="34992"/>
    <cellStyle name="Heading 2 2 2 6 2 2 14" xfId="34993"/>
    <cellStyle name="Heading 2 2 2 6 2 2 14 2" xfId="34994"/>
    <cellStyle name="Heading 2 2 2 6 2 2 14 2 2" xfId="34995"/>
    <cellStyle name="Heading 2 2 2 6 2 2 14 3" xfId="34996"/>
    <cellStyle name="Heading 2 2 2 6 2 2 15" xfId="34997"/>
    <cellStyle name="Heading 2 2 2 6 2 2 15 2" xfId="34998"/>
    <cellStyle name="Heading 2 2 2 6 2 2 15 2 2" xfId="34999"/>
    <cellStyle name="Heading 2 2 2 6 2 2 15 3" xfId="35000"/>
    <cellStyle name="Heading 2 2 2 6 2 2 16" xfId="35001"/>
    <cellStyle name="Heading 2 2 2 6 2 2 16 2" xfId="35002"/>
    <cellStyle name="Heading 2 2 2 6 2 2 16 2 2" xfId="35003"/>
    <cellStyle name="Heading 2 2 2 6 2 2 16 3" xfId="35004"/>
    <cellStyle name="Heading 2 2 2 6 2 2 17" xfId="35005"/>
    <cellStyle name="Heading 2 2 2 6 2 2 17 2" xfId="35006"/>
    <cellStyle name="Heading 2 2 2 6 2 2 17 2 2" xfId="35007"/>
    <cellStyle name="Heading 2 2 2 6 2 2 17 3" xfId="35008"/>
    <cellStyle name="Heading 2 2 2 6 2 2 18" xfId="35009"/>
    <cellStyle name="Heading 2 2 2 6 2 2 18 2" xfId="35010"/>
    <cellStyle name="Heading 2 2 2 6 2 2 18 2 2" xfId="35011"/>
    <cellStyle name="Heading 2 2 2 6 2 2 18 3" xfId="35012"/>
    <cellStyle name="Heading 2 2 2 6 2 2 19" xfId="35013"/>
    <cellStyle name="Heading 2 2 2 6 2 2 19 2" xfId="35014"/>
    <cellStyle name="Heading 2 2 2 6 2 2 2" xfId="35015"/>
    <cellStyle name="Heading 2 2 2 6 2 2 2 2" xfId="35016"/>
    <cellStyle name="Heading 2 2 2 6 2 2 2 2 2" xfId="35017"/>
    <cellStyle name="Heading 2 2 2 6 2 2 2 2 2 2" xfId="35018"/>
    <cellStyle name="Heading 2 2 2 6 2 2 2 2 3" xfId="35019"/>
    <cellStyle name="Heading 2 2 2 6 2 2 2 3" xfId="35020"/>
    <cellStyle name="Heading 2 2 2 6 2 2 2 3 2" xfId="35021"/>
    <cellStyle name="Heading 2 2 2 6 2 2 2 3 2 2" xfId="35022"/>
    <cellStyle name="Heading 2 2 2 6 2 2 2 3 3" xfId="35023"/>
    <cellStyle name="Heading 2 2 2 6 2 2 2 4" xfId="35024"/>
    <cellStyle name="Heading 2 2 2 6 2 2 2 4 2" xfId="35025"/>
    <cellStyle name="Heading 2 2 2 6 2 2 2 4 2 2" xfId="35026"/>
    <cellStyle name="Heading 2 2 2 6 2 2 2 4 3" xfId="35027"/>
    <cellStyle name="Heading 2 2 2 6 2 2 2 5" xfId="35028"/>
    <cellStyle name="Heading 2 2 2 6 2 2 2 5 2" xfId="35029"/>
    <cellStyle name="Heading 2 2 2 6 2 2 2 5 2 2" xfId="35030"/>
    <cellStyle name="Heading 2 2 2 6 2 2 2 5 3" xfId="35031"/>
    <cellStyle name="Heading 2 2 2 6 2 2 2 6" xfId="35032"/>
    <cellStyle name="Heading 2 2 2 6 2 2 2 6 2" xfId="35033"/>
    <cellStyle name="Heading 2 2 2 6 2 2 2 6 2 2" xfId="35034"/>
    <cellStyle name="Heading 2 2 2 6 2 2 2 6 3" xfId="35035"/>
    <cellStyle name="Heading 2 2 2 6 2 2 2 7" xfId="35036"/>
    <cellStyle name="Heading 2 2 2 6 2 2 2 7 2" xfId="35037"/>
    <cellStyle name="Heading 2 2 2 6 2 2 2 7 2 2" xfId="35038"/>
    <cellStyle name="Heading 2 2 2 6 2 2 2 7 3" xfId="35039"/>
    <cellStyle name="Heading 2 2 2 6 2 2 2 8" xfId="35040"/>
    <cellStyle name="Heading 2 2 2 6 2 2 2 8 2" xfId="35041"/>
    <cellStyle name="Heading 2 2 2 6 2 2 2 9" xfId="35042"/>
    <cellStyle name="Heading 2 2 2 6 2 2 20" xfId="35043"/>
    <cellStyle name="Heading 2 2 2 6 2 2 20 2" xfId="35044"/>
    <cellStyle name="Heading 2 2 2 6 2 2 21" xfId="35045"/>
    <cellStyle name="Heading 2 2 2 6 2 2 21 2" xfId="35046"/>
    <cellStyle name="Heading 2 2 2 6 2 2 22" xfId="35047"/>
    <cellStyle name="Heading 2 2 2 6 2 2 3" xfId="35048"/>
    <cellStyle name="Heading 2 2 2 6 2 2 3 2" xfId="35049"/>
    <cellStyle name="Heading 2 2 2 6 2 2 3 2 2" xfId="35050"/>
    <cellStyle name="Heading 2 2 2 6 2 2 3 2 2 2" xfId="35051"/>
    <cellStyle name="Heading 2 2 2 6 2 2 3 2 3" xfId="35052"/>
    <cellStyle name="Heading 2 2 2 6 2 2 3 3" xfId="35053"/>
    <cellStyle name="Heading 2 2 2 6 2 2 3 3 2" xfId="35054"/>
    <cellStyle name="Heading 2 2 2 6 2 2 3 3 2 2" xfId="35055"/>
    <cellStyle name="Heading 2 2 2 6 2 2 3 3 3" xfId="35056"/>
    <cellStyle name="Heading 2 2 2 6 2 2 3 4" xfId="35057"/>
    <cellStyle name="Heading 2 2 2 6 2 2 3 4 2" xfId="35058"/>
    <cellStyle name="Heading 2 2 2 6 2 2 3 4 2 2" xfId="35059"/>
    <cellStyle name="Heading 2 2 2 6 2 2 3 4 3" xfId="35060"/>
    <cellStyle name="Heading 2 2 2 6 2 2 3 5" xfId="35061"/>
    <cellStyle name="Heading 2 2 2 6 2 2 3 5 2" xfId="35062"/>
    <cellStyle name="Heading 2 2 2 6 2 2 3 5 2 2" xfId="35063"/>
    <cellStyle name="Heading 2 2 2 6 2 2 3 5 3" xfId="35064"/>
    <cellStyle name="Heading 2 2 2 6 2 2 3 6" xfId="35065"/>
    <cellStyle name="Heading 2 2 2 6 2 2 3 6 2" xfId="35066"/>
    <cellStyle name="Heading 2 2 2 6 2 2 3 6 2 2" xfId="35067"/>
    <cellStyle name="Heading 2 2 2 6 2 2 3 6 3" xfId="35068"/>
    <cellStyle name="Heading 2 2 2 6 2 2 3 7" xfId="35069"/>
    <cellStyle name="Heading 2 2 2 6 2 2 3 7 2" xfId="35070"/>
    <cellStyle name="Heading 2 2 2 6 2 2 3 7 2 2" xfId="35071"/>
    <cellStyle name="Heading 2 2 2 6 2 2 3 7 3" xfId="35072"/>
    <cellStyle name="Heading 2 2 2 6 2 2 3 8" xfId="35073"/>
    <cellStyle name="Heading 2 2 2 6 2 2 3 8 2" xfId="35074"/>
    <cellStyle name="Heading 2 2 2 6 2 2 3 9" xfId="35075"/>
    <cellStyle name="Heading 2 2 2 6 2 2 4" xfId="35076"/>
    <cellStyle name="Heading 2 2 2 6 2 2 4 2" xfId="35077"/>
    <cellStyle name="Heading 2 2 2 6 2 2 4 2 2" xfId="35078"/>
    <cellStyle name="Heading 2 2 2 6 2 2 4 2 2 2" xfId="35079"/>
    <cellStyle name="Heading 2 2 2 6 2 2 4 2 3" xfId="35080"/>
    <cellStyle name="Heading 2 2 2 6 2 2 4 3" xfId="35081"/>
    <cellStyle name="Heading 2 2 2 6 2 2 4 3 2" xfId="35082"/>
    <cellStyle name="Heading 2 2 2 6 2 2 4 3 2 2" xfId="35083"/>
    <cellStyle name="Heading 2 2 2 6 2 2 4 3 3" xfId="35084"/>
    <cellStyle name="Heading 2 2 2 6 2 2 4 4" xfId="35085"/>
    <cellStyle name="Heading 2 2 2 6 2 2 4 4 2" xfId="35086"/>
    <cellStyle name="Heading 2 2 2 6 2 2 4 4 2 2" xfId="35087"/>
    <cellStyle name="Heading 2 2 2 6 2 2 4 4 3" xfId="35088"/>
    <cellStyle name="Heading 2 2 2 6 2 2 4 5" xfId="35089"/>
    <cellStyle name="Heading 2 2 2 6 2 2 4 5 2" xfId="35090"/>
    <cellStyle name="Heading 2 2 2 6 2 2 4 5 2 2" xfId="35091"/>
    <cellStyle name="Heading 2 2 2 6 2 2 4 5 3" xfId="35092"/>
    <cellStyle name="Heading 2 2 2 6 2 2 4 6" xfId="35093"/>
    <cellStyle name="Heading 2 2 2 6 2 2 4 6 2" xfId="35094"/>
    <cellStyle name="Heading 2 2 2 6 2 2 4 6 2 2" xfId="35095"/>
    <cellStyle name="Heading 2 2 2 6 2 2 4 6 3" xfId="35096"/>
    <cellStyle name="Heading 2 2 2 6 2 2 4 7" xfId="35097"/>
    <cellStyle name="Heading 2 2 2 6 2 2 4 7 2" xfId="35098"/>
    <cellStyle name="Heading 2 2 2 6 2 2 4 7 2 2" xfId="35099"/>
    <cellStyle name="Heading 2 2 2 6 2 2 4 7 3" xfId="35100"/>
    <cellStyle name="Heading 2 2 2 6 2 2 4 8" xfId="35101"/>
    <cellStyle name="Heading 2 2 2 6 2 2 4 8 2" xfId="35102"/>
    <cellStyle name="Heading 2 2 2 6 2 2 4 9" xfId="35103"/>
    <cellStyle name="Heading 2 2 2 6 2 2 5" xfId="35104"/>
    <cellStyle name="Heading 2 2 2 6 2 2 5 2" xfId="35105"/>
    <cellStyle name="Heading 2 2 2 6 2 2 5 2 2" xfId="35106"/>
    <cellStyle name="Heading 2 2 2 6 2 2 5 2 2 2" xfId="35107"/>
    <cellStyle name="Heading 2 2 2 6 2 2 5 2 3" xfId="35108"/>
    <cellStyle name="Heading 2 2 2 6 2 2 5 3" xfId="35109"/>
    <cellStyle name="Heading 2 2 2 6 2 2 5 3 2" xfId="35110"/>
    <cellStyle name="Heading 2 2 2 6 2 2 5 3 2 2" xfId="35111"/>
    <cellStyle name="Heading 2 2 2 6 2 2 5 3 3" xfId="35112"/>
    <cellStyle name="Heading 2 2 2 6 2 2 5 4" xfId="35113"/>
    <cellStyle name="Heading 2 2 2 6 2 2 5 4 2" xfId="35114"/>
    <cellStyle name="Heading 2 2 2 6 2 2 5 4 2 2" xfId="35115"/>
    <cellStyle name="Heading 2 2 2 6 2 2 5 4 3" xfId="35116"/>
    <cellStyle name="Heading 2 2 2 6 2 2 5 5" xfId="35117"/>
    <cellStyle name="Heading 2 2 2 6 2 2 5 5 2" xfId="35118"/>
    <cellStyle name="Heading 2 2 2 6 2 2 5 5 2 2" xfId="35119"/>
    <cellStyle name="Heading 2 2 2 6 2 2 5 5 3" xfId="35120"/>
    <cellStyle name="Heading 2 2 2 6 2 2 5 6" xfId="35121"/>
    <cellStyle name="Heading 2 2 2 6 2 2 5 6 2" xfId="35122"/>
    <cellStyle name="Heading 2 2 2 6 2 2 5 6 2 2" xfId="35123"/>
    <cellStyle name="Heading 2 2 2 6 2 2 5 6 3" xfId="35124"/>
    <cellStyle name="Heading 2 2 2 6 2 2 5 7" xfId="35125"/>
    <cellStyle name="Heading 2 2 2 6 2 2 5 7 2" xfId="35126"/>
    <cellStyle name="Heading 2 2 2 6 2 2 5 7 2 2" xfId="35127"/>
    <cellStyle name="Heading 2 2 2 6 2 2 5 7 3" xfId="35128"/>
    <cellStyle name="Heading 2 2 2 6 2 2 5 8" xfId="35129"/>
    <cellStyle name="Heading 2 2 2 6 2 2 5 8 2" xfId="35130"/>
    <cellStyle name="Heading 2 2 2 6 2 2 5 9" xfId="35131"/>
    <cellStyle name="Heading 2 2 2 6 2 2 6" xfId="35132"/>
    <cellStyle name="Heading 2 2 2 6 2 2 6 2" xfId="35133"/>
    <cellStyle name="Heading 2 2 2 6 2 2 6 2 2" xfId="35134"/>
    <cellStyle name="Heading 2 2 2 6 2 2 6 2 2 2" xfId="35135"/>
    <cellStyle name="Heading 2 2 2 6 2 2 6 2 3" xfId="35136"/>
    <cellStyle name="Heading 2 2 2 6 2 2 6 3" xfId="35137"/>
    <cellStyle name="Heading 2 2 2 6 2 2 6 3 2" xfId="35138"/>
    <cellStyle name="Heading 2 2 2 6 2 2 6 3 2 2" xfId="35139"/>
    <cellStyle name="Heading 2 2 2 6 2 2 6 3 3" xfId="35140"/>
    <cellStyle name="Heading 2 2 2 6 2 2 6 4" xfId="35141"/>
    <cellStyle name="Heading 2 2 2 6 2 2 6 4 2" xfId="35142"/>
    <cellStyle name="Heading 2 2 2 6 2 2 6 4 2 2" xfId="35143"/>
    <cellStyle name="Heading 2 2 2 6 2 2 6 4 3" xfId="35144"/>
    <cellStyle name="Heading 2 2 2 6 2 2 6 5" xfId="35145"/>
    <cellStyle name="Heading 2 2 2 6 2 2 6 5 2" xfId="35146"/>
    <cellStyle name="Heading 2 2 2 6 2 2 6 5 2 2" xfId="35147"/>
    <cellStyle name="Heading 2 2 2 6 2 2 6 5 3" xfId="35148"/>
    <cellStyle name="Heading 2 2 2 6 2 2 6 6" xfId="35149"/>
    <cellStyle name="Heading 2 2 2 6 2 2 6 6 2" xfId="35150"/>
    <cellStyle name="Heading 2 2 2 6 2 2 6 6 2 2" xfId="35151"/>
    <cellStyle name="Heading 2 2 2 6 2 2 6 6 3" xfId="35152"/>
    <cellStyle name="Heading 2 2 2 6 2 2 6 7" xfId="35153"/>
    <cellStyle name="Heading 2 2 2 6 2 2 6 7 2" xfId="35154"/>
    <cellStyle name="Heading 2 2 2 6 2 2 6 7 2 2" xfId="35155"/>
    <cellStyle name="Heading 2 2 2 6 2 2 6 7 3" xfId="35156"/>
    <cellStyle name="Heading 2 2 2 6 2 2 6 8" xfId="35157"/>
    <cellStyle name="Heading 2 2 2 6 2 2 6 8 2" xfId="35158"/>
    <cellStyle name="Heading 2 2 2 6 2 2 6 9" xfId="35159"/>
    <cellStyle name="Heading 2 2 2 6 2 2 7" xfId="35160"/>
    <cellStyle name="Heading 2 2 2 6 2 2 7 2" xfId="35161"/>
    <cellStyle name="Heading 2 2 2 6 2 2 7 2 2" xfId="35162"/>
    <cellStyle name="Heading 2 2 2 6 2 2 7 2 2 2" xfId="35163"/>
    <cellStyle name="Heading 2 2 2 6 2 2 7 2 3" xfId="35164"/>
    <cellStyle name="Heading 2 2 2 6 2 2 7 3" xfId="35165"/>
    <cellStyle name="Heading 2 2 2 6 2 2 7 3 2" xfId="35166"/>
    <cellStyle name="Heading 2 2 2 6 2 2 7 3 2 2" xfId="35167"/>
    <cellStyle name="Heading 2 2 2 6 2 2 7 3 3" xfId="35168"/>
    <cellStyle name="Heading 2 2 2 6 2 2 7 4" xfId="35169"/>
    <cellStyle name="Heading 2 2 2 6 2 2 7 4 2" xfId="35170"/>
    <cellStyle name="Heading 2 2 2 6 2 2 7 4 2 2" xfId="35171"/>
    <cellStyle name="Heading 2 2 2 6 2 2 7 4 3" xfId="35172"/>
    <cellStyle name="Heading 2 2 2 6 2 2 7 5" xfId="35173"/>
    <cellStyle name="Heading 2 2 2 6 2 2 7 5 2" xfId="35174"/>
    <cellStyle name="Heading 2 2 2 6 2 2 7 5 2 2" xfId="35175"/>
    <cellStyle name="Heading 2 2 2 6 2 2 7 5 3" xfId="35176"/>
    <cellStyle name="Heading 2 2 2 6 2 2 7 6" xfId="35177"/>
    <cellStyle name="Heading 2 2 2 6 2 2 7 6 2" xfId="35178"/>
    <cellStyle name="Heading 2 2 2 6 2 2 7 6 2 2" xfId="35179"/>
    <cellStyle name="Heading 2 2 2 6 2 2 7 6 3" xfId="35180"/>
    <cellStyle name="Heading 2 2 2 6 2 2 7 7" xfId="35181"/>
    <cellStyle name="Heading 2 2 2 6 2 2 7 7 2" xfId="35182"/>
    <cellStyle name="Heading 2 2 2 6 2 2 7 7 2 2" xfId="35183"/>
    <cellStyle name="Heading 2 2 2 6 2 2 7 7 3" xfId="35184"/>
    <cellStyle name="Heading 2 2 2 6 2 2 7 8" xfId="35185"/>
    <cellStyle name="Heading 2 2 2 6 2 2 7 8 2" xfId="35186"/>
    <cellStyle name="Heading 2 2 2 6 2 2 7 9" xfId="35187"/>
    <cellStyle name="Heading 2 2 2 6 2 2 8" xfId="35188"/>
    <cellStyle name="Heading 2 2 2 6 2 2 8 2" xfId="35189"/>
    <cellStyle name="Heading 2 2 2 6 2 2 8 2 2" xfId="35190"/>
    <cellStyle name="Heading 2 2 2 6 2 2 8 2 2 2" xfId="35191"/>
    <cellStyle name="Heading 2 2 2 6 2 2 8 2 3" xfId="35192"/>
    <cellStyle name="Heading 2 2 2 6 2 2 8 3" xfId="35193"/>
    <cellStyle name="Heading 2 2 2 6 2 2 8 3 2" xfId="35194"/>
    <cellStyle name="Heading 2 2 2 6 2 2 8 3 2 2" xfId="35195"/>
    <cellStyle name="Heading 2 2 2 6 2 2 8 3 3" xfId="35196"/>
    <cellStyle name="Heading 2 2 2 6 2 2 8 4" xfId="35197"/>
    <cellStyle name="Heading 2 2 2 6 2 2 8 4 2" xfId="35198"/>
    <cellStyle name="Heading 2 2 2 6 2 2 8 4 2 2" xfId="35199"/>
    <cellStyle name="Heading 2 2 2 6 2 2 8 4 3" xfId="35200"/>
    <cellStyle name="Heading 2 2 2 6 2 2 8 5" xfId="35201"/>
    <cellStyle name="Heading 2 2 2 6 2 2 8 5 2" xfId="35202"/>
    <cellStyle name="Heading 2 2 2 6 2 2 8 5 2 2" xfId="35203"/>
    <cellStyle name="Heading 2 2 2 6 2 2 8 5 3" xfId="35204"/>
    <cellStyle name="Heading 2 2 2 6 2 2 8 6" xfId="35205"/>
    <cellStyle name="Heading 2 2 2 6 2 2 8 6 2" xfId="35206"/>
    <cellStyle name="Heading 2 2 2 6 2 2 8 6 2 2" xfId="35207"/>
    <cellStyle name="Heading 2 2 2 6 2 2 8 6 3" xfId="35208"/>
    <cellStyle name="Heading 2 2 2 6 2 2 8 7" xfId="35209"/>
    <cellStyle name="Heading 2 2 2 6 2 2 8 7 2" xfId="35210"/>
    <cellStyle name="Heading 2 2 2 6 2 2 8 7 2 2" xfId="35211"/>
    <cellStyle name="Heading 2 2 2 6 2 2 8 7 3" xfId="35212"/>
    <cellStyle name="Heading 2 2 2 6 2 2 8 8" xfId="35213"/>
    <cellStyle name="Heading 2 2 2 6 2 2 8 8 2" xfId="35214"/>
    <cellStyle name="Heading 2 2 2 6 2 2 8 9" xfId="35215"/>
    <cellStyle name="Heading 2 2 2 6 2 2 9" xfId="35216"/>
    <cellStyle name="Heading 2 2 2 6 2 2 9 2" xfId="35217"/>
    <cellStyle name="Heading 2 2 2 6 2 2 9 2 2" xfId="35218"/>
    <cellStyle name="Heading 2 2 2 6 2 2 9 3" xfId="35219"/>
    <cellStyle name="Heading 2 2 2 6 2 20" xfId="35220"/>
    <cellStyle name="Heading 2 2 2 6 2 20 2" xfId="35221"/>
    <cellStyle name="Heading 2 2 2 6 2 21" xfId="35222"/>
    <cellStyle name="Heading 2 2 2 6 2 21 2" xfId="35223"/>
    <cellStyle name="Heading 2 2 2 6 2 22" xfId="35224"/>
    <cellStyle name="Heading 2 2 2 6 2 22 2" xfId="35225"/>
    <cellStyle name="Heading 2 2 2 6 2 23" xfId="35226"/>
    <cellStyle name="Heading 2 2 2 6 2 3" xfId="35227"/>
    <cellStyle name="Heading 2 2 2 6 2 3 2" xfId="35228"/>
    <cellStyle name="Heading 2 2 2 6 2 3 2 2" xfId="35229"/>
    <cellStyle name="Heading 2 2 2 6 2 3 2 2 2" xfId="35230"/>
    <cellStyle name="Heading 2 2 2 6 2 3 2 3" xfId="35231"/>
    <cellStyle name="Heading 2 2 2 6 2 3 3" xfId="35232"/>
    <cellStyle name="Heading 2 2 2 6 2 3 3 2" xfId="35233"/>
    <cellStyle name="Heading 2 2 2 6 2 3 3 2 2" xfId="35234"/>
    <cellStyle name="Heading 2 2 2 6 2 3 3 3" xfId="35235"/>
    <cellStyle name="Heading 2 2 2 6 2 3 4" xfId="35236"/>
    <cellStyle name="Heading 2 2 2 6 2 3 4 2" xfId="35237"/>
    <cellStyle name="Heading 2 2 2 6 2 3 4 2 2" xfId="35238"/>
    <cellStyle name="Heading 2 2 2 6 2 3 4 3" xfId="35239"/>
    <cellStyle name="Heading 2 2 2 6 2 3 5" xfId="35240"/>
    <cellStyle name="Heading 2 2 2 6 2 3 5 2" xfId="35241"/>
    <cellStyle name="Heading 2 2 2 6 2 3 5 2 2" xfId="35242"/>
    <cellStyle name="Heading 2 2 2 6 2 3 5 3" xfId="35243"/>
    <cellStyle name="Heading 2 2 2 6 2 3 6" xfId="35244"/>
    <cellStyle name="Heading 2 2 2 6 2 3 6 2" xfId="35245"/>
    <cellStyle name="Heading 2 2 2 6 2 3 6 2 2" xfId="35246"/>
    <cellStyle name="Heading 2 2 2 6 2 3 6 3" xfId="35247"/>
    <cellStyle name="Heading 2 2 2 6 2 3 7" xfId="35248"/>
    <cellStyle name="Heading 2 2 2 6 2 3 7 2" xfId="35249"/>
    <cellStyle name="Heading 2 2 2 6 2 3 7 2 2" xfId="35250"/>
    <cellStyle name="Heading 2 2 2 6 2 3 7 3" xfId="35251"/>
    <cellStyle name="Heading 2 2 2 6 2 3 8" xfId="35252"/>
    <cellStyle name="Heading 2 2 2 6 2 3 8 2" xfId="35253"/>
    <cellStyle name="Heading 2 2 2 6 2 3 9" xfId="35254"/>
    <cellStyle name="Heading 2 2 2 6 2 4" xfId="35255"/>
    <cellStyle name="Heading 2 2 2 6 2 4 2" xfId="35256"/>
    <cellStyle name="Heading 2 2 2 6 2 4 2 2" xfId="35257"/>
    <cellStyle name="Heading 2 2 2 6 2 4 2 2 2" xfId="35258"/>
    <cellStyle name="Heading 2 2 2 6 2 4 2 3" xfId="35259"/>
    <cellStyle name="Heading 2 2 2 6 2 4 3" xfId="35260"/>
    <cellStyle name="Heading 2 2 2 6 2 4 3 2" xfId="35261"/>
    <cellStyle name="Heading 2 2 2 6 2 4 3 2 2" xfId="35262"/>
    <cellStyle name="Heading 2 2 2 6 2 4 3 3" xfId="35263"/>
    <cellStyle name="Heading 2 2 2 6 2 4 4" xfId="35264"/>
    <cellStyle name="Heading 2 2 2 6 2 4 4 2" xfId="35265"/>
    <cellStyle name="Heading 2 2 2 6 2 4 4 2 2" xfId="35266"/>
    <cellStyle name="Heading 2 2 2 6 2 4 4 3" xfId="35267"/>
    <cellStyle name="Heading 2 2 2 6 2 4 5" xfId="35268"/>
    <cellStyle name="Heading 2 2 2 6 2 4 5 2" xfId="35269"/>
    <cellStyle name="Heading 2 2 2 6 2 4 5 2 2" xfId="35270"/>
    <cellStyle name="Heading 2 2 2 6 2 4 5 3" xfId="35271"/>
    <cellStyle name="Heading 2 2 2 6 2 4 6" xfId="35272"/>
    <cellStyle name="Heading 2 2 2 6 2 4 6 2" xfId="35273"/>
    <cellStyle name="Heading 2 2 2 6 2 4 6 2 2" xfId="35274"/>
    <cellStyle name="Heading 2 2 2 6 2 4 6 3" xfId="35275"/>
    <cellStyle name="Heading 2 2 2 6 2 4 7" xfId="35276"/>
    <cellStyle name="Heading 2 2 2 6 2 4 7 2" xfId="35277"/>
    <cellStyle name="Heading 2 2 2 6 2 4 7 2 2" xfId="35278"/>
    <cellStyle name="Heading 2 2 2 6 2 4 7 3" xfId="35279"/>
    <cellStyle name="Heading 2 2 2 6 2 4 8" xfId="35280"/>
    <cellStyle name="Heading 2 2 2 6 2 4 8 2" xfId="35281"/>
    <cellStyle name="Heading 2 2 2 6 2 4 9" xfId="35282"/>
    <cellStyle name="Heading 2 2 2 6 2 5" xfId="35283"/>
    <cellStyle name="Heading 2 2 2 6 2 5 2" xfId="35284"/>
    <cellStyle name="Heading 2 2 2 6 2 5 2 2" xfId="35285"/>
    <cellStyle name="Heading 2 2 2 6 2 5 2 2 2" xfId="35286"/>
    <cellStyle name="Heading 2 2 2 6 2 5 2 3" xfId="35287"/>
    <cellStyle name="Heading 2 2 2 6 2 5 3" xfId="35288"/>
    <cellStyle name="Heading 2 2 2 6 2 5 3 2" xfId="35289"/>
    <cellStyle name="Heading 2 2 2 6 2 5 3 2 2" xfId="35290"/>
    <cellStyle name="Heading 2 2 2 6 2 5 3 3" xfId="35291"/>
    <cellStyle name="Heading 2 2 2 6 2 5 4" xfId="35292"/>
    <cellStyle name="Heading 2 2 2 6 2 5 4 2" xfId="35293"/>
    <cellStyle name="Heading 2 2 2 6 2 5 4 2 2" xfId="35294"/>
    <cellStyle name="Heading 2 2 2 6 2 5 4 3" xfId="35295"/>
    <cellStyle name="Heading 2 2 2 6 2 5 5" xfId="35296"/>
    <cellStyle name="Heading 2 2 2 6 2 5 5 2" xfId="35297"/>
    <cellStyle name="Heading 2 2 2 6 2 5 5 2 2" xfId="35298"/>
    <cellStyle name="Heading 2 2 2 6 2 5 5 3" xfId="35299"/>
    <cellStyle name="Heading 2 2 2 6 2 5 6" xfId="35300"/>
    <cellStyle name="Heading 2 2 2 6 2 5 6 2" xfId="35301"/>
    <cellStyle name="Heading 2 2 2 6 2 5 6 2 2" xfId="35302"/>
    <cellStyle name="Heading 2 2 2 6 2 5 6 3" xfId="35303"/>
    <cellStyle name="Heading 2 2 2 6 2 5 7" xfId="35304"/>
    <cellStyle name="Heading 2 2 2 6 2 5 7 2" xfId="35305"/>
    <cellStyle name="Heading 2 2 2 6 2 5 7 2 2" xfId="35306"/>
    <cellStyle name="Heading 2 2 2 6 2 5 7 3" xfId="35307"/>
    <cellStyle name="Heading 2 2 2 6 2 5 8" xfId="35308"/>
    <cellStyle name="Heading 2 2 2 6 2 5 8 2" xfId="35309"/>
    <cellStyle name="Heading 2 2 2 6 2 5 9" xfId="35310"/>
    <cellStyle name="Heading 2 2 2 6 2 6" xfId="35311"/>
    <cellStyle name="Heading 2 2 2 6 2 6 2" xfId="35312"/>
    <cellStyle name="Heading 2 2 2 6 2 6 2 2" xfId="35313"/>
    <cellStyle name="Heading 2 2 2 6 2 6 2 2 2" xfId="35314"/>
    <cellStyle name="Heading 2 2 2 6 2 6 2 3" xfId="35315"/>
    <cellStyle name="Heading 2 2 2 6 2 6 3" xfId="35316"/>
    <cellStyle name="Heading 2 2 2 6 2 6 3 2" xfId="35317"/>
    <cellStyle name="Heading 2 2 2 6 2 6 3 2 2" xfId="35318"/>
    <cellStyle name="Heading 2 2 2 6 2 6 3 3" xfId="35319"/>
    <cellStyle name="Heading 2 2 2 6 2 6 4" xfId="35320"/>
    <cellStyle name="Heading 2 2 2 6 2 6 4 2" xfId="35321"/>
    <cellStyle name="Heading 2 2 2 6 2 6 4 2 2" xfId="35322"/>
    <cellStyle name="Heading 2 2 2 6 2 6 4 3" xfId="35323"/>
    <cellStyle name="Heading 2 2 2 6 2 6 5" xfId="35324"/>
    <cellStyle name="Heading 2 2 2 6 2 6 5 2" xfId="35325"/>
    <cellStyle name="Heading 2 2 2 6 2 6 5 2 2" xfId="35326"/>
    <cellStyle name="Heading 2 2 2 6 2 6 5 3" xfId="35327"/>
    <cellStyle name="Heading 2 2 2 6 2 6 6" xfId="35328"/>
    <cellStyle name="Heading 2 2 2 6 2 6 6 2" xfId="35329"/>
    <cellStyle name="Heading 2 2 2 6 2 6 6 2 2" xfId="35330"/>
    <cellStyle name="Heading 2 2 2 6 2 6 6 3" xfId="35331"/>
    <cellStyle name="Heading 2 2 2 6 2 6 7" xfId="35332"/>
    <cellStyle name="Heading 2 2 2 6 2 6 7 2" xfId="35333"/>
    <cellStyle name="Heading 2 2 2 6 2 6 7 2 2" xfId="35334"/>
    <cellStyle name="Heading 2 2 2 6 2 6 7 3" xfId="35335"/>
    <cellStyle name="Heading 2 2 2 6 2 6 8" xfId="35336"/>
    <cellStyle name="Heading 2 2 2 6 2 6 8 2" xfId="35337"/>
    <cellStyle name="Heading 2 2 2 6 2 6 9" xfId="35338"/>
    <cellStyle name="Heading 2 2 2 6 2 7" xfId="35339"/>
    <cellStyle name="Heading 2 2 2 6 2 7 2" xfId="35340"/>
    <cellStyle name="Heading 2 2 2 6 2 7 2 2" xfId="35341"/>
    <cellStyle name="Heading 2 2 2 6 2 7 2 2 2" xfId="35342"/>
    <cellStyle name="Heading 2 2 2 6 2 7 2 3" xfId="35343"/>
    <cellStyle name="Heading 2 2 2 6 2 7 3" xfId="35344"/>
    <cellStyle name="Heading 2 2 2 6 2 7 3 2" xfId="35345"/>
    <cellStyle name="Heading 2 2 2 6 2 7 3 2 2" xfId="35346"/>
    <cellStyle name="Heading 2 2 2 6 2 7 3 3" xfId="35347"/>
    <cellStyle name="Heading 2 2 2 6 2 7 4" xfId="35348"/>
    <cellStyle name="Heading 2 2 2 6 2 7 4 2" xfId="35349"/>
    <cellStyle name="Heading 2 2 2 6 2 7 4 2 2" xfId="35350"/>
    <cellStyle name="Heading 2 2 2 6 2 7 4 3" xfId="35351"/>
    <cellStyle name="Heading 2 2 2 6 2 7 5" xfId="35352"/>
    <cellStyle name="Heading 2 2 2 6 2 7 5 2" xfId="35353"/>
    <cellStyle name="Heading 2 2 2 6 2 7 5 2 2" xfId="35354"/>
    <cellStyle name="Heading 2 2 2 6 2 7 5 3" xfId="35355"/>
    <cellStyle name="Heading 2 2 2 6 2 7 6" xfId="35356"/>
    <cellStyle name="Heading 2 2 2 6 2 7 6 2" xfId="35357"/>
    <cellStyle name="Heading 2 2 2 6 2 7 6 2 2" xfId="35358"/>
    <cellStyle name="Heading 2 2 2 6 2 7 6 3" xfId="35359"/>
    <cellStyle name="Heading 2 2 2 6 2 7 7" xfId="35360"/>
    <cellStyle name="Heading 2 2 2 6 2 7 7 2" xfId="35361"/>
    <cellStyle name="Heading 2 2 2 6 2 7 7 2 2" xfId="35362"/>
    <cellStyle name="Heading 2 2 2 6 2 7 7 3" xfId="35363"/>
    <cellStyle name="Heading 2 2 2 6 2 7 8" xfId="35364"/>
    <cellStyle name="Heading 2 2 2 6 2 7 8 2" xfId="35365"/>
    <cellStyle name="Heading 2 2 2 6 2 7 9" xfId="35366"/>
    <cellStyle name="Heading 2 2 2 6 2 8" xfId="35367"/>
    <cellStyle name="Heading 2 2 2 6 2 8 2" xfId="35368"/>
    <cellStyle name="Heading 2 2 2 6 2 8 2 2" xfId="35369"/>
    <cellStyle name="Heading 2 2 2 6 2 8 2 2 2" xfId="35370"/>
    <cellStyle name="Heading 2 2 2 6 2 8 2 3" xfId="35371"/>
    <cellStyle name="Heading 2 2 2 6 2 8 3" xfId="35372"/>
    <cellStyle name="Heading 2 2 2 6 2 8 3 2" xfId="35373"/>
    <cellStyle name="Heading 2 2 2 6 2 8 3 2 2" xfId="35374"/>
    <cellStyle name="Heading 2 2 2 6 2 8 3 3" xfId="35375"/>
    <cellStyle name="Heading 2 2 2 6 2 8 4" xfId="35376"/>
    <cellStyle name="Heading 2 2 2 6 2 8 4 2" xfId="35377"/>
    <cellStyle name="Heading 2 2 2 6 2 8 4 2 2" xfId="35378"/>
    <cellStyle name="Heading 2 2 2 6 2 8 4 3" xfId="35379"/>
    <cellStyle name="Heading 2 2 2 6 2 8 5" xfId="35380"/>
    <cellStyle name="Heading 2 2 2 6 2 8 5 2" xfId="35381"/>
    <cellStyle name="Heading 2 2 2 6 2 8 5 2 2" xfId="35382"/>
    <cellStyle name="Heading 2 2 2 6 2 8 5 3" xfId="35383"/>
    <cellStyle name="Heading 2 2 2 6 2 8 6" xfId="35384"/>
    <cellStyle name="Heading 2 2 2 6 2 8 6 2" xfId="35385"/>
    <cellStyle name="Heading 2 2 2 6 2 8 6 2 2" xfId="35386"/>
    <cellStyle name="Heading 2 2 2 6 2 8 6 3" xfId="35387"/>
    <cellStyle name="Heading 2 2 2 6 2 8 7" xfId="35388"/>
    <cellStyle name="Heading 2 2 2 6 2 8 7 2" xfId="35389"/>
    <cellStyle name="Heading 2 2 2 6 2 8 7 2 2" xfId="35390"/>
    <cellStyle name="Heading 2 2 2 6 2 8 7 3" xfId="35391"/>
    <cellStyle name="Heading 2 2 2 6 2 8 8" xfId="35392"/>
    <cellStyle name="Heading 2 2 2 6 2 8 8 2" xfId="35393"/>
    <cellStyle name="Heading 2 2 2 6 2 8 9" xfId="35394"/>
    <cellStyle name="Heading 2 2 2 6 2 9" xfId="35395"/>
    <cellStyle name="Heading 2 2 2 6 2 9 2" xfId="35396"/>
    <cellStyle name="Heading 2 2 2 6 2 9 2 2" xfId="35397"/>
    <cellStyle name="Heading 2 2 2 6 2 9 2 2 2" xfId="35398"/>
    <cellStyle name="Heading 2 2 2 6 2 9 2 3" xfId="35399"/>
    <cellStyle name="Heading 2 2 2 6 2 9 3" xfId="35400"/>
    <cellStyle name="Heading 2 2 2 6 2 9 3 2" xfId="35401"/>
    <cellStyle name="Heading 2 2 2 6 2 9 3 2 2" xfId="35402"/>
    <cellStyle name="Heading 2 2 2 6 2 9 3 3" xfId="35403"/>
    <cellStyle name="Heading 2 2 2 6 2 9 4" xfId="35404"/>
    <cellStyle name="Heading 2 2 2 6 2 9 4 2" xfId="35405"/>
    <cellStyle name="Heading 2 2 2 6 2 9 4 2 2" xfId="35406"/>
    <cellStyle name="Heading 2 2 2 6 2 9 4 3" xfId="35407"/>
    <cellStyle name="Heading 2 2 2 6 2 9 5" xfId="35408"/>
    <cellStyle name="Heading 2 2 2 6 2 9 5 2" xfId="35409"/>
    <cellStyle name="Heading 2 2 2 6 2 9 5 2 2" xfId="35410"/>
    <cellStyle name="Heading 2 2 2 6 2 9 5 3" xfId="35411"/>
    <cellStyle name="Heading 2 2 2 6 2 9 6" xfId="35412"/>
    <cellStyle name="Heading 2 2 2 6 2 9 6 2" xfId="35413"/>
    <cellStyle name="Heading 2 2 2 6 2 9 6 2 2" xfId="35414"/>
    <cellStyle name="Heading 2 2 2 6 2 9 6 3" xfId="35415"/>
    <cellStyle name="Heading 2 2 2 6 2 9 7" xfId="35416"/>
    <cellStyle name="Heading 2 2 2 6 2 9 7 2" xfId="35417"/>
    <cellStyle name="Heading 2 2 2 6 2 9 7 2 2" xfId="35418"/>
    <cellStyle name="Heading 2 2 2 6 2 9 7 3" xfId="35419"/>
    <cellStyle name="Heading 2 2 2 6 2 9 8" xfId="35420"/>
    <cellStyle name="Heading 2 2 2 6 2 9 8 2" xfId="35421"/>
    <cellStyle name="Heading 2 2 2 6 2 9 9" xfId="35422"/>
    <cellStyle name="Heading 2 2 2 6 3" xfId="35423"/>
    <cellStyle name="Heading 2 2 2 6 3 10" xfId="35424"/>
    <cellStyle name="Heading 2 2 2 6 3 10 2" xfId="35425"/>
    <cellStyle name="Heading 2 2 2 6 3 10 2 2" xfId="35426"/>
    <cellStyle name="Heading 2 2 2 6 3 10 3" xfId="35427"/>
    <cellStyle name="Heading 2 2 2 6 3 11" xfId="35428"/>
    <cellStyle name="Heading 2 2 2 6 3 11 2" xfId="35429"/>
    <cellStyle name="Heading 2 2 2 6 3 11 2 2" xfId="35430"/>
    <cellStyle name="Heading 2 2 2 6 3 11 3" xfId="35431"/>
    <cellStyle name="Heading 2 2 2 6 3 12" xfId="35432"/>
    <cellStyle name="Heading 2 2 2 6 3 12 2" xfId="35433"/>
    <cellStyle name="Heading 2 2 2 6 3 12 2 2" xfId="35434"/>
    <cellStyle name="Heading 2 2 2 6 3 12 3" xfId="35435"/>
    <cellStyle name="Heading 2 2 2 6 3 13" xfId="35436"/>
    <cellStyle name="Heading 2 2 2 6 3 13 2" xfId="35437"/>
    <cellStyle name="Heading 2 2 2 6 3 13 2 2" xfId="35438"/>
    <cellStyle name="Heading 2 2 2 6 3 13 3" xfId="35439"/>
    <cellStyle name="Heading 2 2 2 6 3 14" xfId="35440"/>
    <cellStyle name="Heading 2 2 2 6 3 14 2" xfId="35441"/>
    <cellStyle name="Heading 2 2 2 6 3 14 2 2" xfId="35442"/>
    <cellStyle name="Heading 2 2 2 6 3 14 3" xfId="35443"/>
    <cellStyle name="Heading 2 2 2 6 3 15" xfId="35444"/>
    <cellStyle name="Heading 2 2 2 6 3 15 2" xfId="35445"/>
    <cellStyle name="Heading 2 2 2 6 3 15 2 2" xfId="35446"/>
    <cellStyle name="Heading 2 2 2 6 3 15 3" xfId="35447"/>
    <cellStyle name="Heading 2 2 2 6 3 16" xfId="35448"/>
    <cellStyle name="Heading 2 2 2 6 3 16 2" xfId="35449"/>
    <cellStyle name="Heading 2 2 2 6 3 16 2 2" xfId="35450"/>
    <cellStyle name="Heading 2 2 2 6 3 16 3" xfId="35451"/>
    <cellStyle name="Heading 2 2 2 6 3 17" xfId="35452"/>
    <cellStyle name="Heading 2 2 2 6 3 17 2" xfId="35453"/>
    <cellStyle name="Heading 2 2 2 6 3 17 2 2" xfId="35454"/>
    <cellStyle name="Heading 2 2 2 6 3 17 3" xfId="35455"/>
    <cellStyle name="Heading 2 2 2 6 3 18" xfId="35456"/>
    <cellStyle name="Heading 2 2 2 6 3 18 2" xfId="35457"/>
    <cellStyle name="Heading 2 2 2 6 3 18 2 2" xfId="35458"/>
    <cellStyle name="Heading 2 2 2 6 3 18 3" xfId="35459"/>
    <cellStyle name="Heading 2 2 2 6 3 19" xfId="35460"/>
    <cellStyle name="Heading 2 2 2 6 3 19 2" xfId="35461"/>
    <cellStyle name="Heading 2 2 2 6 3 2" xfId="35462"/>
    <cellStyle name="Heading 2 2 2 6 3 2 2" xfId="35463"/>
    <cellStyle name="Heading 2 2 2 6 3 2 2 2" xfId="35464"/>
    <cellStyle name="Heading 2 2 2 6 3 2 2 2 2" xfId="35465"/>
    <cellStyle name="Heading 2 2 2 6 3 2 2 3" xfId="35466"/>
    <cellStyle name="Heading 2 2 2 6 3 2 3" xfId="35467"/>
    <cellStyle name="Heading 2 2 2 6 3 2 3 2" xfId="35468"/>
    <cellStyle name="Heading 2 2 2 6 3 2 3 2 2" xfId="35469"/>
    <cellStyle name="Heading 2 2 2 6 3 2 3 3" xfId="35470"/>
    <cellStyle name="Heading 2 2 2 6 3 2 4" xfId="35471"/>
    <cellStyle name="Heading 2 2 2 6 3 2 4 2" xfId="35472"/>
    <cellStyle name="Heading 2 2 2 6 3 2 4 2 2" xfId="35473"/>
    <cellStyle name="Heading 2 2 2 6 3 2 4 3" xfId="35474"/>
    <cellStyle name="Heading 2 2 2 6 3 2 5" xfId="35475"/>
    <cellStyle name="Heading 2 2 2 6 3 2 5 2" xfId="35476"/>
    <cellStyle name="Heading 2 2 2 6 3 2 5 2 2" xfId="35477"/>
    <cellStyle name="Heading 2 2 2 6 3 2 5 3" xfId="35478"/>
    <cellStyle name="Heading 2 2 2 6 3 2 6" xfId="35479"/>
    <cellStyle name="Heading 2 2 2 6 3 2 6 2" xfId="35480"/>
    <cellStyle name="Heading 2 2 2 6 3 2 6 2 2" xfId="35481"/>
    <cellStyle name="Heading 2 2 2 6 3 2 6 3" xfId="35482"/>
    <cellStyle name="Heading 2 2 2 6 3 2 7" xfId="35483"/>
    <cellStyle name="Heading 2 2 2 6 3 2 7 2" xfId="35484"/>
    <cellStyle name="Heading 2 2 2 6 3 2 7 2 2" xfId="35485"/>
    <cellStyle name="Heading 2 2 2 6 3 2 7 3" xfId="35486"/>
    <cellStyle name="Heading 2 2 2 6 3 2 8" xfId="35487"/>
    <cellStyle name="Heading 2 2 2 6 3 2 8 2" xfId="35488"/>
    <cellStyle name="Heading 2 2 2 6 3 2 9" xfId="35489"/>
    <cellStyle name="Heading 2 2 2 6 3 20" xfId="35490"/>
    <cellStyle name="Heading 2 2 2 6 3 20 2" xfId="35491"/>
    <cellStyle name="Heading 2 2 2 6 3 21" xfId="35492"/>
    <cellStyle name="Heading 2 2 2 6 3 21 2" xfId="35493"/>
    <cellStyle name="Heading 2 2 2 6 3 22" xfId="35494"/>
    <cellStyle name="Heading 2 2 2 6 3 3" xfId="35495"/>
    <cellStyle name="Heading 2 2 2 6 3 3 2" xfId="35496"/>
    <cellStyle name="Heading 2 2 2 6 3 3 2 2" xfId="35497"/>
    <cellStyle name="Heading 2 2 2 6 3 3 2 2 2" xfId="35498"/>
    <cellStyle name="Heading 2 2 2 6 3 3 2 3" xfId="35499"/>
    <cellStyle name="Heading 2 2 2 6 3 3 3" xfId="35500"/>
    <cellStyle name="Heading 2 2 2 6 3 3 3 2" xfId="35501"/>
    <cellStyle name="Heading 2 2 2 6 3 3 3 2 2" xfId="35502"/>
    <cellStyle name="Heading 2 2 2 6 3 3 3 3" xfId="35503"/>
    <cellStyle name="Heading 2 2 2 6 3 3 4" xfId="35504"/>
    <cellStyle name="Heading 2 2 2 6 3 3 4 2" xfId="35505"/>
    <cellStyle name="Heading 2 2 2 6 3 3 4 2 2" xfId="35506"/>
    <cellStyle name="Heading 2 2 2 6 3 3 4 3" xfId="35507"/>
    <cellStyle name="Heading 2 2 2 6 3 3 5" xfId="35508"/>
    <cellStyle name="Heading 2 2 2 6 3 3 5 2" xfId="35509"/>
    <cellStyle name="Heading 2 2 2 6 3 3 5 2 2" xfId="35510"/>
    <cellStyle name="Heading 2 2 2 6 3 3 5 3" xfId="35511"/>
    <cellStyle name="Heading 2 2 2 6 3 3 6" xfId="35512"/>
    <cellStyle name="Heading 2 2 2 6 3 3 6 2" xfId="35513"/>
    <cellStyle name="Heading 2 2 2 6 3 3 6 2 2" xfId="35514"/>
    <cellStyle name="Heading 2 2 2 6 3 3 6 3" xfId="35515"/>
    <cellStyle name="Heading 2 2 2 6 3 3 7" xfId="35516"/>
    <cellStyle name="Heading 2 2 2 6 3 3 7 2" xfId="35517"/>
    <cellStyle name="Heading 2 2 2 6 3 3 7 2 2" xfId="35518"/>
    <cellStyle name="Heading 2 2 2 6 3 3 7 3" xfId="35519"/>
    <cellStyle name="Heading 2 2 2 6 3 3 8" xfId="35520"/>
    <cellStyle name="Heading 2 2 2 6 3 3 8 2" xfId="35521"/>
    <cellStyle name="Heading 2 2 2 6 3 3 9" xfId="35522"/>
    <cellStyle name="Heading 2 2 2 6 3 4" xfId="35523"/>
    <cellStyle name="Heading 2 2 2 6 3 4 2" xfId="35524"/>
    <cellStyle name="Heading 2 2 2 6 3 4 2 2" xfId="35525"/>
    <cellStyle name="Heading 2 2 2 6 3 4 2 2 2" xfId="35526"/>
    <cellStyle name="Heading 2 2 2 6 3 4 2 3" xfId="35527"/>
    <cellStyle name="Heading 2 2 2 6 3 4 3" xfId="35528"/>
    <cellStyle name="Heading 2 2 2 6 3 4 3 2" xfId="35529"/>
    <cellStyle name="Heading 2 2 2 6 3 4 3 2 2" xfId="35530"/>
    <cellStyle name="Heading 2 2 2 6 3 4 3 3" xfId="35531"/>
    <cellStyle name="Heading 2 2 2 6 3 4 4" xfId="35532"/>
    <cellStyle name="Heading 2 2 2 6 3 4 4 2" xfId="35533"/>
    <cellStyle name="Heading 2 2 2 6 3 4 4 2 2" xfId="35534"/>
    <cellStyle name="Heading 2 2 2 6 3 4 4 3" xfId="35535"/>
    <cellStyle name="Heading 2 2 2 6 3 4 5" xfId="35536"/>
    <cellStyle name="Heading 2 2 2 6 3 4 5 2" xfId="35537"/>
    <cellStyle name="Heading 2 2 2 6 3 4 5 2 2" xfId="35538"/>
    <cellStyle name="Heading 2 2 2 6 3 4 5 3" xfId="35539"/>
    <cellStyle name="Heading 2 2 2 6 3 4 6" xfId="35540"/>
    <cellStyle name="Heading 2 2 2 6 3 4 6 2" xfId="35541"/>
    <cellStyle name="Heading 2 2 2 6 3 4 6 2 2" xfId="35542"/>
    <cellStyle name="Heading 2 2 2 6 3 4 6 3" xfId="35543"/>
    <cellStyle name="Heading 2 2 2 6 3 4 7" xfId="35544"/>
    <cellStyle name="Heading 2 2 2 6 3 4 7 2" xfId="35545"/>
    <cellStyle name="Heading 2 2 2 6 3 4 7 2 2" xfId="35546"/>
    <cellStyle name="Heading 2 2 2 6 3 4 7 3" xfId="35547"/>
    <cellStyle name="Heading 2 2 2 6 3 4 8" xfId="35548"/>
    <cellStyle name="Heading 2 2 2 6 3 4 8 2" xfId="35549"/>
    <cellStyle name="Heading 2 2 2 6 3 4 9" xfId="35550"/>
    <cellStyle name="Heading 2 2 2 6 3 5" xfId="35551"/>
    <cellStyle name="Heading 2 2 2 6 3 5 2" xfId="35552"/>
    <cellStyle name="Heading 2 2 2 6 3 5 2 2" xfId="35553"/>
    <cellStyle name="Heading 2 2 2 6 3 5 2 2 2" xfId="35554"/>
    <cellStyle name="Heading 2 2 2 6 3 5 2 3" xfId="35555"/>
    <cellStyle name="Heading 2 2 2 6 3 5 3" xfId="35556"/>
    <cellStyle name="Heading 2 2 2 6 3 5 3 2" xfId="35557"/>
    <cellStyle name="Heading 2 2 2 6 3 5 3 2 2" xfId="35558"/>
    <cellStyle name="Heading 2 2 2 6 3 5 3 3" xfId="35559"/>
    <cellStyle name="Heading 2 2 2 6 3 5 4" xfId="35560"/>
    <cellStyle name="Heading 2 2 2 6 3 5 4 2" xfId="35561"/>
    <cellStyle name="Heading 2 2 2 6 3 5 4 2 2" xfId="35562"/>
    <cellStyle name="Heading 2 2 2 6 3 5 4 3" xfId="35563"/>
    <cellStyle name="Heading 2 2 2 6 3 5 5" xfId="35564"/>
    <cellStyle name="Heading 2 2 2 6 3 5 5 2" xfId="35565"/>
    <cellStyle name="Heading 2 2 2 6 3 5 5 2 2" xfId="35566"/>
    <cellStyle name="Heading 2 2 2 6 3 5 5 3" xfId="35567"/>
    <cellStyle name="Heading 2 2 2 6 3 5 6" xfId="35568"/>
    <cellStyle name="Heading 2 2 2 6 3 5 6 2" xfId="35569"/>
    <cellStyle name="Heading 2 2 2 6 3 5 6 2 2" xfId="35570"/>
    <cellStyle name="Heading 2 2 2 6 3 5 6 3" xfId="35571"/>
    <cellStyle name="Heading 2 2 2 6 3 5 7" xfId="35572"/>
    <cellStyle name="Heading 2 2 2 6 3 5 7 2" xfId="35573"/>
    <cellStyle name="Heading 2 2 2 6 3 5 7 2 2" xfId="35574"/>
    <cellStyle name="Heading 2 2 2 6 3 5 7 3" xfId="35575"/>
    <cellStyle name="Heading 2 2 2 6 3 5 8" xfId="35576"/>
    <cellStyle name="Heading 2 2 2 6 3 5 8 2" xfId="35577"/>
    <cellStyle name="Heading 2 2 2 6 3 5 9" xfId="35578"/>
    <cellStyle name="Heading 2 2 2 6 3 6" xfId="35579"/>
    <cellStyle name="Heading 2 2 2 6 3 6 2" xfId="35580"/>
    <cellStyle name="Heading 2 2 2 6 3 6 2 2" xfId="35581"/>
    <cellStyle name="Heading 2 2 2 6 3 6 2 2 2" xfId="35582"/>
    <cellStyle name="Heading 2 2 2 6 3 6 2 3" xfId="35583"/>
    <cellStyle name="Heading 2 2 2 6 3 6 3" xfId="35584"/>
    <cellStyle name="Heading 2 2 2 6 3 6 3 2" xfId="35585"/>
    <cellStyle name="Heading 2 2 2 6 3 6 3 2 2" xfId="35586"/>
    <cellStyle name="Heading 2 2 2 6 3 6 3 3" xfId="35587"/>
    <cellStyle name="Heading 2 2 2 6 3 6 4" xfId="35588"/>
    <cellStyle name="Heading 2 2 2 6 3 6 4 2" xfId="35589"/>
    <cellStyle name="Heading 2 2 2 6 3 6 4 2 2" xfId="35590"/>
    <cellStyle name="Heading 2 2 2 6 3 6 4 3" xfId="35591"/>
    <cellStyle name="Heading 2 2 2 6 3 6 5" xfId="35592"/>
    <cellStyle name="Heading 2 2 2 6 3 6 5 2" xfId="35593"/>
    <cellStyle name="Heading 2 2 2 6 3 6 5 2 2" xfId="35594"/>
    <cellStyle name="Heading 2 2 2 6 3 6 5 3" xfId="35595"/>
    <cellStyle name="Heading 2 2 2 6 3 6 6" xfId="35596"/>
    <cellStyle name="Heading 2 2 2 6 3 6 6 2" xfId="35597"/>
    <cellStyle name="Heading 2 2 2 6 3 6 6 2 2" xfId="35598"/>
    <cellStyle name="Heading 2 2 2 6 3 6 6 3" xfId="35599"/>
    <cellStyle name="Heading 2 2 2 6 3 6 7" xfId="35600"/>
    <cellStyle name="Heading 2 2 2 6 3 6 7 2" xfId="35601"/>
    <cellStyle name="Heading 2 2 2 6 3 6 7 2 2" xfId="35602"/>
    <cellStyle name="Heading 2 2 2 6 3 6 7 3" xfId="35603"/>
    <cellStyle name="Heading 2 2 2 6 3 6 8" xfId="35604"/>
    <cellStyle name="Heading 2 2 2 6 3 6 8 2" xfId="35605"/>
    <cellStyle name="Heading 2 2 2 6 3 6 9" xfId="35606"/>
    <cellStyle name="Heading 2 2 2 6 3 7" xfId="35607"/>
    <cellStyle name="Heading 2 2 2 6 3 7 2" xfId="35608"/>
    <cellStyle name="Heading 2 2 2 6 3 7 2 2" xfId="35609"/>
    <cellStyle name="Heading 2 2 2 6 3 7 2 2 2" xfId="35610"/>
    <cellStyle name="Heading 2 2 2 6 3 7 2 3" xfId="35611"/>
    <cellStyle name="Heading 2 2 2 6 3 7 3" xfId="35612"/>
    <cellStyle name="Heading 2 2 2 6 3 7 3 2" xfId="35613"/>
    <cellStyle name="Heading 2 2 2 6 3 7 3 2 2" xfId="35614"/>
    <cellStyle name="Heading 2 2 2 6 3 7 3 3" xfId="35615"/>
    <cellStyle name="Heading 2 2 2 6 3 7 4" xfId="35616"/>
    <cellStyle name="Heading 2 2 2 6 3 7 4 2" xfId="35617"/>
    <cellStyle name="Heading 2 2 2 6 3 7 4 2 2" xfId="35618"/>
    <cellStyle name="Heading 2 2 2 6 3 7 4 3" xfId="35619"/>
    <cellStyle name="Heading 2 2 2 6 3 7 5" xfId="35620"/>
    <cellStyle name="Heading 2 2 2 6 3 7 5 2" xfId="35621"/>
    <cellStyle name="Heading 2 2 2 6 3 7 5 2 2" xfId="35622"/>
    <cellStyle name="Heading 2 2 2 6 3 7 5 3" xfId="35623"/>
    <cellStyle name="Heading 2 2 2 6 3 7 6" xfId="35624"/>
    <cellStyle name="Heading 2 2 2 6 3 7 6 2" xfId="35625"/>
    <cellStyle name="Heading 2 2 2 6 3 7 6 2 2" xfId="35626"/>
    <cellStyle name="Heading 2 2 2 6 3 7 6 3" xfId="35627"/>
    <cellStyle name="Heading 2 2 2 6 3 7 7" xfId="35628"/>
    <cellStyle name="Heading 2 2 2 6 3 7 7 2" xfId="35629"/>
    <cellStyle name="Heading 2 2 2 6 3 7 7 2 2" xfId="35630"/>
    <cellStyle name="Heading 2 2 2 6 3 7 7 3" xfId="35631"/>
    <cellStyle name="Heading 2 2 2 6 3 7 8" xfId="35632"/>
    <cellStyle name="Heading 2 2 2 6 3 7 8 2" xfId="35633"/>
    <cellStyle name="Heading 2 2 2 6 3 7 9" xfId="35634"/>
    <cellStyle name="Heading 2 2 2 6 3 8" xfId="35635"/>
    <cellStyle name="Heading 2 2 2 6 3 8 2" xfId="35636"/>
    <cellStyle name="Heading 2 2 2 6 3 8 2 2" xfId="35637"/>
    <cellStyle name="Heading 2 2 2 6 3 8 2 2 2" xfId="35638"/>
    <cellStyle name="Heading 2 2 2 6 3 8 2 3" xfId="35639"/>
    <cellStyle name="Heading 2 2 2 6 3 8 3" xfId="35640"/>
    <cellStyle name="Heading 2 2 2 6 3 8 3 2" xfId="35641"/>
    <cellStyle name="Heading 2 2 2 6 3 8 3 2 2" xfId="35642"/>
    <cellStyle name="Heading 2 2 2 6 3 8 3 3" xfId="35643"/>
    <cellStyle name="Heading 2 2 2 6 3 8 4" xfId="35644"/>
    <cellStyle name="Heading 2 2 2 6 3 8 4 2" xfId="35645"/>
    <cellStyle name="Heading 2 2 2 6 3 8 4 2 2" xfId="35646"/>
    <cellStyle name="Heading 2 2 2 6 3 8 4 3" xfId="35647"/>
    <cellStyle name="Heading 2 2 2 6 3 8 5" xfId="35648"/>
    <cellStyle name="Heading 2 2 2 6 3 8 5 2" xfId="35649"/>
    <cellStyle name="Heading 2 2 2 6 3 8 5 2 2" xfId="35650"/>
    <cellStyle name="Heading 2 2 2 6 3 8 5 3" xfId="35651"/>
    <cellStyle name="Heading 2 2 2 6 3 8 6" xfId="35652"/>
    <cellStyle name="Heading 2 2 2 6 3 8 6 2" xfId="35653"/>
    <cellStyle name="Heading 2 2 2 6 3 8 6 2 2" xfId="35654"/>
    <cellStyle name="Heading 2 2 2 6 3 8 6 3" xfId="35655"/>
    <cellStyle name="Heading 2 2 2 6 3 8 7" xfId="35656"/>
    <cellStyle name="Heading 2 2 2 6 3 8 7 2" xfId="35657"/>
    <cellStyle name="Heading 2 2 2 6 3 8 7 2 2" xfId="35658"/>
    <cellStyle name="Heading 2 2 2 6 3 8 7 3" xfId="35659"/>
    <cellStyle name="Heading 2 2 2 6 3 8 8" xfId="35660"/>
    <cellStyle name="Heading 2 2 2 6 3 8 8 2" xfId="35661"/>
    <cellStyle name="Heading 2 2 2 6 3 8 9" xfId="35662"/>
    <cellStyle name="Heading 2 2 2 6 3 9" xfId="35663"/>
    <cellStyle name="Heading 2 2 2 6 3 9 2" xfId="35664"/>
    <cellStyle name="Heading 2 2 2 6 3 9 2 2" xfId="35665"/>
    <cellStyle name="Heading 2 2 2 6 3 9 3" xfId="35666"/>
    <cellStyle name="Heading 2 2 2 6 4" xfId="35667"/>
    <cellStyle name="Heading 2 2 2 6 4 2" xfId="35668"/>
    <cellStyle name="Heading 2 2 2 6 4 2 2" xfId="35669"/>
    <cellStyle name="Heading 2 2 2 6 4 3" xfId="35670"/>
    <cellStyle name="Heading 2 2 2 6 5" xfId="35671"/>
    <cellStyle name="Heading 2 2 2 6 5 2" xfId="35672"/>
    <cellStyle name="Heading 2 2 2 6 6" xfId="35673"/>
    <cellStyle name="Heading 2 2 2 7" xfId="35674"/>
    <cellStyle name="Heading 2 2 2 7 2" xfId="35675"/>
    <cellStyle name="Heading 2 2 2 7 2 10" xfId="35676"/>
    <cellStyle name="Heading 2 2 2 7 2 10 2" xfId="35677"/>
    <cellStyle name="Heading 2 2 2 7 2 10 2 2" xfId="35678"/>
    <cellStyle name="Heading 2 2 2 7 2 10 3" xfId="35679"/>
    <cellStyle name="Heading 2 2 2 7 2 11" xfId="35680"/>
    <cellStyle name="Heading 2 2 2 7 2 11 2" xfId="35681"/>
    <cellStyle name="Heading 2 2 2 7 2 11 2 2" xfId="35682"/>
    <cellStyle name="Heading 2 2 2 7 2 11 3" xfId="35683"/>
    <cellStyle name="Heading 2 2 2 7 2 12" xfId="35684"/>
    <cellStyle name="Heading 2 2 2 7 2 12 2" xfId="35685"/>
    <cellStyle name="Heading 2 2 2 7 2 12 2 2" xfId="35686"/>
    <cellStyle name="Heading 2 2 2 7 2 12 3" xfId="35687"/>
    <cellStyle name="Heading 2 2 2 7 2 13" xfId="35688"/>
    <cellStyle name="Heading 2 2 2 7 2 13 2" xfId="35689"/>
    <cellStyle name="Heading 2 2 2 7 2 13 2 2" xfId="35690"/>
    <cellStyle name="Heading 2 2 2 7 2 13 3" xfId="35691"/>
    <cellStyle name="Heading 2 2 2 7 2 14" xfId="35692"/>
    <cellStyle name="Heading 2 2 2 7 2 14 2" xfId="35693"/>
    <cellStyle name="Heading 2 2 2 7 2 14 2 2" xfId="35694"/>
    <cellStyle name="Heading 2 2 2 7 2 14 3" xfId="35695"/>
    <cellStyle name="Heading 2 2 2 7 2 15" xfId="35696"/>
    <cellStyle name="Heading 2 2 2 7 2 15 2" xfId="35697"/>
    <cellStyle name="Heading 2 2 2 7 2 15 2 2" xfId="35698"/>
    <cellStyle name="Heading 2 2 2 7 2 15 3" xfId="35699"/>
    <cellStyle name="Heading 2 2 2 7 2 16" xfId="35700"/>
    <cellStyle name="Heading 2 2 2 7 2 16 2" xfId="35701"/>
    <cellStyle name="Heading 2 2 2 7 2 16 2 2" xfId="35702"/>
    <cellStyle name="Heading 2 2 2 7 2 16 3" xfId="35703"/>
    <cellStyle name="Heading 2 2 2 7 2 17" xfId="35704"/>
    <cellStyle name="Heading 2 2 2 7 2 17 2" xfId="35705"/>
    <cellStyle name="Heading 2 2 2 7 2 17 2 2" xfId="35706"/>
    <cellStyle name="Heading 2 2 2 7 2 17 3" xfId="35707"/>
    <cellStyle name="Heading 2 2 2 7 2 18" xfId="35708"/>
    <cellStyle name="Heading 2 2 2 7 2 18 2" xfId="35709"/>
    <cellStyle name="Heading 2 2 2 7 2 18 2 2" xfId="35710"/>
    <cellStyle name="Heading 2 2 2 7 2 18 3" xfId="35711"/>
    <cellStyle name="Heading 2 2 2 7 2 19" xfId="35712"/>
    <cellStyle name="Heading 2 2 2 7 2 19 2" xfId="35713"/>
    <cellStyle name="Heading 2 2 2 7 2 19 2 2" xfId="35714"/>
    <cellStyle name="Heading 2 2 2 7 2 19 3" xfId="35715"/>
    <cellStyle name="Heading 2 2 2 7 2 2" xfId="35716"/>
    <cellStyle name="Heading 2 2 2 7 2 2 10" xfId="35717"/>
    <cellStyle name="Heading 2 2 2 7 2 2 10 2" xfId="35718"/>
    <cellStyle name="Heading 2 2 2 7 2 2 10 2 2" xfId="35719"/>
    <cellStyle name="Heading 2 2 2 7 2 2 10 3" xfId="35720"/>
    <cellStyle name="Heading 2 2 2 7 2 2 11" xfId="35721"/>
    <cellStyle name="Heading 2 2 2 7 2 2 11 2" xfId="35722"/>
    <cellStyle name="Heading 2 2 2 7 2 2 11 2 2" xfId="35723"/>
    <cellStyle name="Heading 2 2 2 7 2 2 11 3" xfId="35724"/>
    <cellStyle name="Heading 2 2 2 7 2 2 12" xfId="35725"/>
    <cellStyle name="Heading 2 2 2 7 2 2 12 2" xfId="35726"/>
    <cellStyle name="Heading 2 2 2 7 2 2 12 2 2" xfId="35727"/>
    <cellStyle name="Heading 2 2 2 7 2 2 12 3" xfId="35728"/>
    <cellStyle name="Heading 2 2 2 7 2 2 13" xfId="35729"/>
    <cellStyle name="Heading 2 2 2 7 2 2 13 2" xfId="35730"/>
    <cellStyle name="Heading 2 2 2 7 2 2 13 2 2" xfId="35731"/>
    <cellStyle name="Heading 2 2 2 7 2 2 13 3" xfId="35732"/>
    <cellStyle name="Heading 2 2 2 7 2 2 14" xfId="35733"/>
    <cellStyle name="Heading 2 2 2 7 2 2 14 2" xfId="35734"/>
    <cellStyle name="Heading 2 2 2 7 2 2 14 2 2" xfId="35735"/>
    <cellStyle name="Heading 2 2 2 7 2 2 14 3" xfId="35736"/>
    <cellStyle name="Heading 2 2 2 7 2 2 15" xfId="35737"/>
    <cellStyle name="Heading 2 2 2 7 2 2 15 2" xfId="35738"/>
    <cellStyle name="Heading 2 2 2 7 2 2 15 2 2" xfId="35739"/>
    <cellStyle name="Heading 2 2 2 7 2 2 15 3" xfId="35740"/>
    <cellStyle name="Heading 2 2 2 7 2 2 16" xfId="35741"/>
    <cellStyle name="Heading 2 2 2 7 2 2 16 2" xfId="35742"/>
    <cellStyle name="Heading 2 2 2 7 2 2 16 2 2" xfId="35743"/>
    <cellStyle name="Heading 2 2 2 7 2 2 16 3" xfId="35744"/>
    <cellStyle name="Heading 2 2 2 7 2 2 17" xfId="35745"/>
    <cellStyle name="Heading 2 2 2 7 2 2 17 2" xfId="35746"/>
    <cellStyle name="Heading 2 2 2 7 2 2 17 2 2" xfId="35747"/>
    <cellStyle name="Heading 2 2 2 7 2 2 17 3" xfId="35748"/>
    <cellStyle name="Heading 2 2 2 7 2 2 18" xfId="35749"/>
    <cellStyle name="Heading 2 2 2 7 2 2 18 2" xfId="35750"/>
    <cellStyle name="Heading 2 2 2 7 2 2 18 2 2" xfId="35751"/>
    <cellStyle name="Heading 2 2 2 7 2 2 18 3" xfId="35752"/>
    <cellStyle name="Heading 2 2 2 7 2 2 19" xfId="35753"/>
    <cellStyle name="Heading 2 2 2 7 2 2 19 2" xfId="35754"/>
    <cellStyle name="Heading 2 2 2 7 2 2 2" xfId="35755"/>
    <cellStyle name="Heading 2 2 2 7 2 2 2 2" xfId="35756"/>
    <cellStyle name="Heading 2 2 2 7 2 2 2 2 2" xfId="35757"/>
    <cellStyle name="Heading 2 2 2 7 2 2 2 2 2 2" xfId="35758"/>
    <cellStyle name="Heading 2 2 2 7 2 2 2 2 3" xfId="35759"/>
    <cellStyle name="Heading 2 2 2 7 2 2 2 3" xfId="35760"/>
    <cellStyle name="Heading 2 2 2 7 2 2 2 3 2" xfId="35761"/>
    <cellStyle name="Heading 2 2 2 7 2 2 2 3 2 2" xfId="35762"/>
    <cellStyle name="Heading 2 2 2 7 2 2 2 3 3" xfId="35763"/>
    <cellStyle name="Heading 2 2 2 7 2 2 2 4" xfId="35764"/>
    <cellStyle name="Heading 2 2 2 7 2 2 2 4 2" xfId="35765"/>
    <cellStyle name="Heading 2 2 2 7 2 2 2 4 2 2" xfId="35766"/>
    <cellStyle name="Heading 2 2 2 7 2 2 2 4 3" xfId="35767"/>
    <cellStyle name="Heading 2 2 2 7 2 2 2 5" xfId="35768"/>
    <cellStyle name="Heading 2 2 2 7 2 2 2 5 2" xfId="35769"/>
    <cellStyle name="Heading 2 2 2 7 2 2 2 5 2 2" xfId="35770"/>
    <cellStyle name="Heading 2 2 2 7 2 2 2 5 3" xfId="35771"/>
    <cellStyle name="Heading 2 2 2 7 2 2 2 6" xfId="35772"/>
    <cellStyle name="Heading 2 2 2 7 2 2 2 6 2" xfId="35773"/>
    <cellStyle name="Heading 2 2 2 7 2 2 2 6 2 2" xfId="35774"/>
    <cellStyle name="Heading 2 2 2 7 2 2 2 6 3" xfId="35775"/>
    <cellStyle name="Heading 2 2 2 7 2 2 2 7" xfId="35776"/>
    <cellStyle name="Heading 2 2 2 7 2 2 2 7 2" xfId="35777"/>
    <cellStyle name="Heading 2 2 2 7 2 2 2 7 2 2" xfId="35778"/>
    <cellStyle name="Heading 2 2 2 7 2 2 2 7 3" xfId="35779"/>
    <cellStyle name="Heading 2 2 2 7 2 2 2 8" xfId="35780"/>
    <cellStyle name="Heading 2 2 2 7 2 2 2 8 2" xfId="35781"/>
    <cellStyle name="Heading 2 2 2 7 2 2 2 9" xfId="35782"/>
    <cellStyle name="Heading 2 2 2 7 2 2 20" xfId="35783"/>
    <cellStyle name="Heading 2 2 2 7 2 2 20 2" xfId="35784"/>
    <cellStyle name="Heading 2 2 2 7 2 2 21" xfId="35785"/>
    <cellStyle name="Heading 2 2 2 7 2 2 21 2" xfId="35786"/>
    <cellStyle name="Heading 2 2 2 7 2 2 22" xfId="35787"/>
    <cellStyle name="Heading 2 2 2 7 2 2 3" xfId="35788"/>
    <cellStyle name="Heading 2 2 2 7 2 2 3 2" xfId="35789"/>
    <cellStyle name="Heading 2 2 2 7 2 2 3 2 2" xfId="35790"/>
    <cellStyle name="Heading 2 2 2 7 2 2 3 2 2 2" xfId="35791"/>
    <cellStyle name="Heading 2 2 2 7 2 2 3 2 3" xfId="35792"/>
    <cellStyle name="Heading 2 2 2 7 2 2 3 3" xfId="35793"/>
    <cellStyle name="Heading 2 2 2 7 2 2 3 3 2" xfId="35794"/>
    <cellStyle name="Heading 2 2 2 7 2 2 3 3 2 2" xfId="35795"/>
    <cellStyle name="Heading 2 2 2 7 2 2 3 3 3" xfId="35796"/>
    <cellStyle name="Heading 2 2 2 7 2 2 3 4" xfId="35797"/>
    <cellStyle name="Heading 2 2 2 7 2 2 3 4 2" xfId="35798"/>
    <cellStyle name="Heading 2 2 2 7 2 2 3 4 2 2" xfId="35799"/>
    <cellStyle name="Heading 2 2 2 7 2 2 3 4 3" xfId="35800"/>
    <cellStyle name="Heading 2 2 2 7 2 2 3 5" xfId="35801"/>
    <cellStyle name="Heading 2 2 2 7 2 2 3 5 2" xfId="35802"/>
    <cellStyle name="Heading 2 2 2 7 2 2 3 5 2 2" xfId="35803"/>
    <cellStyle name="Heading 2 2 2 7 2 2 3 5 3" xfId="35804"/>
    <cellStyle name="Heading 2 2 2 7 2 2 3 6" xfId="35805"/>
    <cellStyle name="Heading 2 2 2 7 2 2 3 6 2" xfId="35806"/>
    <cellStyle name="Heading 2 2 2 7 2 2 3 6 2 2" xfId="35807"/>
    <cellStyle name="Heading 2 2 2 7 2 2 3 6 3" xfId="35808"/>
    <cellStyle name="Heading 2 2 2 7 2 2 3 7" xfId="35809"/>
    <cellStyle name="Heading 2 2 2 7 2 2 3 7 2" xfId="35810"/>
    <cellStyle name="Heading 2 2 2 7 2 2 3 7 2 2" xfId="35811"/>
    <cellStyle name="Heading 2 2 2 7 2 2 3 7 3" xfId="35812"/>
    <cellStyle name="Heading 2 2 2 7 2 2 3 8" xfId="35813"/>
    <cellStyle name="Heading 2 2 2 7 2 2 3 8 2" xfId="35814"/>
    <cellStyle name="Heading 2 2 2 7 2 2 3 9" xfId="35815"/>
    <cellStyle name="Heading 2 2 2 7 2 2 4" xfId="35816"/>
    <cellStyle name="Heading 2 2 2 7 2 2 4 2" xfId="35817"/>
    <cellStyle name="Heading 2 2 2 7 2 2 4 2 2" xfId="35818"/>
    <cellStyle name="Heading 2 2 2 7 2 2 4 2 2 2" xfId="35819"/>
    <cellStyle name="Heading 2 2 2 7 2 2 4 2 3" xfId="35820"/>
    <cellStyle name="Heading 2 2 2 7 2 2 4 3" xfId="35821"/>
    <cellStyle name="Heading 2 2 2 7 2 2 4 3 2" xfId="35822"/>
    <cellStyle name="Heading 2 2 2 7 2 2 4 3 2 2" xfId="35823"/>
    <cellStyle name="Heading 2 2 2 7 2 2 4 3 3" xfId="35824"/>
    <cellStyle name="Heading 2 2 2 7 2 2 4 4" xfId="35825"/>
    <cellStyle name="Heading 2 2 2 7 2 2 4 4 2" xfId="35826"/>
    <cellStyle name="Heading 2 2 2 7 2 2 4 4 2 2" xfId="35827"/>
    <cellStyle name="Heading 2 2 2 7 2 2 4 4 3" xfId="35828"/>
    <cellStyle name="Heading 2 2 2 7 2 2 4 5" xfId="35829"/>
    <cellStyle name="Heading 2 2 2 7 2 2 4 5 2" xfId="35830"/>
    <cellStyle name="Heading 2 2 2 7 2 2 4 5 2 2" xfId="35831"/>
    <cellStyle name="Heading 2 2 2 7 2 2 4 5 3" xfId="35832"/>
    <cellStyle name="Heading 2 2 2 7 2 2 4 6" xfId="35833"/>
    <cellStyle name="Heading 2 2 2 7 2 2 4 6 2" xfId="35834"/>
    <cellStyle name="Heading 2 2 2 7 2 2 4 6 2 2" xfId="35835"/>
    <cellStyle name="Heading 2 2 2 7 2 2 4 6 3" xfId="35836"/>
    <cellStyle name="Heading 2 2 2 7 2 2 4 7" xfId="35837"/>
    <cellStyle name="Heading 2 2 2 7 2 2 4 7 2" xfId="35838"/>
    <cellStyle name="Heading 2 2 2 7 2 2 4 7 2 2" xfId="35839"/>
    <cellStyle name="Heading 2 2 2 7 2 2 4 7 3" xfId="35840"/>
    <cellStyle name="Heading 2 2 2 7 2 2 4 8" xfId="35841"/>
    <cellStyle name="Heading 2 2 2 7 2 2 4 8 2" xfId="35842"/>
    <cellStyle name="Heading 2 2 2 7 2 2 4 9" xfId="35843"/>
    <cellStyle name="Heading 2 2 2 7 2 2 5" xfId="35844"/>
    <cellStyle name="Heading 2 2 2 7 2 2 5 2" xfId="35845"/>
    <cellStyle name="Heading 2 2 2 7 2 2 5 2 2" xfId="35846"/>
    <cellStyle name="Heading 2 2 2 7 2 2 5 2 2 2" xfId="35847"/>
    <cellStyle name="Heading 2 2 2 7 2 2 5 2 3" xfId="35848"/>
    <cellStyle name="Heading 2 2 2 7 2 2 5 3" xfId="35849"/>
    <cellStyle name="Heading 2 2 2 7 2 2 5 3 2" xfId="35850"/>
    <cellStyle name="Heading 2 2 2 7 2 2 5 3 2 2" xfId="35851"/>
    <cellStyle name="Heading 2 2 2 7 2 2 5 3 3" xfId="35852"/>
    <cellStyle name="Heading 2 2 2 7 2 2 5 4" xfId="35853"/>
    <cellStyle name="Heading 2 2 2 7 2 2 5 4 2" xfId="35854"/>
    <cellStyle name="Heading 2 2 2 7 2 2 5 4 2 2" xfId="35855"/>
    <cellStyle name="Heading 2 2 2 7 2 2 5 4 3" xfId="35856"/>
    <cellStyle name="Heading 2 2 2 7 2 2 5 5" xfId="35857"/>
    <cellStyle name="Heading 2 2 2 7 2 2 5 5 2" xfId="35858"/>
    <cellStyle name="Heading 2 2 2 7 2 2 5 5 2 2" xfId="35859"/>
    <cellStyle name="Heading 2 2 2 7 2 2 5 5 3" xfId="35860"/>
    <cellStyle name="Heading 2 2 2 7 2 2 5 6" xfId="35861"/>
    <cellStyle name="Heading 2 2 2 7 2 2 5 6 2" xfId="35862"/>
    <cellStyle name="Heading 2 2 2 7 2 2 5 6 2 2" xfId="35863"/>
    <cellStyle name="Heading 2 2 2 7 2 2 5 6 3" xfId="35864"/>
    <cellStyle name="Heading 2 2 2 7 2 2 5 7" xfId="35865"/>
    <cellStyle name="Heading 2 2 2 7 2 2 5 7 2" xfId="35866"/>
    <cellStyle name="Heading 2 2 2 7 2 2 5 7 2 2" xfId="35867"/>
    <cellStyle name="Heading 2 2 2 7 2 2 5 7 3" xfId="35868"/>
    <cellStyle name="Heading 2 2 2 7 2 2 5 8" xfId="35869"/>
    <cellStyle name="Heading 2 2 2 7 2 2 5 8 2" xfId="35870"/>
    <cellStyle name="Heading 2 2 2 7 2 2 5 9" xfId="35871"/>
    <cellStyle name="Heading 2 2 2 7 2 2 6" xfId="35872"/>
    <cellStyle name="Heading 2 2 2 7 2 2 6 2" xfId="35873"/>
    <cellStyle name="Heading 2 2 2 7 2 2 6 2 2" xfId="35874"/>
    <cellStyle name="Heading 2 2 2 7 2 2 6 2 2 2" xfId="35875"/>
    <cellStyle name="Heading 2 2 2 7 2 2 6 2 3" xfId="35876"/>
    <cellStyle name="Heading 2 2 2 7 2 2 6 3" xfId="35877"/>
    <cellStyle name="Heading 2 2 2 7 2 2 6 3 2" xfId="35878"/>
    <cellStyle name="Heading 2 2 2 7 2 2 6 3 2 2" xfId="35879"/>
    <cellStyle name="Heading 2 2 2 7 2 2 6 3 3" xfId="35880"/>
    <cellStyle name="Heading 2 2 2 7 2 2 6 4" xfId="35881"/>
    <cellStyle name="Heading 2 2 2 7 2 2 6 4 2" xfId="35882"/>
    <cellStyle name="Heading 2 2 2 7 2 2 6 4 2 2" xfId="35883"/>
    <cellStyle name="Heading 2 2 2 7 2 2 6 4 3" xfId="35884"/>
    <cellStyle name="Heading 2 2 2 7 2 2 6 5" xfId="35885"/>
    <cellStyle name="Heading 2 2 2 7 2 2 6 5 2" xfId="35886"/>
    <cellStyle name="Heading 2 2 2 7 2 2 6 5 2 2" xfId="35887"/>
    <cellStyle name="Heading 2 2 2 7 2 2 6 5 3" xfId="35888"/>
    <cellStyle name="Heading 2 2 2 7 2 2 6 6" xfId="35889"/>
    <cellStyle name="Heading 2 2 2 7 2 2 6 6 2" xfId="35890"/>
    <cellStyle name="Heading 2 2 2 7 2 2 6 6 2 2" xfId="35891"/>
    <cellStyle name="Heading 2 2 2 7 2 2 6 6 3" xfId="35892"/>
    <cellStyle name="Heading 2 2 2 7 2 2 6 7" xfId="35893"/>
    <cellStyle name="Heading 2 2 2 7 2 2 6 7 2" xfId="35894"/>
    <cellStyle name="Heading 2 2 2 7 2 2 6 7 2 2" xfId="35895"/>
    <cellStyle name="Heading 2 2 2 7 2 2 6 7 3" xfId="35896"/>
    <cellStyle name="Heading 2 2 2 7 2 2 6 8" xfId="35897"/>
    <cellStyle name="Heading 2 2 2 7 2 2 6 8 2" xfId="35898"/>
    <cellStyle name="Heading 2 2 2 7 2 2 6 9" xfId="35899"/>
    <cellStyle name="Heading 2 2 2 7 2 2 7" xfId="35900"/>
    <cellStyle name="Heading 2 2 2 7 2 2 7 2" xfId="35901"/>
    <cellStyle name="Heading 2 2 2 7 2 2 7 2 2" xfId="35902"/>
    <cellStyle name="Heading 2 2 2 7 2 2 7 2 2 2" xfId="35903"/>
    <cellStyle name="Heading 2 2 2 7 2 2 7 2 3" xfId="35904"/>
    <cellStyle name="Heading 2 2 2 7 2 2 7 3" xfId="35905"/>
    <cellStyle name="Heading 2 2 2 7 2 2 7 3 2" xfId="35906"/>
    <cellStyle name="Heading 2 2 2 7 2 2 7 3 2 2" xfId="35907"/>
    <cellStyle name="Heading 2 2 2 7 2 2 7 3 3" xfId="35908"/>
    <cellStyle name="Heading 2 2 2 7 2 2 7 4" xfId="35909"/>
    <cellStyle name="Heading 2 2 2 7 2 2 7 4 2" xfId="35910"/>
    <cellStyle name="Heading 2 2 2 7 2 2 7 4 2 2" xfId="35911"/>
    <cellStyle name="Heading 2 2 2 7 2 2 7 4 3" xfId="35912"/>
    <cellStyle name="Heading 2 2 2 7 2 2 7 5" xfId="35913"/>
    <cellStyle name="Heading 2 2 2 7 2 2 7 5 2" xfId="35914"/>
    <cellStyle name="Heading 2 2 2 7 2 2 7 5 2 2" xfId="35915"/>
    <cellStyle name="Heading 2 2 2 7 2 2 7 5 3" xfId="35916"/>
    <cellStyle name="Heading 2 2 2 7 2 2 7 6" xfId="35917"/>
    <cellStyle name="Heading 2 2 2 7 2 2 7 6 2" xfId="35918"/>
    <cellStyle name="Heading 2 2 2 7 2 2 7 6 2 2" xfId="35919"/>
    <cellStyle name="Heading 2 2 2 7 2 2 7 6 3" xfId="35920"/>
    <cellStyle name="Heading 2 2 2 7 2 2 7 7" xfId="35921"/>
    <cellStyle name="Heading 2 2 2 7 2 2 7 7 2" xfId="35922"/>
    <cellStyle name="Heading 2 2 2 7 2 2 7 7 2 2" xfId="35923"/>
    <cellStyle name="Heading 2 2 2 7 2 2 7 7 3" xfId="35924"/>
    <cellStyle name="Heading 2 2 2 7 2 2 7 8" xfId="35925"/>
    <cellStyle name="Heading 2 2 2 7 2 2 7 8 2" xfId="35926"/>
    <cellStyle name="Heading 2 2 2 7 2 2 7 9" xfId="35927"/>
    <cellStyle name="Heading 2 2 2 7 2 2 8" xfId="35928"/>
    <cellStyle name="Heading 2 2 2 7 2 2 8 2" xfId="35929"/>
    <cellStyle name="Heading 2 2 2 7 2 2 8 2 2" xfId="35930"/>
    <cellStyle name="Heading 2 2 2 7 2 2 8 2 2 2" xfId="35931"/>
    <cellStyle name="Heading 2 2 2 7 2 2 8 2 3" xfId="35932"/>
    <cellStyle name="Heading 2 2 2 7 2 2 8 3" xfId="35933"/>
    <cellStyle name="Heading 2 2 2 7 2 2 8 3 2" xfId="35934"/>
    <cellStyle name="Heading 2 2 2 7 2 2 8 3 2 2" xfId="35935"/>
    <cellStyle name="Heading 2 2 2 7 2 2 8 3 3" xfId="35936"/>
    <cellStyle name="Heading 2 2 2 7 2 2 8 4" xfId="35937"/>
    <cellStyle name="Heading 2 2 2 7 2 2 8 4 2" xfId="35938"/>
    <cellStyle name="Heading 2 2 2 7 2 2 8 4 2 2" xfId="35939"/>
    <cellStyle name="Heading 2 2 2 7 2 2 8 4 3" xfId="35940"/>
    <cellStyle name="Heading 2 2 2 7 2 2 8 5" xfId="35941"/>
    <cellStyle name="Heading 2 2 2 7 2 2 8 5 2" xfId="35942"/>
    <cellStyle name="Heading 2 2 2 7 2 2 8 5 2 2" xfId="35943"/>
    <cellStyle name="Heading 2 2 2 7 2 2 8 5 3" xfId="35944"/>
    <cellStyle name="Heading 2 2 2 7 2 2 8 6" xfId="35945"/>
    <cellStyle name="Heading 2 2 2 7 2 2 8 6 2" xfId="35946"/>
    <cellStyle name="Heading 2 2 2 7 2 2 8 6 2 2" xfId="35947"/>
    <cellStyle name="Heading 2 2 2 7 2 2 8 6 3" xfId="35948"/>
    <cellStyle name="Heading 2 2 2 7 2 2 8 7" xfId="35949"/>
    <cellStyle name="Heading 2 2 2 7 2 2 8 7 2" xfId="35950"/>
    <cellStyle name="Heading 2 2 2 7 2 2 8 7 2 2" xfId="35951"/>
    <cellStyle name="Heading 2 2 2 7 2 2 8 7 3" xfId="35952"/>
    <cellStyle name="Heading 2 2 2 7 2 2 8 8" xfId="35953"/>
    <cellStyle name="Heading 2 2 2 7 2 2 8 8 2" xfId="35954"/>
    <cellStyle name="Heading 2 2 2 7 2 2 8 9" xfId="35955"/>
    <cellStyle name="Heading 2 2 2 7 2 2 9" xfId="35956"/>
    <cellStyle name="Heading 2 2 2 7 2 2 9 2" xfId="35957"/>
    <cellStyle name="Heading 2 2 2 7 2 2 9 2 2" xfId="35958"/>
    <cellStyle name="Heading 2 2 2 7 2 2 9 3" xfId="35959"/>
    <cellStyle name="Heading 2 2 2 7 2 20" xfId="35960"/>
    <cellStyle name="Heading 2 2 2 7 2 20 2" xfId="35961"/>
    <cellStyle name="Heading 2 2 2 7 2 21" xfId="35962"/>
    <cellStyle name="Heading 2 2 2 7 2 21 2" xfId="35963"/>
    <cellStyle name="Heading 2 2 2 7 2 22" xfId="35964"/>
    <cellStyle name="Heading 2 2 2 7 2 22 2" xfId="35965"/>
    <cellStyle name="Heading 2 2 2 7 2 23" xfId="35966"/>
    <cellStyle name="Heading 2 2 2 7 2 3" xfId="35967"/>
    <cellStyle name="Heading 2 2 2 7 2 3 2" xfId="35968"/>
    <cellStyle name="Heading 2 2 2 7 2 3 2 2" xfId="35969"/>
    <cellStyle name="Heading 2 2 2 7 2 3 2 2 2" xfId="35970"/>
    <cellStyle name="Heading 2 2 2 7 2 3 2 3" xfId="35971"/>
    <cellStyle name="Heading 2 2 2 7 2 3 3" xfId="35972"/>
    <cellStyle name="Heading 2 2 2 7 2 3 3 2" xfId="35973"/>
    <cellStyle name="Heading 2 2 2 7 2 3 3 2 2" xfId="35974"/>
    <cellStyle name="Heading 2 2 2 7 2 3 3 3" xfId="35975"/>
    <cellStyle name="Heading 2 2 2 7 2 3 4" xfId="35976"/>
    <cellStyle name="Heading 2 2 2 7 2 3 4 2" xfId="35977"/>
    <cellStyle name="Heading 2 2 2 7 2 3 4 2 2" xfId="35978"/>
    <cellStyle name="Heading 2 2 2 7 2 3 4 3" xfId="35979"/>
    <cellStyle name="Heading 2 2 2 7 2 3 5" xfId="35980"/>
    <cellStyle name="Heading 2 2 2 7 2 3 5 2" xfId="35981"/>
    <cellStyle name="Heading 2 2 2 7 2 3 5 2 2" xfId="35982"/>
    <cellStyle name="Heading 2 2 2 7 2 3 5 3" xfId="35983"/>
    <cellStyle name="Heading 2 2 2 7 2 3 6" xfId="35984"/>
    <cellStyle name="Heading 2 2 2 7 2 3 6 2" xfId="35985"/>
    <cellStyle name="Heading 2 2 2 7 2 3 6 2 2" xfId="35986"/>
    <cellStyle name="Heading 2 2 2 7 2 3 6 3" xfId="35987"/>
    <cellStyle name="Heading 2 2 2 7 2 3 7" xfId="35988"/>
    <cellStyle name="Heading 2 2 2 7 2 3 7 2" xfId="35989"/>
    <cellStyle name="Heading 2 2 2 7 2 3 7 2 2" xfId="35990"/>
    <cellStyle name="Heading 2 2 2 7 2 3 7 3" xfId="35991"/>
    <cellStyle name="Heading 2 2 2 7 2 3 8" xfId="35992"/>
    <cellStyle name="Heading 2 2 2 7 2 3 8 2" xfId="35993"/>
    <cellStyle name="Heading 2 2 2 7 2 3 9" xfId="35994"/>
    <cellStyle name="Heading 2 2 2 7 2 4" xfId="35995"/>
    <cellStyle name="Heading 2 2 2 7 2 4 2" xfId="35996"/>
    <cellStyle name="Heading 2 2 2 7 2 4 2 2" xfId="35997"/>
    <cellStyle name="Heading 2 2 2 7 2 4 2 2 2" xfId="35998"/>
    <cellStyle name="Heading 2 2 2 7 2 4 2 3" xfId="35999"/>
    <cellStyle name="Heading 2 2 2 7 2 4 3" xfId="36000"/>
    <cellStyle name="Heading 2 2 2 7 2 4 3 2" xfId="36001"/>
    <cellStyle name="Heading 2 2 2 7 2 4 3 2 2" xfId="36002"/>
    <cellStyle name="Heading 2 2 2 7 2 4 3 3" xfId="36003"/>
    <cellStyle name="Heading 2 2 2 7 2 4 4" xfId="36004"/>
    <cellStyle name="Heading 2 2 2 7 2 4 4 2" xfId="36005"/>
    <cellStyle name="Heading 2 2 2 7 2 4 4 2 2" xfId="36006"/>
    <cellStyle name="Heading 2 2 2 7 2 4 4 3" xfId="36007"/>
    <cellStyle name="Heading 2 2 2 7 2 4 5" xfId="36008"/>
    <cellStyle name="Heading 2 2 2 7 2 4 5 2" xfId="36009"/>
    <cellStyle name="Heading 2 2 2 7 2 4 5 2 2" xfId="36010"/>
    <cellStyle name="Heading 2 2 2 7 2 4 5 3" xfId="36011"/>
    <cellStyle name="Heading 2 2 2 7 2 4 6" xfId="36012"/>
    <cellStyle name="Heading 2 2 2 7 2 4 6 2" xfId="36013"/>
    <cellStyle name="Heading 2 2 2 7 2 4 6 2 2" xfId="36014"/>
    <cellStyle name="Heading 2 2 2 7 2 4 6 3" xfId="36015"/>
    <cellStyle name="Heading 2 2 2 7 2 4 7" xfId="36016"/>
    <cellStyle name="Heading 2 2 2 7 2 4 7 2" xfId="36017"/>
    <cellStyle name="Heading 2 2 2 7 2 4 7 2 2" xfId="36018"/>
    <cellStyle name="Heading 2 2 2 7 2 4 7 3" xfId="36019"/>
    <cellStyle name="Heading 2 2 2 7 2 4 8" xfId="36020"/>
    <cellStyle name="Heading 2 2 2 7 2 4 8 2" xfId="36021"/>
    <cellStyle name="Heading 2 2 2 7 2 4 9" xfId="36022"/>
    <cellStyle name="Heading 2 2 2 7 2 5" xfId="36023"/>
    <cellStyle name="Heading 2 2 2 7 2 5 2" xfId="36024"/>
    <cellStyle name="Heading 2 2 2 7 2 5 2 2" xfId="36025"/>
    <cellStyle name="Heading 2 2 2 7 2 5 2 2 2" xfId="36026"/>
    <cellStyle name="Heading 2 2 2 7 2 5 2 3" xfId="36027"/>
    <cellStyle name="Heading 2 2 2 7 2 5 3" xfId="36028"/>
    <cellStyle name="Heading 2 2 2 7 2 5 3 2" xfId="36029"/>
    <cellStyle name="Heading 2 2 2 7 2 5 3 2 2" xfId="36030"/>
    <cellStyle name="Heading 2 2 2 7 2 5 3 3" xfId="36031"/>
    <cellStyle name="Heading 2 2 2 7 2 5 4" xfId="36032"/>
    <cellStyle name="Heading 2 2 2 7 2 5 4 2" xfId="36033"/>
    <cellStyle name="Heading 2 2 2 7 2 5 4 2 2" xfId="36034"/>
    <cellStyle name="Heading 2 2 2 7 2 5 4 3" xfId="36035"/>
    <cellStyle name="Heading 2 2 2 7 2 5 5" xfId="36036"/>
    <cellStyle name="Heading 2 2 2 7 2 5 5 2" xfId="36037"/>
    <cellStyle name="Heading 2 2 2 7 2 5 5 2 2" xfId="36038"/>
    <cellStyle name="Heading 2 2 2 7 2 5 5 3" xfId="36039"/>
    <cellStyle name="Heading 2 2 2 7 2 5 6" xfId="36040"/>
    <cellStyle name="Heading 2 2 2 7 2 5 6 2" xfId="36041"/>
    <cellStyle name="Heading 2 2 2 7 2 5 6 2 2" xfId="36042"/>
    <cellStyle name="Heading 2 2 2 7 2 5 6 3" xfId="36043"/>
    <cellStyle name="Heading 2 2 2 7 2 5 7" xfId="36044"/>
    <cellStyle name="Heading 2 2 2 7 2 5 7 2" xfId="36045"/>
    <cellStyle name="Heading 2 2 2 7 2 5 7 2 2" xfId="36046"/>
    <cellStyle name="Heading 2 2 2 7 2 5 7 3" xfId="36047"/>
    <cellStyle name="Heading 2 2 2 7 2 5 8" xfId="36048"/>
    <cellStyle name="Heading 2 2 2 7 2 5 8 2" xfId="36049"/>
    <cellStyle name="Heading 2 2 2 7 2 5 9" xfId="36050"/>
    <cellStyle name="Heading 2 2 2 7 2 6" xfId="36051"/>
    <cellStyle name="Heading 2 2 2 7 2 6 2" xfId="36052"/>
    <cellStyle name="Heading 2 2 2 7 2 6 2 2" xfId="36053"/>
    <cellStyle name="Heading 2 2 2 7 2 6 2 2 2" xfId="36054"/>
    <cellStyle name="Heading 2 2 2 7 2 6 2 3" xfId="36055"/>
    <cellStyle name="Heading 2 2 2 7 2 6 3" xfId="36056"/>
    <cellStyle name="Heading 2 2 2 7 2 6 3 2" xfId="36057"/>
    <cellStyle name="Heading 2 2 2 7 2 6 3 2 2" xfId="36058"/>
    <cellStyle name="Heading 2 2 2 7 2 6 3 3" xfId="36059"/>
    <cellStyle name="Heading 2 2 2 7 2 6 4" xfId="36060"/>
    <cellStyle name="Heading 2 2 2 7 2 6 4 2" xfId="36061"/>
    <cellStyle name="Heading 2 2 2 7 2 6 4 2 2" xfId="36062"/>
    <cellStyle name="Heading 2 2 2 7 2 6 4 3" xfId="36063"/>
    <cellStyle name="Heading 2 2 2 7 2 6 5" xfId="36064"/>
    <cellStyle name="Heading 2 2 2 7 2 6 5 2" xfId="36065"/>
    <cellStyle name="Heading 2 2 2 7 2 6 5 2 2" xfId="36066"/>
    <cellStyle name="Heading 2 2 2 7 2 6 5 3" xfId="36067"/>
    <cellStyle name="Heading 2 2 2 7 2 6 6" xfId="36068"/>
    <cellStyle name="Heading 2 2 2 7 2 6 6 2" xfId="36069"/>
    <cellStyle name="Heading 2 2 2 7 2 6 6 2 2" xfId="36070"/>
    <cellStyle name="Heading 2 2 2 7 2 6 6 3" xfId="36071"/>
    <cellStyle name="Heading 2 2 2 7 2 6 7" xfId="36072"/>
    <cellStyle name="Heading 2 2 2 7 2 6 7 2" xfId="36073"/>
    <cellStyle name="Heading 2 2 2 7 2 6 7 2 2" xfId="36074"/>
    <cellStyle name="Heading 2 2 2 7 2 6 7 3" xfId="36075"/>
    <cellStyle name="Heading 2 2 2 7 2 6 8" xfId="36076"/>
    <cellStyle name="Heading 2 2 2 7 2 6 8 2" xfId="36077"/>
    <cellStyle name="Heading 2 2 2 7 2 6 9" xfId="36078"/>
    <cellStyle name="Heading 2 2 2 7 2 7" xfId="36079"/>
    <cellStyle name="Heading 2 2 2 7 2 7 2" xfId="36080"/>
    <cellStyle name="Heading 2 2 2 7 2 7 2 2" xfId="36081"/>
    <cellStyle name="Heading 2 2 2 7 2 7 2 2 2" xfId="36082"/>
    <cellStyle name="Heading 2 2 2 7 2 7 2 3" xfId="36083"/>
    <cellStyle name="Heading 2 2 2 7 2 7 3" xfId="36084"/>
    <cellStyle name="Heading 2 2 2 7 2 7 3 2" xfId="36085"/>
    <cellStyle name="Heading 2 2 2 7 2 7 3 2 2" xfId="36086"/>
    <cellStyle name="Heading 2 2 2 7 2 7 3 3" xfId="36087"/>
    <cellStyle name="Heading 2 2 2 7 2 7 4" xfId="36088"/>
    <cellStyle name="Heading 2 2 2 7 2 7 4 2" xfId="36089"/>
    <cellStyle name="Heading 2 2 2 7 2 7 4 2 2" xfId="36090"/>
    <cellStyle name="Heading 2 2 2 7 2 7 4 3" xfId="36091"/>
    <cellStyle name="Heading 2 2 2 7 2 7 5" xfId="36092"/>
    <cellStyle name="Heading 2 2 2 7 2 7 5 2" xfId="36093"/>
    <cellStyle name="Heading 2 2 2 7 2 7 5 2 2" xfId="36094"/>
    <cellStyle name="Heading 2 2 2 7 2 7 5 3" xfId="36095"/>
    <cellStyle name="Heading 2 2 2 7 2 7 6" xfId="36096"/>
    <cellStyle name="Heading 2 2 2 7 2 7 6 2" xfId="36097"/>
    <cellStyle name="Heading 2 2 2 7 2 7 6 2 2" xfId="36098"/>
    <cellStyle name="Heading 2 2 2 7 2 7 6 3" xfId="36099"/>
    <cellStyle name="Heading 2 2 2 7 2 7 7" xfId="36100"/>
    <cellStyle name="Heading 2 2 2 7 2 7 7 2" xfId="36101"/>
    <cellStyle name="Heading 2 2 2 7 2 7 7 2 2" xfId="36102"/>
    <cellStyle name="Heading 2 2 2 7 2 7 7 3" xfId="36103"/>
    <cellStyle name="Heading 2 2 2 7 2 7 8" xfId="36104"/>
    <cellStyle name="Heading 2 2 2 7 2 7 8 2" xfId="36105"/>
    <cellStyle name="Heading 2 2 2 7 2 7 9" xfId="36106"/>
    <cellStyle name="Heading 2 2 2 7 2 8" xfId="36107"/>
    <cellStyle name="Heading 2 2 2 7 2 8 2" xfId="36108"/>
    <cellStyle name="Heading 2 2 2 7 2 8 2 2" xfId="36109"/>
    <cellStyle name="Heading 2 2 2 7 2 8 2 2 2" xfId="36110"/>
    <cellStyle name="Heading 2 2 2 7 2 8 2 3" xfId="36111"/>
    <cellStyle name="Heading 2 2 2 7 2 8 3" xfId="36112"/>
    <cellStyle name="Heading 2 2 2 7 2 8 3 2" xfId="36113"/>
    <cellStyle name="Heading 2 2 2 7 2 8 3 2 2" xfId="36114"/>
    <cellStyle name="Heading 2 2 2 7 2 8 3 3" xfId="36115"/>
    <cellStyle name="Heading 2 2 2 7 2 8 4" xfId="36116"/>
    <cellStyle name="Heading 2 2 2 7 2 8 4 2" xfId="36117"/>
    <cellStyle name="Heading 2 2 2 7 2 8 4 2 2" xfId="36118"/>
    <cellStyle name="Heading 2 2 2 7 2 8 4 3" xfId="36119"/>
    <cellStyle name="Heading 2 2 2 7 2 8 5" xfId="36120"/>
    <cellStyle name="Heading 2 2 2 7 2 8 5 2" xfId="36121"/>
    <cellStyle name="Heading 2 2 2 7 2 8 5 2 2" xfId="36122"/>
    <cellStyle name="Heading 2 2 2 7 2 8 5 3" xfId="36123"/>
    <cellStyle name="Heading 2 2 2 7 2 8 6" xfId="36124"/>
    <cellStyle name="Heading 2 2 2 7 2 8 6 2" xfId="36125"/>
    <cellStyle name="Heading 2 2 2 7 2 8 6 2 2" xfId="36126"/>
    <cellStyle name="Heading 2 2 2 7 2 8 6 3" xfId="36127"/>
    <cellStyle name="Heading 2 2 2 7 2 8 7" xfId="36128"/>
    <cellStyle name="Heading 2 2 2 7 2 8 7 2" xfId="36129"/>
    <cellStyle name="Heading 2 2 2 7 2 8 7 2 2" xfId="36130"/>
    <cellStyle name="Heading 2 2 2 7 2 8 7 3" xfId="36131"/>
    <cellStyle name="Heading 2 2 2 7 2 8 8" xfId="36132"/>
    <cellStyle name="Heading 2 2 2 7 2 8 8 2" xfId="36133"/>
    <cellStyle name="Heading 2 2 2 7 2 8 9" xfId="36134"/>
    <cellStyle name="Heading 2 2 2 7 2 9" xfId="36135"/>
    <cellStyle name="Heading 2 2 2 7 2 9 2" xfId="36136"/>
    <cellStyle name="Heading 2 2 2 7 2 9 2 2" xfId="36137"/>
    <cellStyle name="Heading 2 2 2 7 2 9 2 2 2" xfId="36138"/>
    <cellStyle name="Heading 2 2 2 7 2 9 2 3" xfId="36139"/>
    <cellStyle name="Heading 2 2 2 7 2 9 3" xfId="36140"/>
    <cellStyle name="Heading 2 2 2 7 2 9 3 2" xfId="36141"/>
    <cellStyle name="Heading 2 2 2 7 2 9 3 2 2" xfId="36142"/>
    <cellStyle name="Heading 2 2 2 7 2 9 3 3" xfId="36143"/>
    <cellStyle name="Heading 2 2 2 7 2 9 4" xfId="36144"/>
    <cellStyle name="Heading 2 2 2 7 2 9 4 2" xfId="36145"/>
    <cellStyle name="Heading 2 2 2 7 2 9 4 2 2" xfId="36146"/>
    <cellStyle name="Heading 2 2 2 7 2 9 4 3" xfId="36147"/>
    <cellStyle name="Heading 2 2 2 7 2 9 5" xfId="36148"/>
    <cellStyle name="Heading 2 2 2 7 2 9 5 2" xfId="36149"/>
    <cellStyle name="Heading 2 2 2 7 2 9 5 2 2" xfId="36150"/>
    <cellStyle name="Heading 2 2 2 7 2 9 5 3" xfId="36151"/>
    <cellStyle name="Heading 2 2 2 7 2 9 6" xfId="36152"/>
    <cellStyle name="Heading 2 2 2 7 2 9 6 2" xfId="36153"/>
    <cellStyle name="Heading 2 2 2 7 2 9 6 2 2" xfId="36154"/>
    <cellStyle name="Heading 2 2 2 7 2 9 6 3" xfId="36155"/>
    <cellStyle name="Heading 2 2 2 7 2 9 7" xfId="36156"/>
    <cellStyle name="Heading 2 2 2 7 2 9 7 2" xfId="36157"/>
    <cellStyle name="Heading 2 2 2 7 2 9 7 2 2" xfId="36158"/>
    <cellStyle name="Heading 2 2 2 7 2 9 7 3" xfId="36159"/>
    <cellStyle name="Heading 2 2 2 7 2 9 8" xfId="36160"/>
    <cellStyle name="Heading 2 2 2 7 2 9 8 2" xfId="36161"/>
    <cellStyle name="Heading 2 2 2 7 2 9 9" xfId="36162"/>
    <cellStyle name="Heading 2 2 2 7 3" xfId="36163"/>
    <cellStyle name="Heading 2 2 2 7 3 10" xfId="36164"/>
    <cellStyle name="Heading 2 2 2 7 3 10 2" xfId="36165"/>
    <cellStyle name="Heading 2 2 2 7 3 10 2 2" xfId="36166"/>
    <cellStyle name="Heading 2 2 2 7 3 10 3" xfId="36167"/>
    <cellStyle name="Heading 2 2 2 7 3 11" xfId="36168"/>
    <cellStyle name="Heading 2 2 2 7 3 11 2" xfId="36169"/>
    <cellStyle name="Heading 2 2 2 7 3 11 2 2" xfId="36170"/>
    <cellStyle name="Heading 2 2 2 7 3 11 3" xfId="36171"/>
    <cellStyle name="Heading 2 2 2 7 3 12" xfId="36172"/>
    <cellStyle name="Heading 2 2 2 7 3 12 2" xfId="36173"/>
    <cellStyle name="Heading 2 2 2 7 3 12 2 2" xfId="36174"/>
    <cellStyle name="Heading 2 2 2 7 3 12 3" xfId="36175"/>
    <cellStyle name="Heading 2 2 2 7 3 13" xfId="36176"/>
    <cellStyle name="Heading 2 2 2 7 3 13 2" xfId="36177"/>
    <cellStyle name="Heading 2 2 2 7 3 13 2 2" xfId="36178"/>
    <cellStyle name="Heading 2 2 2 7 3 13 3" xfId="36179"/>
    <cellStyle name="Heading 2 2 2 7 3 14" xfId="36180"/>
    <cellStyle name="Heading 2 2 2 7 3 14 2" xfId="36181"/>
    <cellStyle name="Heading 2 2 2 7 3 14 2 2" xfId="36182"/>
    <cellStyle name="Heading 2 2 2 7 3 14 3" xfId="36183"/>
    <cellStyle name="Heading 2 2 2 7 3 15" xfId="36184"/>
    <cellStyle name="Heading 2 2 2 7 3 15 2" xfId="36185"/>
    <cellStyle name="Heading 2 2 2 7 3 15 2 2" xfId="36186"/>
    <cellStyle name="Heading 2 2 2 7 3 15 3" xfId="36187"/>
    <cellStyle name="Heading 2 2 2 7 3 16" xfId="36188"/>
    <cellStyle name="Heading 2 2 2 7 3 16 2" xfId="36189"/>
    <cellStyle name="Heading 2 2 2 7 3 16 2 2" xfId="36190"/>
    <cellStyle name="Heading 2 2 2 7 3 16 3" xfId="36191"/>
    <cellStyle name="Heading 2 2 2 7 3 17" xfId="36192"/>
    <cellStyle name="Heading 2 2 2 7 3 17 2" xfId="36193"/>
    <cellStyle name="Heading 2 2 2 7 3 17 2 2" xfId="36194"/>
    <cellStyle name="Heading 2 2 2 7 3 17 3" xfId="36195"/>
    <cellStyle name="Heading 2 2 2 7 3 18" xfId="36196"/>
    <cellStyle name="Heading 2 2 2 7 3 18 2" xfId="36197"/>
    <cellStyle name="Heading 2 2 2 7 3 18 2 2" xfId="36198"/>
    <cellStyle name="Heading 2 2 2 7 3 18 3" xfId="36199"/>
    <cellStyle name="Heading 2 2 2 7 3 19" xfId="36200"/>
    <cellStyle name="Heading 2 2 2 7 3 19 2" xfId="36201"/>
    <cellStyle name="Heading 2 2 2 7 3 2" xfId="36202"/>
    <cellStyle name="Heading 2 2 2 7 3 2 2" xfId="36203"/>
    <cellStyle name="Heading 2 2 2 7 3 2 2 2" xfId="36204"/>
    <cellStyle name="Heading 2 2 2 7 3 2 2 2 2" xfId="36205"/>
    <cellStyle name="Heading 2 2 2 7 3 2 2 3" xfId="36206"/>
    <cellStyle name="Heading 2 2 2 7 3 2 3" xfId="36207"/>
    <cellStyle name="Heading 2 2 2 7 3 2 3 2" xfId="36208"/>
    <cellStyle name="Heading 2 2 2 7 3 2 3 2 2" xfId="36209"/>
    <cellStyle name="Heading 2 2 2 7 3 2 3 3" xfId="36210"/>
    <cellStyle name="Heading 2 2 2 7 3 2 4" xfId="36211"/>
    <cellStyle name="Heading 2 2 2 7 3 2 4 2" xfId="36212"/>
    <cellStyle name="Heading 2 2 2 7 3 2 4 2 2" xfId="36213"/>
    <cellStyle name="Heading 2 2 2 7 3 2 4 3" xfId="36214"/>
    <cellStyle name="Heading 2 2 2 7 3 2 5" xfId="36215"/>
    <cellStyle name="Heading 2 2 2 7 3 2 5 2" xfId="36216"/>
    <cellStyle name="Heading 2 2 2 7 3 2 5 2 2" xfId="36217"/>
    <cellStyle name="Heading 2 2 2 7 3 2 5 3" xfId="36218"/>
    <cellStyle name="Heading 2 2 2 7 3 2 6" xfId="36219"/>
    <cellStyle name="Heading 2 2 2 7 3 2 6 2" xfId="36220"/>
    <cellStyle name="Heading 2 2 2 7 3 2 6 2 2" xfId="36221"/>
    <cellStyle name="Heading 2 2 2 7 3 2 6 3" xfId="36222"/>
    <cellStyle name="Heading 2 2 2 7 3 2 7" xfId="36223"/>
    <cellStyle name="Heading 2 2 2 7 3 2 7 2" xfId="36224"/>
    <cellStyle name="Heading 2 2 2 7 3 2 7 2 2" xfId="36225"/>
    <cellStyle name="Heading 2 2 2 7 3 2 7 3" xfId="36226"/>
    <cellStyle name="Heading 2 2 2 7 3 2 8" xfId="36227"/>
    <cellStyle name="Heading 2 2 2 7 3 2 8 2" xfId="36228"/>
    <cellStyle name="Heading 2 2 2 7 3 2 9" xfId="36229"/>
    <cellStyle name="Heading 2 2 2 7 3 20" xfId="36230"/>
    <cellStyle name="Heading 2 2 2 7 3 20 2" xfId="36231"/>
    <cellStyle name="Heading 2 2 2 7 3 21" xfId="36232"/>
    <cellStyle name="Heading 2 2 2 7 3 21 2" xfId="36233"/>
    <cellStyle name="Heading 2 2 2 7 3 22" xfId="36234"/>
    <cellStyle name="Heading 2 2 2 7 3 3" xfId="36235"/>
    <cellStyle name="Heading 2 2 2 7 3 3 2" xfId="36236"/>
    <cellStyle name="Heading 2 2 2 7 3 3 2 2" xfId="36237"/>
    <cellStyle name="Heading 2 2 2 7 3 3 2 2 2" xfId="36238"/>
    <cellStyle name="Heading 2 2 2 7 3 3 2 3" xfId="36239"/>
    <cellStyle name="Heading 2 2 2 7 3 3 3" xfId="36240"/>
    <cellStyle name="Heading 2 2 2 7 3 3 3 2" xfId="36241"/>
    <cellStyle name="Heading 2 2 2 7 3 3 3 2 2" xfId="36242"/>
    <cellStyle name="Heading 2 2 2 7 3 3 3 3" xfId="36243"/>
    <cellStyle name="Heading 2 2 2 7 3 3 4" xfId="36244"/>
    <cellStyle name="Heading 2 2 2 7 3 3 4 2" xfId="36245"/>
    <cellStyle name="Heading 2 2 2 7 3 3 4 2 2" xfId="36246"/>
    <cellStyle name="Heading 2 2 2 7 3 3 4 3" xfId="36247"/>
    <cellStyle name="Heading 2 2 2 7 3 3 5" xfId="36248"/>
    <cellStyle name="Heading 2 2 2 7 3 3 5 2" xfId="36249"/>
    <cellStyle name="Heading 2 2 2 7 3 3 5 2 2" xfId="36250"/>
    <cellStyle name="Heading 2 2 2 7 3 3 5 3" xfId="36251"/>
    <cellStyle name="Heading 2 2 2 7 3 3 6" xfId="36252"/>
    <cellStyle name="Heading 2 2 2 7 3 3 6 2" xfId="36253"/>
    <cellStyle name="Heading 2 2 2 7 3 3 6 2 2" xfId="36254"/>
    <cellStyle name="Heading 2 2 2 7 3 3 6 3" xfId="36255"/>
    <cellStyle name="Heading 2 2 2 7 3 3 7" xfId="36256"/>
    <cellStyle name="Heading 2 2 2 7 3 3 7 2" xfId="36257"/>
    <cellStyle name="Heading 2 2 2 7 3 3 7 2 2" xfId="36258"/>
    <cellStyle name="Heading 2 2 2 7 3 3 7 3" xfId="36259"/>
    <cellStyle name="Heading 2 2 2 7 3 3 8" xfId="36260"/>
    <cellStyle name="Heading 2 2 2 7 3 3 8 2" xfId="36261"/>
    <cellStyle name="Heading 2 2 2 7 3 3 9" xfId="36262"/>
    <cellStyle name="Heading 2 2 2 7 3 4" xfId="36263"/>
    <cellStyle name="Heading 2 2 2 7 3 4 2" xfId="36264"/>
    <cellStyle name="Heading 2 2 2 7 3 4 2 2" xfId="36265"/>
    <cellStyle name="Heading 2 2 2 7 3 4 2 2 2" xfId="36266"/>
    <cellStyle name="Heading 2 2 2 7 3 4 2 3" xfId="36267"/>
    <cellStyle name="Heading 2 2 2 7 3 4 3" xfId="36268"/>
    <cellStyle name="Heading 2 2 2 7 3 4 3 2" xfId="36269"/>
    <cellStyle name="Heading 2 2 2 7 3 4 3 2 2" xfId="36270"/>
    <cellStyle name="Heading 2 2 2 7 3 4 3 3" xfId="36271"/>
    <cellStyle name="Heading 2 2 2 7 3 4 4" xfId="36272"/>
    <cellStyle name="Heading 2 2 2 7 3 4 4 2" xfId="36273"/>
    <cellStyle name="Heading 2 2 2 7 3 4 4 2 2" xfId="36274"/>
    <cellStyle name="Heading 2 2 2 7 3 4 4 3" xfId="36275"/>
    <cellStyle name="Heading 2 2 2 7 3 4 5" xfId="36276"/>
    <cellStyle name="Heading 2 2 2 7 3 4 5 2" xfId="36277"/>
    <cellStyle name="Heading 2 2 2 7 3 4 5 2 2" xfId="36278"/>
    <cellStyle name="Heading 2 2 2 7 3 4 5 3" xfId="36279"/>
    <cellStyle name="Heading 2 2 2 7 3 4 6" xfId="36280"/>
    <cellStyle name="Heading 2 2 2 7 3 4 6 2" xfId="36281"/>
    <cellStyle name="Heading 2 2 2 7 3 4 6 2 2" xfId="36282"/>
    <cellStyle name="Heading 2 2 2 7 3 4 6 3" xfId="36283"/>
    <cellStyle name="Heading 2 2 2 7 3 4 7" xfId="36284"/>
    <cellStyle name="Heading 2 2 2 7 3 4 7 2" xfId="36285"/>
    <cellStyle name="Heading 2 2 2 7 3 4 7 2 2" xfId="36286"/>
    <cellStyle name="Heading 2 2 2 7 3 4 7 3" xfId="36287"/>
    <cellStyle name="Heading 2 2 2 7 3 4 8" xfId="36288"/>
    <cellStyle name="Heading 2 2 2 7 3 4 8 2" xfId="36289"/>
    <cellStyle name="Heading 2 2 2 7 3 4 9" xfId="36290"/>
    <cellStyle name="Heading 2 2 2 7 3 5" xfId="36291"/>
    <cellStyle name="Heading 2 2 2 7 3 5 2" xfId="36292"/>
    <cellStyle name="Heading 2 2 2 7 3 5 2 2" xfId="36293"/>
    <cellStyle name="Heading 2 2 2 7 3 5 2 2 2" xfId="36294"/>
    <cellStyle name="Heading 2 2 2 7 3 5 2 3" xfId="36295"/>
    <cellStyle name="Heading 2 2 2 7 3 5 3" xfId="36296"/>
    <cellStyle name="Heading 2 2 2 7 3 5 3 2" xfId="36297"/>
    <cellStyle name="Heading 2 2 2 7 3 5 3 2 2" xfId="36298"/>
    <cellStyle name="Heading 2 2 2 7 3 5 3 3" xfId="36299"/>
    <cellStyle name="Heading 2 2 2 7 3 5 4" xfId="36300"/>
    <cellStyle name="Heading 2 2 2 7 3 5 4 2" xfId="36301"/>
    <cellStyle name="Heading 2 2 2 7 3 5 4 2 2" xfId="36302"/>
    <cellStyle name="Heading 2 2 2 7 3 5 4 3" xfId="36303"/>
    <cellStyle name="Heading 2 2 2 7 3 5 5" xfId="36304"/>
    <cellStyle name="Heading 2 2 2 7 3 5 5 2" xfId="36305"/>
    <cellStyle name="Heading 2 2 2 7 3 5 5 2 2" xfId="36306"/>
    <cellStyle name="Heading 2 2 2 7 3 5 5 3" xfId="36307"/>
    <cellStyle name="Heading 2 2 2 7 3 5 6" xfId="36308"/>
    <cellStyle name="Heading 2 2 2 7 3 5 6 2" xfId="36309"/>
    <cellStyle name="Heading 2 2 2 7 3 5 6 2 2" xfId="36310"/>
    <cellStyle name="Heading 2 2 2 7 3 5 6 3" xfId="36311"/>
    <cellStyle name="Heading 2 2 2 7 3 5 7" xfId="36312"/>
    <cellStyle name="Heading 2 2 2 7 3 5 7 2" xfId="36313"/>
    <cellStyle name="Heading 2 2 2 7 3 5 7 2 2" xfId="36314"/>
    <cellStyle name="Heading 2 2 2 7 3 5 7 3" xfId="36315"/>
    <cellStyle name="Heading 2 2 2 7 3 5 8" xfId="36316"/>
    <cellStyle name="Heading 2 2 2 7 3 5 8 2" xfId="36317"/>
    <cellStyle name="Heading 2 2 2 7 3 5 9" xfId="36318"/>
    <cellStyle name="Heading 2 2 2 7 3 6" xfId="36319"/>
    <cellStyle name="Heading 2 2 2 7 3 6 2" xfId="36320"/>
    <cellStyle name="Heading 2 2 2 7 3 6 2 2" xfId="36321"/>
    <cellStyle name="Heading 2 2 2 7 3 6 2 2 2" xfId="36322"/>
    <cellStyle name="Heading 2 2 2 7 3 6 2 3" xfId="36323"/>
    <cellStyle name="Heading 2 2 2 7 3 6 3" xfId="36324"/>
    <cellStyle name="Heading 2 2 2 7 3 6 3 2" xfId="36325"/>
    <cellStyle name="Heading 2 2 2 7 3 6 3 2 2" xfId="36326"/>
    <cellStyle name="Heading 2 2 2 7 3 6 3 3" xfId="36327"/>
    <cellStyle name="Heading 2 2 2 7 3 6 4" xfId="36328"/>
    <cellStyle name="Heading 2 2 2 7 3 6 4 2" xfId="36329"/>
    <cellStyle name="Heading 2 2 2 7 3 6 4 2 2" xfId="36330"/>
    <cellStyle name="Heading 2 2 2 7 3 6 4 3" xfId="36331"/>
    <cellStyle name="Heading 2 2 2 7 3 6 5" xfId="36332"/>
    <cellStyle name="Heading 2 2 2 7 3 6 5 2" xfId="36333"/>
    <cellStyle name="Heading 2 2 2 7 3 6 5 2 2" xfId="36334"/>
    <cellStyle name="Heading 2 2 2 7 3 6 5 3" xfId="36335"/>
    <cellStyle name="Heading 2 2 2 7 3 6 6" xfId="36336"/>
    <cellStyle name="Heading 2 2 2 7 3 6 6 2" xfId="36337"/>
    <cellStyle name="Heading 2 2 2 7 3 6 6 2 2" xfId="36338"/>
    <cellStyle name="Heading 2 2 2 7 3 6 6 3" xfId="36339"/>
    <cellStyle name="Heading 2 2 2 7 3 6 7" xfId="36340"/>
    <cellStyle name="Heading 2 2 2 7 3 6 7 2" xfId="36341"/>
    <cellStyle name="Heading 2 2 2 7 3 6 7 2 2" xfId="36342"/>
    <cellStyle name="Heading 2 2 2 7 3 6 7 3" xfId="36343"/>
    <cellStyle name="Heading 2 2 2 7 3 6 8" xfId="36344"/>
    <cellStyle name="Heading 2 2 2 7 3 6 8 2" xfId="36345"/>
    <cellStyle name="Heading 2 2 2 7 3 6 9" xfId="36346"/>
    <cellStyle name="Heading 2 2 2 7 3 7" xfId="36347"/>
    <cellStyle name="Heading 2 2 2 7 3 7 2" xfId="36348"/>
    <cellStyle name="Heading 2 2 2 7 3 7 2 2" xfId="36349"/>
    <cellStyle name="Heading 2 2 2 7 3 7 2 2 2" xfId="36350"/>
    <cellStyle name="Heading 2 2 2 7 3 7 2 3" xfId="36351"/>
    <cellStyle name="Heading 2 2 2 7 3 7 3" xfId="36352"/>
    <cellStyle name="Heading 2 2 2 7 3 7 3 2" xfId="36353"/>
    <cellStyle name="Heading 2 2 2 7 3 7 3 2 2" xfId="36354"/>
    <cellStyle name="Heading 2 2 2 7 3 7 3 3" xfId="36355"/>
    <cellStyle name="Heading 2 2 2 7 3 7 4" xfId="36356"/>
    <cellStyle name="Heading 2 2 2 7 3 7 4 2" xfId="36357"/>
    <cellStyle name="Heading 2 2 2 7 3 7 4 2 2" xfId="36358"/>
    <cellStyle name="Heading 2 2 2 7 3 7 4 3" xfId="36359"/>
    <cellStyle name="Heading 2 2 2 7 3 7 5" xfId="36360"/>
    <cellStyle name="Heading 2 2 2 7 3 7 5 2" xfId="36361"/>
    <cellStyle name="Heading 2 2 2 7 3 7 5 2 2" xfId="36362"/>
    <cellStyle name="Heading 2 2 2 7 3 7 5 3" xfId="36363"/>
    <cellStyle name="Heading 2 2 2 7 3 7 6" xfId="36364"/>
    <cellStyle name="Heading 2 2 2 7 3 7 6 2" xfId="36365"/>
    <cellStyle name="Heading 2 2 2 7 3 7 6 2 2" xfId="36366"/>
    <cellStyle name="Heading 2 2 2 7 3 7 6 3" xfId="36367"/>
    <cellStyle name="Heading 2 2 2 7 3 7 7" xfId="36368"/>
    <cellStyle name="Heading 2 2 2 7 3 7 7 2" xfId="36369"/>
    <cellStyle name="Heading 2 2 2 7 3 7 7 2 2" xfId="36370"/>
    <cellStyle name="Heading 2 2 2 7 3 7 7 3" xfId="36371"/>
    <cellStyle name="Heading 2 2 2 7 3 7 8" xfId="36372"/>
    <cellStyle name="Heading 2 2 2 7 3 7 8 2" xfId="36373"/>
    <cellStyle name="Heading 2 2 2 7 3 7 9" xfId="36374"/>
    <cellStyle name="Heading 2 2 2 7 3 8" xfId="36375"/>
    <cellStyle name="Heading 2 2 2 7 3 8 2" xfId="36376"/>
    <cellStyle name="Heading 2 2 2 7 3 8 2 2" xfId="36377"/>
    <cellStyle name="Heading 2 2 2 7 3 8 2 2 2" xfId="36378"/>
    <cellStyle name="Heading 2 2 2 7 3 8 2 3" xfId="36379"/>
    <cellStyle name="Heading 2 2 2 7 3 8 3" xfId="36380"/>
    <cellStyle name="Heading 2 2 2 7 3 8 3 2" xfId="36381"/>
    <cellStyle name="Heading 2 2 2 7 3 8 3 2 2" xfId="36382"/>
    <cellStyle name="Heading 2 2 2 7 3 8 3 3" xfId="36383"/>
    <cellStyle name="Heading 2 2 2 7 3 8 4" xfId="36384"/>
    <cellStyle name="Heading 2 2 2 7 3 8 4 2" xfId="36385"/>
    <cellStyle name="Heading 2 2 2 7 3 8 4 2 2" xfId="36386"/>
    <cellStyle name="Heading 2 2 2 7 3 8 4 3" xfId="36387"/>
    <cellStyle name="Heading 2 2 2 7 3 8 5" xfId="36388"/>
    <cellStyle name="Heading 2 2 2 7 3 8 5 2" xfId="36389"/>
    <cellStyle name="Heading 2 2 2 7 3 8 5 2 2" xfId="36390"/>
    <cellStyle name="Heading 2 2 2 7 3 8 5 3" xfId="36391"/>
    <cellStyle name="Heading 2 2 2 7 3 8 6" xfId="36392"/>
    <cellStyle name="Heading 2 2 2 7 3 8 6 2" xfId="36393"/>
    <cellStyle name="Heading 2 2 2 7 3 8 6 2 2" xfId="36394"/>
    <cellStyle name="Heading 2 2 2 7 3 8 6 3" xfId="36395"/>
    <cellStyle name="Heading 2 2 2 7 3 8 7" xfId="36396"/>
    <cellStyle name="Heading 2 2 2 7 3 8 7 2" xfId="36397"/>
    <cellStyle name="Heading 2 2 2 7 3 8 7 2 2" xfId="36398"/>
    <cellStyle name="Heading 2 2 2 7 3 8 7 3" xfId="36399"/>
    <cellStyle name="Heading 2 2 2 7 3 8 8" xfId="36400"/>
    <cellStyle name="Heading 2 2 2 7 3 8 8 2" xfId="36401"/>
    <cellStyle name="Heading 2 2 2 7 3 8 9" xfId="36402"/>
    <cellStyle name="Heading 2 2 2 7 3 9" xfId="36403"/>
    <cellStyle name="Heading 2 2 2 7 3 9 2" xfId="36404"/>
    <cellStyle name="Heading 2 2 2 7 3 9 2 2" xfId="36405"/>
    <cellStyle name="Heading 2 2 2 7 3 9 3" xfId="36406"/>
    <cellStyle name="Heading 2 2 2 7 4" xfId="36407"/>
    <cellStyle name="Heading 2 2 2 7 4 2" xfId="36408"/>
    <cellStyle name="Heading 2 2 2 7 4 2 2" xfId="36409"/>
    <cellStyle name="Heading 2 2 2 7 4 3" xfId="36410"/>
    <cellStyle name="Heading 2 2 2 7 5" xfId="36411"/>
    <cellStyle name="Heading 2 2 2 7 5 2" xfId="36412"/>
    <cellStyle name="Heading 2 2 2 7 6" xfId="36413"/>
    <cellStyle name="Heading 2 2 2 8" xfId="36414"/>
    <cellStyle name="Heading 2 2 2 8 2" xfId="36415"/>
    <cellStyle name="Heading 2 2 2 8 2 10" xfId="36416"/>
    <cellStyle name="Heading 2 2 2 8 2 10 2" xfId="36417"/>
    <cellStyle name="Heading 2 2 2 8 2 10 2 2" xfId="36418"/>
    <cellStyle name="Heading 2 2 2 8 2 10 3" xfId="36419"/>
    <cellStyle name="Heading 2 2 2 8 2 11" xfId="36420"/>
    <cellStyle name="Heading 2 2 2 8 2 11 2" xfId="36421"/>
    <cellStyle name="Heading 2 2 2 8 2 11 2 2" xfId="36422"/>
    <cellStyle name="Heading 2 2 2 8 2 11 3" xfId="36423"/>
    <cellStyle name="Heading 2 2 2 8 2 12" xfId="36424"/>
    <cellStyle name="Heading 2 2 2 8 2 12 2" xfId="36425"/>
    <cellStyle name="Heading 2 2 2 8 2 12 2 2" xfId="36426"/>
    <cellStyle name="Heading 2 2 2 8 2 12 3" xfId="36427"/>
    <cellStyle name="Heading 2 2 2 8 2 13" xfId="36428"/>
    <cellStyle name="Heading 2 2 2 8 2 13 2" xfId="36429"/>
    <cellStyle name="Heading 2 2 2 8 2 13 2 2" xfId="36430"/>
    <cellStyle name="Heading 2 2 2 8 2 13 3" xfId="36431"/>
    <cellStyle name="Heading 2 2 2 8 2 14" xfId="36432"/>
    <cellStyle name="Heading 2 2 2 8 2 14 2" xfId="36433"/>
    <cellStyle name="Heading 2 2 2 8 2 14 2 2" xfId="36434"/>
    <cellStyle name="Heading 2 2 2 8 2 14 3" xfId="36435"/>
    <cellStyle name="Heading 2 2 2 8 2 15" xfId="36436"/>
    <cellStyle name="Heading 2 2 2 8 2 15 2" xfId="36437"/>
    <cellStyle name="Heading 2 2 2 8 2 15 2 2" xfId="36438"/>
    <cellStyle name="Heading 2 2 2 8 2 15 3" xfId="36439"/>
    <cellStyle name="Heading 2 2 2 8 2 16" xfId="36440"/>
    <cellStyle name="Heading 2 2 2 8 2 16 2" xfId="36441"/>
    <cellStyle name="Heading 2 2 2 8 2 16 2 2" xfId="36442"/>
    <cellStyle name="Heading 2 2 2 8 2 16 3" xfId="36443"/>
    <cellStyle name="Heading 2 2 2 8 2 17" xfId="36444"/>
    <cellStyle name="Heading 2 2 2 8 2 17 2" xfId="36445"/>
    <cellStyle name="Heading 2 2 2 8 2 17 2 2" xfId="36446"/>
    <cellStyle name="Heading 2 2 2 8 2 17 3" xfId="36447"/>
    <cellStyle name="Heading 2 2 2 8 2 18" xfId="36448"/>
    <cellStyle name="Heading 2 2 2 8 2 18 2" xfId="36449"/>
    <cellStyle name="Heading 2 2 2 8 2 18 2 2" xfId="36450"/>
    <cellStyle name="Heading 2 2 2 8 2 18 3" xfId="36451"/>
    <cellStyle name="Heading 2 2 2 8 2 19" xfId="36452"/>
    <cellStyle name="Heading 2 2 2 8 2 19 2" xfId="36453"/>
    <cellStyle name="Heading 2 2 2 8 2 19 2 2" xfId="36454"/>
    <cellStyle name="Heading 2 2 2 8 2 19 3" xfId="36455"/>
    <cellStyle name="Heading 2 2 2 8 2 2" xfId="36456"/>
    <cellStyle name="Heading 2 2 2 8 2 2 10" xfId="36457"/>
    <cellStyle name="Heading 2 2 2 8 2 2 10 2" xfId="36458"/>
    <cellStyle name="Heading 2 2 2 8 2 2 10 2 2" xfId="36459"/>
    <cellStyle name="Heading 2 2 2 8 2 2 10 3" xfId="36460"/>
    <cellStyle name="Heading 2 2 2 8 2 2 11" xfId="36461"/>
    <cellStyle name="Heading 2 2 2 8 2 2 11 2" xfId="36462"/>
    <cellStyle name="Heading 2 2 2 8 2 2 11 2 2" xfId="36463"/>
    <cellStyle name="Heading 2 2 2 8 2 2 11 3" xfId="36464"/>
    <cellStyle name="Heading 2 2 2 8 2 2 12" xfId="36465"/>
    <cellStyle name="Heading 2 2 2 8 2 2 12 2" xfId="36466"/>
    <cellStyle name="Heading 2 2 2 8 2 2 12 2 2" xfId="36467"/>
    <cellStyle name="Heading 2 2 2 8 2 2 12 3" xfId="36468"/>
    <cellStyle name="Heading 2 2 2 8 2 2 13" xfId="36469"/>
    <cellStyle name="Heading 2 2 2 8 2 2 13 2" xfId="36470"/>
    <cellStyle name="Heading 2 2 2 8 2 2 13 2 2" xfId="36471"/>
    <cellStyle name="Heading 2 2 2 8 2 2 13 3" xfId="36472"/>
    <cellStyle name="Heading 2 2 2 8 2 2 14" xfId="36473"/>
    <cellStyle name="Heading 2 2 2 8 2 2 14 2" xfId="36474"/>
    <cellStyle name="Heading 2 2 2 8 2 2 14 2 2" xfId="36475"/>
    <cellStyle name="Heading 2 2 2 8 2 2 14 3" xfId="36476"/>
    <cellStyle name="Heading 2 2 2 8 2 2 15" xfId="36477"/>
    <cellStyle name="Heading 2 2 2 8 2 2 15 2" xfId="36478"/>
    <cellStyle name="Heading 2 2 2 8 2 2 15 2 2" xfId="36479"/>
    <cellStyle name="Heading 2 2 2 8 2 2 15 3" xfId="36480"/>
    <cellStyle name="Heading 2 2 2 8 2 2 16" xfId="36481"/>
    <cellStyle name="Heading 2 2 2 8 2 2 16 2" xfId="36482"/>
    <cellStyle name="Heading 2 2 2 8 2 2 16 2 2" xfId="36483"/>
    <cellStyle name="Heading 2 2 2 8 2 2 16 3" xfId="36484"/>
    <cellStyle name="Heading 2 2 2 8 2 2 17" xfId="36485"/>
    <cellStyle name="Heading 2 2 2 8 2 2 17 2" xfId="36486"/>
    <cellStyle name="Heading 2 2 2 8 2 2 17 2 2" xfId="36487"/>
    <cellStyle name="Heading 2 2 2 8 2 2 17 3" xfId="36488"/>
    <cellStyle name="Heading 2 2 2 8 2 2 18" xfId="36489"/>
    <cellStyle name="Heading 2 2 2 8 2 2 18 2" xfId="36490"/>
    <cellStyle name="Heading 2 2 2 8 2 2 18 2 2" xfId="36491"/>
    <cellStyle name="Heading 2 2 2 8 2 2 18 3" xfId="36492"/>
    <cellStyle name="Heading 2 2 2 8 2 2 19" xfId="36493"/>
    <cellStyle name="Heading 2 2 2 8 2 2 19 2" xfId="36494"/>
    <cellStyle name="Heading 2 2 2 8 2 2 2" xfId="36495"/>
    <cellStyle name="Heading 2 2 2 8 2 2 2 2" xfId="36496"/>
    <cellStyle name="Heading 2 2 2 8 2 2 2 2 2" xfId="36497"/>
    <cellStyle name="Heading 2 2 2 8 2 2 2 2 2 2" xfId="36498"/>
    <cellStyle name="Heading 2 2 2 8 2 2 2 2 3" xfId="36499"/>
    <cellStyle name="Heading 2 2 2 8 2 2 2 3" xfId="36500"/>
    <cellStyle name="Heading 2 2 2 8 2 2 2 3 2" xfId="36501"/>
    <cellStyle name="Heading 2 2 2 8 2 2 2 3 2 2" xfId="36502"/>
    <cellStyle name="Heading 2 2 2 8 2 2 2 3 3" xfId="36503"/>
    <cellStyle name="Heading 2 2 2 8 2 2 2 4" xfId="36504"/>
    <cellStyle name="Heading 2 2 2 8 2 2 2 4 2" xfId="36505"/>
    <cellStyle name="Heading 2 2 2 8 2 2 2 4 2 2" xfId="36506"/>
    <cellStyle name="Heading 2 2 2 8 2 2 2 4 3" xfId="36507"/>
    <cellStyle name="Heading 2 2 2 8 2 2 2 5" xfId="36508"/>
    <cellStyle name="Heading 2 2 2 8 2 2 2 5 2" xfId="36509"/>
    <cellStyle name="Heading 2 2 2 8 2 2 2 5 2 2" xfId="36510"/>
    <cellStyle name="Heading 2 2 2 8 2 2 2 5 3" xfId="36511"/>
    <cellStyle name="Heading 2 2 2 8 2 2 2 6" xfId="36512"/>
    <cellStyle name="Heading 2 2 2 8 2 2 2 6 2" xfId="36513"/>
    <cellStyle name="Heading 2 2 2 8 2 2 2 6 2 2" xfId="36514"/>
    <cellStyle name="Heading 2 2 2 8 2 2 2 6 3" xfId="36515"/>
    <cellStyle name="Heading 2 2 2 8 2 2 2 7" xfId="36516"/>
    <cellStyle name="Heading 2 2 2 8 2 2 2 7 2" xfId="36517"/>
    <cellStyle name="Heading 2 2 2 8 2 2 2 7 2 2" xfId="36518"/>
    <cellStyle name="Heading 2 2 2 8 2 2 2 7 3" xfId="36519"/>
    <cellStyle name="Heading 2 2 2 8 2 2 2 8" xfId="36520"/>
    <cellStyle name="Heading 2 2 2 8 2 2 2 8 2" xfId="36521"/>
    <cellStyle name="Heading 2 2 2 8 2 2 2 9" xfId="36522"/>
    <cellStyle name="Heading 2 2 2 8 2 2 20" xfId="36523"/>
    <cellStyle name="Heading 2 2 2 8 2 2 20 2" xfId="36524"/>
    <cellStyle name="Heading 2 2 2 8 2 2 21" xfId="36525"/>
    <cellStyle name="Heading 2 2 2 8 2 2 21 2" xfId="36526"/>
    <cellStyle name="Heading 2 2 2 8 2 2 22" xfId="36527"/>
    <cellStyle name="Heading 2 2 2 8 2 2 3" xfId="36528"/>
    <cellStyle name="Heading 2 2 2 8 2 2 3 2" xfId="36529"/>
    <cellStyle name="Heading 2 2 2 8 2 2 3 2 2" xfId="36530"/>
    <cellStyle name="Heading 2 2 2 8 2 2 3 2 2 2" xfId="36531"/>
    <cellStyle name="Heading 2 2 2 8 2 2 3 2 3" xfId="36532"/>
    <cellStyle name="Heading 2 2 2 8 2 2 3 3" xfId="36533"/>
    <cellStyle name="Heading 2 2 2 8 2 2 3 3 2" xfId="36534"/>
    <cellStyle name="Heading 2 2 2 8 2 2 3 3 2 2" xfId="36535"/>
    <cellStyle name="Heading 2 2 2 8 2 2 3 3 3" xfId="36536"/>
    <cellStyle name="Heading 2 2 2 8 2 2 3 4" xfId="36537"/>
    <cellStyle name="Heading 2 2 2 8 2 2 3 4 2" xfId="36538"/>
    <cellStyle name="Heading 2 2 2 8 2 2 3 4 2 2" xfId="36539"/>
    <cellStyle name="Heading 2 2 2 8 2 2 3 4 3" xfId="36540"/>
    <cellStyle name="Heading 2 2 2 8 2 2 3 5" xfId="36541"/>
    <cellStyle name="Heading 2 2 2 8 2 2 3 5 2" xfId="36542"/>
    <cellStyle name="Heading 2 2 2 8 2 2 3 5 2 2" xfId="36543"/>
    <cellStyle name="Heading 2 2 2 8 2 2 3 5 3" xfId="36544"/>
    <cellStyle name="Heading 2 2 2 8 2 2 3 6" xfId="36545"/>
    <cellStyle name="Heading 2 2 2 8 2 2 3 6 2" xfId="36546"/>
    <cellStyle name="Heading 2 2 2 8 2 2 3 6 2 2" xfId="36547"/>
    <cellStyle name="Heading 2 2 2 8 2 2 3 6 3" xfId="36548"/>
    <cellStyle name="Heading 2 2 2 8 2 2 3 7" xfId="36549"/>
    <cellStyle name="Heading 2 2 2 8 2 2 3 7 2" xfId="36550"/>
    <cellStyle name="Heading 2 2 2 8 2 2 3 7 2 2" xfId="36551"/>
    <cellStyle name="Heading 2 2 2 8 2 2 3 7 3" xfId="36552"/>
    <cellStyle name="Heading 2 2 2 8 2 2 3 8" xfId="36553"/>
    <cellStyle name="Heading 2 2 2 8 2 2 3 8 2" xfId="36554"/>
    <cellStyle name="Heading 2 2 2 8 2 2 3 9" xfId="36555"/>
    <cellStyle name="Heading 2 2 2 8 2 2 4" xfId="36556"/>
    <cellStyle name="Heading 2 2 2 8 2 2 4 2" xfId="36557"/>
    <cellStyle name="Heading 2 2 2 8 2 2 4 2 2" xfId="36558"/>
    <cellStyle name="Heading 2 2 2 8 2 2 4 2 2 2" xfId="36559"/>
    <cellStyle name="Heading 2 2 2 8 2 2 4 2 3" xfId="36560"/>
    <cellStyle name="Heading 2 2 2 8 2 2 4 3" xfId="36561"/>
    <cellStyle name="Heading 2 2 2 8 2 2 4 3 2" xfId="36562"/>
    <cellStyle name="Heading 2 2 2 8 2 2 4 3 2 2" xfId="36563"/>
    <cellStyle name="Heading 2 2 2 8 2 2 4 3 3" xfId="36564"/>
    <cellStyle name="Heading 2 2 2 8 2 2 4 4" xfId="36565"/>
    <cellStyle name="Heading 2 2 2 8 2 2 4 4 2" xfId="36566"/>
    <cellStyle name="Heading 2 2 2 8 2 2 4 4 2 2" xfId="36567"/>
    <cellStyle name="Heading 2 2 2 8 2 2 4 4 3" xfId="36568"/>
    <cellStyle name="Heading 2 2 2 8 2 2 4 5" xfId="36569"/>
    <cellStyle name="Heading 2 2 2 8 2 2 4 5 2" xfId="36570"/>
    <cellStyle name="Heading 2 2 2 8 2 2 4 5 2 2" xfId="36571"/>
    <cellStyle name="Heading 2 2 2 8 2 2 4 5 3" xfId="36572"/>
    <cellStyle name="Heading 2 2 2 8 2 2 4 6" xfId="36573"/>
    <cellStyle name="Heading 2 2 2 8 2 2 4 6 2" xfId="36574"/>
    <cellStyle name="Heading 2 2 2 8 2 2 4 6 2 2" xfId="36575"/>
    <cellStyle name="Heading 2 2 2 8 2 2 4 6 3" xfId="36576"/>
    <cellStyle name="Heading 2 2 2 8 2 2 4 7" xfId="36577"/>
    <cellStyle name="Heading 2 2 2 8 2 2 4 7 2" xfId="36578"/>
    <cellStyle name="Heading 2 2 2 8 2 2 4 7 2 2" xfId="36579"/>
    <cellStyle name="Heading 2 2 2 8 2 2 4 7 3" xfId="36580"/>
    <cellStyle name="Heading 2 2 2 8 2 2 4 8" xfId="36581"/>
    <cellStyle name="Heading 2 2 2 8 2 2 4 8 2" xfId="36582"/>
    <cellStyle name="Heading 2 2 2 8 2 2 4 9" xfId="36583"/>
    <cellStyle name="Heading 2 2 2 8 2 2 5" xfId="36584"/>
    <cellStyle name="Heading 2 2 2 8 2 2 5 2" xfId="36585"/>
    <cellStyle name="Heading 2 2 2 8 2 2 5 2 2" xfId="36586"/>
    <cellStyle name="Heading 2 2 2 8 2 2 5 2 2 2" xfId="36587"/>
    <cellStyle name="Heading 2 2 2 8 2 2 5 2 3" xfId="36588"/>
    <cellStyle name="Heading 2 2 2 8 2 2 5 3" xfId="36589"/>
    <cellStyle name="Heading 2 2 2 8 2 2 5 3 2" xfId="36590"/>
    <cellStyle name="Heading 2 2 2 8 2 2 5 3 2 2" xfId="36591"/>
    <cellStyle name="Heading 2 2 2 8 2 2 5 3 3" xfId="36592"/>
    <cellStyle name="Heading 2 2 2 8 2 2 5 4" xfId="36593"/>
    <cellStyle name="Heading 2 2 2 8 2 2 5 4 2" xfId="36594"/>
    <cellStyle name="Heading 2 2 2 8 2 2 5 4 2 2" xfId="36595"/>
    <cellStyle name="Heading 2 2 2 8 2 2 5 4 3" xfId="36596"/>
    <cellStyle name="Heading 2 2 2 8 2 2 5 5" xfId="36597"/>
    <cellStyle name="Heading 2 2 2 8 2 2 5 5 2" xfId="36598"/>
    <cellStyle name="Heading 2 2 2 8 2 2 5 5 2 2" xfId="36599"/>
    <cellStyle name="Heading 2 2 2 8 2 2 5 5 3" xfId="36600"/>
    <cellStyle name="Heading 2 2 2 8 2 2 5 6" xfId="36601"/>
    <cellStyle name="Heading 2 2 2 8 2 2 5 6 2" xfId="36602"/>
    <cellStyle name="Heading 2 2 2 8 2 2 5 6 2 2" xfId="36603"/>
    <cellStyle name="Heading 2 2 2 8 2 2 5 6 3" xfId="36604"/>
    <cellStyle name="Heading 2 2 2 8 2 2 5 7" xfId="36605"/>
    <cellStyle name="Heading 2 2 2 8 2 2 5 7 2" xfId="36606"/>
    <cellStyle name="Heading 2 2 2 8 2 2 5 7 2 2" xfId="36607"/>
    <cellStyle name="Heading 2 2 2 8 2 2 5 7 3" xfId="36608"/>
    <cellStyle name="Heading 2 2 2 8 2 2 5 8" xfId="36609"/>
    <cellStyle name="Heading 2 2 2 8 2 2 5 8 2" xfId="36610"/>
    <cellStyle name="Heading 2 2 2 8 2 2 5 9" xfId="36611"/>
    <cellStyle name="Heading 2 2 2 8 2 2 6" xfId="36612"/>
    <cellStyle name="Heading 2 2 2 8 2 2 6 2" xfId="36613"/>
    <cellStyle name="Heading 2 2 2 8 2 2 6 2 2" xfId="36614"/>
    <cellStyle name="Heading 2 2 2 8 2 2 6 2 2 2" xfId="36615"/>
    <cellStyle name="Heading 2 2 2 8 2 2 6 2 3" xfId="36616"/>
    <cellStyle name="Heading 2 2 2 8 2 2 6 3" xfId="36617"/>
    <cellStyle name="Heading 2 2 2 8 2 2 6 3 2" xfId="36618"/>
    <cellStyle name="Heading 2 2 2 8 2 2 6 3 2 2" xfId="36619"/>
    <cellStyle name="Heading 2 2 2 8 2 2 6 3 3" xfId="36620"/>
    <cellStyle name="Heading 2 2 2 8 2 2 6 4" xfId="36621"/>
    <cellStyle name="Heading 2 2 2 8 2 2 6 4 2" xfId="36622"/>
    <cellStyle name="Heading 2 2 2 8 2 2 6 4 2 2" xfId="36623"/>
    <cellStyle name="Heading 2 2 2 8 2 2 6 4 3" xfId="36624"/>
    <cellStyle name="Heading 2 2 2 8 2 2 6 5" xfId="36625"/>
    <cellStyle name="Heading 2 2 2 8 2 2 6 5 2" xfId="36626"/>
    <cellStyle name="Heading 2 2 2 8 2 2 6 5 2 2" xfId="36627"/>
    <cellStyle name="Heading 2 2 2 8 2 2 6 5 3" xfId="36628"/>
    <cellStyle name="Heading 2 2 2 8 2 2 6 6" xfId="36629"/>
    <cellStyle name="Heading 2 2 2 8 2 2 6 6 2" xfId="36630"/>
    <cellStyle name="Heading 2 2 2 8 2 2 6 6 2 2" xfId="36631"/>
    <cellStyle name="Heading 2 2 2 8 2 2 6 6 3" xfId="36632"/>
    <cellStyle name="Heading 2 2 2 8 2 2 6 7" xfId="36633"/>
    <cellStyle name="Heading 2 2 2 8 2 2 6 7 2" xfId="36634"/>
    <cellStyle name="Heading 2 2 2 8 2 2 6 7 2 2" xfId="36635"/>
    <cellStyle name="Heading 2 2 2 8 2 2 6 7 3" xfId="36636"/>
    <cellStyle name="Heading 2 2 2 8 2 2 6 8" xfId="36637"/>
    <cellStyle name="Heading 2 2 2 8 2 2 6 8 2" xfId="36638"/>
    <cellStyle name="Heading 2 2 2 8 2 2 6 9" xfId="36639"/>
    <cellStyle name="Heading 2 2 2 8 2 2 7" xfId="36640"/>
    <cellStyle name="Heading 2 2 2 8 2 2 7 2" xfId="36641"/>
    <cellStyle name="Heading 2 2 2 8 2 2 7 2 2" xfId="36642"/>
    <cellStyle name="Heading 2 2 2 8 2 2 7 2 2 2" xfId="36643"/>
    <cellStyle name="Heading 2 2 2 8 2 2 7 2 3" xfId="36644"/>
    <cellStyle name="Heading 2 2 2 8 2 2 7 3" xfId="36645"/>
    <cellStyle name="Heading 2 2 2 8 2 2 7 3 2" xfId="36646"/>
    <cellStyle name="Heading 2 2 2 8 2 2 7 3 2 2" xfId="36647"/>
    <cellStyle name="Heading 2 2 2 8 2 2 7 3 3" xfId="36648"/>
    <cellStyle name="Heading 2 2 2 8 2 2 7 4" xfId="36649"/>
    <cellStyle name="Heading 2 2 2 8 2 2 7 4 2" xfId="36650"/>
    <cellStyle name="Heading 2 2 2 8 2 2 7 4 2 2" xfId="36651"/>
    <cellStyle name="Heading 2 2 2 8 2 2 7 4 3" xfId="36652"/>
    <cellStyle name="Heading 2 2 2 8 2 2 7 5" xfId="36653"/>
    <cellStyle name="Heading 2 2 2 8 2 2 7 5 2" xfId="36654"/>
    <cellStyle name="Heading 2 2 2 8 2 2 7 5 2 2" xfId="36655"/>
    <cellStyle name="Heading 2 2 2 8 2 2 7 5 3" xfId="36656"/>
    <cellStyle name="Heading 2 2 2 8 2 2 7 6" xfId="36657"/>
    <cellStyle name="Heading 2 2 2 8 2 2 7 6 2" xfId="36658"/>
    <cellStyle name="Heading 2 2 2 8 2 2 7 6 2 2" xfId="36659"/>
    <cellStyle name="Heading 2 2 2 8 2 2 7 6 3" xfId="36660"/>
    <cellStyle name="Heading 2 2 2 8 2 2 7 7" xfId="36661"/>
    <cellStyle name="Heading 2 2 2 8 2 2 7 7 2" xfId="36662"/>
    <cellStyle name="Heading 2 2 2 8 2 2 7 7 2 2" xfId="36663"/>
    <cellStyle name="Heading 2 2 2 8 2 2 7 7 3" xfId="36664"/>
    <cellStyle name="Heading 2 2 2 8 2 2 7 8" xfId="36665"/>
    <cellStyle name="Heading 2 2 2 8 2 2 7 8 2" xfId="36666"/>
    <cellStyle name="Heading 2 2 2 8 2 2 7 9" xfId="36667"/>
    <cellStyle name="Heading 2 2 2 8 2 2 8" xfId="36668"/>
    <cellStyle name="Heading 2 2 2 8 2 2 8 2" xfId="36669"/>
    <cellStyle name="Heading 2 2 2 8 2 2 8 2 2" xfId="36670"/>
    <cellStyle name="Heading 2 2 2 8 2 2 8 2 2 2" xfId="36671"/>
    <cellStyle name="Heading 2 2 2 8 2 2 8 2 3" xfId="36672"/>
    <cellStyle name="Heading 2 2 2 8 2 2 8 3" xfId="36673"/>
    <cellStyle name="Heading 2 2 2 8 2 2 8 3 2" xfId="36674"/>
    <cellStyle name="Heading 2 2 2 8 2 2 8 3 2 2" xfId="36675"/>
    <cellStyle name="Heading 2 2 2 8 2 2 8 3 3" xfId="36676"/>
    <cellStyle name="Heading 2 2 2 8 2 2 8 4" xfId="36677"/>
    <cellStyle name="Heading 2 2 2 8 2 2 8 4 2" xfId="36678"/>
    <cellStyle name="Heading 2 2 2 8 2 2 8 4 2 2" xfId="36679"/>
    <cellStyle name="Heading 2 2 2 8 2 2 8 4 3" xfId="36680"/>
    <cellStyle name="Heading 2 2 2 8 2 2 8 5" xfId="36681"/>
    <cellStyle name="Heading 2 2 2 8 2 2 8 5 2" xfId="36682"/>
    <cellStyle name="Heading 2 2 2 8 2 2 8 5 2 2" xfId="36683"/>
    <cellStyle name="Heading 2 2 2 8 2 2 8 5 3" xfId="36684"/>
    <cellStyle name="Heading 2 2 2 8 2 2 8 6" xfId="36685"/>
    <cellStyle name="Heading 2 2 2 8 2 2 8 6 2" xfId="36686"/>
    <cellStyle name="Heading 2 2 2 8 2 2 8 6 2 2" xfId="36687"/>
    <cellStyle name="Heading 2 2 2 8 2 2 8 6 3" xfId="36688"/>
    <cellStyle name="Heading 2 2 2 8 2 2 8 7" xfId="36689"/>
    <cellStyle name="Heading 2 2 2 8 2 2 8 7 2" xfId="36690"/>
    <cellStyle name="Heading 2 2 2 8 2 2 8 7 2 2" xfId="36691"/>
    <cellStyle name="Heading 2 2 2 8 2 2 8 7 3" xfId="36692"/>
    <cellStyle name="Heading 2 2 2 8 2 2 8 8" xfId="36693"/>
    <cellStyle name="Heading 2 2 2 8 2 2 8 8 2" xfId="36694"/>
    <cellStyle name="Heading 2 2 2 8 2 2 8 9" xfId="36695"/>
    <cellStyle name="Heading 2 2 2 8 2 2 9" xfId="36696"/>
    <cellStyle name="Heading 2 2 2 8 2 2 9 2" xfId="36697"/>
    <cellStyle name="Heading 2 2 2 8 2 2 9 2 2" xfId="36698"/>
    <cellStyle name="Heading 2 2 2 8 2 2 9 3" xfId="36699"/>
    <cellStyle name="Heading 2 2 2 8 2 20" xfId="36700"/>
    <cellStyle name="Heading 2 2 2 8 2 20 2" xfId="36701"/>
    <cellStyle name="Heading 2 2 2 8 2 21" xfId="36702"/>
    <cellStyle name="Heading 2 2 2 8 2 21 2" xfId="36703"/>
    <cellStyle name="Heading 2 2 2 8 2 22" xfId="36704"/>
    <cellStyle name="Heading 2 2 2 8 2 22 2" xfId="36705"/>
    <cellStyle name="Heading 2 2 2 8 2 23" xfId="36706"/>
    <cellStyle name="Heading 2 2 2 8 2 3" xfId="36707"/>
    <cellStyle name="Heading 2 2 2 8 2 3 2" xfId="36708"/>
    <cellStyle name="Heading 2 2 2 8 2 3 2 2" xfId="36709"/>
    <cellStyle name="Heading 2 2 2 8 2 3 2 2 2" xfId="36710"/>
    <cellStyle name="Heading 2 2 2 8 2 3 2 3" xfId="36711"/>
    <cellStyle name="Heading 2 2 2 8 2 3 3" xfId="36712"/>
    <cellStyle name="Heading 2 2 2 8 2 3 3 2" xfId="36713"/>
    <cellStyle name="Heading 2 2 2 8 2 3 3 2 2" xfId="36714"/>
    <cellStyle name="Heading 2 2 2 8 2 3 3 3" xfId="36715"/>
    <cellStyle name="Heading 2 2 2 8 2 3 4" xfId="36716"/>
    <cellStyle name="Heading 2 2 2 8 2 3 4 2" xfId="36717"/>
    <cellStyle name="Heading 2 2 2 8 2 3 4 2 2" xfId="36718"/>
    <cellStyle name="Heading 2 2 2 8 2 3 4 3" xfId="36719"/>
    <cellStyle name="Heading 2 2 2 8 2 3 5" xfId="36720"/>
    <cellStyle name="Heading 2 2 2 8 2 3 5 2" xfId="36721"/>
    <cellStyle name="Heading 2 2 2 8 2 3 5 2 2" xfId="36722"/>
    <cellStyle name="Heading 2 2 2 8 2 3 5 3" xfId="36723"/>
    <cellStyle name="Heading 2 2 2 8 2 3 6" xfId="36724"/>
    <cellStyle name="Heading 2 2 2 8 2 3 6 2" xfId="36725"/>
    <cellStyle name="Heading 2 2 2 8 2 3 6 2 2" xfId="36726"/>
    <cellStyle name="Heading 2 2 2 8 2 3 6 3" xfId="36727"/>
    <cellStyle name="Heading 2 2 2 8 2 3 7" xfId="36728"/>
    <cellStyle name="Heading 2 2 2 8 2 3 7 2" xfId="36729"/>
    <cellStyle name="Heading 2 2 2 8 2 3 7 2 2" xfId="36730"/>
    <cellStyle name="Heading 2 2 2 8 2 3 7 3" xfId="36731"/>
    <cellStyle name="Heading 2 2 2 8 2 3 8" xfId="36732"/>
    <cellStyle name="Heading 2 2 2 8 2 3 8 2" xfId="36733"/>
    <cellStyle name="Heading 2 2 2 8 2 3 9" xfId="36734"/>
    <cellStyle name="Heading 2 2 2 8 2 4" xfId="36735"/>
    <cellStyle name="Heading 2 2 2 8 2 4 2" xfId="36736"/>
    <cellStyle name="Heading 2 2 2 8 2 4 2 2" xfId="36737"/>
    <cellStyle name="Heading 2 2 2 8 2 4 2 2 2" xfId="36738"/>
    <cellStyle name="Heading 2 2 2 8 2 4 2 3" xfId="36739"/>
    <cellStyle name="Heading 2 2 2 8 2 4 3" xfId="36740"/>
    <cellStyle name="Heading 2 2 2 8 2 4 3 2" xfId="36741"/>
    <cellStyle name="Heading 2 2 2 8 2 4 3 2 2" xfId="36742"/>
    <cellStyle name="Heading 2 2 2 8 2 4 3 3" xfId="36743"/>
    <cellStyle name="Heading 2 2 2 8 2 4 4" xfId="36744"/>
    <cellStyle name="Heading 2 2 2 8 2 4 4 2" xfId="36745"/>
    <cellStyle name="Heading 2 2 2 8 2 4 4 2 2" xfId="36746"/>
    <cellStyle name="Heading 2 2 2 8 2 4 4 3" xfId="36747"/>
    <cellStyle name="Heading 2 2 2 8 2 4 5" xfId="36748"/>
    <cellStyle name="Heading 2 2 2 8 2 4 5 2" xfId="36749"/>
    <cellStyle name="Heading 2 2 2 8 2 4 5 2 2" xfId="36750"/>
    <cellStyle name="Heading 2 2 2 8 2 4 5 3" xfId="36751"/>
    <cellStyle name="Heading 2 2 2 8 2 4 6" xfId="36752"/>
    <cellStyle name="Heading 2 2 2 8 2 4 6 2" xfId="36753"/>
    <cellStyle name="Heading 2 2 2 8 2 4 6 2 2" xfId="36754"/>
    <cellStyle name="Heading 2 2 2 8 2 4 6 3" xfId="36755"/>
    <cellStyle name="Heading 2 2 2 8 2 4 7" xfId="36756"/>
    <cellStyle name="Heading 2 2 2 8 2 4 7 2" xfId="36757"/>
    <cellStyle name="Heading 2 2 2 8 2 4 7 2 2" xfId="36758"/>
    <cellStyle name="Heading 2 2 2 8 2 4 7 3" xfId="36759"/>
    <cellStyle name="Heading 2 2 2 8 2 4 8" xfId="36760"/>
    <cellStyle name="Heading 2 2 2 8 2 4 8 2" xfId="36761"/>
    <cellStyle name="Heading 2 2 2 8 2 4 9" xfId="36762"/>
    <cellStyle name="Heading 2 2 2 8 2 5" xfId="36763"/>
    <cellStyle name="Heading 2 2 2 8 2 5 2" xfId="36764"/>
    <cellStyle name="Heading 2 2 2 8 2 5 2 2" xfId="36765"/>
    <cellStyle name="Heading 2 2 2 8 2 5 2 2 2" xfId="36766"/>
    <cellStyle name="Heading 2 2 2 8 2 5 2 3" xfId="36767"/>
    <cellStyle name="Heading 2 2 2 8 2 5 3" xfId="36768"/>
    <cellStyle name="Heading 2 2 2 8 2 5 3 2" xfId="36769"/>
    <cellStyle name="Heading 2 2 2 8 2 5 3 2 2" xfId="36770"/>
    <cellStyle name="Heading 2 2 2 8 2 5 3 3" xfId="36771"/>
    <cellStyle name="Heading 2 2 2 8 2 5 4" xfId="36772"/>
    <cellStyle name="Heading 2 2 2 8 2 5 4 2" xfId="36773"/>
    <cellStyle name="Heading 2 2 2 8 2 5 4 2 2" xfId="36774"/>
    <cellStyle name="Heading 2 2 2 8 2 5 4 3" xfId="36775"/>
    <cellStyle name="Heading 2 2 2 8 2 5 5" xfId="36776"/>
    <cellStyle name="Heading 2 2 2 8 2 5 5 2" xfId="36777"/>
    <cellStyle name="Heading 2 2 2 8 2 5 5 2 2" xfId="36778"/>
    <cellStyle name="Heading 2 2 2 8 2 5 5 3" xfId="36779"/>
    <cellStyle name="Heading 2 2 2 8 2 5 6" xfId="36780"/>
    <cellStyle name="Heading 2 2 2 8 2 5 6 2" xfId="36781"/>
    <cellStyle name="Heading 2 2 2 8 2 5 6 2 2" xfId="36782"/>
    <cellStyle name="Heading 2 2 2 8 2 5 6 3" xfId="36783"/>
    <cellStyle name="Heading 2 2 2 8 2 5 7" xfId="36784"/>
    <cellStyle name="Heading 2 2 2 8 2 5 7 2" xfId="36785"/>
    <cellStyle name="Heading 2 2 2 8 2 5 7 2 2" xfId="36786"/>
    <cellStyle name="Heading 2 2 2 8 2 5 7 3" xfId="36787"/>
    <cellStyle name="Heading 2 2 2 8 2 5 8" xfId="36788"/>
    <cellStyle name="Heading 2 2 2 8 2 5 8 2" xfId="36789"/>
    <cellStyle name="Heading 2 2 2 8 2 5 9" xfId="36790"/>
    <cellStyle name="Heading 2 2 2 8 2 6" xfId="36791"/>
    <cellStyle name="Heading 2 2 2 8 2 6 2" xfId="36792"/>
    <cellStyle name="Heading 2 2 2 8 2 6 2 2" xfId="36793"/>
    <cellStyle name="Heading 2 2 2 8 2 6 2 2 2" xfId="36794"/>
    <cellStyle name="Heading 2 2 2 8 2 6 2 3" xfId="36795"/>
    <cellStyle name="Heading 2 2 2 8 2 6 3" xfId="36796"/>
    <cellStyle name="Heading 2 2 2 8 2 6 3 2" xfId="36797"/>
    <cellStyle name="Heading 2 2 2 8 2 6 3 2 2" xfId="36798"/>
    <cellStyle name="Heading 2 2 2 8 2 6 3 3" xfId="36799"/>
    <cellStyle name="Heading 2 2 2 8 2 6 4" xfId="36800"/>
    <cellStyle name="Heading 2 2 2 8 2 6 4 2" xfId="36801"/>
    <cellStyle name="Heading 2 2 2 8 2 6 4 2 2" xfId="36802"/>
    <cellStyle name="Heading 2 2 2 8 2 6 4 3" xfId="36803"/>
    <cellStyle name="Heading 2 2 2 8 2 6 5" xfId="36804"/>
    <cellStyle name="Heading 2 2 2 8 2 6 5 2" xfId="36805"/>
    <cellStyle name="Heading 2 2 2 8 2 6 5 2 2" xfId="36806"/>
    <cellStyle name="Heading 2 2 2 8 2 6 5 3" xfId="36807"/>
    <cellStyle name="Heading 2 2 2 8 2 6 6" xfId="36808"/>
    <cellStyle name="Heading 2 2 2 8 2 6 6 2" xfId="36809"/>
    <cellStyle name="Heading 2 2 2 8 2 6 6 2 2" xfId="36810"/>
    <cellStyle name="Heading 2 2 2 8 2 6 6 3" xfId="36811"/>
    <cellStyle name="Heading 2 2 2 8 2 6 7" xfId="36812"/>
    <cellStyle name="Heading 2 2 2 8 2 6 7 2" xfId="36813"/>
    <cellStyle name="Heading 2 2 2 8 2 6 7 2 2" xfId="36814"/>
    <cellStyle name="Heading 2 2 2 8 2 6 7 3" xfId="36815"/>
    <cellStyle name="Heading 2 2 2 8 2 6 8" xfId="36816"/>
    <cellStyle name="Heading 2 2 2 8 2 6 8 2" xfId="36817"/>
    <cellStyle name="Heading 2 2 2 8 2 6 9" xfId="36818"/>
    <cellStyle name="Heading 2 2 2 8 2 7" xfId="36819"/>
    <cellStyle name="Heading 2 2 2 8 2 7 2" xfId="36820"/>
    <cellStyle name="Heading 2 2 2 8 2 7 2 2" xfId="36821"/>
    <cellStyle name="Heading 2 2 2 8 2 7 2 2 2" xfId="36822"/>
    <cellStyle name="Heading 2 2 2 8 2 7 2 3" xfId="36823"/>
    <cellStyle name="Heading 2 2 2 8 2 7 3" xfId="36824"/>
    <cellStyle name="Heading 2 2 2 8 2 7 3 2" xfId="36825"/>
    <cellStyle name="Heading 2 2 2 8 2 7 3 2 2" xfId="36826"/>
    <cellStyle name="Heading 2 2 2 8 2 7 3 3" xfId="36827"/>
    <cellStyle name="Heading 2 2 2 8 2 7 4" xfId="36828"/>
    <cellStyle name="Heading 2 2 2 8 2 7 4 2" xfId="36829"/>
    <cellStyle name="Heading 2 2 2 8 2 7 4 2 2" xfId="36830"/>
    <cellStyle name="Heading 2 2 2 8 2 7 4 3" xfId="36831"/>
    <cellStyle name="Heading 2 2 2 8 2 7 5" xfId="36832"/>
    <cellStyle name="Heading 2 2 2 8 2 7 5 2" xfId="36833"/>
    <cellStyle name="Heading 2 2 2 8 2 7 5 2 2" xfId="36834"/>
    <cellStyle name="Heading 2 2 2 8 2 7 5 3" xfId="36835"/>
    <cellStyle name="Heading 2 2 2 8 2 7 6" xfId="36836"/>
    <cellStyle name="Heading 2 2 2 8 2 7 6 2" xfId="36837"/>
    <cellStyle name="Heading 2 2 2 8 2 7 6 2 2" xfId="36838"/>
    <cellStyle name="Heading 2 2 2 8 2 7 6 3" xfId="36839"/>
    <cellStyle name="Heading 2 2 2 8 2 7 7" xfId="36840"/>
    <cellStyle name="Heading 2 2 2 8 2 7 7 2" xfId="36841"/>
    <cellStyle name="Heading 2 2 2 8 2 7 7 2 2" xfId="36842"/>
    <cellStyle name="Heading 2 2 2 8 2 7 7 3" xfId="36843"/>
    <cellStyle name="Heading 2 2 2 8 2 7 8" xfId="36844"/>
    <cellStyle name="Heading 2 2 2 8 2 7 8 2" xfId="36845"/>
    <cellStyle name="Heading 2 2 2 8 2 7 9" xfId="36846"/>
    <cellStyle name="Heading 2 2 2 8 2 8" xfId="36847"/>
    <cellStyle name="Heading 2 2 2 8 2 8 2" xfId="36848"/>
    <cellStyle name="Heading 2 2 2 8 2 8 2 2" xfId="36849"/>
    <cellStyle name="Heading 2 2 2 8 2 8 2 2 2" xfId="36850"/>
    <cellStyle name="Heading 2 2 2 8 2 8 2 3" xfId="36851"/>
    <cellStyle name="Heading 2 2 2 8 2 8 3" xfId="36852"/>
    <cellStyle name="Heading 2 2 2 8 2 8 3 2" xfId="36853"/>
    <cellStyle name="Heading 2 2 2 8 2 8 3 2 2" xfId="36854"/>
    <cellStyle name="Heading 2 2 2 8 2 8 3 3" xfId="36855"/>
    <cellStyle name="Heading 2 2 2 8 2 8 4" xfId="36856"/>
    <cellStyle name="Heading 2 2 2 8 2 8 4 2" xfId="36857"/>
    <cellStyle name="Heading 2 2 2 8 2 8 4 2 2" xfId="36858"/>
    <cellStyle name="Heading 2 2 2 8 2 8 4 3" xfId="36859"/>
    <cellStyle name="Heading 2 2 2 8 2 8 5" xfId="36860"/>
    <cellStyle name="Heading 2 2 2 8 2 8 5 2" xfId="36861"/>
    <cellStyle name="Heading 2 2 2 8 2 8 5 2 2" xfId="36862"/>
    <cellStyle name="Heading 2 2 2 8 2 8 5 3" xfId="36863"/>
    <cellStyle name="Heading 2 2 2 8 2 8 6" xfId="36864"/>
    <cellStyle name="Heading 2 2 2 8 2 8 6 2" xfId="36865"/>
    <cellStyle name="Heading 2 2 2 8 2 8 6 2 2" xfId="36866"/>
    <cellStyle name="Heading 2 2 2 8 2 8 6 3" xfId="36867"/>
    <cellStyle name="Heading 2 2 2 8 2 8 7" xfId="36868"/>
    <cellStyle name="Heading 2 2 2 8 2 8 7 2" xfId="36869"/>
    <cellStyle name="Heading 2 2 2 8 2 8 7 2 2" xfId="36870"/>
    <cellStyle name="Heading 2 2 2 8 2 8 7 3" xfId="36871"/>
    <cellStyle name="Heading 2 2 2 8 2 8 8" xfId="36872"/>
    <cellStyle name="Heading 2 2 2 8 2 8 8 2" xfId="36873"/>
    <cellStyle name="Heading 2 2 2 8 2 8 9" xfId="36874"/>
    <cellStyle name="Heading 2 2 2 8 2 9" xfId="36875"/>
    <cellStyle name="Heading 2 2 2 8 2 9 2" xfId="36876"/>
    <cellStyle name="Heading 2 2 2 8 2 9 2 2" xfId="36877"/>
    <cellStyle name="Heading 2 2 2 8 2 9 2 2 2" xfId="36878"/>
    <cellStyle name="Heading 2 2 2 8 2 9 2 3" xfId="36879"/>
    <cellStyle name="Heading 2 2 2 8 2 9 3" xfId="36880"/>
    <cellStyle name="Heading 2 2 2 8 2 9 3 2" xfId="36881"/>
    <cellStyle name="Heading 2 2 2 8 2 9 3 2 2" xfId="36882"/>
    <cellStyle name="Heading 2 2 2 8 2 9 3 3" xfId="36883"/>
    <cellStyle name="Heading 2 2 2 8 2 9 4" xfId="36884"/>
    <cellStyle name="Heading 2 2 2 8 2 9 4 2" xfId="36885"/>
    <cellStyle name="Heading 2 2 2 8 2 9 4 2 2" xfId="36886"/>
    <cellStyle name="Heading 2 2 2 8 2 9 4 3" xfId="36887"/>
    <cellStyle name="Heading 2 2 2 8 2 9 5" xfId="36888"/>
    <cellStyle name="Heading 2 2 2 8 2 9 5 2" xfId="36889"/>
    <cellStyle name="Heading 2 2 2 8 2 9 5 2 2" xfId="36890"/>
    <cellStyle name="Heading 2 2 2 8 2 9 5 3" xfId="36891"/>
    <cellStyle name="Heading 2 2 2 8 2 9 6" xfId="36892"/>
    <cellStyle name="Heading 2 2 2 8 2 9 6 2" xfId="36893"/>
    <cellStyle name="Heading 2 2 2 8 2 9 6 2 2" xfId="36894"/>
    <cellStyle name="Heading 2 2 2 8 2 9 6 3" xfId="36895"/>
    <cellStyle name="Heading 2 2 2 8 2 9 7" xfId="36896"/>
    <cellStyle name="Heading 2 2 2 8 2 9 7 2" xfId="36897"/>
    <cellStyle name="Heading 2 2 2 8 2 9 7 2 2" xfId="36898"/>
    <cellStyle name="Heading 2 2 2 8 2 9 7 3" xfId="36899"/>
    <cellStyle name="Heading 2 2 2 8 2 9 8" xfId="36900"/>
    <cellStyle name="Heading 2 2 2 8 2 9 8 2" xfId="36901"/>
    <cellStyle name="Heading 2 2 2 8 2 9 9" xfId="36902"/>
    <cellStyle name="Heading 2 2 2 8 3" xfId="36903"/>
    <cellStyle name="Heading 2 2 2 8 3 10" xfId="36904"/>
    <cellStyle name="Heading 2 2 2 8 3 10 2" xfId="36905"/>
    <cellStyle name="Heading 2 2 2 8 3 10 2 2" xfId="36906"/>
    <cellStyle name="Heading 2 2 2 8 3 10 3" xfId="36907"/>
    <cellStyle name="Heading 2 2 2 8 3 11" xfId="36908"/>
    <cellStyle name="Heading 2 2 2 8 3 11 2" xfId="36909"/>
    <cellStyle name="Heading 2 2 2 8 3 11 2 2" xfId="36910"/>
    <cellStyle name="Heading 2 2 2 8 3 11 3" xfId="36911"/>
    <cellStyle name="Heading 2 2 2 8 3 12" xfId="36912"/>
    <cellStyle name="Heading 2 2 2 8 3 12 2" xfId="36913"/>
    <cellStyle name="Heading 2 2 2 8 3 12 2 2" xfId="36914"/>
    <cellStyle name="Heading 2 2 2 8 3 12 3" xfId="36915"/>
    <cellStyle name="Heading 2 2 2 8 3 13" xfId="36916"/>
    <cellStyle name="Heading 2 2 2 8 3 13 2" xfId="36917"/>
    <cellStyle name="Heading 2 2 2 8 3 13 2 2" xfId="36918"/>
    <cellStyle name="Heading 2 2 2 8 3 13 3" xfId="36919"/>
    <cellStyle name="Heading 2 2 2 8 3 14" xfId="36920"/>
    <cellStyle name="Heading 2 2 2 8 3 14 2" xfId="36921"/>
    <cellStyle name="Heading 2 2 2 8 3 14 2 2" xfId="36922"/>
    <cellStyle name="Heading 2 2 2 8 3 14 3" xfId="36923"/>
    <cellStyle name="Heading 2 2 2 8 3 15" xfId="36924"/>
    <cellStyle name="Heading 2 2 2 8 3 15 2" xfId="36925"/>
    <cellStyle name="Heading 2 2 2 8 3 15 2 2" xfId="36926"/>
    <cellStyle name="Heading 2 2 2 8 3 15 3" xfId="36927"/>
    <cellStyle name="Heading 2 2 2 8 3 16" xfId="36928"/>
    <cellStyle name="Heading 2 2 2 8 3 16 2" xfId="36929"/>
    <cellStyle name="Heading 2 2 2 8 3 16 2 2" xfId="36930"/>
    <cellStyle name="Heading 2 2 2 8 3 16 3" xfId="36931"/>
    <cellStyle name="Heading 2 2 2 8 3 17" xfId="36932"/>
    <cellStyle name="Heading 2 2 2 8 3 17 2" xfId="36933"/>
    <cellStyle name="Heading 2 2 2 8 3 17 2 2" xfId="36934"/>
    <cellStyle name="Heading 2 2 2 8 3 17 3" xfId="36935"/>
    <cellStyle name="Heading 2 2 2 8 3 18" xfId="36936"/>
    <cellStyle name="Heading 2 2 2 8 3 18 2" xfId="36937"/>
    <cellStyle name="Heading 2 2 2 8 3 18 2 2" xfId="36938"/>
    <cellStyle name="Heading 2 2 2 8 3 18 3" xfId="36939"/>
    <cellStyle name="Heading 2 2 2 8 3 19" xfId="36940"/>
    <cellStyle name="Heading 2 2 2 8 3 19 2" xfId="36941"/>
    <cellStyle name="Heading 2 2 2 8 3 2" xfId="36942"/>
    <cellStyle name="Heading 2 2 2 8 3 2 2" xfId="36943"/>
    <cellStyle name="Heading 2 2 2 8 3 2 2 2" xfId="36944"/>
    <cellStyle name="Heading 2 2 2 8 3 2 2 2 2" xfId="36945"/>
    <cellStyle name="Heading 2 2 2 8 3 2 2 3" xfId="36946"/>
    <cellStyle name="Heading 2 2 2 8 3 2 3" xfId="36947"/>
    <cellStyle name="Heading 2 2 2 8 3 2 3 2" xfId="36948"/>
    <cellStyle name="Heading 2 2 2 8 3 2 3 2 2" xfId="36949"/>
    <cellStyle name="Heading 2 2 2 8 3 2 3 3" xfId="36950"/>
    <cellStyle name="Heading 2 2 2 8 3 2 4" xfId="36951"/>
    <cellStyle name="Heading 2 2 2 8 3 2 4 2" xfId="36952"/>
    <cellStyle name="Heading 2 2 2 8 3 2 4 2 2" xfId="36953"/>
    <cellStyle name="Heading 2 2 2 8 3 2 4 3" xfId="36954"/>
    <cellStyle name="Heading 2 2 2 8 3 2 5" xfId="36955"/>
    <cellStyle name="Heading 2 2 2 8 3 2 5 2" xfId="36956"/>
    <cellStyle name="Heading 2 2 2 8 3 2 5 2 2" xfId="36957"/>
    <cellStyle name="Heading 2 2 2 8 3 2 5 3" xfId="36958"/>
    <cellStyle name="Heading 2 2 2 8 3 2 6" xfId="36959"/>
    <cellStyle name="Heading 2 2 2 8 3 2 6 2" xfId="36960"/>
    <cellStyle name="Heading 2 2 2 8 3 2 6 2 2" xfId="36961"/>
    <cellStyle name="Heading 2 2 2 8 3 2 6 3" xfId="36962"/>
    <cellStyle name="Heading 2 2 2 8 3 2 7" xfId="36963"/>
    <cellStyle name="Heading 2 2 2 8 3 2 7 2" xfId="36964"/>
    <cellStyle name="Heading 2 2 2 8 3 2 7 2 2" xfId="36965"/>
    <cellStyle name="Heading 2 2 2 8 3 2 7 3" xfId="36966"/>
    <cellStyle name="Heading 2 2 2 8 3 2 8" xfId="36967"/>
    <cellStyle name="Heading 2 2 2 8 3 2 8 2" xfId="36968"/>
    <cellStyle name="Heading 2 2 2 8 3 2 9" xfId="36969"/>
    <cellStyle name="Heading 2 2 2 8 3 20" xfId="36970"/>
    <cellStyle name="Heading 2 2 2 8 3 20 2" xfId="36971"/>
    <cellStyle name="Heading 2 2 2 8 3 21" xfId="36972"/>
    <cellStyle name="Heading 2 2 2 8 3 21 2" xfId="36973"/>
    <cellStyle name="Heading 2 2 2 8 3 22" xfId="36974"/>
    <cellStyle name="Heading 2 2 2 8 3 3" xfId="36975"/>
    <cellStyle name="Heading 2 2 2 8 3 3 2" xfId="36976"/>
    <cellStyle name="Heading 2 2 2 8 3 3 2 2" xfId="36977"/>
    <cellStyle name="Heading 2 2 2 8 3 3 2 2 2" xfId="36978"/>
    <cellStyle name="Heading 2 2 2 8 3 3 2 3" xfId="36979"/>
    <cellStyle name="Heading 2 2 2 8 3 3 3" xfId="36980"/>
    <cellStyle name="Heading 2 2 2 8 3 3 3 2" xfId="36981"/>
    <cellStyle name="Heading 2 2 2 8 3 3 3 2 2" xfId="36982"/>
    <cellStyle name="Heading 2 2 2 8 3 3 3 3" xfId="36983"/>
    <cellStyle name="Heading 2 2 2 8 3 3 4" xfId="36984"/>
    <cellStyle name="Heading 2 2 2 8 3 3 4 2" xfId="36985"/>
    <cellStyle name="Heading 2 2 2 8 3 3 4 2 2" xfId="36986"/>
    <cellStyle name="Heading 2 2 2 8 3 3 4 3" xfId="36987"/>
    <cellStyle name="Heading 2 2 2 8 3 3 5" xfId="36988"/>
    <cellStyle name="Heading 2 2 2 8 3 3 5 2" xfId="36989"/>
    <cellStyle name="Heading 2 2 2 8 3 3 5 2 2" xfId="36990"/>
    <cellStyle name="Heading 2 2 2 8 3 3 5 3" xfId="36991"/>
    <cellStyle name="Heading 2 2 2 8 3 3 6" xfId="36992"/>
    <cellStyle name="Heading 2 2 2 8 3 3 6 2" xfId="36993"/>
    <cellStyle name="Heading 2 2 2 8 3 3 6 2 2" xfId="36994"/>
    <cellStyle name="Heading 2 2 2 8 3 3 6 3" xfId="36995"/>
    <cellStyle name="Heading 2 2 2 8 3 3 7" xfId="36996"/>
    <cellStyle name="Heading 2 2 2 8 3 3 7 2" xfId="36997"/>
    <cellStyle name="Heading 2 2 2 8 3 3 7 2 2" xfId="36998"/>
    <cellStyle name="Heading 2 2 2 8 3 3 7 3" xfId="36999"/>
    <cellStyle name="Heading 2 2 2 8 3 3 8" xfId="37000"/>
    <cellStyle name="Heading 2 2 2 8 3 3 8 2" xfId="37001"/>
    <cellStyle name="Heading 2 2 2 8 3 3 9" xfId="37002"/>
    <cellStyle name="Heading 2 2 2 8 3 4" xfId="37003"/>
    <cellStyle name="Heading 2 2 2 8 3 4 2" xfId="37004"/>
    <cellStyle name="Heading 2 2 2 8 3 4 2 2" xfId="37005"/>
    <cellStyle name="Heading 2 2 2 8 3 4 2 2 2" xfId="37006"/>
    <cellStyle name="Heading 2 2 2 8 3 4 2 3" xfId="37007"/>
    <cellStyle name="Heading 2 2 2 8 3 4 3" xfId="37008"/>
    <cellStyle name="Heading 2 2 2 8 3 4 3 2" xfId="37009"/>
    <cellStyle name="Heading 2 2 2 8 3 4 3 2 2" xfId="37010"/>
    <cellStyle name="Heading 2 2 2 8 3 4 3 3" xfId="37011"/>
    <cellStyle name="Heading 2 2 2 8 3 4 4" xfId="37012"/>
    <cellStyle name="Heading 2 2 2 8 3 4 4 2" xfId="37013"/>
    <cellStyle name="Heading 2 2 2 8 3 4 4 2 2" xfId="37014"/>
    <cellStyle name="Heading 2 2 2 8 3 4 4 3" xfId="37015"/>
    <cellStyle name="Heading 2 2 2 8 3 4 5" xfId="37016"/>
    <cellStyle name="Heading 2 2 2 8 3 4 5 2" xfId="37017"/>
    <cellStyle name="Heading 2 2 2 8 3 4 5 2 2" xfId="37018"/>
    <cellStyle name="Heading 2 2 2 8 3 4 5 3" xfId="37019"/>
    <cellStyle name="Heading 2 2 2 8 3 4 6" xfId="37020"/>
    <cellStyle name="Heading 2 2 2 8 3 4 6 2" xfId="37021"/>
    <cellStyle name="Heading 2 2 2 8 3 4 6 2 2" xfId="37022"/>
    <cellStyle name="Heading 2 2 2 8 3 4 6 3" xfId="37023"/>
    <cellStyle name="Heading 2 2 2 8 3 4 7" xfId="37024"/>
    <cellStyle name="Heading 2 2 2 8 3 4 7 2" xfId="37025"/>
    <cellStyle name="Heading 2 2 2 8 3 4 7 2 2" xfId="37026"/>
    <cellStyle name="Heading 2 2 2 8 3 4 7 3" xfId="37027"/>
    <cellStyle name="Heading 2 2 2 8 3 4 8" xfId="37028"/>
    <cellStyle name="Heading 2 2 2 8 3 4 8 2" xfId="37029"/>
    <cellStyle name="Heading 2 2 2 8 3 4 9" xfId="37030"/>
    <cellStyle name="Heading 2 2 2 8 3 5" xfId="37031"/>
    <cellStyle name="Heading 2 2 2 8 3 5 2" xfId="37032"/>
    <cellStyle name="Heading 2 2 2 8 3 5 2 2" xfId="37033"/>
    <cellStyle name="Heading 2 2 2 8 3 5 2 2 2" xfId="37034"/>
    <cellStyle name="Heading 2 2 2 8 3 5 2 3" xfId="37035"/>
    <cellStyle name="Heading 2 2 2 8 3 5 3" xfId="37036"/>
    <cellStyle name="Heading 2 2 2 8 3 5 3 2" xfId="37037"/>
    <cellStyle name="Heading 2 2 2 8 3 5 3 2 2" xfId="37038"/>
    <cellStyle name="Heading 2 2 2 8 3 5 3 3" xfId="37039"/>
    <cellStyle name="Heading 2 2 2 8 3 5 4" xfId="37040"/>
    <cellStyle name="Heading 2 2 2 8 3 5 4 2" xfId="37041"/>
    <cellStyle name="Heading 2 2 2 8 3 5 4 2 2" xfId="37042"/>
    <cellStyle name="Heading 2 2 2 8 3 5 4 3" xfId="37043"/>
    <cellStyle name="Heading 2 2 2 8 3 5 5" xfId="37044"/>
    <cellStyle name="Heading 2 2 2 8 3 5 5 2" xfId="37045"/>
    <cellStyle name="Heading 2 2 2 8 3 5 5 2 2" xfId="37046"/>
    <cellStyle name="Heading 2 2 2 8 3 5 5 3" xfId="37047"/>
    <cellStyle name="Heading 2 2 2 8 3 5 6" xfId="37048"/>
    <cellStyle name="Heading 2 2 2 8 3 5 6 2" xfId="37049"/>
    <cellStyle name="Heading 2 2 2 8 3 5 6 2 2" xfId="37050"/>
    <cellStyle name="Heading 2 2 2 8 3 5 6 3" xfId="37051"/>
    <cellStyle name="Heading 2 2 2 8 3 5 7" xfId="37052"/>
    <cellStyle name="Heading 2 2 2 8 3 5 7 2" xfId="37053"/>
    <cellStyle name="Heading 2 2 2 8 3 5 7 2 2" xfId="37054"/>
    <cellStyle name="Heading 2 2 2 8 3 5 7 3" xfId="37055"/>
    <cellStyle name="Heading 2 2 2 8 3 5 8" xfId="37056"/>
    <cellStyle name="Heading 2 2 2 8 3 5 8 2" xfId="37057"/>
    <cellStyle name="Heading 2 2 2 8 3 5 9" xfId="37058"/>
    <cellStyle name="Heading 2 2 2 8 3 6" xfId="37059"/>
    <cellStyle name="Heading 2 2 2 8 3 6 2" xfId="37060"/>
    <cellStyle name="Heading 2 2 2 8 3 6 2 2" xfId="37061"/>
    <cellStyle name="Heading 2 2 2 8 3 6 2 2 2" xfId="37062"/>
    <cellStyle name="Heading 2 2 2 8 3 6 2 3" xfId="37063"/>
    <cellStyle name="Heading 2 2 2 8 3 6 3" xfId="37064"/>
    <cellStyle name="Heading 2 2 2 8 3 6 3 2" xfId="37065"/>
    <cellStyle name="Heading 2 2 2 8 3 6 3 2 2" xfId="37066"/>
    <cellStyle name="Heading 2 2 2 8 3 6 3 3" xfId="37067"/>
    <cellStyle name="Heading 2 2 2 8 3 6 4" xfId="37068"/>
    <cellStyle name="Heading 2 2 2 8 3 6 4 2" xfId="37069"/>
    <cellStyle name="Heading 2 2 2 8 3 6 4 2 2" xfId="37070"/>
    <cellStyle name="Heading 2 2 2 8 3 6 4 3" xfId="37071"/>
    <cellStyle name="Heading 2 2 2 8 3 6 5" xfId="37072"/>
    <cellStyle name="Heading 2 2 2 8 3 6 5 2" xfId="37073"/>
    <cellStyle name="Heading 2 2 2 8 3 6 5 2 2" xfId="37074"/>
    <cellStyle name="Heading 2 2 2 8 3 6 5 3" xfId="37075"/>
    <cellStyle name="Heading 2 2 2 8 3 6 6" xfId="37076"/>
    <cellStyle name="Heading 2 2 2 8 3 6 6 2" xfId="37077"/>
    <cellStyle name="Heading 2 2 2 8 3 6 6 2 2" xfId="37078"/>
    <cellStyle name="Heading 2 2 2 8 3 6 6 3" xfId="37079"/>
    <cellStyle name="Heading 2 2 2 8 3 6 7" xfId="37080"/>
    <cellStyle name="Heading 2 2 2 8 3 6 7 2" xfId="37081"/>
    <cellStyle name="Heading 2 2 2 8 3 6 7 2 2" xfId="37082"/>
    <cellStyle name="Heading 2 2 2 8 3 6 7 3" xfId="37083"/>
    <cellStyle name="Heading 2 2 2 8 3 6 8" xfId="37084"/>
    <cellStyle name="Heading 2 2 2 8 3 6 8 2" xfId="37085"/>
    <cellStyle name="Heading 2 2 2 8 3 6 9" xfId="37086"/>
    <cellStyle name="Heading 2 2 2 8 3 7" xfId="37087"/>
    <cellStyle name="Heading 2 2 2 8 3 7 2" xfId="37088"/>
    <cellStyle name="Heading 2 2 2 8 3 7 2 2" xfId="37089"/>
    <cellStyle name="Heading 2 2 2 8 3 7 2 2 2" xfId="37090"/>
    <cellStyle name="Heading 2 2 2 8 3 7 2 3" xfId="37091"/>
    <cellStyle name="Heading 2 2 2 8 3 7 3" xfId="37092"/>
    <cellStyle name="Heading 2 2 2 8 3 7 3 2" xfId="37093"/>
    <cellStyle name="Heading 2 2 2 8 3 7 3 2 2" xfId="37094"/>
    <cellStyle name="Heading 2 2 2 8 3 7 3 3" xfId="37095"/>
    <cellStyle name="Heading 2 2 2 8 3 7 4" xfId="37096"/>
    <cellStyle name="Heading 2 2 2 8 3 7 4 2" xfId="37097"/>
    <cellStyle name="Heading 2 2 2 8 3 7 4 2 2" xfId="37098"/>
    <cellStyle name="Heading 2 2 2 8 3 7 4 3" xfId="37099"/>
    <cellStyle name="Heading 2 2 2 8 3 7 5" xfId="37100"/>
    <cellStyle name="Heading 2 2 2 8 3 7 5 2" xfId="37101"/>
    <cellStyle name="Heading 2 2 2 8 3 7 5 2 2" xfId="37102"/>
    <cellStyle name="Heading 2 2 2 8 3 7 5 3" xfId="37103"/>
    <cellStyle name="Heading 2 2 2 8 3 7 6" xfId="37104"/>
    <cellStyle name="Heading 2 2 2 8 3 7 6 2" xfId="37105"/>
    <cellStyle name="Heading 2 2 2 8 3 7 6 2 2" xfId="37106"/>
    <cellStyle name="Heading 2 2 2 8 3 7 6 3" xfId="37107"/>
    <cellStyle name="Heading 2 2 2 8 3 7 7" xfId="37108"/>
    <cellStyle name="Heading 2 2 2 8 3 7 7 2" xfId="37109"/>
    <cellStyle name="Heading 2 2 2 8 3 7 7 2 2" xfId="37110"/>
    <cellStyle name="Heading 2 2 2 8 3 7 7 3" xfId="37111"/>
    <cellStyle name="Heading 2 2 2 8 3 7 8" xfId="37112"/>
    <cellStyle name="Heading 2 2 2 8 3 7 8 2" xfId="37113"/>
    <cellStyle name="Heading 2 2 2 8 3 7 9" xfId="37114"/>
    <cellStyle name="Heading 2 2 2 8 3 8" xfId="37115"/>
    <cellStyle name="Heading 2 2 2 8 3 8 2" xfId="37116"/>
    <cellStyle name="Heading 2 2 2 8 3 8 2 2" xfId="37117"/>
    <cellStyle name="Heading 2 2 2 8 3 8 2 2 2" xfId="37118"/>
    <cellStyle name="Heading 2 2 2 8 3 8 2 3" xfId="37119"/>
    <cellStyle name="Heading 2 2 2 8 3 8 3" xfId="37120"/>
    <cellStyle name="Heading 2 2 2 8 3 8 3 2" xfId="37121"/>
    <cellStyle name="Heading 2 2 2 8 3 8 3 2 2" xfId="37122"/>
    <cellStyle name="Heading 2 2 2 8 3 8 3 3" xfId="37123"/>
    <cellStyle name="Heading 2 2 2 8 3 8 4" xfId="37124"/>
    <cellStyle name="Heading 2 2 2 8 3 8 4 2" xfId="37125"/>
    <cellStyle name="Heading 2 2 2 8 3 8 4 2 2" xfId="37126"/>
    <cellStyle name="Heading 2 2 2 8 3 8 4 3" xfId="37127"/>
    <cellStyle name="Heading 2 2 2 8 3 8 5" xfId="37128"/>
    <cellStyle name="Heading 2 2 2 8 3 8 5 2" xfId="37129"/>
    <cellStyle name="Heading 2 2 2 8 3 8 5 2 2" xfId="37130"/>
    <cellStyle name="Heading 2 2 2 8 3 8 5 3" xfId="37131"/>
    <cellStyle name="Heading 2 2 2 8 3 8 6" xfId="37132"/>
    <cellStyle name="Heading 2 2 2 8 3 8 6 2" xfId="37133"/>
    <cellStyle name="Heading 2 2 2 8 3 8 6 2 2" xfId="37134"/>
    <cellStyle name="Heading 2 2 2 8 3 8 6 3" xfId="37135"/>
    <cellStyle name="Heading 2 2 2 8 3 8 7" xfId="37136"/>
    <cellStyle name="Heading 2 2 2 8 3 8 7 2" xfId="37137"/>
    <cellStyle name="Heading 2 2 2 8 3 8 7 2 2" xfId="37138"/>
    <cellStyle name="Heading 2 2 2 8 3 8 7 3" xfId="37139"/>
    <cellStyle name="Heading 2 2 2 8 3 8 8" xfId="37140"/>
    <cellStyle name="Heading 2 2 2 8 3 8 8 2" xfId="37141"/>
    <cellStyle name="Heading 2 2 2 8 3 8 9" xfId="37142"/>
    <cellStyle name="Heading 2 2 2 8 3 9" xfId="37143"/>
    <cellStyle name="Heading 2 2 2 8 3 9 2" xfId="37144"/>
    <cellStyle name="Heading 2 2 2 8 3 9 2 2" xfId="37145"/>
    <cellStyle name="Heading 2 2 2 8 3 9 3" xfId="37146"/>
    <cellStyle name="Heading 2 2 2 8 4" xfId="37147"/>
    <cellStyle name="Heading 2 2 2 8 4 2" xfId="37148"/>
    <cellStyle name="Heading 2 2 2 8 4 2 2" xfId="37149"/>
    <cellStyle name="Heading 2 2 2 8 4 3" xfId="37150"/>
    <cellStyle name="Heading 2 2 2 8 5" xfId="37151"/>
    <cellStyle name="Heading 2 2 2 8 5 2" xfId="37152"/>
    <cellStyle name="Heading 2 2 2 8 6" xfId="37153"/>
    <cellStyle name="Heading 2 2 2 9" xfId="37154"/>
    <cellStyle name="Heading 2 2 2 9 10" xfId="37155"/>
    <cellStyle name="Heading 2 2 2 9 10 2" xfId="37156"/>
    <cellStyle name="Heading 2 2 2 9 10 2 2" xfId="37157"/>
    <cellStyle name="Heading 2 2 2 9 10 3" xfId="37158"/>
    <cellStyle name="Heading 2 2 2 9 11" xfId="37159"/>
    <cellStyle name="Heading 2 2 2 9 11 2" xfId="37160"/>
    <cellStyle name="Heading 2 2 2 9 11 2 2" xfId="37161"/>
    <cellStyle name="Heading 2 2 2 9 11 3" xfId="37162"/>
    <cellStyle name="Heading 2 2 2 9 12" xfId="37163"/>
    <cellStyle name="Heading 2 2 2 9 12 2" xfId="37164"/>
    <cellStyle name="Heading 2 2 2 9 12 2 2" xfId="37165"/>
    <cellStyle name="Heading 2 2 2 9 12 3" xfId="37166"/>
    <cellStyle name="Heading 2 2 2 9 13" xfId="37167"/>
    <cellStyle name="Heading 2 2 2 9 13 2" xfId="37168"/>
    <cellStyle name="Heading 2 2 2 9 13 2 2" xfId="37169"/>
    <cellStyle name="Heading 2 2 2 9 13 3" xfId="37170"/>
    <cellStyle name="Heading 2 2 2 9 14" xfId="37171"/>
    <cellStyle name="Heading 2 2 2 9 14 2" xfId="37172"/>
    <cellStyle name="Heading 2 2 2 9 14 2 2" xfId="37173"/>
    <cellStyle name="Heading 2 2 2 9 14 3" xfId="37174"/>
    <cellStyle name="Heading 2 2 2 9 15" xfId="37175"/>
    <cellStyle name="Heading 2 2 2 9 15 2" xfId="37176"/>
    <cellStyle name="Heading 2 2 2 9 15 2 2" xfId="37177"/>
    <cellStyle name="Heading 2 2 2 9 15 3" xfId="37178"/>
    <cellStyle name="Heading 2 2 2 9 16" xfId="37179"/>
    <cellStyle name="Heading 2 2 2 9 16 2" xfId="37180"/>
    <cellStyle name="Heading 2 2 2 9 16 2 2" xfId="37181"/>
    <cellStyle name="Heading 2 2 2 9 16 3" xfId="37182"/>
    <cellStyle name="Heading 2 2 2 9 17" xfId="37183"/>
    <cellStyle name="Heading 2 2 2 9 17 2" xfId="37184"/>
    <cellStyle name="Heading 2 2 2 9 17 2 2" xfId="37185"/>
    <cellStyle name="Heading 2 2 2 9 17 3" xfId="37186"/>
    <cellStyle name="Heading 2 2 2 9 18" xfId="37187"/>
    <cellStyle name="Heading 2 2 2 9 18 2" xfId="37188"/>
    <cellStyle name="Heading 2 2 2 9 18 2 2" xfId="37189"/>
    <cellStyle name="Heading 2 2 2 9 18 3" xfId="37190"/>
    <cellStyle name="Heading 2 2 2 9 19" xfId="37191"/>
    <cellStyle name="Heading 2 2 2 9 19 2" xfId="37192"/>
    <cellStyle name="Heading 2 2 2 9 19 2 2" xfId="37193"/>
    <cellStyle name="Heading 2 2 2 9 19 3" xfId="37194"/>
    <cellStyle name="Heading 2 2 2 9 2" xfId="37195"/>
    <cellStyle name="Heading 2 2 2 9 2 10" xfId="37196"/>
    <cellStyle name="Heading 2 2 2 9 2 10 2" xfId="37197"/>
    <cellStyle name="Heading 2 2 2 9 2 10 2 2" xfId="37198"/>
    <cellStyle name="Heading 2 2 2 9 2 10 3" xfId="37199"/>
    <cellStyle name="Heading 2 2 2 9 2 11" xfId="37200"/>
    <cellStyle name="Heading 2 2 2 9 2 11 2" xfId="37201"/>
    <cellStyle name="Heading 2 2 2 9 2 11 2 2" xfId="37202"/>
    <cellStyle name="Heading 2 2 2 9 2 11 3" xfId="37203"/>
    <cellStyle name="Heading 2 2 2 9 2 12" xfId="37204"/>
    <cellStyle name="Heading 2 2 2 9 2 12 2" xfId="37205"/>
    <cellStyle name="Heading 2 2 2 9 2 12 2 2" xfId="37206"/>
    <cellStyle name="Heading 2 2 2 9 2 12 3" xfId="37207"/>
    <cellStyle name="Heading 2 2 2 9 2 13" xfId="37208"/>
    <cellStyle name="Heading 2 2 2 9 2 13 2" xfId="37209"/>
    <cellStyle name="Heading 2 2 2 9 2 13 2 2" xfId="37210"/>
    <cellStyle name="Heading 2 2 2 9 2 13 3" xfId="37211"/>
    <cellStyle name="Heading 2 2 2 9 2 14" xfId="37212"/>
    <cellStyle name="Heading 2 2 2 9 2 14 2" xfId="37213"/>
    <cellStyle name="Heading 2 2 2 9 2 14 2 2" xfId="37214"/>
    <cellStyle name="Heading 2 2 2 9 2 14 3" xfId="37215"/>
    <cellStyle name="Heading 2 2 2 9 2 15" xfId="37216"/>
    <cellStyle name="Heading 2 2 2 9 2 15 2" xfId="37217"/>
    <cellStyle name="Heading 2 2 2 9 2 15 2 2" xfId="37218"/>
    <cellStyle name="Heading 2 2 2 9 2 15 3" xfId="37219"/>
    <cellStyle name="Heading 2 2 2 9 2 16" xfId="37220"/>
    <cellStyle name="Heading 2 2 2 9 2 16 2" xfId="37221"/>
    <cellStyle name="Heading 2 2 2 9 2 16 2 2" xfId="37222"/>
    <cellStyle name="Heading 2 2 2 9 2 16 3" xfId="37223"/>
    <cellStyle name="Heading 2 2 2 9 2 17" xfId="37224"/>
    <cellStyle name="Heading 2 2 2 9 2 17 2" xfId="37225"/>
    <cellStyle name="Heading 2 2 2 9 2 17 2 2" xfId="37226"/>
    <cellStyle name="Heading 2 2 2 9 2 17 3" xfId="37227"/>
    <cellStyle name="Heading 2 2 2 9 2 18" xfId="37228"/>
    <cellStyle name="Heading 2 2 2 9 2 18 2" xfId="37229"/>
    <cellStyle name="Heading 2 2 2 9 2 18 2 2" xfId="37230"/>
    <cellStyle name="Heading 2 2 2 9 2 18 3" xfId="37231"/>
    <cellStyle name="Heading 2 2 2 9 2 19" xfId="37232"/>
    <cellStyle name="Heading 2 2 2 9 2 19 2" xfId="37233"/>
    <cellStyle name="Heading 2 2 2 9 2 2" xfId="37234"/>
    <cellStyle name="Heading 2 2 2 9 2 2 2" xfId="37235"/>
    <cellStyle name="Heading 2 2 2 9 2 2 2 2" xfId="37236"/>
    <cellStyle name="Heading 2 2 2 9 2 2 2 2 2" xfId="37237"/>
    <cellStyle name="Heading 2 2 2 9 2 2 2 3" xfId="37238"/>
    <cellStyle name="Heading 2 2 2 9 2 2 3" xfId="37239"/>
    <cellStyle name="Heading 2 2 2 9 2 2 3 2" xfId="37240"/>
    <cellStyle name="Heading 2 2 2 9 2 2 3 2 2" xfId="37241"/>
    <cellStyle name="Heading 2 2 2 9 2 2 3 3" xfId="37242"/>
    <cellStyle name="Heading 2 2 2 9 2 2 4" xfId="37243"/>
    <cellStyle name="Heading 2 2 2 9 2 2 4 2" xfId="37244"/>
    <cellStyle name="Heading 2 2 2 9 2 2 4 2 2" xfId="37245"/>
    <cellStyle name="Heading 2 2 2 9 2 2 4 3" xfId="37246"/>
    <cellStyle name="Heading 2 2 2 9 2 2 5" xfId="37247"/>
    <cellStyle name="Heading 2 2 2 9 2 2 5 2" xfId="37248"/>
    <cellStyle name="Heading 2 2 2 9 2 2 5 2 2" xfId="37249"/>
    <cellStyle name="Heading 2 2 2 9 2 2 5 3" xfId="37250"/>
    <cellStyle name="Heading 2 2 2 9 2 2 6" xfId="37251"/>
    <cellStyle name="Heading 2 2 2 9 2 2 6 2" xfId="37252"/>
    <cellStyle name="Heading 2 2 2 9 2 2 6 2 2" xfId="37253"/>
    <cellStyle name="Heading 2 2 2 9 2 2 6 3" xfId="37254"/>
    <cellStyle name="Heading 2 2 2 9 2 2 7" xfId="37255"/>
    <cellStyle name="Heading 2 2 2 9 2 2 7 2" xfId="37256"/>
    <cellStyle name="Heading 2 2 2 9 2 2 7 2 2" xfId="37257"/>
    <cellStyle name="Heading 2 2 2 9 2 2 7 3" xfId="37258"/>
    <cellStyle name="Heading 2 2 2 9 2 2 8" xfId="37259"/>
    <cellStyle name="Heading 2 2 2 9 2 2 8 2" xfId="37260"/>
    <cellStyle name="Heading 2 2 2 9 2 2 9" xfId="37261"/>
    <cellStyle name="Heading 2 2 2 9 2 20" xfId="37262"/>
    <cellStyle name="Heading 2 2 2 9 2 20 2" xfId="37263"/>
    <cellStyle name="Heading 2 2 2 9 2 21" xfId="37264"/>
    <cellStyle name="Heading 2 2 2 9 2 21 2" xfId="37265"/>
    <cellStyle name="Heading 2 2 2 9 2 22" xfId="37266"/>
    <cellStyle name="Heading 2 2 2 9 2 3" xfId="37267"/>
    <cellStyle name="Heading 2 2 2 9 2 3 2" xfId="37268"/>
    <cellStyle name="Heading 2 2 2 9 2 3 2 2" xfId="37269"/>
    <cellStyle name="Heading 2 2 2 9 2 3 2 2 2" xfId="37270"/>
    <cellStyle name="Heading 2 2 2 9 2 3 2 3" xfId="37271"/>
    <cellStyle name="Heading 2 2 2 9 2 3 3" xfId="37272"/>
    <cellStyle name="Heading 2 2 2 9 2 3 3 2" xfId="37273"/>
    <cellStyle name="Heading 2 2 2 9 2 3 3 2 2" xfId="37274"/>
    <cellStyle name="Heading 2 2 2 9 2 3 3 3" xfId="37275"/>
    <cellStyle name="Heading 2 2 2 9 2 3 4" xfId="37276"/>
    <cellStyle name="Heading 2 2 2 9 2 3 4 2" xfId="37277"/>
    <cellStyle name="Heading 2 2 2 9 2 3 4 2 2" xfId="37278"/>
    <cellStyle name="Heading 2 2 2 9 2 3 4 3" xfId="37279"/>
    <cellStyle name="Heading 2 2 2 9 2 3 5" xfId="37280"/>
    <cellStyle name="Heading 2 2 2 9 2 3 5 2" xfId="37281"/>
    <cellStyle name="Heading 2 2 2 9 2 3 5 2 2" xfId="37282"/>
    <cellStyle name="Heading 2 2 2 9 2 3 5 3" xfId="37283"/>
    <cellStyle name="Heading 2 2 2 9 2 3 6" xfId="37284"/>
    <cellStyle name="Heading 2 2 2 9 2 3 6 2" xfId="37285"/>
    <cellStyle name="Heading 2 2 2 9 2 3 6 2 2" xfId="37286"/>
    <cellStyle name="Heading 2 2 2 9 2 3 6 3" xfId="37287"/>
    <cellStyle name="Heading 2 2 2 9 2 3 7" xfId="37288"/>
    <cellStyle name="Heading 2 2 2 9 2 3 7 2" xfId="37289"/>
    <cellStyle name="Heading 2 2 2 9 2 3 7 2 2" xfId="37290"/>
    <cellStyle name="Heading 2 2 2 9 2 3 7 3" xfId="37291"/>
    <cellStyle name="Heading 2 2 2 9 2 3 8" xfId="37292"/>
    <cellStyle name="Heading 2 2 2 9 2 3 8 2" xfId="37293"/>
    <cellStyle name="Heading 2 2 2 9 2 3 9" xfId="37294"/>
    <cellStyle name="Heading 2 2 2 9 2 4" xfId="37295"/>
    <cellStyle name="Heading 2 2 2 9 2 4 2" xfId="37296"/>
    <cellStyle name="Heading 2 2 2 9 2 4 2 2" xfId="37297"/>
    <cellStyle name="Heading 2 2 2 9 2 4 2 2 2" xfId="37298"/>
    <cellStyle name="Heading 2 2 2 9 2 4 2 3" xfId="37299"/>
    <cellStyle name="Heading 2 2 2 9 2 4 3" xfId="37300"/>
    <cellStyle name="Heading 2 2 2 9 2 4 3 2" xfId="37301"/>
    <cellStyle name="Heading 2 2 2 9 2 4 3 2 2" xfId="37302"/>
    <cellStyle name="Heading 2 2 2 9 2 4 3 3" xfId="37303"/>
    <cellStyle name="Heading 2 2 2 9 2 4 4" xfId="37304"/>
    <cellStyle name="Heading 2 2 2 9 2 4 4 2" xfId="37305"/>
    <cellStyle name="Heading 2 2 2 9 2 4 4 2 2" xfId="37306"/>
    <cellStyle name="Heading 2 2 2 9 2 4 4 3" xfId="37307"/>
    <cellStyle name="Heading 2 2 2 9 2 4 5" xfId="37308"/>
    <cellStyle name="Heading 2 2 2 9 2 4 5 2" xfId="37309"/>
    <cellStyle name="Heading 2 2 2 9 2 4 5 2 2" xfId="37310"/>
    <cellStyle name="Heading 2 2 2 9 2 4 5 3" xfId="37311"/>
    <cellStyle name="Heading 2 2 2 9 2 4 6" xfId="37312"/>
    <cellStyle name="Heading 2 2 2 9 2 4 6 2" xfId="37313"/>
    <cellStyle name="Heading 2 2 2 9 2 4 6 2 2" xfId="37314"/>
    <cellStyle name="Heading 2 2 2 9 2 4 6 3" xfId="37315"/>
    <cellStyle name="Heading 2 2 2 9 2 4 7" xfId="37316"/>
    <cellStyle name="Heading 2 2 2 9 2 4 7 2" xfId="37317"/>
    <cellStyle name="Heading 2 2 2 9 2 4 7 2 2" xfId="37318"/>
    <cellStyle name="Heading 2 2 2 9 2 4 7 3" xfId="37319"/>
    <cellStyle name="Heading 2 2 2 9 2 4 8" xfId="37320"/>
    <cellStyle name="Heading 2 2 2 9 2 4 8 2" xfId="37321"/>
    <cellStyle name="Heading 2 2 2 9 2 4 9" xfId="37322"/>
    <cellStyle name="Heading 2 2 2 9 2 5" xfId="37323"/>
    <cellStyle name="Heading 2 2 2 9 2 5 2" xfId="37324"/>
    <cellStyle name="Heading 2 2 2 9 2 5 2 2" xfId="37325"/>
    <cellStyle name="Heading 2 2 2 9 2 5 2 2 2" xfId="37326"/>
    <cellStyle name="Heading 2 2 2 9 2 5 2 3" xfId="37327"/>
    <cellStyle name="Heading 2 2 2 9 2 5 3" xfId="37328"/>
    <cellStyle name="Heading 2 2 2 9 2 5 3 2" xfId="37329"/>
    <cellStyle name="Heading 2 2 2 9 2 5 3 2 2" xfId="37330"/>
    <cellStyle name="Heading 2 2 2 9 2 5 3 3" xfId="37331"/>
    <cellStyle name="Heading 2 2 2 9 2 5 4" xfId="37332"/>
    <cellStyle name="Heading 2 2 2 9 2 5 4 2" xfId="37333"/>
    <cellStyle name="Heading 2 2 2 9 2 5 4 2 2" xfId="37334"/>
    <cellStyle name="Heading 2 2 2 9 2 5 4 3" xfId="37335"/>
    <cellStyle name="Heading 2 2 2 9 2 5 5" xfId="37336"/>
    <cellStyle name="Heading 2 2 2 9 2 5 5 2" xfId="37337"/>
    <cellStyle name="Heading 2 2 2 9 2 5 5 2 2" xfId="37338"/>
    <cellStyle name="Heading 2 2 2 9 2 5 5 3" xfId="37339"/>
    <cellStyle name="Heading 2 2 2 9 2 5 6" xfId="37340"/>
    <cellStyle name="Heading 2 2 2 9 2 5 6 2" xfId="37341"/>
    <cellStyle name="Heading 2 2 2 9 2 5 6 2 2" xfId="37342"/>
    <cellStyle name="Heading 2 2 2 9 2 5 6 3" xfId="37343"/>
    <cellStyle name="Heading 2 2 2 9 2 5 7" xfId="37344"/>
    <cellStyle name="Heading 2 2 2 9 2 5 7 2" xfId="37345"/>
    <cellStyle name="Heading 2 2 2 9 2 5 7 2 2" xfId="37346"/>
    <cellStyle name="Heading 2 2 2 9 2 5 7 3" xfId="37347"/>
    <cellStyle name="Heading 2 2 2 9 2 5 8" xfId="37348"/>
    <cellStyle name="Heading 2 2 2 9 2 5 8 2" xfId="37349"/>
    <cellStyle name="Heading 2 2 2 9 2 5 9" xfId="37350"/>
    <cellStyle name="Heading 2 2 2 9 2 6" xfId="37351"/>
    <cellStyle name="Heading 2 2 2 9 2 6 2" xfId="37352"/>
    <cellStyle name="Heading 2 2 2 9 2 6 2 2" xfId="37353"/>
    <cellStyle name="Heading 2 2 2 9 2 6 2 2 2" xfId="37354"/>
    <cellStyle name="Heading 2 2 2 9 2 6 2 3" xfId="37355"/>
    <cellStyle name="Heading 2 2 2 9 2 6 3" xfId="37356"/>
    <cellStyle name="Heading 2 2 2 9 2 6 3 2" xfId="37357"/>
    <cellStyle name="Heading 2 2 2 9 2 6 3 2 2" xfId="37358"/>
    <cellStyle name="Heading 2 2 2 9 2 6 3 3" xfId="37359"/>
    <cellStyle name="Heading 2 2 2 9 2 6 4" xfId="37360"/>
    <cellStyle name="Heading 2 2 2 9 2 6 4 2" xfId="37361"/>
    <cellStyle name="Heading 2 2 2 9 2 6 4 2 2" xfId="37362"/>
    <cellStyle name="Heading 2 2 2 9 2 6 4 3" xfId="37363"/>
    <cellStyle name="Heading 2 2 2 9 2 6 5" xfId="37364"/>
    <cellStyle name="Heading 2 2 2 9 2 6 5 2" xfId="37365"/>
    <cellStyle name="Heading 2 2 2 9 2 6 5 2 2" xfId="37366"/>
    <cellStyle name="Heading 2 2 2 9 2 6 5 3" xfId="37367"/>
    <cellStyle name="Heading 2 2 2 9 2 6 6" xfId="37368"/>
    <cellStyle name="Heading 2 2 2 9 2 6 6 2" xfId="37369"/>
    <cellStyle name="Heading 2 2 2 9 2 6 6 2 2" xfId="37370"/>
    <cellStyle name="Heading 2 2 2 9 2 6 6 3" xfId="37371"/>
    <cellStyle name="Heading 2 2 2 9 2 6 7" xfId="37372"/>
    <cellStyle name="Heading 2 2 2 9 2 6 7 2" xfId="37373"/>
    <cellStyle name="Heading 2 2 2 9 2 6 7 2 2" xfId="37374"/>
    <cellStyle name="Heading 2 2 2 9 2 6 7 3" xfId="37375"/>
    <cellStyle name="Heading 2 2 2 9 2 6 8" xfId="37376"/>
    <cellStyle name="Heading 2 2 2 9 2 6 8 2" xfId="37377"/>
    <cellStyle name="Heading 2 2 2 9 2 6 9" xfId="37378"/>
    <cellStyle name="Heading 2 2 2 9 2 7" xfId="37379"/>
    <cellStyle name="Heading 2 2 2 9 2 7 2" xfId="37380"/>
    <cellStyle name="Heading 2 2 2 9 2 7 2 2" xfId="37381"/>
    <cellStyle name="Heading 2 2 2 9 2 7 2 2 2" xfId="37382"/>
    <cellStyle name="Heading 2 2 2 9 2 7 2 3" xfId="37383"/>
    <cellStyle name="Heading 2 2 2 9 2 7 3" xfId="37384"/>
    <cellStyle name="Heading 2 2 2 9 2 7 3 2" xfId="37385"/>
    <cellStyle name="Heading 2 2 2 9 2 7 3 2 2" xfId="37386"/>
    <cellStyle name="Heading 2 2 2 9 2 7 3 3" xfId="37387"/>
    <cellStyle name="Heading 2 2 2 9 2 7 4" xfId="37388"/>
    <cellStyle name="Heading 2 2 2 9 2 7 4 2" xfId="37389"/>
    <cellStyle name="Heading 2 2 2 9 2 7 4 2 2" xfId="37390"/>
    <cellStyle name="Heading 2 2 2 9 2 7 4 3" xfId="37391"/>
    <cellStyle name="Heading 2 2 2 9 2 7 5" xfId="37392"/>
    <cellStyle name="Heading 2 2 2 9 2 7 5 2" xfId="37393"/>
    <cellStyle name="Heading 2 2 2 9 2 7 5 2 2" xfId="37394"/>
    <cellStyle name="Heading 2 2 2 9 2 7 5 3" xfId="37395"/>
    <cellStyle name="Heading 2 2 2 9 2 7 6" xfId="37396"/>
    <cellStyle name="Heading 2 2 2 9 2 7 6 2" xfId="37397"/>
    <cellStyle name="Heading 2 2 2 9 2 7 6 2 2" xfId="37398"/>
    <cellStyle name="Heading 2 2 2 9 2 7 6 3" xfId="37399"/>
    <cellStyle name="Heading 2 2 2 9 2 7 7" xfId="37400"/>
    <cellStyle name="Heading 2 2 2 9 2 7 7 2" xfId="37401"/>
    <cellStyle name="Heading 2 2 2 9 2 7 7 2 2" xfId="37402"/>
    <cellStyle name="Heading 2 2 2 9 2 7 7 3" xfId="37403"/>
    <cellStyle name="Heading 2 2 2 9 2 7 8" xfId="37404"/>
    <cellStyle name="Heading 2 2 2 9 2 7 8 2" xfId="37405"/>
    <cellStyle name="Heading 2 2 2 9 2 7 9" xfId="37406"/>
    <cellStyle name="Heading 2 2 2 9 2 8" xfId="37407"/>
    <cellStyle name="Heading 2 2 2 9 2 8 2" xfId="37408"/>
    <cellStyle name="Heading 2 2 2 9 2 8 2 2" xfId="37409"/>
    <cellStyle name="Heading 2 2 2 9 2 8 2 2 2" xfId="37410"/>
    <cellStyle name="Heading 2 2 2 9 2 8 2 3" xfId="37411"/>
    <cellStyle name="Heading 2 2 2 9 2 8 3" xfId="37412"/>
    <cellStyle name="Heading 2 2 2 9 2 8 3 2" xfId="37413"/>
    <cellStyle name="Heading 2 2 2 9 2 8 3 2 2" xfId="37414"/>
    <cellStyle name="Heading 2 2 2 9 2 8 3 3" xfId="37415"/>
    <cellStyle name="Heading 2 2 2 9 2 8 4" xfId="37416"/>
    <cellStyle name="Heading 2 2 2 9 2 8 4 2" xfId="37417"/>
    <cellStyle name="Heading 2 2 2 9 2 8 4 2 2" xfId="37418"/>
    <cellStyle name="Heading 2 2 2 9 2 8 4 3" xfId="37419"/>
    <cellStyle name="Heading 2 2 2 9 2 8 5" xfId="37420"/>
    <cellStyle name="Heading 2 2 2 9 2 8 5 2" xfId="37421"/>
    <cellStyle name="Heading 2 2 2 9 2 8 5 2 2" xfId="37422"/>
    <cellStyle name="Heading 2 2 2 9 2 8 5 3" xfId="37423"/>
    <cellStyle name="Heading 2 2 2 9 2 8 6" xfId="37424"/>
    <cellStyle name="Heading 2 2 2 9 2 8 6 2" xfId="37425"/>
    <cellStyle name="Heading 2 2 2 9 2 8 6 2 2" xfId="37426"/>
    <cellStyle name="Heading 2 2 2 9 2 8 6 3" xfId="37427"/>
    <cellStyle name="Heading 2 2 2 9 2 8 7" xfId="37428"/>
    <cellStyle name="Heading 2 2 2 9 2 8 7 2" xfId="37429"/>
    <cellStyle name="Heading 2 2 2 9 2 8 7 2 2" xfId="37430"/>
    <cellStyle name="Heading 2 2 2 9 2 8 7 3" xfId="37431"/>
    <cellStyle name="Heading 2 2 2 9 2 8 8" xfId="37432"/>
    <cellStyle name="Heading 2 2 2 9 2 8 8 2" xfId="37433"/>
    <cellStyle name="Heading 2 2 2 9 2 8 9" xfId="37434"/>
    <cellStyle name="Heading 2 2 2 9 2 9" xfId="37435"/>
    <cellStyle name="Heading 2 2 2 9 2 9 2" xfId="37436"/>
    <cellStyle name="Heading 2 2 2 9 2 9 2 2" xfId="37437"/>
    <cellStyle name="Heading 2 2 2 9 2 9 3" xfId="37438"/>
    <cellStyle name="Heading 2 2 2 9 20" xfId="37439"/>
    <cellStyle name="Heading 2 2 2 9 20 2" xfId="37440"/>
    <cellStyle name="Heading 2 2 2 9 21" xfId="37441"/>
    <cellStyle name="Heading 2 2 2 9 21 2" xfId="37442"/>
    <cellStyle name="Heading 2 2 2 9 22" xfId="37443"/>
    <cellStyle name="Heading 2 2 2 9 22 2" xfId="37444"/>
    <cellStyle name="Heading 2 2 2 9 23" xfId="37445"/>
    <cellStyle name="Heading 2 2 2 9 3" xfId="37446"/>
    <cellStyle name="Heading 2 2 2 9 3 2" xfId="37447"/>
    <cellStyle name="Heading 2 2 2 9 3 2 2" xfId="37448"/>
    <cellStyle name="Heading 2 2 2 9 3 2 2 2" xfId="37449"/>
    <cellStyle name="Heading 2 2 2 9 3 2 3" xfId="37450"/>
    <cellStyle name="Heading 2 2 2 9 3 3" xfId="37451"/>
    <cellStyle name="Heading 2 2 2 9 3 3 2" xfId="37452"/>
    <cellStyle name="Heading 2 2 2 9 3 3 2 2" xfId="37453"/>
    <cellStyle name="Heading 2 2 2 9 3 3 3" xfId="37454"/>
    <cellStyle name="Heading 2 2 2 9 3 4" xfId="37455"/>
    <cellStyle name="Heading 2 2 2 9 3 4 2" xfId="37456"/>
    <cellStyle name="Heading 2 2 2 9 3 4 2 2" xfId="37457"/>
    <cellStyle name="Heading 2 2 2 9 3 4 3" xfId="37458"/>
    <cellStyle name="Heading 2 2 2 9 3 5" xfId="37459"/>
    <cellStyle name="Heading 2 2 2 9 3 5 2" xfId="37460"/>
    <cellStyle name="Heading 2 2 2 9 3 5 2 2" xfId="37461"/>
    <cellStyle name="Heading 2 2 2 9 3 5 3" xfId="37462"/>
    <cellStyle name="Heading 2 2 2 9 3 6" xfId="37463"/>
    <cellStyle name="Heading 2 2 2 9 3 6 2" xfId="37464"/>
    <cellStyle name="Heading 2 2 2 9 3 6 2 2" xfId="37465"/>
    <cellStyle name="Heading 2 2 2 9 3 6 3" xfId="37466"/>
    <cellStyle name="Heading 2 2 2 9 3 7" xfId="37467"/>
    <cellStyle name="Heading 2 2 2 9 3 7 2" xfId="37468"/>
    <cellStyle name="Heading 2 2 2 9 3 7 2 2" xfId="37469"/>
    <cellStyle name="Heading 2 2 2 9 3 7 3" xfId="37470"/>
    <cellStyle name="Heading 2 2 2 9 3 8" xfId="37471"/>
    <cellStyle name="Heading 2 2 2 9 3 8 2" xfId="37472"/>
    <cellStyle name="Heading 2 2 2 9 3 9" xfId="37473"/>
    <cellStyle name="Heading 2 2 2 9 4" xfId="37474"/>
    <cellStyle name="Heading 2 2 2 9 4 2" xfId="37475"/>
    <cellStyle name="Heading 2 2 2 9 4 2 2" xfId="37476"/>
    <cellStyle name="Heading 2 2 2 9 4 2 2 2" xfId="37477"/>
    <cellStyle name="Heading 2 2 2 9 4 2 3" xfId="37478"/>
    <cellStyle name="Heading 2 2 2 9 4 3" xfId="37479"/>
    <cellStyle name="Heading 2 2 2 9 4 3 2" xfId="37480"/>
    <cellStyle name="Heading 2 2 2 9 4 3 2 2" xfId="37481"/>
    <cellStyle name="Heading 2 2 2 9 4 3 3" xfId="37482"/>
    <cellStyle name="Heading 2 2 2 9 4 4" xfId="37483"/>
    <cellStyle name="Heading 2 2 2 9 4 4 2" xfId="37484"/>
    <cellStyle name="Heading 2 2 2 9 4 4 2 2" xfId="37485"/>
    <cellStyle name="Heading 2 2 2 9 4 4 3" xfId="37486"/>
    <cellStyle name="Heading 2 2 2 9 4 5" xfId="37487"/>
    <cellStyle name="Heading 2 2 2 9 4 5 2" xfId="37488"/>
    <cellStyle name="Heading 2 2 2 9 4 5 2 2" xfId="37489"/>
    <cellStyle name="Heading 2 2 2 9 4 5 3" xfId="37490"/>
    <cellStyle name="Heading 2 2 2 9 4 6" xfId="37491"/>
    <cellStyle name="Heading 2 2 2 9 4 6 2" xfId="37492"/>
    <cellStyle name="Heading 2 2 2 9 4 6 2 2" xfId="37493"/>
    <cellStyle name="Heading 2 2 2 9 4 6 3" xfId="37494"/>
    <cellStyle name="Heading 2 2 2 9 4 7" xfId="37495"/>
    <cellStyle name="Heading 2 2 2 9 4 7 2" xfId="37496"/>
    <cellStyle name="Heading 2 2 2 9 4 7 2 2" xfId="37497"/>
    <cellStyle name="Heading 2 2 2 9 4 7 3" xfId="37498"/>
    <cellStyle name="Heading 2 2 2 9 4 8" xfId="37499"/>
    <cellStyle name="Heading 2 2 2 9 4 8 2" xfId="37500"/>
    <cellStyle name="Heading 2 2 2 9 4 9" xfId="37501"/>
    <cellStyle name="Heading 2 2 2 9 5" xfId="37502"/>
    <cellStyle name="Heading 2 2 2 9 5 2" xfId="37503"/>
    <cellStyle name="Heading 2 2 2 9 5 2 2" xfId="37504"/>
    <cellStyle name="Heading 2 2 2 9 5 2 2 2" xfId="37505"/>
    <cellStyle name="Heading 2 2 2 9 5 2 3" xfId="37506"/>
    <cellStyle name="Heading 2 2 2 9 5 3" xfId="37507"/>
    <cellStyle name="Heading 2 2 2 9 5 3 2" xfId="37508"/>
    <cellStyle name="Heading 2 2 2 9 5 3 2 2" xfId="37509"/>
    <cellStyle name="Heading 2 2 2 9 5 3 3" xfId="37510"/>
    <cellStyle name="Heading 2 2 2 9 5 4" xfId="37511"/>
    <cellStyle name="Heading 2 2 2 9 5 4 2" xfId="37512"/>
    <cellStyle name="Heading 2 2 2 9 5 4 2 2" xfId="37513"/>
    <cellStyle name="Heading 2 2 2 9 5 4 3" xfId="37514"/>
    <cellStyle name="Heading 2 2 2 9 5 5" xfId="37515"/>
    <cellStyle name="Heading 2 2 2 9 5 5 2" xfId="37516"/>
    <cellStyle name="Heading 2 2 2 9 5 5 2 2" xfId="37517"/>
    <cellStyle name="Heading 2 2 2 9 5 5 3" xfId="37518"/>
    <cellStyle name="Heading 2 2 2 9 5 6" xfId="37519"/>
    <cellStyle name="Heading 2 2 2 9 5 6 2" xfId="37520"/>
    <cellStyle name="Heading 2 2 2 9 5 6 2 2" xfId="37521"/>
    <cellStyle name="Heading 2 2 2 9 5 6 3" xfId="37522"/>
    <cellStyle name="Heading 2 2 2 9 5 7" xfId="37523"/>
    <cellStyle name="Heading 2 2 2 9 5 7 2" xfId="37524"/>
    <cellStyle name="Heading 2 2 2 9 5 7 2 2" xfId="37525"/>
    <cellStyle name="Heading 2 2 2 9 5 7 3" xfId="37526"/>
    <cellStyle name="Heading 2 2 2 9 5 8" xfId="37527"/>
    <cellStyle name="Heading 2 2 2 9 5 8 2" xfId="37528"/>
    <cellStyle name="Heading 2 2 2 9 5 9" xfId="37529"/>
    <cellStyle name="Heading 2 2 2 9 6" xfId="37530"/>
    <cellStyle name="Heading 2 2 2 9 6 2" xfId="37531"/>
    <cellStyle name="Heading 2 2 2 9 6 2 2" xfId="37532"/>
    <cellStyle name="Heading 2 2 2 9 6 2 2 2" xfId="37533"/>
    <cellStyle name="Heading 2 2 2 9 6 2 3" xfId="37534"/>
    <cellStyle name="Heading 2 2 2 9 6 3" xfId="37535"/>
    <cellStyle name="Heading 2 2 2 9 6 3 2" xfId="37536"/>
    <cellStyle name="Heading 2 2 2 9 6 3 2 2" xfId="37537"/>
    <cellStyle name="Heading 2 2 2 9 6 3 3" xfId="37538"/>
    <cellStyle name="Heading 2 2 2 9 6 4" xfId="37539"/>
    <cellStyle name="Heading 2 2 2 9 6 4 2" xfId="37540"/>
    <cellStyle name="Heading 2 2 2 9 6 4 2 2" xfId="37541"/>
    <cellStyle name="Heading 2 2 2 9 6 4 3" xfId="37542"/>
    <cellStyle name="Heading 2 2 2 9 6 5" xfId="37543"/>
    <cellStyle name="Heading 2 2 2 9 6 5 2" xfId="37544"/>
    <cellStyle name="Heading 2 2 2 9 6 5 2 2" xfId="37545"/>
    <cellStyle name="Heading 2 2 2 9 6 5 3" xfId="37546"/>
    <cellStyle name="Heading 2 2 2 9 6 6" xfId="37547"/>
    <cellStyle name="Heading 2 2 2 9 6 6 2" xfId="37548"/>
    <cellStyle name="Heading 2 2 2 9 6 6 2 2" xfId="37549"/>
    <cellStyle name="Heading 2 2 2 9 6 6 3" xfId="37550"/>
    <cellStyle name="Heading 2 2 2 9 6 7" xfId="37551"/>
    <cellStyle name="Heading 2 2 2 9 6 7 2" xfId="37552"/>
    <cellStyle name="Heading 2 2 2 9 6 7 2 2" xfId="37553"/>
    <cellStyle name="Heading 2 2 2 9 6 7 3" xfId="37554"/>
    <cellStyle name="Heading 2 2 2 9 6 8" xfId="37555"/>
    <cellStyle name="Heading 2 2 2 9 6 8 2" xfId="37556"/>
    <cellStyle name="Heading 2 2 2 9 6 9" xfId="37557"/>
    <cellStyle name="Heading 2 2 2 9 7" xfId="37558"/>
    <cellStyle name="Heading 2 2 2 9 7 2" xfId="37559"/>
    <cellStyle name="Heading 2 2 2 9 7 2 2" xfId="37560"/>
    <cellStyle name="Heading 2 2 2 9 7 2 2 2" xfId="37561"/>
    <cellStyle name="Heading 2 2 2 9 7 2 3" xfId="37562"/>
    <cellStyle name="Heading 2 2 2 9 7 3" xfId="37563"/>
    <cellStyle name="Heading 2 2 2 9 7 3 2" xfId="37564"/>
    <cellStyle name="Heading 2 2 2 9 7 3 2 2" xfId="37565"/>
    <cellStyle name="Heading 2 2 2 9 7 3 3" xfId="37566"/>
    <cellStyle name="Heading 2 2 2 9 7 4" xfId="37567"/>
    <cellStyle name="Heading 2 2 2 9 7 4 2" xfId="37568"/>
    <cellStyle name="Heading 2 2 2 9 7 4 2 2" xfId="37569"/>
    <cellStyle name="Heading 2 2 2 9 7 4 3" xfId="37570"/>
    <cellStyle name="Heading 2 2 2 9 7 5" xfId="37571"/>
    <cellStyle name="Heading 2 2 2 9 7 5 2" xfId="37572"/>
    <cellStyle name="Heading 2 2 2 9 7 5 2 2" xfId="37573"/>
    <cellStyle name="Heading 2 2 2 9 7 5 3" xfId="37574"/>
    <cellStyle name="Heading 2 2 2 9 7 6" xfId="37575"/>
    <cellStyle name="Heading 2 2 2 9 7 6 2" xfId="37576"/>
    <cellStyle name="Heading 2 2 2 9 7 6 2 2" xfId="37577"/>
    <cellStyle name="Heading 2 2 2 9 7 6 3" xfId="37578"/>
    <cellStyle name="Heading 2 2 2 9 7 7" xfId="37579"/>
    <cellStyle name="Heading 2 2 2 9 7 7 2" xfId="37580"/>
    <cellStyle name="Heading 2 2 2 9 7 7 2 2" xfId="37581"/>
    <cellStyle name="Heading 2 2 2 9 7 7 3" xfId="37582"/>
    <cellStyle name="Heading 2 2 2 9 7 8" xfId="37583"/>
    <cellStyle name="Heading 2 2 2 9 7 8 2" xfId="37584"/>
    <cellStyle name="Heading 2 2 2 9 7 9" xfId="37585"/>
    <cellStyle name="Heading 2 2 2 9 8" xfId="37586"/>
    <cellStyle name="Heading 2 2 2 9 8 2" xfId="37587"/>
    <cellStyle name="Heading 2 2 2 9 8 2 2" xfId="37588"/>
    <cellStyle name="Heading 2 2 2 9 8 2 2 2" xfId="37589"/>
    <cellStyle name="Heading 2 2 2 9 8 2 3" xfId="37590"/>
    <cellStyle name="Heading 2 2 2 9 8 3" xfId="37591"/>
    <cellStyle name="Heading 2 2 2 9 8 3 2" xfId="37592"/>
    <cellStyle name="Heading 2 2 2 9 8 3 2 2" xfId="37593"/>
    <cellStyle name="Heading 2 2 2 9 8 3 3" xfId="37594"/>
    <cellStyle name="Heading 2 2 2 9 8 4" xfId="37595"/>
    <cellStyle name="Heading 2 2 2 9 8 4 2" xfId="37596"/>
    <cellStyle name="Heading 2 2 2 9 8 4 2 2" xfId="37597"/>
    <cellStyle name="Heading 2 2 2 9 8 4 3" xfId="37598"/>
    <cellStyle name="Heading 2 2 2 9 8 5" xfId="37599"/>
    <cellStyle name="Heading 2 2 2 9 8 5 2" xfId="37600"/>
    <cellStyle name="Heading 2 2 2 9 8 5 2 2" xfId="37601"/>
    <cellStyle name="Heading 2 2 2 9 8 5 3" xfId="37602"/>
    <cellStyle name="Heading 2 2 2 9 8 6" xfId="37603"/>
    <cellStyle name="Heading 2 2 2 9 8 6 2" xfId="37604"/>
    <cellStyle name="Heading 2 2 2 9 8 6 2 2" xfId="37605"/>
    <cellStyle name="Heading 2 2 2 9 8 6 3" xfId="37606"/>
    <cellStyle name="Heading 2 2 2 9 8 7" xfId="37607"/>
    <cellStyle name="Heading 2 2 2 9 8 7 2" xfId="37608"/>
    <cellStyle name="Heading 2 2 2 9 8 7 2 2" xfId="37609"/>
    <cellStyle name="Heading 2 2 2 9 8 7 3" xfId="37610"/>
    <cellStyle name="Heading 2 2 2 9 8 8" xfId="37611"/>
    <cellStyle name="Heading 2 2 2 9 8 8 2" xfId="37612"/>
    <cellStyle name="Heading 2 2 2 9 8 9" xfId="37613"/>
    <cellStyle name="Heading 2 2 2 9 9" xfId="37614"/>
    <cellStyle name="Heading 2 2 2 9 9 2" xfId="37615"/>
    <cellStyle name="Heading 2 2 2 9 9 2 2" xfId="37616"/>
    <cellStyle name="Heading 2 2 2 9 9 2 2 2" xfId="37617"/>
    <cellStyle name="Heading 2 2 2 9 9 2 3" xfId="37618"/>
    <cellStyle name="Heading 2 2 2 9 9 3" xfId="37619"/>
    <cellStyle name="Heading 2 2 2 9 9 3 2" xfId="37620"/>
    <cellStyle name="Heading 2 2 2 9 9 3 2 2" xfId="37621"/>
    <cellStyle name="Heading 2 2 2 9 9 3 3" xfId="37622"/>
    <cellStyle name="Heading 2 2 2 9 9 4" xfId="37623"/>
    <cellStyle name="Heading 2 2 2 9 9 4 2" xfId="37624"/>
    <cellStyle name="Heading 2 2 2 9 9 4 2 2" xfId="37625"/>
    <cellStyle name="Heading 2 2 2 9 9 4 3" xfId="37626"/>
    <cellStyle name="Heading 2 2 2 9 9 5" xfId="37627"/>
    <cellStyle name="Heading 2 2 2 9 9 5 2" xfId="37628"/>
    <cellStyle name="Heading 2 2 2 9 9 5 2 2" xfId="37629"/>
    <cellStyle name="Heading 2 2 2 9 9 5 3" xfId="37630"/>
    <cellStyle name="Heading 2 2 2 9 9 6" xfId="37631"/>
    <cellStyle name="Heading 2 2 2 9 9 6 2" xfId="37632"/>
    <cellStyle name="Heading 2 2 2 9 9 6 2 2" xfId="37633"/>
    <cellStyle name="Heading 2 2 2 9 9 6 3" xfId="37634"/>
    <cellStyle name="Heading 2 2 2 9 9 7" xfId="37635"/>
    <cellStyle name="Heading 2 2 2 9 9 7 2" xfId="37636"/>
    <cellStyle name="Heading 2 2 2 9 9 7 2 2" xfId="37637"/>
    <cellStyle name="Heading 2 2 2 9 9 7 3" xfId="37638"/>
    <cellStyle name="Heading 2 2 2 9 9 8" xfId="37639"/>
    <cellStyle name="Heading 2 2 2 9 9 8 2" xfId="37640"/>
    <cellStyle name="Heading 2 2 2 9 9 9" xfId="37641"/>
    <cellStyle name="Heading 2 2 3" xfId="37642"/>
    <cellStyle name="Heading 2 2 3 10" xfId="37643"/>
    <cellStyle name="Heading 2 2 3 10 2" xfId="37644"/>
    <cellStyle name="Heading 2 2 3 10 2 2" xfId="37645"/>
    <cellStyle name="Heading 2 2 3 10 3" xfId="37646"/>
    <cellStyle name="Heading 2 2 3 10 3 2" xfId="37647"/>
    <cellStyle name="Heading 2 2 3 10 4" xfId="37648"/>
    <cellStyle name="Heading 2 2 3 11" xfId="37649"/>
    <cellStyle name="Heading 2 2 3 11 2" xfId="37650"/>
    <cellStyle name="Heading 2 2 3 11 2 2" xfId="37651"/>
    <cellStyle name="Heading 2 2 3 11 3" xfId="37652"/>
    <cellStyle name="Heading 2 2 3 11 3 2" xfId="37653"/>
    <cellStyle name="Heading 2 2 3 11 4" xfId="37654"/>
    <cellStyle name="Heading 2 2 3 12" xfId="37655"/>
    <cellStyle name="Heading 2 2 3 12 2" xfId="37656"/>
    <cellStyle name="Heading 2 2 3 12 2 2" xfId="37657"/>
    <cellStyle name="Heading 2 2 3 12 3" xfId="37658"/>
    <cellStyle name="Heading 2 2 3 12 3 2" xfId="37659"/>
    <cellStyle name="Heading 2 2 3 12 4" xfId="37660"/>
    <cellStyle name="Heading 2 2 3 13" xfId="37661"/>
    <cellStyle name="Heading 2 2 3 13 2" xfId="37662"/>
    <cellStyle name="Heading 2 2 3 13 2 2" xfId="37663"/>
    <cellStyle name="Heading 2 2 3 13 3" xfId="37664"/>
    <cellStyle name="Heading 2 2 3 13 3 2" xfId="37665"/>
    <cellStyle name="Heading 2 2 3 13 4" xfId="37666"/>
    <cellStyle name="Heading 2 2 3 14" xfId="37667"/>
    <cellStyle name="Heading 2 2 3 14 2" xfId="37668"/>
    <cellStyle name="Heading 2 2 3 14 2 2" xfId="37669"/>
    <cellStyle name="Heading 2 2 3 14 3" xfId="37670"/>
    <cellStyle name="Heading 2 2 3 14 3 2" xfId="37671"/>
    <cellStyle name="Heading 2 2 3 14 4" xfId="37672"/>
    <cellStyle name="Heading 2 2 3 15" xfId="37673"/>
    <cellStyle name="Heading 2 2 3 15 2" xfId="37674"/>
    <cellStyle name="Heading 2 2 3 15 2 2" xfId="37675"/>
    <cellStyle name="Heading 2 2 3 15 3" xfId="37676"/>
    <cellStyle name="Heading 2 2 3 15 3 2" xfId="37677"/>
    <cellStyle name="Heading 2 2 3 15 4" xfId="37678"/>
    <cellStyle name="Heading 2 2 3 16" xfId="37679"/>
    <cellStyle name="Heading 2 2 3 16 2" xfId="37680"/>
    <cellStyle name="Heading 2 2 3 16 2 2" xfId="37681"/>
    <cellStyle name="Heading 2 2 3 16 3" xfId="37682"/>
    <cellStyle name="Heading 2 2 3 16 3 2" xfId="37683"/>
    <cellStyle name="Heading 2 2 3 16 4" xfId="37684"/>
    <cellStyle name="Heading 2 2 3 17" xfId="37685"/>
    <cellStyle name="Heading 2 2 3 17 2" xfId="37686"/>
    <cellStyle name="Heading 2 2 3 17 2 2" xfId="37687"/>
    <cellStyle name="Heading 2 2 3 17 3" xfId="37688"/>
    <cellStyle name="Heading 2 2 3 17 3 2" xfId="37689"/>
    <cellStyle name="Heading 2 2 3 17 4" xfId="37690"/>
    <cellStyle name="Heading 2 2 3 18" xfId="37691"/>
    <cellStyle name="Heading 2 2 3 18 2" xfId="37692"/>
    <cellStyle name="Heading 2 2 3 18 2 2" xfId="37693"/>
    <cellStyle name="Heading 2 2 3 18 3" xfId="37694"/>
    <cellStyle name="Heading 2 2 3 18 3 2" xfId="37695"/>
    <cellStyle name="Heading 2 2 3 18 4" xfId="37696"/>
    <cellStyle name="Heading 2 2 3 19" xfId="37697"/>
    <cellStyle name="Heading 2 2 3 19 2" xfId="37698"/>
    <cellStyle name="Heading 2 2 3 2" xfId="37699"/>
    <cellStyle name="Heading 2 2 3 2 2" xfId="37700"/>
    <cellStyle name="Heading 2 2 3 2 2 10" xfId="37701"/>
    <cellStyle name="Heading 2 2 3 2 2 10 2" xfId="37702"/>
    <cellStyle name="Heading 2 2 3 2 2 10 2 2" xfId="37703"/>
    <cellStyle name="Heading 2 2 3 2 2 10 3" xfId="37704"/>
    <cellStyle name="Heading 2 2 3 2 2 11" xfId="37705"/>
    <cellStyle name="Heading 2 2 3 2 2 11 2" xfId="37706"/>
    <cellStyle name="Heading 2 2 3 2 2 11 2 2" xfId="37707"/>
    <cellStyle name="Heading 2 2 3 2 2 11 3" xfId="37708"/>
    <cellStyle name="Heading 2 2 3 2 2 12" xfId="37709"/>
    <cellStyle name="Heading 2 2 3 2 2 12 2" xfId="37710"/>
    <cellStyle name="Heading 2 2 3 2 2 12 2 2" xfId="37711"/>
    <cellStyle name="Heading 2 2 3 2 2 12 3" xfId="37712"/>
    <cellStyle name="Heading 2 2 3 2 2 13" xfId="37713"/>
    <cellStyle name="Heading 2 2 3 2 2 13 2" xfId="37714"/>
    <cellStyle name="Heading 2 2 3 2 2 13 2 2" xfId="37715"/>
    <cellStyle name="Heading 2 2 3 2 2 13 3" xfId="37716"/>
    <cellStyle name="Heading 2 2 3 2 2 14" xfId="37717"/>
    <cellStyle name="Heading 2 2 3 2 2 14 2" xfId="37718"/>
    <cellStyle name="Heading 2 2 3 2 2 14 2 2" xfId="37719"/>
    <cellStyle name="Heading 2 2 3 2 2 14 3" xfId="37720"/>
    <cellStyle name="Heading 2 2 3 2 2 15" xfId="37721"/>
    <cellStyle name="Heading 2 2 3 2 2 15 2" xfId="37722"/>
    <cellStyle name="Heading 2 2 3 2 2 15 2 2" xfId="37723"/>
    <cellStyle name="Heading 2 2 3 2 2 15 3" xfId="37724"/>
    <cellStyle name="Heading 2 2 3 2 2 16" xfId="37725"/>
    <cellStyle name="Heading 2 2 3 2 2 16 2" xfId="37726"/>
    <cellStyle name="Heading 2 2 3 2 2 16 2 2" xfId="37727"/>
    <cellStyle name="Heading 2 2 3 2 2 16 3" xfId="37728"/>
    <cellStyle name="Heading 2 2 3 2 2 17" xfId="37729"/>
    <cellStyle name="Heading 2 2 3 2 2 17 2" xfId="37730"/>
    <cellStyle name="Heading 2 2 3 2 2 17 2 2" xfId="37731"/>
    <cellStyle name="Heading 2 2 3 2 2 17 3" xfId="37732"/>
    <cellStyle name="Heading 2 2 3 2 2 18" xfId="37733"/>
    <cellStyle name="Heading 2 2 3 2 2 18 2" xfId="37734"/>
    <cellStyle name="Heading 2 2 3 2 2 18 2 2" xfId="37735"/>
    <cellStyle name="Heading 2 2 3 2 2 18 3" xfId="37736"/>
    <cellStyle name="Heading 2 2 3 2 2 19" xfId="37737"/>
    <cellStyle name="Heading 2 2 3 2 2 19 2" xfId="37738"/>
    <cellStyle name="Heading 2 2 3 2 2 19 2 2" xfId="37739"/>
    <cellStyle name="Heading 2 2 3 2 2 19 3" xfId="37740"/>
    <cellStyle name="Heading 2 2 3 2 2 2" xfId="37741"/>
    <cellStyle name="Heading 2 2 3 2 2 2 10" xfId="37742"/>
    <cellStyle name="Heading 2 2 3 2 2 2 10 2" xfId="37743"/>
    <cellStyle name="Heading 2 2 3 2 2 2 10 2 2" xfId="37744"/>
    <cellStyle name="Heading 2 2 3 2 2 2 10 3" xfId="37745"/>
    <cellStyle name="Heading 2 2 3 2 2 2 11" xfId="37746"/>
    <cellStyle name="Heading 2 2 3 2 2 2 11 2" xfId="37747"/>
    <cellStyle name="Heading 2 2 3 2 2 2 11 2 2" xfId="37748"/>
    <cellStyle name="Heading 2 2 3 2 2 2 11 3" xfId="37749"/>
    <cellStyle name="Heading 2 2 3 2 2 2 12" xfId="37750"/>
    <cellStyle name="Heading 2 2 3 2 2 2 12 2" xfId="37751"/>
    <cellStyle name="Heading 2 2 3 2 2 2 12 2 2" xfId="37752"/>
    <cellStyle name="Heading 2 2 3 2 2 2 12 3" xfId="37753"/>
    <cellStyle name="Heading 2 2 3 2 2 2 13" xfId="37754"/>
    <cellStyle name="Heading 2 2 3 2 2 2 13 2" xfId="37755"/>
    <cellStyle name="Heading 2 2 3 2 2 2 13 2 2" xfId="37756"/>
    <cellStyle name="Heading 2 2 3 2 2 2 13 3" xfId="37757"/>
    <cellStyle name="Heading 2 2 3 2 2 2 14" xfId="37758"/>
    <cellStyle name="Heading 2 2 3 2 2 2 14 2" xfId="37759"/>
    <cellStyle name="Heading 2 2 3 2 2 2 14 2 2" xfId="37760"/>
    <cellStyle name="Heading 2 2 3 2 2 2 14 3" xfId="37761"/>
    <cellStyle name="Heading 2 2 3 2 2 2 15" xfId="37762"/>
    <cellStyle name="Heading 2 2 3 2 2 2 15 2" xfId="37763"/>
    <cellStyle name="Heading 2 2 3 2 2 2 15 2 2" xfId="37764"/>
    <cellStyle name="Heading 2 2 3 2 2 2 15 3" xfId="37765"/>
    <cellStyle name="Heading 2 2 3 2 2 2 16" xfId="37766"/>
    <cellStyle name="Heading 2 2 3 2 2 2 16 2" xfId="37767"/>
    <cellStyle name="Heading 2 2 3 2 2 2 16 2 2" xfId="37768"/>
    <cellStyle name="Heading 2 2 3 2 2 2 16 3" xfId="37769"/>
    <cellStyle name="Heading 2 2 3 2 2 2 17" xfId="37770"/>
    <cellStyle name="Heading 2 2 3 2 2 2 17 2" xfId="37771"/>
    <cellStyle name="Heading 2 2 3 2 2 2 17 2 2" xfId="37772"/>
    <cellStyle name="Heading 2 2 3 2 2 2 17 3" xfId="37773"/>
    <cellStyle name="Heading 2 2 3 2 2 2 18" xfId="37774"/>
    <cellStyle name="Heading 2 2 3 2 2 2 18 2" xfId="37775"/>
    <cellStyle name="Heading 2 2 3 2 2 2 18 2 2" xfId="37776"/>
    <cellStyle name="Heading 2 2 3 2 2 2 18 3" xfId="37777"/>
    <cellStyle name="Heading 2 2 3 2 2 2 19" xfId="37778"/>
    <cellStyle name="Heading 2 2 3 2 2 2 19 2" xfId="37779"/>
    <cellStyle name="Heading 2 2 3 2 2 2 2" xfId="37780"/>
    <cellStyle name="Heading 2 2 3 2 2 2 2 2" xfId="37781"/>
    <cellStyle name="Heading 2 2 3 2 2 2 2 2 2" xfId="37782"/>
    <cellStyle name="Heading 2 2 3 2 2 2 2 2 2 2" xfId="37783"/>
    <cellStyle name="Heading 2 2 3 2 2 2 2 2 3" xfId="37784"/>
    <cellStyle name="Heading 2 2 3 2 2 2 2 3" xfId="37785"/>
    <cellStyle name="Heading 2 2 3 2 2 2 2 3 2" xfId="37786"/>
    <cellStyle name="Heading 2 2 3 2 2 2 2 3 2 2" xfId="37787"/>
    <cellStyle name="Heading 2 2 3 2 2 2 2 3 3" xfId="37788"/>
    <cellStyle name="Heading 2 2 3 2 2 2 2 4" xfId="37789"/>
    <cellStyle name="Heading 2 2 3 2 2 2 2 4 2" xfId="37790"/>
    <cellStyle name="Heading 2 2 3 2 2 2 2 4 2 2" xfId="37791"/>
    <cellStyle name="Heading 2 2 3 2 2 2 2 4 3" xfId="37792"/>
    <cellStyle name="Heading 2 2 3 2 2 2 2 5" xfId="37793"/>
    <cellStyle name="Heading 2 2 3 2 2 2 2 5 2" xfId="37794"/>
    <cellStyle name="Heading 2 2 3 2 2 2 2 5 2 2" xfId="37795"/>
    <cellStyle name="Heading 2 2 3 2 2 2 2 5 3" xfId="37796"/>
    <cellStyle name="Heading 2 2 3 2 2 2 2 6" xfId="37797"/>
    <cellStyle name="Heading 2 2 3 2 2 2 2 6 2" xfId="37798"/>
    <cellStyle name="Heading 2 2 3 2 2 2 2 6 2 2" xfId="37799"/>
    <cellStyle name="Heading 2 2 3 2 2 2 2 6 3" xfId="37800"/>
    <cellStyle name="Heading 2 2 3 2 2 2 2 7" xfId="37801"/>
    <cellStyle name="Heading 2 2 3 2 2 2 2 7 2" xfId="37802"/>
    <cellStyle name="Heading 2 2 3 2 2 2 2 7 2 2" xfId="37803"/>
    <cellStyle name="Heading 2 2 3 2 2 2 2 7 3" xfId="37804"/>
    <cellStyle name="Heading 2 2 3 2 2 2 2 8" xfId="37805"/>
    <cellStyle name="Heading 2 2 3 2 2 2 2 8 2" xfId="37806"/>
    <cellStyle name="Heading 2 2 3 2 2 2 2 9" xfId="37807"/>
    <cellStyle name="Heading 2 2 3 2 2 2 20" xfId="37808"/>
    <cellStyle name="Heading 2 2 3 2 2 2 20 2" xfId="37809"/>
    <cellStyle name="Heading 2 2 3 2 2 2 21" xfId="37810"/>
    <cellStyle name="Heading 2 2 3 2 2 2 21 2" xfId="37811"/>
    <cellStyle name="Heading 2 2 3 2 2 2 22" xfId="37812"/>
    <cellStyle name="Heading 2 2 3 2 2 2 3" xfId="37813"/>
    <cellStyle name="Heading 2 2 3 2 2 2 3 2" xfId="37814"/>
    <cellStyle name="Heading 2 2 3 2 2 2 3 2 2" xfId="37815"/>
    <cellStyle name="Heading 2 2 3 2 2 2 3 2 2 2" xfId="37816"/>
    <cellStyle name="Heading 2 2 3 2 2 2 3 2 3" xfId="37817"/>
    <cellStyle name="Heading 2 2 3 2 2 2 3 3" xfId="37818"/>
    <cellStyle name="Heading 2 2 3 2 2 2 3 3 2" xfId="37819"/>
    <cellStyle name="Heading 2 2 3 2 2 2 3 3 2 2" xfId="37820"/>
    <cellStyle name="Heading 2 2 3 2 2 2 3 3 3" xfId="37821"/>
    <cellStyle name="Heading 2 2 3 2 2 2 3 4" xfId="37822"/>
    <cellStyle name="Heading 2 2 3 2 2 2 3 4 2" xfId="37823"/>
    <cellStyle name="Heading 2 2 3 2 2 2 3 4 2 2" xfId="37824"/>
    <cellStyle name="Heading 2 2 3 2 2 2 3 4 3" xfId="37825"/>
    <cellStyle name="Heading 2 2 3 2 2 2 3 5" xfId="37826"/>
    <cellStyle name="Heading 2 2 3 2 2 2 3 5 2" xfId="37827"/>
    <cellStyle name="Heading 2 2 3 2 2 2 3 5 2 2" xfId="37828"/>
    <cellStyle name="Heading 2 2 3 2 2 2 3 5 3" xfId="37829"/>
    <cellStyle name="Heading 2 2 3 2 2 2 3 6" xfId="37830"/>
    <cellStyle name="Heading 2 2 3 2 2 2 3 6 2" xfId="37831"/>
    <cellStyle name="Heading 2 2 3 2 2 2 3 6 2 2" xfId="37832"/>
    <cellStyle name="Heading 2 2 3 2 2 2 3 6 3" xfId="37833"/>
    <cellStyle name="Heading 2 2 3 2 2 2 3 7" xfId="37834"/>
    <cellStyle name="Heading 2 2 3 2 2 2 3 7 2" xfId="37835"/>
    <cellStyle name="Heading 2 2 3 2 2 2 3 7 2 2" xfId="37836"/>
    <cellStyle name="Heading 2 2 3 2 2 2 3 7 3" xfId="37837"/>
    <cellStyle name="Heading 2 2 3 2 2 2 3 8" xfId="37838"/>
    <cellStyle name="Heading 2 2 3 2 2 2 3 8 2" xfId="37839"/>
    <cellStyle name="Heading 2 2 3 2 2 2 3 9" xfId="37840"/>
    <cellStyle name="Heading 2 2 3 2 2 2 4" xfId="37841"/>
    <cellStyle name="Heading 2 2 3 2 2 2 4 2" xfId="37842"/>
    <cellStyle name="Heading 2 2 3 2 2 2 4 2 2" xfId="37843"/>
    <cellStyle name="Heading 2 2 3 2 2 2 4 2 2 2" xfId="37844"/>
    <cellStyle name="Heading 2 2 3 2 2 2 4 2 3" xfId="37845"/>
    <cellStyle name="Heading 2 2 3 2 2 2 4 3" xfId="37846"/>
    <cellStyle name="Heading 2 2 3 2 2 2 4 3 2" xfId="37847"/>
    <cellStyle name="Heading 2 2 3 2 2 2 4 3 2 2" xfId="37848"/>
    <cellStyle name="Heading 2 2 3 2 2 2 4 3 3" xfId="37849"/>
    <cellStyle name="Heading 2 2 3 2 2 2 4 4" xfId="37850"/>
    <cellStyle name="Heading 2 2 3 2 2 2 4 4 2" xfId="37851"/>
    <cellStyle name="Heading 2 2 3 2 2 2 4 4 2 2" xfId="37852"/>
    <cellStyle name="Heading 2 2 3 2 2 2 4 4 3" xfId="37853"/>
    <cellStyle name="Heading 2 2 3 2 2 2 4 5" xfId="37854"/>
    <cellStyle name="Heading 2 2 3 2 2 2 4 5 2" xfId="37855"/>
    <cellStyle name="Heading 2 2 3 2 2 2 4 5 2 2" xfId="37856"/>
    <cellStyle name="Heading 2 2 3 2 2 2 4 5 3" xfId="37857"/>
    <cellStyle name="Heading 2 2 3 2 2 2 4 6" xfId="37858"/>
    <cellStyle name="Heading 2 2 3 2 2 2 4 6 2" xfId="37859"/>
    <cellStyle name="Heading 2 2 3 2 2 2 4 6 2 2" xfId="37860"/>
    <cellStyle name="Heading 2 2 3 2 2 2 4 6 3" xfId="37861"/>
    <cellStyle name="Heading 2 2 3 2 2 2 4 7" xfId="37862"/>
    <cellStyle name="Heading 2 2 3 2 2 2 4 7 2" xfId="37863"/>
    <cellStyle name="Heading 2 2 3 2 2 2 4 7 2 2" xfId="37864"/>
    <cellStyle name="Heading 2 2 3 2 2 2 4 7 3" xfId="37865"/>
    <cellStyle name="Heading 2 2 3 2 2 2 4 8" xfId="37866"/>
    <cellStyle name="Heading 2 2 3 2 2 2 4 8 2" xfId="37867"/>
    <cellStyle name="Heading 2 2 3 2 2 2 4 9" xfId="37868"/>
    <cellStyle name="Heading 2 2 3 2 2 2 5" xfId="37869"/>
    <cellStyle name="Heading 2 2 3 2 2 2 5 2" xfId="37870"/>
    <cellStyle name="Heading 2 2 3 2 2 2 5 2 2" xfId="37871"/>
    <cellStyle name="Heading 2 2 3 2 2 2 5 2 2 2" xfId="37872"/>
    <cellStyle name="Heading 2 2 3 2 2 2 5 2 3" xfId="37873"/>
    <cellStyle name="Heading 2 2 3 2 2 2 5 3" xfId="37874"/>
    <cellStyle name="Heading 2 2 3 2 2 2 5 3 2" xfId="37875"/>
    <cellStyle name="Heading 2 2 3 2 2 2 5 3 2 2" xfId="37876"/>
    <cellStyle name="Heading 2 2 3 2 2 2 5 3 3" xfId="37877"/>
    <cellStyle name="Heading 2 2 3 2 2 2 5 4" xfId="37878"/>
    <cellStyle name="Heading 2 2 3 2 2 2 5 4 2" xfId="37879"/>
    <cellStyle name="Heading 2 2 3 2 2 2 5 4 2 2" xfId="37880"/>
    <cellStyle name="Heading 2 2 3 2 2 2 5 4 3" xfId="37881"/>
    <cellStyle name="Heading 2 2 3 2 2 2 5 5" xfId="37882"/>
    <cellStyle name="Heading 2 2 3 2 2 2 5 5 2" xfId="37883"/>
    <cellStyle name="Heading 2 2 3 2 2 2 5 5 2 2" xfId="37884"/>
    <cellStyle name="Heading 2 2 3 2 2 2 5 5 3" xfId="37885"/>
    <cellStyle name="Heading 2 2 3 2 2 2 5 6" xfId="37886"/>
    <cellStyle name="Heading 2 2 3 2 2 2 5 6 2" xfId="37887"/>
    <cellStyle name="Heading 2 2 3 2 2 2 5 6 2 2" xfId="37888"/>
    <cellStyle name="Heading 2 2 3 2 2 2 5 6 3" xfId="37889"/>
    <cellStyle name="Heading 2 2 3 2 2 2 5 7" xfId="37890"/>
    <cellStyle name="Heading 2 2 3 2 2 2 5 7 2" xfId="37891"/>
    <cellStyle name="Heading 2 2 3 2 2 2 5 7 2 2" xfId="37892"/>
    <cellStyle name="Heading 2 2 3 2 2 2 5 7 3" xfId="37893"/>
    <cellStyle name="Heading 2 2 3 2 2 2 5 8" xfId="37894"/>
    <cellStyle name="Heading 2 2 3 2 2 2 5 8 2" xfId="37895"/>
    <cellStyle name="Heading 2 2 3 2 2 2 5 9" xfId="37896"/>
    <cellStyle name="Heading 2 2 3 2 2 2 6" xfId="37897"/>
    <cellStyle name="Heading 2 2 3 2 2 2 6 2" xfId="37898"/>
    <cellStyle name="Heading 2 2 3 2 2 2 6 2 2" xfId="37899"/>
    <cellStyle name="Heading 2 2 3 2 2 2 6 2 2 2" xfId="37900"/>
    <cellStyle name="Heading 2 2 3 2 2 2 6 2 3" xfId="37901"/>
    <cellStyle name="Heading 2 2 3 2 2 2 6 3" xfId="37902"/>
    <cellStyle name="Heading 2 2 3 2 2 2 6 3 2" xfId="37903"/>
    <cellStyle name="Heading 2 2 3 2 2 2 6 3 2 2" xfId="37904"/>
    <cellStyle name="Heading 2 2 3 2 2 2 6 3 3" xfId="37905"/>
    <cellStyle name="Heading 2 2 3 2 2 2 6 4" xfId="37906"/>
    <cellStyle name="Heading 2 2 3 2 2 2 6 4 2" xfId="37907"/>
    <cellStyle name="Heading 2 2 3 2 2 2 6 4 2 2" xfId="37908"/>
    <cellStyle name="Heading 2 2 3 2 2 2 6 4 3" xfId="37909"/>
    <cellStyle name="Heading 2 2 3 2 2 2 6 5" xfId="37910"/>
    <cellStyle name="Heading 2 2 3 2 2 2 6 5 2" xfId="37911"/>
    <cellStyle name="Heading 2 2 3 2 2 2 6 5 2 2" xfId="37912"/>
    <cellStyle name="Heading 2 2 3 2 2 2 6 5 3" xfId="37913"/>
    <cellStyle name="Heading 2 2 3 2 2 2 6 6" xfId="37914"/>
    <cellStyle name="Heading 2 2 3 2 2 2 6 6 2" xfId="37915"/>
    <cellStyle name="Heading 2 2 3 2 2 2 6 6 2 2" xfId="37916"/>
    <cellStyle name="Heading 2 2 3 2 2 2 6 6 3" xfId="37917"/>
    <cellStyle name="Heading 2 2 3 2 2 2 6 7" xfId="37918"/>
    <cellStyle name="Heading 2 2 3 2 2 2 6 7 2" xfId="37919"/>
    <cellStyle name="Heading 2 2 3 2 2 2 6 7 2 2" xfId="37920"/>
    <cellStyle name="Heading 2 2 3 2 2 2 6 7 3" xfId="37921"/>
    <cellStyle name="Heading 2 2 3 2 2 2 6 8" xfId="37922"/>
    <cellStyle name="Heading 2 2 3 2 2 2 6 8 2" xfId="37923"/>
    <cellStyle name="Heading 2 2 3 2 2 2 6 9" xfId="37924"/>
    <cellStyle name="Heading 2 2 3 2 2 2 7" xfId="37925"/>
    <cellStyle name="Heading 2 2 3 2 2 2 7 2" xfId="37926"/>
    <cellStyle name="Heading 2 2 3 2 2 2 7 2 2" xfId="37927"/>
    <cellStyle name="Heading 2 2 3 2 2 2 7 2 2 2" xfId="37928"/>
    <cellStyle name="Heading 2 2 3 2 2 2 7 2 3" xfId="37929"/>
    <cellStyle name="Heading 2 2 3 2 2 2 7 3" xfId="37930"/>
    <cellStyle name="Heading 2 2 3 2 2 2 7 3 2" xfId="37931"/>
    <cellStyle name="Heading 2 2 3 2 2 2 7 3 2 2" xfId="37932"/>
    <cellStyle name="Heading 2 2 3 2 2 2 7 3 3" xfId="37933"/>
    <cellStyle name="Heading 2 2 3 2 2 2 7 4" xfId="37934"/>
    <cellStyle name="Heading 2 2 3 2 2 2 7 4 2" xfId="37935"/>
    <cellStyle name="Heading 2 2 3 2 2 2 7 4 2 2" xfId="37936"/>
    <cellStyle name="Heading 2 2 3 2 2 2 7 4 3" xfId="37937"/>
    <cellStyle name="Heading 2 2 3 2 2 2 7 5" xfId="37938"/>
    <cellStyle name="Heading 2 2 3 2 2 2 7 5 2" xfId="37939"/>
    <cellStyle name="Heading 2 2 3 2 2 2 7 5 2 2" xfId="37940"/>
    <cellStyle name="Heading 2 2 3 2 2 2 7 5 3" xfId="37941"/>
    <cellStyle name="Heading 2 2 3 2 2 2 7 6" xfId="37942"/>
    <cellStyle name="Heading 2 2 3 2 2 2 7 6 2" xfId="37943"/>
    <cellStyle name="Heading 2 2 3 2 2 2 7 6 2 2" xfId="37944"/>
    <cellStyle name="Heading 2 2 3 2 2 2 7 6 3" xfId="37945"/>
    <cellStyle name="Heading 2 2 3 2 2 2 7 7" xfId="37946"/>
    <cellStyle name="Heading 2 2 3 2 2 2 7 7 2" xfId="37947"/>
    <cellStyle name="Heading 2 2 3 2 2 2 7 7 2 2" xfId="37948"/>
    <cellStyle name="Heading 2 2 3 2 2 2 7 7 3" xfId="37949"/>
    <cellStyle name="Heading 2 2 3 2 2 2 7 8" xfId="37950"/>
    <cellStyle name="Heading 2 2 3 2 2 2 7 8 2" xfId="37951"/>
    <cellStyle name="Heading 2 2 3 2 2 2 7 9" xfId="37952"/>
    <cellStyle name="Heading 2 2 3 2 2 2 8" xfId="37953"/>
    <cellStyle name="Heading 2 2 3 2 2 2 8 2" xfId="37954"/>
    <cellStyle name="Heading 2 2 3 2 2 2 8 2 2" xfId="37955"/>
    <cellStyle name="Heading 2 2 3 2 2 2 8 2 2 2" xfId="37956"/>
    <cellStyle name="Heading 2 2 3 2 2 2 8 2 3" xfId="37957"/>
    <cellStyle name="Heading 2 2 3 2 2 2 8 3" xfId="37958"/>
    <cellStyle name="Heading 2 2 3 2 2 2 8 3 2" xfId="37959"/>
    <cellStyle name="Heading 2 2 3 2 2 2 8 3 2 2" xfId="37960"/>
    <cellStyle name="Heading 2 2 3 2 2 2 8 3 3" xfId="37961"/>
    <cellStyle name="Heading 2 2 3 2 2 2 8 4" xfId="37962"/>
    <cellStyle name="Heading 2 2 3 2 2 2 8 4 2" xfId="37963"/>
    <cellStyle name="Heading 2 2 3 2 2 2 8 4 2 2" xfId="37964"/>
    <cellStyle name="Heading 2 2 3 2 2 2 8 4 3" xfId="37965"/>
    <cellStyle name="Heading 2 2 3 2 2 2 8 5" xfId="37966"/>
    <cellStyle name="Heading 2 2 3 2 2 2 8 5 2" xfId="37967"/>
    <cellStyle name="Heading 2 2 3 2 2 2 8 5 2 2" xfId="37968"/>
    <cellStyle name="Heading 2 2 3 2 2 2 8 5 3" xfId="37969"/>
    <cellStyle name="Heading 2 2 3 2 2 2 8 6" xfId="37970"/>
    <cellStyle name="Heading 2 2 3 2 2 2 8 6 2" xfId="37971"/>
    <cellStyle name="Heading 2 2 3 2 2 2 8 6 2 2" xfId="37972"/>
    <cellStyle name="Heading 2 2 3 2 2 2 8 6 3" xfId="37973"/>
    <cellStyle name="Heading 2 2 3 2 2 2 8 7" xfId="37974"/>
    <cellStyle name="Heading 2 2 3 2 2 2 8 7 2" xfId="37975"/>
    <cellStyle name="Heading 2 2 3 2 2 2 8 7 2 2" xfId="37976"/>
    <cellStyle name="Heading 2 2 3 2 2 2 8 7 3" xfId="37977"/>
    <cellStyle name="Heading 2 2 3 2 2 2 8 8" xfId="37978"/>
    <cellStyle name="Heading 2 2 3 2 2 2 8 8 2" xfId="37979"/>
    <cellStyle name="Heading 2 2 3 2 2 2 8 9" xfId="37980"/>
    <cellStyle name="Heading 2 2 3 2 2 2 9" xfId="37981"/>
    <cellStyle name="Heading 2 2 3 2 2 2 9 2" xfId="37982"/>
    <cellStyle name="Heading 2 2 3 2 2 2 9 2 2" xfId="37983"/>
    <cellStyle name="Heading 2 2 3 2 2 2 9 3" xfId="37984"/>
    <cellStyle name="Heading 2 2 3 2 2 20" xfId="37985"/>
    <cellStyle name="Heading 2 2 3 2 2 20 2" xfId="37986"/>
    <cellStyle name="Heading 2 2 3 2 2 21" xfId="37987"/>
    <cellStyle name="Heading 2 2 3 2 2 21 2" xfId="37988"/>
    <cellStyle name="Heading 2 2 3 2 2 22" xfId="37989"/>
    <cellStyle name="Heading 2 2 3 2 2 22 2" xfId="37990"/>
    <cellStyle name="Heading 2 2 3 2 2 23" xfId="37991"/>
    <cellStyle name="Heading 2 2 3 2 2 3" xfId="37992"/>
    <cellStyle name="Heading 2 2 3 2 2 3 2" xfId="37993"/>
    <cellStyle name="Heading 2 2 3 2 2 3 2 2" xfId="37994"/>
    <cellStyle name="Heading 2 2 3 2 2 3 2 2 2" xfId="37995"/>
    <cellStyle name="Heading 2 2 3 2 2 3 2 3" xfId="37996"/>
    <cellStyle name="Heading 2 2 3 2 2 3 3" xfId="37997"/>
    <cellStyle name="Heading 2 2 3 2 2 3 3 2" xfId="37998"/>
    <cellStyle name="Heading 2 2 3 2 2 3 3 2 2" xfId="37999"/>
    <cellStyle name="Heading 2 2 3 2 2 3 3 3" xfId="38000"/>
    <cellStyle name="Heading 2 2 3 2 2 3 4" xfId="38001"/>
    <cellStyle name="Heading 2 2 3 2 2 3 4 2" xfId="38002"/>
    <cellStyle name="Heading 2 2 3 2 2 3 4 2 2" xfId="38003"/>
    <cellStyle name="Heading 2 2 3 2 2 3 4 3" xfId="38004"/>
    <cellStyle name="Heading 2 2 3 2 2 3 5" xfId="38005"/>
    <cellStyle name="Heading 2 2 3 2 2 3 5 2" xfId="38006"/>
    <cellStyle name="Heading 2 2 3 2 2 3 5 2 2" xfId="38007"/>
    <cellStyle name="Heading 2 2 3 2 2 3 5 3" xfId="38008"/>
    <cellStyle name="Heading 2 2 3 2 2 3 6" xfId="38009"/>
    <cellStyle name="Heading 2 2 3 2 2 3 6 2" xfId="38010"/>
    <cellStyle name="Heading 2 2 3 2 2 3 6 2 2" xfId="38011"/>
    <cellStyle name="Heading 2 2 3 2 2 3 6 3" xfId="38012"/>
    <cellStyle name="Heading 2 2 3 2 2 3 7" xfId="38013"/>
    <cellStyle name="Heading 2 2 3 2 2 3 7 2" xfId="38014"/>
    <cellStyle name="Heading 2 2 3 2 2 3 7 2 2" xfId="38015"/>
    <cellStyle name="Heading 2 2 3 2 2 3 7 3" xfId="38016"/>
    <cellStyle name="Heading 2 2 3 2 2 3 8" xfId="38017"/>
    <cellStyle name="Heading 2 2 3 2 2 3 8 2" xfId="38018"/>
    <cellStyle name="Heading 2 2 3 2 2 3 9" xfId="38019"/>
    <cellStyle name="Heading 2 2 3 2 2 4" xfId="38020"/>
    <cellStyle name="Heading 2 2 3 2 2 4 2" xfId="38021"/>
    <cellStyle name="Heading 2 2 3 2 2 4 2 2" xfId="38022"/>
    <cellStyle name="Heading 2 2 3 2 2 4 2 2 2" xfId="38023"/>
    <cellStyle name="Heading 2 2 3 2 2 4 2 3" xfId="38024"/>
    <cellStyle name="Heading 2 2 3 2 2 4 3" xfId="38025"/>
    <cellStyle name="Heading 2 2 3 2 2 4 3 2" xfId="38026"/>
    <cellStyle name="Heading 2 2 3 2 2 4 3 2 2" xfId="38027"/>
    <cellStyle name="Heading 2 2 3 2 2 4 3 3" xfId="38028"/>
    <cellStyle name="Heading 2 2 3 2 2 4 4" xfId="38029"/>
    <cellStyle name="Heading 2 2 3 2 2 4 4 2" xfId="38030"/>
    <cellStyle name="Heading 2 2 3 2 2 4 4 2 2" xfId="38031"/>
    <cellStyle name="Heading 2 2 3 2 2 4 4 3" xfId="38032"/>
    <cellStyle name="Heading 2 2 3 2 2 4 5" xfId="38033"/>
    <cellStyle name="Heading 2 2 3 2 2 4 5 2" xfId="38034"/>
    <cellStyle name="Heading 2 2 3 2 2 4 5 2 2" xfId="38035"/>
    <cellStyle name="Heading 2 2 3 2 2 4 5 3" xfId="38036"/>
    <cellStyle name="Heading 2 2 3 2 2 4 6" xfId="38037"/>
    <cellStyle name="Heading 2 2 3 2 2 4 6 2" xfId="38038"/>
    <cellStyle name="Heading 2 2 3 2 2 4 6 2 2" xfId="38039"/>
    <cellStyle name="Heading 2 2 3 2 2 4 6 3" xfId="38040"/>
    <cellStyle name="Heading 2 2 3 2 2 4 7" xfId="38041"/>
    <cellStyle name="Heading 2 2 3 2 2 4 7 2" xfId="38042"/>
    <cellStyle name="Heading 2 2 3 2 2 4 7 2 2" xfId="38043"/>
    <cellStyle name="Heading 2 2 3 2 2 4 7 3" xfId="38044"/>
    <cellStyle name="Heading 2 2 3 2 2 4 8" xfId="38045"/>
    <cellStyle name="Heading 2 2 3 2 2 4 8 2" xfId="38046"/>
    <cellStyle name="Heading 2 2 3 2 2 4 9" xfId="38047"/>
    <cellStyle name="Heading 2 2 3 2 2 5" xfId="38048"/>
    <cellStyle name="Heading 2 2 3 2 2 5 2" xfId="38049"/>
    <cellStyle name="Heading 2 2 3 2 2 5 2 2" xfId="38050"/>
    <cellStyle name="Heading 2 2 3 2 2 5 2 2 2" xfId="38051"/>
    <cellStyle name="Heading 2 2 3 2 2 5 2 3" xfId="38052"/>
    <cellStyle name="Heading 2 2 3 2 2 5 3" xfId="38053"/>
    <cellStyle name="Heading 2 2 3 2 2 5 3 2" xfId="38054"/>
    <cellStyle name="Heading 2 2 3 2 2 5 3 2 2" xfId="38055"/>
    <cellStyle name="Heading 2 2 3 2 2 5 3 3" xfId="38056"/>
    <cellStyle name="Heading 2 2 3 2 2 5 4" xfId="38057"/>
    <cellStyle name="Heading 2 2 3 2 2 5 4 2" xfId="38058"/>
    <cellStyle name="Heading 2 2 3 2 2 5 4 2 2" xfId="38059"/>
    <cellStyle name="Heading 2 2 3 2 2 5 4 3" xfId="38060"/>
    <cellStyle name="Heading 2 2 3 2 2 5 5" xfId="38061"/>
    <cellStyle name="Heading 2 2 3 2 2 5 5 2" xfId="38062"/>
    <cellStyle name="Heading 2 2 3 2 2 5 5 2 2" xfId="38063"/>
    <cellStyle name="Heading 2 2 3 2 2 5 5 3" xfId="38064"/>
    <cellStyle name="Heading 2 2 3 2 2 5 6" xfId="38065"/>
    <cellStyle name="Heading 2 2 3 2 2 5 6 2" xfId="38066"/>
    <cellStyle name="Heading 2 2 3 2 2 5 6 2 2" xfId="38067"/>
    <cellStyle name="Heading 2 2 3 2 2 5 6 3" xfId="38068"/>
    <cellStyle name="Heading 2 2 3 2 2 5 7" xfId="38069"/>
    <cellStyle name="Heading 2 2 3 2 2 5 7 2" xfId="38070"/>
    <cellStyle name="Heading 2 2 3 2 2 5 7 2 2" xfId="38071"/>
    <cellStyle name="Heading 2 2 3 2 2 5 7 3" xfId="38072"/>
    <cellStyle name="Heading 2 2 3 2 2 5 8" xfId="38073"/>
    <cellStyle name="Heading 2 2 3 2 2 5 8 2" xfId="38074"/>
    <cellStyle name="Heading 2 2 3 2 2 5 9" xfId="38075"/>
    <cellStyle name="Heading 2 2 3 2 2 6" xfId="38076"/>
    <cellStyle name="Heading 2 2 3 2 2 6 2" xfId="38077"/>
    <cellStyle name="Heading 2 2 3 2 2 6 2 2" xfId="38078"/>
    <cellStyle name="Heading 2 2 3 2 2 6 2 2 2" xfId="38079"/>
    <cellStyle name="Heading 2 2 3 2 2 6 2 3" xfId="38080"/>
    <cellStyle name="Heading 2 2 3 2 2 6 3" xfId="38081"/>
    <cellStyle name="Heading 2 2 3 2 2 6 3 2" xfId="38082"/>
    <cellStyle name="Heading 2 2 3 2 2 6 3 2 2" xfId="38083"/>
    <cellStyle name="Heading 2 2 3 2 2 6 3 3" xfId="38084"/>
    <cellStyle name="Heading 2 2 3 2 2 6 4" xfId="38085"/>
    <cellStyle name="Heading 2 2 3 2 2 6 4 2" xfId="38086"/>
    <cellStyle name="Heading 2 2 3 2 2 6 4 2 2" xfId="38087"/>
    <cellStyle name="Heading 2 2 3 2 2 6 4 3" xfId="38088"/>
    <cellStyle name="Heading 2 2 3 2 2 6 5" xfId="38089"/>
    <cellStyle name="Heading 2 2 3 2 2 6 5 2" xfId="38090"/>
    <cellStyle name="Heading 2 2 3 2 2 6 5 2 2" xfId="38091"/>
    <cellStyle name="Heading 2 2 3 2 2 6 5 3" xfId="38092"/>
    <cellStyle name="Heading 2 2 3 2 2 6 6" xfId="38093"/>
    <cellStyle name="Heading 2 2 3 2 2 6 6 2" xfId="38094"/>
    <cellStyle name="Heading 2 2 3 2 2 6 6 2 2" xfId="38095"/>
    <cellStyle name="Heading 2 2 3 2 2 6 6 3" xfId="38096"/>
    <cellStyle name="Heading 2 2 3 2 2 6 7" xfId="38097"/>
    <cellStyle name="Heading 2 2 3 2 2 6 7 2" xfId="38098"/>
    <cellStyle name="Heading 2 2 3 2 2 6 7 2 2" xfId="38099"/>
    <cellStyle name="Heading 2 2 3 2 2 6 7 3" xfId="38100"/>
    <cellStyle name="Heading 2 2 3 2 2 6 8" xfId="38101"/>
    <cellStyle name="Heading 2 2 3 2 2 6 8 2" xfId="38102"/>
    <cellStyle name="Heading 2 2 3 2 2 6 9" xfId="38103"/>
    <cellStyle name="Heading 2 2 3 2 2 7" xfId="38104"/>
    <cellStyle name="Heading 2 2 3 2 2 7 2" xfId="38105"/>
    <cellStyle name="Heading 2 2 3 2 2 7 2 2" xfId="38106"/>
    <cellStyle name="Heading 2 2 3 2 2 7 2 2 2" xfId="38107"/>
    <cellStyle name="Heading 2 2 3 2 2 7 2 3" xfId="38108"/>
    <cellStyle name="Heading 2 2 3 2 2 7 3" xfId="38109"/>
    <cellStyle name="Heading 2 2 3 2 2 7 3 2" xfId="38110"/>
    <cellStyle name="Heading 2 2 3 2 2 7 3 2 2" xfId="38111"/>
    <cellStyle name="Heading 2 2 3 2 2 7 3 3" xfId="38112"/>
    <cellStyle name="Heading 2 2 3 2 2 7 4" xfId="38113"/>
    <cellStyle name="Heading 2 2 3 2 2 7 4 2" xfId="38114"/>
    <cellStyle name="Heading 2 2 3 2 2 7 4 2 2" xfId="38115"/>
    <cellStyle name="Heading 2 2 3 2 2 7 4 3" xfId="38116"/>
    <cellStyle name="Heading 2 2 3 2 2 7 5" xfId="38117"/>
    <cellStyle name="Heading 2 2 3 2 2 7 5 2" xfId="38118"/>
    <cellStyle name="Heading 2 2 3 2 2 7 5 2 2" xfId="38119"/>
    <cellStyle name="Heading 2 2 3 2 2 7 5 3" xfId="38120"/>
    <cellStyle name="Heading 2 2 3 2 2 7 6" xfId="38121"/>
    <cellStyle name="Heading 2 2 3 2 2 7 6 2" xfId="38122"/>
    <cellStyle name="Heading 2 2 3 2 2 7 6 2 2" xfId="38123"/>
    <cellStyle name="Heading 2 2 3 2 2 7 6 3" xfId="38124"/>
    <cellStyle name="Heading 2 2 3 2 2 7 7" xfId="38125"/>
    <cellStyle name="Heading 2 2 3 2 2 7 7 2" xfId="38126"/>
    <cellStyle name="Heading 2 2 3 2 2 7 7 2 2" xfId="38127"/>
    <cellStyle name="Heading 2 2 3 2 2 7 7 3" xfId="38128"/>
    <cellStyle name="Heading 2 2 3 2 2 7 8" xfId="38129"/>
    <cellStyle name="Heading 2 2 3 2 2 7 8 2" xfId="38130"/>
    <cellStyle name="Heading 2 2 3 2 2 7 9" xfId="38131"/>
    <cellStyle name="Heading 2 2 3 2 2 8" xfId="38132"/>
    <cellStyle name="Heading 2 2 3 2 2 8 2" xfId="38133"/>
    <cellStyle name="Heading 2 2 3 2 2 8 2 2" xfId="38134"/>
    <cellStyle name="Heading 2 2 3 2 2 8 2 2 2" xfId="38135"/>
    <cellStyle name="Heading 2 2 3 2 2 8 2 3" xfId="38136"/>
    <cellStyle name="Heading 2 2 3 2 2 8 3" xfId="38137"/>
    <cellStyle name="Heading 2 2 3 2 2 8 3 2" xfId="38138"/>
    <cellStyle name="Heading 2 2 3 2 2 8 3 2 2" xfId="38139"/>
    <cellStyle name="Heading 2 2 3 2 2 8 3 3" xfId="38140"/>
    <cellStyle name="Heading 2 2 3 2 2 8 4" xfId="38141"/>
    <cellStyle name="Heading 2 2 3 2 2 8 4 2" xfId="38142"/>
    <cellStyle name="Heading 2 2 3 2 2 8 4 2 2" xfId="38143"/>
    <cellStyle name="Heading 2 2 3 2 2 8 4 3" xfId="38144"/>
    <cellStyle name="Heading 2 2 3 2 2 8 5" xfId="38145"/>
    <cellStyle name="Heading 2 2 3 2 2 8 5 2" xfId="38146"/>
    <cellStyle name="Heading 2 2 3 2 2 8 5 2 2" xfId="38147"/>
    <cellStyle name="Heading 2 2 3 2 2 8 5 3" xfId="38148"/>
    <cellStyle name="Heading 2 2 3 2 2 8 6" xfId="38149"/>
    <cellStyle name="Heading 2 2 3 2 2 8 6 2" xfId="38150"/>
    <cellStyle name="Heading 2 2 3 2 2 8 6 2 2" xfId="38151"/>
    <cellStyle name="Heading 2 2 3 2 2 8 6 3" xfId="38152"/>
    <cellStyle name="Heading 2 2 3 2 2 8 7" xfId="38153"/>
    <cellStyle name="Heading 2 2 3 2 2 8 7 2" xfId="38154"/>
    <cellStyle name="Heading 2 2 3 2 2 8 7 2 2" xfId="38155"/>
    <cellStyle name="Heading 2 2 3 2 2 8 7 3" xfId="38156"/>
    <cellStyle name="Heading 2 2 3 2 2 8 8" xfId="38157"/>
    <cellStyle name="Heading 2 2 3 2 2 8 8 2" xfId="38158"/>
    <cellStyle name="Heading 2 2 3 2 2 8 9" xfId="38159"/>
    <cellStyle name="Heading 2 2 3 2 2 9" xfId="38160"/>
    <cellStyle name="Heading 2 2 3 2 2 9 2" xfId="38161"/>
    <cellStyle name="Heading 2 2 3 2 2 9 2 2" xfId="38162"/>
    <cellStyle name="Heading 2 2 3 2 2 9 2 2 2" xfId="38163"/>
    <cellStyle name="Heading 2 2 3 2 2 9 2 3" xfId="38164"/>
    <cellStyle name="Heading 2 2 3 2 2 9 3" xfId="38165"/>
    <cellStyle name="Heading 2 2 3 2 2 9 3 2" xfId="38166"/>
    <cellStyle name="Heading 2 2 3 2 2 9 3 2 2" xfId="38167"/>
    <cellStyle name="Heading 2 2 3 2 2 9 3 3" xfId="38168"/>
    <cellStyle name="Heading 2 2 3 2 2 9 4" xfId="38169"/>
    <cellStyle name="Heading 2 2 3 2 2 9 4 2" xfId="38170"/>
    <cellStyle name="Heading 2 2 3 2 2 9 4 2 2" xfId="38171"/>
    <cellStyle name="Heading 2 2 3 2 2 9 4 3" xfId="38172"/>
    <cellStyle name="Heading 2 2 3 2 2 9 5" xfId="38173"/>
    <cellStyle name="Heading 2 2 3 2 2 9 5 2" xfId="38174"/>
    <cellStyle name="Heading 2 2 3 2 2 9 5 2 2" xfId="38175"/>
    <cellStyle name="Heading 2 2 3 2 2 9 5 3" xfId="38176"/>
    <cellStyle name="Heading 2 2 3 2 2 9 6" xfId="38177"/>
    <cellStyle name="Heading 2 2 3 2 2 9 6 2" xfId="38178"/>
    <cellStyle name="Heading 2 2 3 2 2 9 6 2 2" xfId="38179"/>
    <cellStyle name="Heading 2 2 3 2 2 9 6 3" xfId="38180"/>
    <cellStyle name="Heading 2 2 3 2 2 9 7" xfId="38181"/>
    <cellStyle name="Heading 2 2 3 2 2 9 7 2" xfId="38182"/>
    <cellStyle name="Heading 2 2 3 2 2 9 7 2 2" xfId="38183"/>
    <cellStyle name="Heading 2 2 3 2 2 9 7 3" xfId="38184"/>
    <cellStyle name="Heading 2 2 3 2 2 9 8" xfId="38185"/>
    <cellStyle name="Heading 2 2 3 2 2 9 8 2" xfId="38186"/>
    <cellStyle name="Heading 2 2 3 2 2 9 9" xfId="38187"/>
    <cellStyle name="Heading 2 2 3 2 3" xfId="38188"/>
    <cellStyle name="Heading 2 2 3 2 3 10" xfId="38189"/>
    <cellStyle name="Heading 2 2 3 2 3 10 2" xfId="38190"/>
    <cellStyle name="Heading 2 2 3 2 3 10 2 2" xfId="38191"/>
    <cellStyle name="Heading 2 2 3 2 3 10 3" xfId="38192"/>
    <cellStyle name="Heading 2 2 3 2 3 11" xfId="38193"/>
    <cellStyle name="Heading 2 2 3 2 3 11 2" xfId="38194"/>
    <cellStyle name="Heading 2 2 3 2 3 11 2 2" xfId="38195"/>
    <cellStyle name="Heading 2 2 3 2 3 11 3" xfId="38196"/>
    <cellStyle name="Heading 2 2 3 2 3 12" xfId="38197"/>
    <cellStyle name="Heading 2 2 3 2 3 12 2" xfId="38198"/>
    <cellStyle name="Heading 2 2 3 2 3 12 2 2" xfId="38199"/>
    <cellStyle name="Heading 2 2 3 2 3 12 3" xfId="38200"/>
    <cellStyle name="Heading 2 2 3 2 3 13" xfId="38201"/>
    <cellStyle name="Heading 2 2 3 2 3 13 2" xfId="38202"/>
    <cellStyle name="Heading 2 2 3 2 3 13 2 2" xfId="38203"/>
    <cellStyle name="Heading 2 2 3 2 3 13 3" xfId="38204"/>
    <cellStyle name="Heading 2 2 3 2 3 14" xfId="38205"/>
    <cellStyle name="Heading 2 2 3 2 3 14 2" xfId="38206"/>
    <cellStyle name="Heading 2 2 3 2 3 14 2 2" xfId="38207"/>
    <cellStyle name="Heading 2 2 3 2 3 14 3" xfId="38208"/>
    <cellStyle name="Heading 2 2 3 2 3 15" xfId="38209"/>
    <cellStyle name="Heading 2 2 3 2 3 15 2" xfId="38210"/>
    <cellStyle name="Heading 2 2 3 2 3 15 2 2" xfId="38211"/>
    <cellStyle name="Heading 2 2 3 2 3 15 3" xfId="38212"/>
    <cellStyle name="Heading 2 2 3 2 3 16" xfId="38213"/>
    <cellStyle name="Heading 2 2 3 2 3 16 2" xfId="38214"/>
    <cellStyle name="Heading 2 2 3 2 3 16 2 2" xfId="38215"/>
    <cellStyle name="Heading 2 2 3 2 3 16 3" xfId="38216"/>
    <cellStyle name="Heading 2 2 3 2 3 17" xfId="38217"/>
    <cellStyle name="Heading 2 2 3 2 3 17 2" xfId="38218"/>
    <cellStyle name="Heading 2 2 3 2 3 17 2 2" xfId="38219"/>
    <cellStyle name="Heading 2 2 3 2 3 17 3" xfId="38220"/>
    <cellStyle name="Heading 2 2 3 2 3 18" xfId="38221"/>
    <cellStyle name="Heading 2 2 3 2 3 18 2" xfId="38222"/>
    <cellStyle name="Heading 2 2 3 2 3 18 2 2" xfId="38223"/>
    <cellStyle name="Heading 2 2 3 2 3 18 3" xfId="38224"/>
    <cellStyle name="Heading 2 2 3 2 3 19" xfId="38225"/>
    <cellStyle name="Heading 2 2 3 2 3 19 2" xfId="38226"/>
    <cellStyle name="Heading 2 2 3 2 3 2" xfId="38227"/>
    <cellStyle name="Heading 2 2 3 2 3 2 2" xfId="38228"/>
    <cellStyle name="Heading 2 2 3 2 3 2 2 2" xfId="38229"/>
    <cellStyle name="Heading 2 2 3 2 3 2 2 2 2" xfId="38230"/>
    <cellStyle name="Heading 2 2 3 2 3 2 2 3" xfId="38231"/>
    <cellStyle name="Heading 2 2 3 2 3 2 3" xfId="38232"/>
    <cellStyle name="Heading 2 2 3 2 3 2 3 2" xfId="38233"/>
    <cellStyle name="Heading 2 2 3 2 3 2 3 2 2" xfId="38234"/>
    <cellStyle name="Heading 2 2 3 2 3 2 3 3" xfId="38235"/>
    <cellStyle name="Heading 2 2 3 2 3 2 4" xfId="38236"/>
    <cellStyle name="Heading 2 2 3 2 3 2 4 2" xfId="38237"/>
    <cellStyle name="Heading 2 2 3 2 3 2 4 2 2" xfId="38238"/>
    <cellStyle name="Heading 2 2 3 2 3 2 4 3" xfId="38239"/>
    <cellStyle name="Heading 2 2 3 2 3 2 5" xfId="38240"/>
    <cellStyle name="Heading 2 2 3 2 3 2 5 2" xfId="38241"/>
    <cellStyle name="Heading 2 2 3 2 3 2 5 2 2" xfId="38242"/>
    <cellStyle name="Heading 2 2 3 2 3 2 5 3" xfId="38243"/>
    <cellStyle name="Heading 2 2 3 2 3 2 6" xfId="38244"/>
    <cellStyle name="Heading 2 2 3 2 3 2 6 2" xfId="38245"/>
    <cellStyle name="Heading 2 2 3 2 3 2 6 2 2" xfId="38246"/>
    <cellStyle name="Heading 2 2 3 2 3 2 6 3" xfId="38247"/>
    <cellStyle name="Heading 2 2 3 2 3 2 7" xfId="38248"/>
    <cellStyle name="Heading 2 2 3 2 3 2 7 2" xfId="38249"/>
    <cellStyle name="Heading 2 2 3 2 3 2 7 2 2" xfId="38250"/>
    <cellStyle name="Heading 2 2 3 2 3 2 7 3" xfId="38251"/>
    <cellStyle name="Heading 2 2 3 2 3 2 8" xfId="38252"/>
    <cellStyle name="Heading 2 2 3 2 3 2 8 2" xfId="38253"/>
    <cellStyle name="Heading 2 2 3 2 3 2 9" xfId="38254"/>
    <cellStyle name="Heading 2 2 3 2 3 20" xfId="38255"/>
    <cellStyle name="Heading 2 2 3 2 3 20 2" xfId="38256"/>
    <cellStyle name="Heading 2 2 3 2 3 21" xfId="38257"/>
    <cellStyle name="Heading 2 2 3 2 3 21 2" xfId="38258"/>
    <cellStyle name="Heading 2 2 3 2 3 22" xfId="38259"/>
    <cellStyle name="Heading 2 2 3 2 3 3" xfId="38260"/>
    <cellStyle name="Heading 2 2 3 2 3 3 2" xfId="38261"/>
    <cellStyle name="Heading 2 2 3 2 3 3 2 2" xfId="38262"/>
    <cellStyle name="Heading 2 2 3 2 3 3 2 2 2" xfId="38263"/>
    <cellStyle name="Heading 2 2 3 2 3 3 2 3" xfId="38264"/>
    <cellStyle name="Heading 2 2 3 2 3 3 3" xfId="38265"/>
    <cellStyle name="Heading 2 2 3 2 3 3 3 2" xfId="38266"/>
    <cellStyle name="Heading 2 2 3 2 3 3 3 2 2" xfId="38267"/>
    <cellStyle name="Heading 2 2 3 2 3 3 3 3" xfId="38268"/>
    <cellStyle name="Heading 2 2 3 2 3 3 4" xfId="38269"/>
    <cellStyle name="Heading 2 2 3 2 3 3 4 2" xfId="38270"/>
    <cellStyle name="Heading 2 2 3 2 3 3 4 2 2" xfId="38271"/>
    <cellStyle name="Heading 2 2 3 2 3 3 4 3" xfId="38272"/>
    <cellStyle name="Heading 2 2 3 2 3 3 5" xfId="38273"/>
    <cellStyle name="Heading 2 2 3 2 3 3 5 2" xfId="38274"/>
    <cellStyle name="Heading 2 2 3 2 3 3 5 2 2" xfId="38275"/>
    <cellStyle name="Heading 2 2 3 2 3 3 5 3" xfId="38276"/>
    <cellStyle name="Heading 2 2 3 2 3 3 6" xfId="38277"/>
    <cellStyle name="Heading 2 2 3 2 3 3 6 2" xfId="38278"/>
    <cellStyle name="Heading 2 2 3 2 3 3 6 2 2" xfId="38279"/>
    <cellStyle name="Heading 2 2 3 2 3 3 6 3" xfId="38280"/>
    <cellStyle name="Heading 2 2 3 2 3 3 7" xfId="38281"/>
    <cellStyle name="Heading 2 2 3 2 3 3 7 2" xfId="38282"/>
    <cellStyle name="Heading 2 2 3 2 3 3 7 2 2" xfId="38283"/>
    <cellStyle name="Heading 2 2 3 2 3 3 7 3" xfId="38284"/>
    <cellStyle name="Heading 2 2 3 2 3 3 8" xfId="38285"/>
    <cellStyle name="Heading 2 2 3 2 3 3 8 2" xfId="38286"/>
    <cellStyle name="Heading 2 2 3 2 3 3 9" xfId="38287"/>
    <cellStyle name="Heading 2 2 3 2 3 4" xfId="38288"/>
    <cellStyle name="Heading 2 2 3 2 3 4 2" xfId="38289"/>
    <cellStyle name="Heading 2 2 3 2 3 4 2 2" xfId="38290"/>
    <cellStyle name="Heading 2 2 3 2 3 4 2 2 2" xfId="38291"/>
    <cellStyle name="Heading 2 2 3 2 3 4 2 3" xfId="38292"/>
    <cellStyle name="Heading 2 2 3 2 3 4 3" xfId="38293"/>
    <cellStyle name="Heading 2 2 3 2 3 4 3 2" xfId="38294"/>
    <cellStyle name="Heading 2 2 3 2 3 4 3 2 2" xfId="38295"/>
    <cellStyle name="Heading 2 2 3 2 3 4 3 3" xfId="38296"/>
    <cellStyle name="Heading 2 2 3 2 3 4 4" xfId="38297"/>
    <cellStyle name="Heading 2 2 3 2 3 4 4 2" xfId="38298"/>
    <cellStyle name="Heading 2 2 3 2 3 4 4 2 2" xfId="38299"/>
    <cellStyle name="Heading 2 2 3 2 3 4 4 3" xfId="38300"/>
    <cellStyle name="Heading 2 2 3 2 3 4 5" xfId="38301"/>
    <cellStyle name="Heading 2 2 3 2 3 4 5 2" xfId="38302"/>
    <cellStyle name="Heading 2 2 3 2 3 4 5 2 2" xfId="38303"/>
    <cellStyle name="Heading 2 2 3 2 3 4 5 3" xfId="38304"/>
    <cellStyle name="Heading 2 2 3 2 3 4 6" xfId="38305"/>
    <cellStyle name="Heading 2 2 3 2 3 4 6 2" xfId="38306"/>
    <cellStyle name="Heading 2 2 3 2 3 4 6 2 2" xfId="38307"/>
    <cellStyle name="Heading 2 2 3 2 3 4 6 3" xfId="38308"/>
    <cellStyle name="Heading 2 2 3 2 3 4 7" xfId="38309"/>
    <cellStyle name="Heading 2 2 3 2 3 4 7 2" xfId="38310"/>
    <cellStyle name="Heading 2 2 3 2 3 4 7 2 2" xfId="38311"/>
    <cellStyle name="Heading 2 2 3 2 3 4 7 3" xfId="38312"/>
    <cellStyle name="Heading 2 2 3 2 3 4 8" xfId="38313"/>
    <cellStyle name="Heading 2 2 3 2 3 4 8 2" xfId="38314"/>
    <cellStyle name="Heading 2 2 3 2 3 4 9" xfId="38315"/>
    <cellStyle name="Heading 2 2 3 2 3 5" xfId="38316"/>
    <cellStyle name="Heading 2 2 3 2 3 5 2" xfId="38317"/>
    <cellStyle name="Heading 2 2 3 2 3 5 2 2" xfId="38318"/>
    <cellStyle name="Heading 2 2 3 2 3 5 2 2 2" xfId="38319"/>
    <cellStyle name="Heading 2 2 3 2 3 5 2 3" xfId="38320"/>
    <cellStyle name="Heading 2 2 3 2 3 5 3" xfId="38321"/>
    <cellStyle name="Heading 2 2 3 2 3 5 3 2" xfId="38322"/>
    <cellStyle name="Heading 2 2 3 2 3 5 3 2 2" xfId="38323"/>
    <cellStyle name="Heading 2 2 3 2 3 5 3 3" xfId="38324"/>
    <cellStyle name="Heading 2 2 3 2 3 5 4" xfId="38325"/>
    <cellStyle name="Heading 2 2 3 2 3 5 4 2" xfId="38326"/>
    <cellStyle name="Heading 2 2 3 2 3 5 4 2 2" xfId="38327"/>
    <cellStyle name="Heading 2 2 3 2 3 5 4 3" xfId="38328"/>
    <cellStyle name="Heading 2 2 3 2 3 5 5" xfId="38329"/>
    <cellStyle name="Heading 2 2 3 2 3 5 5 2" xfId="38330"/>
    <cellStyle name="Heading 2 2 3 2 3 5 5 2 2" xfId="38331"/>
    <cellStyle name="Heading 2 2 3 2 3 5 5 3" xfId="38332"/>
    <cellStyle name="Heading 2 2 3 2 3 5 6" xfId="38333"/>
    <cellStyle name="Heading 2 2 3 2 3 5 6 2" xfId="38334"/>
    <cellStyle name="Heading 2 2 3 2 3 5 6 2 2" xfId="38335"/>
    <cellStyle name="Heading 2 2 3 2 3 5 6 3" xfId="38336"/>
    <cellStyle name="Heading 2 2 3 2 3 5 7" xfId="38337"/>
    <cellStyle name="Heading 2 2 3 2 3 5 7 2" xfId="38338"/>
    <cellStyle name="Heading 2 2 3 2 3 5 7 2 2" xfId="38339"/>
    <cellStyle name="Heading 2 2 3 2 3 5 7 3" xfId="38340"/>
    <cellStyle name="Heading 2 2 3 2 3 5 8" xfId="38341"/>
    <cellStyle name="Heading 2 2 3 2 3 5 8 2" xfId="38342"/>
    <cellStyle name="Heading 2 2 3 2 3 5 9" xfId="38343"/>
    <cellStyle name="Heading 2 2 3 2 3 6" xfId="38344"/>
    <cellStyle name="Heading 2 2 3 2 3 6 2" xfId="38345"/>
    <cellStyle name="Heading 2 2 3 2 3 6 2 2" xfId="38346"/>
    <cellStyle name="Heading 2 2 3 2 3 6 2 2 2" xfId="38347"/>
    <cellStyle name="Heading 2 2 3 2 3 6 2 3" xfId="38348"/>
    <cellStyle name="Heading 2 2 3 2 3 6 3" xfId="38349"/>
    <cellStyle name="Heading 2 2 3 2 3 6 3 2" xfId="38350"/>
    <cellStyle name="Heading 2 2 3 2 3 6 3 2 2" xfId="38351"/>
    <cellStyle name="Heading 2 2 3 2 3 6 3 3" xfId="38352"/>
    <cellStyle name="Heading 2 2 3 2 3 6 4" xfId="38353"/>
    <cellStyle name="Heading 2 2 3 2 3 6 4 2" xfId="38354"/>
    <cellStyle name="Heading 2 2 3 2 3 6 4 2 2" xfId="38355"/>
    <cellStyle name="Heading 2 2 3 2 3 6 4 3" xfId="38356"/>
    <cellStyle name="Heading 2 2 3 2 3 6 5" xfId="38357"/>
    <cellStyle name="Heading 2 2 3 2 3 6 5 2" xfId="38358"/>
    <cellStyle name="Heading 2 2 3 2 3 6 5 2 2" xfId="38359"/>
    <cellStyle name="Heading 2 2 3 2 3 6 5 3" xfId="38360"/>
    <cellStyle name="Heading 2 2 3 2 3 6 6" xfId="38361"/>
    <cellStyle name="Heading 2 2 3 2 3 6 6 2" xfId="38362"/>
    <cellStyle name="Heading 2 2 3 2 3 6 6 2 2" xfId="38363"/>
    <cellStyle name="Heading 2 2 3 2 3 6 6 3" xfId="38364"/>
    <cellStyle name="Heading 2 2 3 2 3 6 7" xfId="38365"/>
    <cellStyle name="Heading 2 2 3 2 3 6 7 2" xfId="38366"/>
    <cellStyle name="Heading 2 2 3 2 3 6 7 2 2" xfId="38367"/>
    <cellStyle name="Heading 2 2 3 2 3 6 7 3" xfId="38368"/>
    <cellStyle name="Heading 2 2 3 2 3 6 8" xfId="38369"/>
    <cellStyle name="Heading 2 2 3 2 3 6 8 2" xfId="38370"/>
    <cellStyle name="Heading 2 2 3 2 3 6 9" xfId="38371"/>
    <cellStyle name="Heading 2 2 3 2 3 7" xfId="38372"/>
    <cellStyle name="Heading 2 2 3 2 3 7 2" xfId="38373"/>
    <cellStyle name="Heading 2 2 3 2 3 7 2 2" xfId="38374"/>
    <cellStyle name="Heading 2 2 3 2 3 7 2 2 2" xfId="38375"/>
    <cellStyle name="Heading 2 2 3 2 3 7 2 3" xfId="38376"/>
    <cellStyle name="Heading 2 2 3 2 3 7 3" xfId="38377"/>
    <cellStyle name="Heading 2 2 3 2 3 7 3 2" xfId="38378"/>
    <cellStyle name="Heading 2 2 3 2 3 7 3 2 2" xfId="38379"/>
    <cellStyle name="Heading 2 2 3 2 3 7 3 3" xfId="38380"/>
    <cellStyle name="Heading 2 2 3 2 3 7 4" xfId="38381"/>
    <cellStyle name="Heading 2 2 3 2 3 7 4 2" xfId="38382"/>
    <cellStyle name="Heading 2 2 3 2 3 7 4 2 2" xfId="38383"/>
    <cellStyle name="Heading 2 2 3 2 3 7 4 3" xfId="38384"/>
    <cellStyle name="Heading 2 2 3 2 3 7 5" xfId="38385"/>
    <cellStyle name="Heading 2 2 3 2 3 7 5 2" xfId="38386"/>
    <cellStyle name="Heading 2 2 3 2 3 7 5 2 2" xfId="38387"/>
    <cellStyle name="Heading 2 2 3 2 3 7 5 3" xfId="38388"/>
    <cellStyle name="Heading 2 2 3 2 3 7 6" xfId="38389"/>
    <cellStyle name="Heading 2 2 3 2 3 7 6 2" xfId="38390"/>
    <cellStyle name="Heading 2 2 3 2 3 7 6 2 2" xfId="38391"/>
    <cellStyle name="Heading 2 2 3 2 3 7 6 3" xfId="38392"/>
    <cellStyle name="Heading 2 2 3 2 3 7 7" xfId="38393"/>
    <cellStyle name="Heading 2 2 3 2 3 7 7 2" xfId="38394"/>
    <cellStyle name="Heading 2 2 3 2 3 7 7 2 2" xfId="38395"/>
    <cellStyle name="Heading 2 2 3 2 3 7 7 3" xfId="38396"/>
    <cellStyle name="Heading 2 2 3 2 3 7 8" xfId="38397"/>
    <cellStyle name="Heading 2 2 3 2 3 7 8 2" xfId="38398"/>
    <cellStyle name="Heading 2 2 3 2 3 7 9" xfId="38399"/>
    <cellStyle name="Heading 2 2 3 2 3 8" xfId="38400"/>
    <cellStyle name="Heading 2 2 3 2 3 8 2" xfId="38401"/>
    <cellStyle name="Heading 2 2 3 2 3 8 2 2" xfId="38402"/>
    <cellStyle name="Heading 2 2 3 2 3 8 2 2 2" xfId="38403"/>
    <cellStyle name="Heading 2 2 3 2 3 8 2 3" xfId="38404"/>
    <cellStyle name="Heading 2 2 3 2 3 8 3" xfId="38405"/>
    <cellStyle name="Heading 2 2 3 2 3 8 3 2" xfId="38406"/>
    <cellStyle name="Heading 2 2 3 2 3 8 3 2 2" xfId="38407"/>
    <cellStyle name="Heading 2 2 3 2 3 8 3 3" xfId="38408"/>
    <cellStyle name="Heading 2 2 3 2 3 8 4" xfId="38409"/>
    <cellStyle name="Heading 2 2 3 2 3 8 4 2" xfId="38410"/>
    <cellStyle name="Heading 2 2 3 2 3 8 4 2 2" xfId="38411"/>
    <cellStyle name="Heading 2 2 3 2 3 8 4 3" xfId="38412"/>
    <cellStyle name="Heading 2 2 3 2 3 8 5" xfId="38413"/>
    <cellStyle name="Heading 2 2 3 2 3 8 5 2" xfId="38414"/>
    <cellStyle name="Heading 2 2 3 2 3 8 5 2 2" xfId="38415"/>
    <cellStyle name="Heading 2 2 3 2 3 8 5 3" xfId="38416"/>
    <cellStyle name="Heading 2 2 3 2 3 8 6" xfId="38417"/>
    <cellStyle name="Heading 2 2 3 2 3 8 6 2" xfId="38418"/>
    <cellStyle name="Heading 2 2 3 2 3 8 6 2 2" xfId="38419"/>
    <cellStyle name="Heading 2 2 3 2 3 8 6 3" xfId="38420"/>
    <cellStyle name="Heading 2 2 3 2 3 8 7" xfId="38421"/>
    <cellStyle name="Heading 2 2 3 2 3 8 7 2" xfId="38422"/>
    <cellStyle name="Heading 2 2 3 2 3 8 7 2 2" xfId="38423"/>
    <cellStyle name="Heading 2 2 3 2 3 8 7 3" xfId="38424"/>
    <cellStyle name="Heading 2 2 3 2 3 8 8" xfId="38425"/>
    <cellStyle name="Heading 2 2 3 2 3 8 8 2" xfId="38426"/>
    <cellStyle name="Heading 2 2 3 2 3 8 9" xfId="38427"/>
    <cellStyle name="Heading 2 2 3 2 3 9" xfId="38428"/>
    <cellStyle name="Heading 2 2 3 2 3 9 2" xfId="38429"/>
    <cellStyle name="Heading 2 2 3 2 3 9 2 2" xfId="38430"/>
    <cellStyle name="Heading 2 2 3 2 3 9 3" xfId="38431"/>
    <cellStyle name="Heading 2 2 3 2 4" xfId="38432"/>
    <cellStyle name="Heading 2 2 3 2 4 2" xfId="38433"/>
    <cellStyle name="Heading 2 2 3 2 4 2 2" xfId="38434"/>
    <cellStyle name="Heading 2 2 3 2 4 3" xfId="38435"/>
    <cellStyle name="Heading 2 2 3 2 5" xfId="38436"/>
    <cellStyle name="Heading 2 2 3 2 5 2" xfId="38437"/>
    <cellStyle name="Heading 2 2 3 2 6" xfId="38438"/>
    <cellStyle name="Heading 2 2 3 20" xfId="38439"/>
    <cellStyle name="Heading 2 2 3 3" xfId="38440"/>
    <cellStyle name="Heading 2 2 3 3 2" xfId="38441"/>
    <cellStyle name="Heading 2 2 3 3 2 10" xfId="38442"/>
    <cellStyle name="Heading 2 2 3 3 2 10 2" xfId="38443"/>
    <cellStyle name="Heading 2 2 3 3 2 10 2 2" xfId="38444"/>
    <cellStyle name="Heading 2 2 3 3 2 10 3" xfId="38445"/>
    <cellStyle name="Heading 2 2 3 3 2 11" xfId="38446"/>
    <cellStyle name="Heading 2 2 3 3 2 11 2" xfId="38447"/>
    <cellStyle name="Heading 2 2 3 3 2 11 2 2" xfId="38448"/>
    <cellStyle name="Heading 2 2 3 3 2 11 3" xfId="38449"/>
    <cellStyle name="Heading 2 2 3 3 2 12" xfId="38450"/>
    <cellStyle name="Heading 2 2 3 3 2 12 2" xfId="38451"/>
    <cellStyle name="Heading 2 2 3 3 2 12 2 2" xfId="38452"/>
    <cellStyle name="Heading 2 2 3 3 2 12 3" xfId="38453"/>
    <cellStyle name="Heading 2 2 3 3 2 13" xfId="38454"/>
    <cellStyle name="Heading 2 2 3 3 2 13 2" xfId="38455"/>
    <cellStyle name="Heading 2 2 3 3 2 13 2 2" xfId="38456"/>
    <cellStyle name="Heading 2 2 3 3 2 13 3" xfId="38457"/>
    <cellStyle name="Heading 2 2 3 3 2 14" xfId="38458"/>
    <cellStyle name="Heading 2 2 3 3 2 14 2" xfId="38459"/>
    <cellStyle name="Heading 2 2 3 3 2 14 2 2" xfId="38460"/>
    <cellStyle name="Heading 2 2 3 3 2 14 3" xfId="38461"/>
    <cellStyle name="Heading 2 2 3 3 2 15" xfId="38462"/>
    <cellStyle name="Heading 2 2 3 3 2 15 2" xfId="38463"/>
    <cellStyle name="Heading 2 2 3 3 2 15 2 2" xfId="38464"/>
    <cellStyle name="Heading 2 2 3 3 2 15 3" xfId="38465"/>
    <cellStyle name="Heading 2 2 3 3 2 16" xfId="38466"/>
    <cellStyle name="Heading 2 2 3 3 2 16 2" xfId="38467"/>
    <cellStyle name="Heading 2 2 3 3 2 16 2 2" xfId="38468"/>
    <cellStyle name="Heading 2 2 3 3 2 16 3" xfId="38469"/>
    <cellStyle name="Heading 2 2 3 3 2 17" xfId="38470"/>
    <cellStyle name="Heading 2 2 3 3 2 17 2" xfId="38471"/>
    <cellStyle name="Heading 2 2 3 3 2 17 2 2" xfId="38472"/>
    <cellStyle name="Heading 2 2 3 3 2 17 3" xfId="38473"/>
    <cellStyle name="Heading 2 2 3 3 2 18" xfId="38474"/>
    <cellStyle name="Heading 2 2 3 3 2 18 2" xfId="38475"/>
    <cellStyle name="Heading 2 2 3 3 2 18 2 2" xfId="38476"/>
    <cellStyle name="Heading 2 2 3 3 2 18 3" xfId="38477"/>
    <cellStyle name="Heading 2 2 3 3 2 19" xfId="38478"/>
    <cellStyle name="Heading 2 2 3 3 2 19 2" xfId="38479"/>
    <cellStyle name="Heading 2 2 3 3 2 19 2 2" xfId="38480"/>
    <cellStyle name="Heading 2 2 3 3 2 19 3" xfId="38481"/>
    <cellStyle name="Heading 2 2 3 3 2 2" xfId="38482"/>
    <cellStyle name="Heading 2 2 3 3 2 2 10" xfId="38483"/>
    <cellStyle name="Heading 2 2 3 3 2 2 10 2" xfId="38484"/>
    <cellStyle name="Heading 2 2 3 3 2 2 10 2 2" xfId="38485"/>
    <cellStyle name="Heading 2 2 3 3 2 2 10 3" xfId="38486"/>
    <cellStyle name="Heading 2 2 3 3 2 2 11" xfId="38487"/>
    <cellStyle name="Heading 2 2 3 3 2 2 11 2" xfId="38488"/>
    <cellStyle name="Heading 2 2 3 3 2 2 11 2 2" xfId="38489"/>
    <cellStyle name="Heading 2 2 3 3 2 2 11 3" xfId="38490"/>
    <cellStyle name="Heading 2 2 3 3 2 2 12" xfId="38491"/>
    <cellStyle name="Heading 2 2 3 3 2 2 12 2" xfId="38492"/>
    <cellStyle name="Heading 2 2 3 3 2 2 12 2 2" xfId="38493"/>
    <cellStyle name="Heading 2 2 3 3 2 2 12 3" xfId="38494"/>
    <cellStyle name="Heading 2 2 3 3 2 2 13" xfId="38495"/>
    <cellStyle name="Heading 2 2 3 3 2 2 13 2" xfId="38496"/>
    <cellStyle name="Heading 2 2 3 3 2 2 13 2 2" xfId="38497"/>
    <cellStyle name="Heading 2 2 3 3 2 2 13 3" xfId="38498"/>
    <cellStyle name="Heading 2 2 3 3 2 2 14" xfId="38499"/>
    <cellStyle name="Heading 2 2 3 3 2 2 14 2" xfId="38500"/>
    <cellStyle name="Heading 2 2 3 3 2 2 14 2 2" xfId="38501"/>
    <cellStyle name="Heading 2 2 3 3 2 2 14 3" xfId="38502"/>
    <cellStyle name="Heading 2 2 3 3 2 2 15" xfId="38503"/>
    <cellStyle name="Heading 2 2 3 3 2 2 15 2" xfId="38504"/>
    <cellStyle name="Heading 2 2 3 3 2 2 15 2 2" xfId="38505"/>
    <cellStyle name="Heading 2 2 3 3 2 2 15 3" xfId="38506"/>
    <cellStyle name="Heading 2 2 3 3 2 2 16" xfId="38507"/>
    <cellStyle name="Heading 2 2 3 3 2 2 16 2" xfId="38508"/>
    <cellStyle name="Heading 2 2 3 3 2 2 16 2 2" xfId="38509"/>
    <cellStyle name="Heading 2 2 3 3 2 2 16 3" xfId="38510"/>
    <cellStyle name="Heading 2 2 3 3 2 2 17" xfId="38511"/>
    <cellStyle name="Heading 2 2 3 3 2 2 17 2" xfId="38512"/>
    <cellStyle name="Heading 2 2 3 3 2 2 17 2 2" xfId="38513"/>
    <cellStyle name="Heading 2 2 3 3 2 2 17 3" xfId="38514"/>
    <cellStyle name="Heading 2 2 3 3 2 2 18" xfId="38515"/>
    <cellStyle name="Heading 2 2 3 3 2 2 18 2" xfId="38516"/>
    <cellStyle name="Heading 2 2 3 3 2 2 18 2 2" xfId="38517"/>
    <cellStyle name="Heading 2 2 3 3 2 2 18 3" xfId="38518"/>
    <cellStyle name="Heading 2 2 3 3 2 2 19" xfId="38519"/>
    <cellStyle name="Heading 2 2 3 3 2 2 19 2" xfId="38520"/>
    <cellStyle name="Heading 2 2 3 3 2 2 2" xfId="38521"/>
    <cellStyle name="Heading 2 2 3 3 2 2 2 2" xfId="38522"/>
    <cellStyle name="Heading 2 2 3 3 2 2 2 2 2" xfId="38523"/>
    <cellStyle name="Heading 2 2 3 3 2 2 2 2 2 2" xfId="38524"/>
    <cellStyle name="Heading 2 2 3 3 2 2 2 2 3" xfId="38525"/>
    <cellStyle name="Heading 2 2 3 3 2 2 2 3" xfId="38526"/>
    <cellStyle name="Heading 2 2 3 3 2 2 2 3 2" xfId="38527"/>
    <cellStyle name="Heading 2 2 3 3 2 2 2 3 2 2" xfId="38528"/>
    <cellStyle name="Heading 2 2 3 3 2 2 2 3 3" xfId="38529"/>
    <cellStyle name="Heading 2 2 3 3 2 2 2 4" xfId="38530"/>
    <cellStyle name="Heading 2 2 3 3 2 2 2 4 2" xfId="38531"/>
    <cellStyle name="Heading 2 2 3 3 2 2 2 4 2 2" xfId="38532"/>
    <cellStyle name="Heading 2 2 3 3 2 2 2 4 3" xfId="38533"/>
    <cellStyle name="Heading 2 2 3 3 2 2 2 5" xfId="38534"/>
    <cellStyle name="Heading 2 2 3 3 2 2 2 5 2" xfId="38535"/>
    <cellStyle name="Heading 2 2 3 3 2 2 2 5 2 2" xfId="38536"/>
    <cellStyle name="Heading 2 2 3 3 2 2 2 5 3" xfId="38537"/>
    <cellStyle name="Heading 2 2 3 3 2 2 2 6" xfId="38538"/>
    <cellStyle name="Heading 2 2 3 3 2 2 2 6 2" xfId="38539"/>
    <cellStyle name="Heading 2 2 3 3 2 2 2 6 2 2" xfId="38540"/>
    <cellStyle name="Heading 2 2 3 3 2 2 2 6 3" xfId="38541"/>
    <cellStyle name="Heading 2 2 3 3 2 2 2 7" xfId="38542"/>
    <cellStyle name="Heading 2 2 3 3 2 2 2 7 2" xfId="38543"/>
    <cellStyle name="Heading 2 2 3 3 2 2 2 7 2 2" xfId="38544"/>
    <cellStyle name="Heading 2 2 3 3 2 2 2 7 3" xfId="38545"/>
    <cellStyle name="Heading 2 2 3 3 2 2 2 8" xfId="38546"/>
    <cellStyle name="Heading 2 2 3 3 2 2 2 8 2" xfId="38547"/>
    <cellStyle name="Heading 2 2 3 3 2 2 2 9" xfId="38548"/>
    <cellStyle name="Heading 2 2 3 3 2 2 20" xfId="38549"/>
    <cellStyle name="Heading 2 2 3 3 2 2 20 2" xfId="38550"/>
    <cellStyle name="Heading 2 2 3 3 2 2 21" xfId="38551"/>
    <cellStyle name="Heading 2 2 3 3 2 2 21 2" xfId="38552"/>
    <cellStyle name="Heading 2 2 3 3 2 2 22" xfId="38553"/>
    <cellStyle name="Heading 2 2 3 3 2 2 3" xfId="38554"/>
    <cellStyle name="Heading 2 2 3 3 2 2 3 2" xfId="38555"/>
    <cellStyle name="Heading 2 2 3 3 2 2 3 2 2" xfId="38556"/>
    <cellStyle name="Heading 2 2 3 3 2 2 3 2 2 2" xfId="38557"/>
    <cellStyle name="Heading 2 2 3 3 2 2 3 2 3" xfId="38558"/>
    <cellStyle name="Heading 2 2 3 3 2 2 3 3" xfId="38559"/>
    <cellStyle name="Heading 2 2 3 3 2 2 3 3 2" xfId="38560"/>
    <cellStyle name="Heading 2 2 3 3 2 2 3 3 2 2" xfId="38561"/>
    <cellStyle name="Heading 2 2 3 3 2 2 3 3 3" xfId="38562"/>
    <cellStyle name="Heading 2 2 3 3 2 2 3 4" xfId="38563"/>
    <cellStyle name="Heading 2 2 3 3 2 2 3 4 2" xfId="38564"/>
    <cellStyle name="Heading 2 2 3 3 2 2 3 4 2 2" xfId="38565"/>
    <cellStyle name="Heading 2 2 3 3 2 2 3 4 3" xfId="38566"/>
    <cellStyle name="Heading 2 2 3 3 2 2 3 5" xfId="38567"/>
    <cellStyle name="Heading 2 2 3 3 2 2 3 5 2" xfId="38568"/>
    <cellStyle name="Heading 2 2 3 3 2 2 3 5 2 2" xfId="38569"/>
    <cellStyle name="Heading 2 2 3 3 2 2 3 5 3" xfId="38570"/>
    <cellStyle name="Heading 2 2 3 3 2 2 3 6" xfId="38571"/>
    <cellStyle name="Heading 2 2 3 3 2 2 3 6 2" xfId="38572"/>
    <cellStyle name="Heading 2 2 3 3 2 2 3 6 2 2" xfId="38573"/>
    <cellStyle name="Heading 2 2 3 3 2 2 3 6 3" xfId="38574"/>
    <cellStyle name="Heading 2 2 3 3 2 2 3 7" xfId="38575"/>
    <cellStyle name="Heading 2 2 3 3 2 2 3 7 2" xfId="38576"/>
    <cellStyle name="Heading 2 2 3 3 2 2 3 7 2 2" xfId="38577"/>
    <cellStyle name="Heading 2 2 3 3 2 2 3 7 3" xfId="38578"/>
    <cellStyle name="Heading 2 2 3 3 2 2 3 8" xfId="38579"/>
    <cellStyle name="Heading 2 2 3 3 2 2 3 8 2" xfId="38580"/>
    <cellStyle name="Heading 2 2 3 3 2 2 3 9" xfId="38581"/>
    <cellStyle name="Heading 2 2 3 3 2 2 4" xfId="38582"/>
    <cellStyle name="Heading 2 2 3 3 2 2 4 2" xfId="38583"/>
    <cellStyle name="Heading 2 2 3 3 2 2 4 2 2" xfId="38584"/>
    <cellStyle name="Heading 2 2 3 3 2 2 4 2 2 2" xfId="38585"/>
    <cellStyle name="Heading 2 2 3 3 2 2 4 2 3" xfId="38586"/>
    <cellStyle name="Heading 2 2 3 3 2 2 4 3" xfId="38587"/>
    <cellStyle name="Heading 2 2 3 3 2 2 4 3 2" xfId="38588"/>
    <cellStyle name="Heading 2 2 3 3 2 2 4 3 2 2" xfId="38589"/>
    <cellStyle name="Heading 2 2 3 3 2 2 4 3 3" xfId="38590"/>
    <cellStyle name="Heading 2 2 3 3 2 2 4 4" xfId="38591"/>
    <cellStyle name="Heading 2 2 3 3 2 2 4 4 2" xfId="38592"/>
    <cellStyle name="Heading 2 2 3 3 2 2 4 4 2 2" xfId="38593"/>
    <cellStyle name="Heading 2 2 3 3 2 2 4 4 3" xfId="38594"/>
    <cellStyle name="Heading 2 2 3 3 2 2 4 5" xfId="38595"/>
    <cellStyle name="Heading 2 2 3 3 2 2 4 5 2" xfId="38596"/>
    <cellStyle name="Heading 2 2 3 3 2 2 4 5 2 2" xfId="38597"/>
    <cellStyle name="Heading 2 2 3 3 2 2 4 5 3" xfId="38598"/>
    <cellStyle name="Heading 2 2 3 3 2 2 4 6" xfId="38599"/>
    <cellStyle name="Heading 2 2 3 3 2 2 4 6 2" xfId="38600"/>
    <cellStyle name="Heading 2 2 3 3 2 2 4 6 2 2" xfId="38601"/>
    <cellStyle name="Heading 2 2 3 3 2 2 4 6 3" xfId="38602"/>
    <cellStyle name="Heading 2 2 3 3 2 2 4 7" xfId="38603"/>
    <cellStyle name="Heading 2 2 3 3 2 2 4 7 2" xfId="38604"/>
    <cellStyle name="Heading 2 2 3 3 2 2 4 7 2 2" xfId="38605"/>
    <cellStyle name="Heading 2 2 3 3 2 2 4 7 3" xfId="38606"/>
    <cellStyle name="Heading 2 2 3 3 2 2 4 8" xfId="38607"/>
    <cellStyle name="Heading 2 2 3 3 2 2 4 8 2" xfId="38608"/>
    <cellStyle name="Heading 2 2 3 3 2 2 4 9" xfId="38609"/>
    <cellStyle name="Heading 2 2 3 3 2 2 5" xfId="38610"/>
    <cellStyle name="Heading 2 2 3 3 2 2 5 2" xfId="38611"/>
    <cellStyle name="Heading 2 2 3 3 2 2 5 2 2" xfId="38612"/>
    <cellStyle name="Heading 2 2 3 3 2 2 5 2 2 2" xfId="38613"/>
    <cellStyle name="Heading 2 2 3 3 2 2 5 2 3" xfId="38614"/>
    <cellStyle name="Heading 2 2 3 3 2 2 5 3" xfId="38615"/>
    <cellStyle name="Heading 2 2 3 3 2 2 5 3 2" xfId="38616"/>
    <cellStyle name="Heading 2 2 3 3 2 2 5 3 2 2" xfId="38617"/>
    <cellStyle name="Heading 2 2 3 3 2 2 5 3 3" xfId="38618"/>
    <cellStyle name="Heading 2 2 3 3 2 2 5 4" xfId="38619"/>
    <cellStyle name="Heading 2 2 3 3 2 2 5 4 2" xfId="38620"/>
    <cellStyle name="Heading 2 2 3 3 2 2 5 4 2 2" xfId="38621"/>
    <cellStyle name="Heading 2 2 3 3 2 2 5 4 3" xfId="38622"/>
    <cellStyle name="Heading 2 2 3 3 2 2 5 5" xfId="38623"/>
    <cellStyle name="Heading 2 2 3 3 2 2 5 5 2" xfId="38624"/>
    <cellStyle name="Heading 2 2 3 3 2 2 5 5 2 2" xfId="38625"/>
    <cellStyle name="Heading 2 2 3 3 2 2 5 5 3" xfId="38626"/>
    <cellStyle name="Heading 2 2 3 3 2 2 5 6" xfId="38627"/>
    <cellStyle name="Heading 2 2 3 3 2 2 5 6 2" xfId="38628"/>
    <cellStyle name="Heading 2 2 3 3 2 2 5 6 2 2" xfId="38629"/>
    <cellStyle name="Heading 2 2 3 3 2 2 5 6 3" xfId="38630"/>
    <cellStyle name="Heading 2 2 3 3 2 2 5 7" xfId="38631"/>
    <cellStyle name="Heading 2 2 3 3 2 2 5 7 2" xfId="38632"/>
    <cellStyle name="Heading 2 2 3 3 2 2 5 7 2 2" xfId="38633"/>
    <cellStyle name="Heading 2 2 3 3 2 2 5 7 3" xfId="38634"/>
    <cellStyle name="Heading 2 2 3 3 2 2 5 8" xfId="38635"/>
    <cellStyle name="Heading 2 2 3 3 2 2 5 8 2" xfId="38636"/>
    <cellStyle name="Heading 2 2 3 3 2 2 5 9" xfId="38637"/>
    <cellStyle name="Heading 2 2 3 3 2 2 6" xfId="38638"/>
    <cellStyle name="Heading 2 2 3 3 2 2 6 2" xfId="38639"/>
    <cellStyle name="Heading 2 2 3 3 2 2 6 2 2" xfId="38640"/>
    <cellStyle name="Heading 2 2 3 3 2 2 6 2 2 2" xfId="38641"/>
    <cellStyle name="Heading 2 2 3 3 2 2 6 2 3" xfId="38642"/>
    <cellStyle name="Heading 2 2 3 3 2 2 6 3" xfId="38643"/>
    <cellStyle name="Heading 2 2 3 3 2 2 6 3 2" xfId="38644"/>
    <cellStyle name="Heading 2 2 3 3 2 2 6 3 2 2" xfId="38645"/>
    <cellStyle name="Heading 2 2 3 3 2 2 6 3 3" xfId="38646"/>
    <cellStyle name="Heading 2 2 3 3 2 2 6 4" xfId="38647"/>
    <cellStyle name="Heading 2 2 3 3 2 2 6 4 2" xfId="38648"/>
    <cellStyle name="Heading 2 2 3 3 2 2 6 4 2 2" xfId="38649"/>
    <cellStyle name="Heading 2 2 3 3 2 2 6 4 3" xfId="38650"/>
    <cellStyle name="Heading 2 2 3 3 2 2 6 5" xfId="38651"/>
    <cellStyle name="Heading 2 2 3 3 2 2 6 5 2" xfId="38652"/>
    <cellStyle name="Heading 2 2 3 3 2 2 6 5 2 2" xfId="38653"/>
    <cellStyle name="Heading 2 2 3 3 2 2 6 5 3" xfId="38654"/>
    <cellStyle name="Heading 2 2 3 3 2 2 6 6" xfId="38655"/>
    <cellStyle name="Heading 2 2 3 3 2 2 6 6 2" xfId="38656"/>
    <cellStyle name="Heading 2 2 3 3 2 2 6 6 2 2" xfId="38657"/>
    <cellStyle name="Heading 2 2 3 3 2 2 6 6 3" xfId="38658"/>
    <cellStyle name="Heading 2 2 3 3 2 2 6 7" xfId="38659"/>
    <cellStyle name="Heading 2 2 3 3 2 2 6 7 2" xfId="38660"/>
    <cellStyle name="Heading 2 2 3 3 2 2 6 7 2 2" xfId="38661"/>
    <cellStyle name="Heading 2 2 3 3 2 2 6 7 3" xfId="38662"/>
    <cellStyle name="Heading 2 2 3 3 2 2 6 8" xfId="38663"/>
    <cellStyle name="Heading 2 2 3 3 2 2 6 8 2" xfId="38664"/>
    <cellStyle name="Heading 2 2 3 3 2 2 6 9" xfId="38665"/>
    <cellStyle name="Heading 2 2 3 3 2 2 7" xfId="38666"/>
    <cellStyle name="Heading 2 2 3 3 2 2 7 2" xfId="38667"/>
    <cellStyle name="Heading 2 2 3 3 2 2 7 2 2" xfId="38668"/>
    <cellStyle name="Heading 2 2 3 3 2 2 7 2 2 2" xfId="38669"/>
    <cellStyle name="Heading 2 2 3 3 2 2 7 2 3" xfId="38670"/>
    <cellStyle name="Heading 2 2 3 3 2 2 7 3" xfId="38671"/>
    <cellStyle name="Heading 2 2 3 3 2 2 7 3 2" xfId="38672"/>
    <cellStyle name="Heading 2 2 3 3 2 2 7 3 2 2" xfId="38673"/>
    <cellStyle name="Heading 2 2 3 3 2 2 7 3 3" xfId="38674"/>
    <cellStyle name="Heading 2 2 3 3 2 2 7 4" xfId="38675"/>
    <cellStyle name="Heading 2 2 3 3 2 2 7 4 2" xfId="38676"/>
    <cellStyle name="Heading 2 2 3 3 2 2 7 4 2 2" xfId="38677"/>
    <cellStyle name="Heading 2 2 3 3 2 2 7 4 3" xfId="38678"/>
    <cellStyle name="Heading 2 2 3 3 2 2 7 5" xfId="38679"/>
    <cellStyle name="Heading 2 2 3 3 2 2 7 5 2" xfId="38680"/>
    <cellStyle name="Heading 2 2 3 3 2 2 7 5 2 2" xfId="38681"/>
    <cellStyle name="Heading 2 2 3 3 2 2 7 5 3" xfId="38682"/>
    <cellStyle name="Heading 2 2 3 3 2 2 7 6" xfId="38683"/>
    <cellStyle name="Heading 2 2 3 3 2 2 7 6 2" xfId="38684"/>
    <cellStyle name="Heading 2 2 3 3 2 2 7 6 2 2" xfId="38685"/>
    <cellStyle name="Heading 2 2 3 3 2 2 7 6 3" xfId="38686"/>
    <cellStyle name="Heading 2 2 3 3 2 2 7 7" xfId="38687"/>
    <cellStyle name="Heading 2 2 3 3 2 2 7 7 2" xfId="38688"/>
    <cellStyle name="Heading 2 2 3 3 2 2 7 7 2 2" xfId="38689"/>
    <cellStyle name="Heading 2 2 3 3 2 2 7 7 3" xfId="38690"/>
    <cellStyle name="Heading 2 2 3 3 2 2 7 8" xfId="38691"/>
    <cellStyle name="Heading 2 2 3 3 2 2 7 8 2" xfId="38692"/>
    <cellStyle name="Heading 2 2 3 3 2 2 7 9" xfId="38693"/>
    <cellStyle name="Heading 2 2 3 3 2 2 8" xfId="38694"/>
    <cellStyle name="Heading 2 2 3 3 2 2 8 2" xfId="38695"/>
    <cellStyle name="Heading 2 2 3 3 2 2 8 2 2" xfId="38696"/>
    <cellStyle name="Heading 2 2 3 3 2 2 8 2 2 2" xfId="38697"/>
    <cellStyle name="Heading 2 2 3 3 2 2 8 2 3" xfId="38698"/>
    <cellStyle name="Heading 2 2 3 3 2 2 8 3" xfId="38699"/>
    <cellStyle name="Heading 2 2 3 3 2 2 8 3 2" xfId="38700"/>
    <cellStyle name="Heading 2 2 3 3 2 2 8 3 2 2" xfId="38701"/>
    <cellStyle name="Heading 2 2 3 3 2 2 8 3 3" xfId="38702"/>
    <cellStyle name="Heading 2 2 3 3 2 2 8 4" xfId="38703"/>
    <cellStyle name="Heading 2 2 3 3 2 2 8 4 2" xfId="38704"/>
    <cellStyle name="Heading 2 2 3 3 2 2 8 4 2 2" xfId="38705"/>
    <cellStyle name="Heading 2 2 3 3 2 2 8 4 3" xfId="38706"/>
    <cellStyle name="Heading 2 2 3 3 2 2 8 5" xfId="38707"/>
    <cellStyle name="Heading 2 2 3 3 2 2 8 5 2" xfId="38708"/>
    <cellStyle name="Heading 2 2 3 3 2 2 8 5 2 2" xfId="38709"/>
    <cellStyle name="Heading 2 2 3 3 2 2 8 5 3" xfId="38710"/>
    <cellStyle name="Heading 2 2 3 3 2 2 8 6" xfId="38711"/>
    <cellStyle name="Heading 2 2 3 3 2 2 8 6 2" xfId="38712"/>
    <cellStyle name="Heading 2 2 3 3 2 2 8 6 2 2" xfId="38713"/>
    <cellStyle name="Heading 2 2 3 3 2 2 8 6 3" xfId="38714"/>
    <cellStyle name="Heading 2 2 3 3 2 2 8 7" xfId="38715"/>
    <cellStyle name="Heading 2 2 3 3 2 2 8 7 2" xfId="38716"/>
    <cellStyle name="Heading 2 2 3 3 2 2 8 7 2 2" xfId="38717"/>
    <cellStyle name="Heading 2 2 3 3 2 2 8 7 3" xfId="38718"/>
    <cellStyle name="Heading 2 2 3 3 2 2 8 8" xfId="38719"/>
    <cellStyle name="Heading 2 2 3 3 2 2 8 8 2" xfId="38720"/>
    <cellStyle name="Heading 2 2 3 3 2 2 8 9" xfId="38721"/>
    <cellStyle name="Heading 2 2 3 3 2 2 9" xfId="38722"/>
    <cellStyle name="Heading 2 2 3 3 2 2 9 2" xfId="38723"/>
    <cellStyle name="Heading 2 2 3 3 2 2 9 2 2" xfId="38724"/>
    <cellStyle name="Heading 2 2 3 3 2 2 9 3" xfId="38725"/>
    <cellStyle name="Heading 2 2 3 3 2 20" xfId="38726"/>
    <cellStyle name="Heading 2 2 3 3 2 20 2" xfId="38727"/>
    <cellStyle name="Heading 2 2 3 3 2 21" xfId="38728"/>
    <cellStyle name="Heading 2 2 3 3 2 21 2" xfId="38729"/>
    <cellStyle name="Heading 2 2 3 3 2 22" xfId="38730"/>
    <cellStyle name="Heading 2 2 3 3 2 22 2" xfId="38731"/>
    <cellStyle name="Heading 2 2 3 3 2 23" xfId="38732"/>
    <cellStyle name="Heading 2 2 3 3 2 3" xfId="38733"/>
    <cellStyle name="Heading 2 2 3 3 2 3 2" xfId="38734"/>
    <cellStyle name="Heading 2 2 3 3 2 3 2 2" xfId="38735"/>
    <cellStyle name="Heading 2 2 3 3 2 3 2 2 2" xfId="38736"/>
    <cellStyle name="Heading 2 2 3 3 2 3 2 3" xfId="38737"/>
    <cellStyle name="Heading 2 2 3 3 2 3 3" xfId="38738"/>
    <cellStyle name="Heading 2 2 3 3 2 3 3 2" xfId="38739"/>
    <cellStyle name="Heading 2 2 3 3 2 3 3 2 2" xfId="38740"/>
    <cellStyle name="Heading 2 2 3 3 2 3 3 3" xfId="38741"/>
    <cellStyle name="Heading 2 2 3 3 2 3 4" xfId="38742"/>
    <cellStyle name="Heading 2 2 3 3 2 3 4 2" xfId="38743"/>
    <cellStyle name="Heading 2 2 3 3 2 3 4 2 2" xfId="38744"/>
    <cellStyle name="Heading 2 2 3 3 2 3 4 3" xfId="38745"/>
    <cellStyle name="Heading 2 2 3 3 2 3 5" xfId="38746"/>
    <cellStyle name="Heading 2 2 3 3 2 3 5 2" xfId="38747"/>
    <cellStyle name="Heading 2 2 3 3 2 3 5 2 2" xfId="38748"/>
    <cellStyle name="Heading 2 2 3 3 2 3 5 3" xfId="38749"/>
    <cellStyle name="Heading 2 2 3 3 2 3 6" xfId="38750"/>
    <cellStyle name="Heading 2 2 3 3 2 3 6 2" xfId="38751"/>
    <cellStyle name="Heading 2 2 3 3 2 3 6 2 2" xfId="38752"/>
    <cellStyle name="Heading 2 2 3 3 2 3 6 3" xfId="38753"/>
    <cellStyle name="Heading 2 2 3 3 2 3 7" xfId="38754"/>
    <cellStyle name="Heading 2 2 3 3 2 3 7 2" xfId="38755"/>
    <cellStyle name="Heading 2 2 3 3 2 3 7 2 2" xfId="38756"/>
    <cellStyle name="Heading 2 2 3 3 2 3 7 3" xfId="38757"/>
    <cellStyle name="Heading 2 2 3 3 2 3 8" xfId="38758"/>
    <cellStyle name="Heading 2 2 3 3 2 3 8 2" xfId="38759"/>
    <cellStyle name="Heading 2 2 3 3 2 3 9" xfId="38760"/>
    <cellStyle name="Heading 2 2 3 3 2 4" xfId="38761"/>
    <cellStyle name="Heading 2 2 3 3 2 4 2" xfId="38762"/>
    <cellStyle name="Heading 2 2 3 3 2 4 2 2" xfId="38763"/>
    <cellStyle name="Heading 2 2 3 3 2 4 2 2 2" xfId="38764"/>
    <cellStyle name="Heading 2 2 3 3 2 4 2 3" xfId="38765"/>
    <cellStyle name="Heading 2 2 3 3 2 4 3" xfId="38766"/>
    <cellStyle name="Heading 2 2 3 3 2 4 3 2" xfId="38767"/>
    <cellStyle name="Heading 2 2 3 3 2 4 3 2 2" xfId="38768"/>
    <cellStyle name="Heading 2 2 3 3 2 4 3 3" xfId="38769"/>
    <cellStyle name="Heading 2 2 3 3 2 4 4" xfId="38770"/>
    <cellStyle name="Heading 2 2 3 3 2 4 4 2" xfId="38771"/>
    <cellStyle name="Heading 2 2 3 3 2 4 4 2 2" xfId="38772"/>
    <cellStyle name="Heading 2 2 3 3 2 4 4 3" xfId="38773"/>
    <cellStyle name="Heading 2 2 3 3 2 4 5" xfId="38774"/>
    <cellStyle name="Heading 2 2 3 3 2 4 5 2" xfId="38775"/>
    <cellStyle name="Heading 2 2 3 3 2 4 5 2 2" xfId="38776"/>
    <cellStyle name="Heading 2 2 3 3 2 4 5 3" xfId="38777"/>
    <cellStyle name="Heading 2 2 3 3 2 4 6" xfId="38778"/>
    <cellStyle name="Heading 2 2 3 3 2 4 6 2" xfId="38779"/>
    <cellStyle name="Heading 2 2 3 3 2 4 6 2 2" xfId="38780"/>
    <cellStyle name="Heading 2 2 3 3 2 4 6 3" xfId="38781"/>
    <cellStyle name="Heading 2 2 3 3 2 4 7" xfId="38782"/>
    <cellStyle name="Heading 2 2 3 3 2 4 7 2" xfId="38783"/>
    <cellStyle name="Heading 2 2 3 3 2 4 7 2 2" xfId="38784"/>
    <cellStyle name="Heading 2 2 3 3 2 4 7 3" xfId="38785"/>
    <cellStyle name="Heading 2 2 3 3 2 4 8" xfId="38786"/>
    <cellStyle name="Heading 2 2 3 3 2 4 8 2" xfId="38787"/>
    <cellStyle name="Heading 2 2 3 3 2 4 9" xfId="38788"/>
    <cellStyle name="Heading 2 2 3 3 2 5" xfId="38789"/>
    <cellStyle name="Heading 2 2 3 3 2 5 2" xfId="38790"/>
    <cellStyle name="Heading 2 2 3 3 2 5 2 2" xfId="38791"/>
    <cellStyle name="Heading 2 2 3 3 2 5 2 2 2" xfId="38792"/>
    <cellStyle name="Heading 2 2 3 3 2 5 2 3" xfId="38793"/>
    <cellStyle name="Heading 2 2 3 3 2 5 3" xfId="38794"/>
    <cellStyle name="Heading 2 2 3 3 2 5 3 2" xfId="38795"/>
    <cellStyle name="Heading 2 2 3 3 2 5 3 2 2" xfId="38796"/>
    <cellStyle name="Heading 2 2 3 3 2 5 3 3" xfId="38797"/>
    <cellStyle name="Heading 2 2 3 3 2 5 4" xfId="38798"/>
    <cellStyle name="Heading 2 2 3 3 2 5 4 2" xfId="38799"/>
    <cellStyle name="Heading 2 2 3 3 2 5 4 2 2" xfId="38800"/>
    <cellStyle name="Heading 2 2 3 3 2 5 4 3" xfId="38801"/>
    <cellStyle name="Heading 2 2 3 3 2 5 5" xfId="38802"/>
    <cellStyle name="Heading 2 2 3 3 2 5 5 2" xfId="38803"/>
    <cellStyle name="Heading 2 2 3 3 2 5 5 2 2" xfId="38804"/>
    <cellStyle name="Heading 2 2 3 3 2 5 5 3" xfId="38805"/>
    <cellStyle name="Heading 2 2 3 3 2 5 6" xfId="38806"/>
    <cellStyle name="Heading 2 2 3 3 2 5 6 2" xfId="38807"/>
    <cellStyle name="Heading 2 2 3 3 2 5 6 2 2" xfId="38808"/>
    <cellStyle name="Heading 2 2 3 3 2 5 6 3" xfId="38809"/>
    <cellStyle name="Heading 2 2 3 3 2 5 7" xfId="38810"/>
    <cellStyle name="Heading 2 2 3 3 2 5 7 2" xfId="38811"/>
    <cellStyle name="Heading 2 2 3 3 2 5 7 2 2" xfId="38812"/>
    <cellStyle name="Heading 2 2 3 3 2 5 7 3" xfId="38813"/>
    <cellStyle name="Heading 2 2 3 3 2 5 8" xfId="38814"/>
    <cellStyle name="Heading 2 2 3 3 2 5 8 2" xfId="38815"/>
    <cellStyle name="Heading 2 2 3 3 2 5 9" xfId="38816"/>
    <cellStyle name="Heading 2 2 3 3 2 6" xfId="38817"/>
    <cellStyle name="Heading 2 2 3 3 2 6 2" xfId="38818"/>
    <cellStyle name="Heading 2 2 3 3 2 6 2 2" xfId="38819"/>
    <cellStyle name="Heading 2 2 3 3 2 6 2 2 2" xfId="38820"/>
    <cellStyle name="Heading 2 2 3 3 2 6 2 3" xfId="38821"/>
    <cellStyle name="Heading 2 2 3 3 2 6 3" xfId="38822"/>
    <cellStyle name="Heading 2 2 3 3 2 6 3 2" xfId="38823"/>
    <cellStyle name="Heading 2 2 3 3 2 6 3 2 2" xfId="38824"/>
    <cellStyle name="Heading 2 2 3 3 2 6 3 3" xfId="38825"/>
    <cellStyle name="Heading 2 2 3 3 2 6 4" xfId="38826"/>
    <cellStyle name="Heading 2 2 3 3 2 6 4 2" xfId="38827"/>
    <cellStyle name="Heading 2 2 3 3 2 6 4 2 2" xfId="38828"/>
    <cellStyle name="Heading 2 2 3 3 2 6 4 3" xfId="38829"/>
    <cellStyle name="Heading 2 2 3 3 2 6 5" xfId="38830"/>
    <cellStyle name="Heading 2 2 3 3 2 6 5 2" xfId="38831"/>
    <cellStyle name="Heading 2 2 3 3 2 6 5 2 2" xfId="38832"/>
    <cellStyle name="Heading 2 2 3 3 2 6 5 3" xfId="38833"/>
    <cellStyle name="Heading 2 2 3 3 2 6 6" xfId="38834"/>
    <cellStyle name="Heading 2 2 3 3 2 6 6 2" xfId="38835"/>
    <cellStyle name="Heading 2 2 3 3 2 6 6 2 2" xfId="38836"/>
    <cellStyle name="Heading 2 2 3 3 2 6 6 3" xfId="38837"/>
    <cellStyle name="Heading 2 2 3 3 2 6 7" xfId="38838"/>
    <cellStyle name="Heading 2 2 3 3 2 6 7 2" xfId="38839"/>
    <cellStyle name="Heading 2 2 3 3 2 6 7 2 2" xfId="38840"/>
    <cellStyle name="Heading 2 2 3 3 2 6 7 3" xfId="38841"/>
    <cellStyle name="Heading 2 2 3 3 2 6 8" xfId="38842"/>
    <cellStyle name="Heading 2 2 3 3 2 6 8 2" xfId="38843"/>
    <cellStyle name="Heading 2 2 3 3 2 6 9" xfId="38844"/>
    <cellStyle name="Heading 2 2 3 3 2 7" xfId="38845"/>
    <cellStyle name="Heading 2 2 3 3 2 7 2" xfId="38846"/>
    <cellStyle name="Heading 2 2 3 3 2 7 2 2" xfId="38847"/>
    <cellStyle name="Heading 2 2 3 3 2 7 2 2 2" xfId="38848"/>
    <cellStyle name="Heading 2 2 3 3 2 7 2 3" xfId="38849"/>
    <cellStyle name="Heading 2 2 3 3 2 7 3" xfId="38850"/>
    <cellStyle name="Heading 2 2 3 3 2 7 3 2" xfId="38851"/>
    <cellStyle name="Heading 2 2 3 3 2 7 3 2 2" xfId="38852"/>
    <cellStyle name="Heading 2 2 3 3 2 7 3 3" xfId="38853"/>
    <cellStyle name="Heading 2 2 3 3 2 7 4" xfId="38854"/>
    <cellStyle name="Heading 2 2 3 3 2 7 4 2" xfId="38855"/>
    <cellStyle name="Heading 2 2 3 3 2 7 4 2 2" xfId="38856"/>
    <cellStyle name="Heading 2 2 3 3 2 7 4 3" xfId="38857"/>
    <cellStyle name="Heading 2 2 3 3 2 7 5" xfId="38858"/>
    <cellStyle name="Heading 2 2 3 3 2 7 5 2" xfId="38859"/>
    <cellStyle name="Heading 2 2 3 3 2 7 5 2 2" xfId="38860"/>
    <cellStyle name="Heading 2 2 3 3 2 7 5 3" xfId="38861"/>
    <cellStyle name="Heading 2 2 3 3 2 7 6" xfId="38862"/>
    <cellStyle name="Heading 2 2 3 3 2 7 6 2" xfId="38863"/>
    <cellStyle name="Heading 2 2 3 3 2 7 6 2 2" xfId="38864"/>
    <cellStyle name="Heading 2 2 3 3 2 7 6 3" xfId="38865"/>
    <cellStyle name="Heading 2 2 3 3 2 7 7" xfId="38866"/>
    <cellStyle name="Heading 2 2 3 3 2 7 7 2" xfId="38867"/>
    <cellStyle name="Heading 2 2 3 3 2 7 7 2 2" xfId="38868"/>
    <cellStyle name="Heading 2 2 3 3 2 7 7 3" xfId="38869"/>
    <cellStyle name="Heading 2 2 3 3 2 7 8" xfId="38870"/>
    <cellStyle name="Heading 2 2 3 3 2 7 8 2" xfId="38871"/>
    <cellStyle name="Heading 2 2 3 3 2 7 9" xfId="38872"/>
    <cellStyle name="Heading 2 2 3 3 2 8" xfId="38873"/>
    <cellStyle name="Heading 2 2 3 3 2 8 2" xfId="38874"/>
    <cellStyle name="Heading 2 2 3 3 2 8 2 2" xfId="38875"/>
    <cellStyle name="Heading 2 2 3 3 2 8 2 2 2" xfId="38876"/>
    <cellStyle name="Heading 2 2 3 3 2 8 2 3" xfId="38877"/>
    <cellStyle name="Heading 2 2 3 3 2 8 3" xfId="38878"/>
    <cellStyle name="Heading 2 2 3 3 2 8 3 2" xfId="38879"/>
    <cellStyle name="Heading 2 2 3 3 2 8 3 2 2" xfId="38880"/>
    <cellStyle name="Heading 2 2 3 3 2 8 3 3" xfId="38881"/>
    <cellStyle name="Heading 2 2 3 3 2 8 4" xfId="38882"/>
    <cellStyle name="Heading 2 2 3 3 2 8 4 2" xfId="38883"/>
    <cellStyle name="Heading 2 2 3 3 2 8 4 2 2" xfId="38884"/>
    <cellStyle name="Heading 2 2 3 3 2 8 4 3" xfId="38885"/>
    <cellStyle name="Heading 2 2 3 3 2 8 5" xfId="38886"/>
    <cellStyle name="Heading 2 2 3 3 2 8 5 2" xfId="38887"/>
    <cellStyle name="Heading 2 2 3 3 2 8 5 2 2" xfId="38888"/>
    <cellStyle name="Heading 2 2 3 3 2 8 5 3" xfId="38889"/>
    <cellStyle name="Heading 2 2 3 3 2 8 6" xfId="38890"/>
    <cellStyle name="Heading 2 2 3 3 2 8 6 2" xfId="38891"/>
    <cellStyle name="Heading 2 2 3 3 2 8 6 2 2" xfId="38892"/>
    <cellStyle name="Heading 2 2 3 3 2 8 6 3" xfId="38893"/>
    <cellStyle name="Heading 2 2 3 3 2 8 7" xfId="38894"/>
    <cellStyle name="Heading 2 2 3 3 2 8 7 2" xfId="38895"/>
    <cellStyle name="Heading 2 2 3 3 2 8 7 2 2" xfId="38896"/>
    <cellStyle name="Heading 2 2 3 3 2 8 7 3" xfId="38897"/>
    <cellStyle name="Heading 2 2 3 3 2 8 8" xfId="38898"/>
    <cellStyle name="Heading 2 2 3 3 2 8 8 2" xfId="38899"/>
    <cellStyle name="Heading 2 2 3 3 2 8 9" xfId="38900"/>
    <cellStyle name="Heading 2 2 3 3 2 9" xfId="38901"/>
    <cellStyle name="Heading 2 2 3 3 2 9 2" xfId="38902"/>
    <cellStyle name="Heading 2 2 3 3 2 9 2 2" xfId="38903"/>
    <cellStyle name="Heading 2 2 3 3 2 9 2 2 2" xfId="38904"/>
    <cellStyle name="Heading 2 2 3 3 2 9 2 3" xfId="38905"/>
    <cellStyle name="Heading 2 2 3 3 2 9 3" xfId="38906"/>
    <cellStyle name="Heading 2 2 3 3 2 9 3 2" xfId="38907"/>
    <cellStyle name="Heading 2 2 3 3 2 9 3 2 2" xfId="38908"/>
    <cellStyle name="Heading 2 2 3 3 2 9 3 3" xfId="38909"/>
    <cellStyle name="Heading 2 2 3 3 2 9 4" xfId="38910"/>
    <cellStyle name="Heading 2 2 3 3 2 9 4 2" xfId="38911"/>
    <cellStyle name="Heading 2 2 3 3 2 9 4 2 2" xfId="38912"/>
    <cellStyle name="Heading 2 2 3 3 2 9 4 3" xfId="38913"/>
    <cellStyle name="Heading 2 2 3 3 2 9 5" xfId="38914"/>
    <cellStyle name="Heading 2 2 3 3 2 9 5 2" xfId="38915"/>
    <cellStyle name="Heading 2 2 3 3 2 9 5 2 2" xfId="38916"/>
    <cellStyle name="Heading 2 2 3 3 2 9 5 3" xfId="38917"/>
    <cellStyle name="Heading 2 2 3 3 2 9 6" xfId="38918"/>
    <cellStyle name="Heading 2 2 3 3 2 9 6 2" xfId="38919"/>
    <cellStyle name="Heading 2 2 3 3 2 9 6 2 2" xfId="38920"/>
    <cellStyle name="Heading 2 2 3 3 2 9 6 3" xfId="38921"/>
    <cellStyle name="Heading 2 2 3 3 2 9 7" xfId="38922"/>
    <cellStyle name="Heading 2 2 3 3 2 9 7 2" xfId="38923"/>
    <cellStyle name="Heading 2 2 3 3 2 9 7 2 2" xfId="38924"/>
    <cellStyle name="Heading 2 2 3 3 2 9 7 3" xfId="38925"/>
    <cellStyle name="Heading 2 2 3 3 2 9 8" xfId="38926"/>
    <cellStyle name="Heading 2 2 3 3 2 9 8 2" xfId="38927"/>
    <cellStyle name="Heading 2 2 3 3 2 9 9" xfId="38928"/>
    <cellStyle name="Heading 2 2 3 3 3" xfId="38929"/>
    <cellStyle name="Heading 2 2 3 3 3 10" xfId="38930"/>
    <cellStyle name="Heading 2 2 3 3 3 10 2" xfId="38931"/>
    <cellStyle name="Heading 2 2 3 3 3 10 2 2" xfId="38932"/>
    <cellStyle name="Heading 2 2 3 3 3 10 3" xfId="38933"/>
    <cellStyle name="Heading 2 2 3 3 3 11" xfId="38934"/>
    <cellStyle name="Heading 2 2 3 3 3 11 2" xfId="38935"/>
    <cellStyle name="Heading 2 2 3 3 3 11 2 2" xfId="38936"/>
    <cellStyle name="Heading 2 2 3 3 3 11 3" xfId="38937"/>
    <cellStyle name="Heading 2 2 3 3 3 12" xfId="38938"/>
    <cellStyle name="Heading 2 2 3 3 3 12 2" xfId="38939"/>
    <cellStyle name="Heading 2 2 3 3 3 12 2 2" xfId="38940"/>
    <cellStyle name="Heading 2 2 3 3 3 12 3" xfId="38941"/>
    <cellStyle name="Heading 2 2 3 3 3 13" xfId="38942"/>
    <cellStyle name="Heading 2 2 3 3 3 13 2" xfId="38943"/>
    <cellStyle name="Heading 2 2 3 3 3 13 2 2" xfId="38944"/>
    <cellStyle name="Heading 2 2 3 3 3 13 3" xfId="38945"/>
    <cellStyle name="Heading 2 2 3 3 3 14" xfId="38946"/>
    <cellStyle name="Heading 2 2 3 3 3 14 2" xfId="38947"/>
    <cellStyle name="Heading 2 2 3 3 3 14 2 2" xfId="38948"/>
    <cellStyle name="Heading 2 2 3 3 3 14 3" xfId="38949"/>
    <cellStyle name="Heading 2 2 3 3 3 15" xfId="38950"/>
    <cellStyle name="Heading 2 2 3 3 3 15 2" xfId="38951"/>
    <cellStyle name="Heading 2 2 3 3 3 15 2 2" xfId="38952"/>
    <cellStyle name="Heading 2 2 3 3 3 15 3" xfId="38953"/>
    <cellStyle name="Heading 2 2 3 3 3 16" xfId="38954"/>
    <cellStyle name="Heading 2 2 3 3 3 16 2" xfId="38955"/>
    <cellStyle name="Heading 2 2 3 3 3 16 2 2" xfId="38956"/>
    <cellStyle name="Heading 2 2 3 3 3 16 3" xfId="38957"/>
    <cellStyle name="Heading 2 2 3 3 3 17" xfId="38958"/>
    <cellStyle name="Heading 2 2 3 3 3 17 2" xfId="38959"/>
    <cellStyle name="Heading 2 2 3 3 3 17 2 2" xfId="38960"/>
    <cellStyle name="Heading 2 2 3 3 3 17 3" xfId="38961"/>
    <cellStyle name="Heading 2 2 3 3 3 18" xfId="38962"/>
    <cellStyle name="Heading 2 2 3 3 3 18 2" xfId="38963"/>
    <cellStyle name="Heading 2 2 3 3 3 18 2 2" xfId="38964"/>
    <cellStyle name="Heading 2 2 3 3 3 18 3" xfId="38965"/>
    <cellStyle name="Heading 2 2 3 3 3 19" xfId="38966"/>
    <cellStyle name="Heading 2 2 3 3 3 19 2" xfId="38967"/>
    <cellStyle name="Heading 2 2 3 3 3 2" xfId="38968"/>
    <cellStyle name="Heading 2 2 3 3 3 2 2" xfId="38969"/>
    <cellStyle name="Heading 2 2 3 3 3 2 2 2" xfId="38970"/>
    <cellStyle name="Heading 2 2 3 3 3 2 2 2 2" xfId="38971"/>
    <cellStyle name="Heading 2 2 3 3 3 2 2 3" xfId="38972"/>
    <cellStyle name="Heading 2 2 3 3 3 2 3" xfId="38973"/>
    <cellStyle name="Heading 2 2 3 3 3 2 3 2" xfId="38974"/>
    <cellStyle name="Heading 2 2 3 3 3 2 3 2 2" xfId="38975"/>
    <cellStyle name="Heading 2 2 3 3 3 2 3 3" xfId="38976"/>
    <cellStyle name="Heading 2 2 3 3 3 2 4" xfId="38977"/>
    <cellStyle name="Heading 2 2 3 3 3 2 4 2" xfId="38978"/>
    <cellStyle name="Heading 2 2 3 3 3 2 4 2 2" xfId="38979"/>
    <cellStyle name="Heading 2 2 3 3 3 2 4 3" xfId="38980"/>
    <cellStyle name="Heading 2 2 3 3 3 2 5" xfId="38981"/>
    <cellStyle name="Heading 2 2 3 3 3 2 5 2" xfId="38982"/>
    <cellStyle name="Heading 2 2 3 3 3 2 5 2 2" xfId="38983"/>
    <cellStyle name="Heading 2 2 3 3 3 2 5 3" xfId="38984"/>
    <cellStyle name="Heading 2 2 3 3 3 2 6" xfId="38985"/>
    <cellStyle name="Heading 2 2 3 3 3 2 6 2" xfId="38986"/>
    <cellStyle name="Heading 2 2 3 3 3 2 6 2 2" xfId="38987"/>
    <cellStyle name="Heading 2 2 3 3 3 2 6 3" xfId="38988"/>
    <cellStyle name="Heading 2 2 3 3 3 2 7" xfId="38989"/>
    <cellStyle name="Heading 2 2 3 3 3 2 7 2" xfId="38990"/>
    <cellStyle name="Heading 2 2 3 3 3 2 7 2 2" xfId="38991"/>
    <cellStyle name="Heading 2 2 3 3 3 2 7 3" xfId="38992"/>
    <cellStyle name="Heading 2 2 3 3 3 2 8" xfId="38993"/>
    <cellStyle name="Heading 2 2 3 3 3 2 8 2" xfId="38994"/>
    <cellStyle name="Heading 2 2 3 3 3 2 9" xfId="38995"/>
    <cellStyle name="Heading 2 2 3 3 3 20" xfId="38996"/>
    <cellStyle name="Heading 2 2 3 3 3 20 2" xfId="38997"/>
    <cellStyle name="Heading 2 2 3 3 3 21" xfId="38998"/>
    <cellStyle name="Heading 2 2 3 3 3 21 2" xfId="38999"/>
    <cellStyle name="Heading 2 2 3 3 3 22" xfId="39000"/>
    <cellStyle name="Heading 2 2 3 3 3 3" xfId="39001"/>
    <cellStyle name="Heading 2 2 3 3 3 3 2" xfId="39002"/>
    <cellStyle name="Heading 2 2 3 3 3 3 2 2" xfId="39003"/>
    <cellStyle name="Heading 2 2 3 3 3 3 2 2 2" xfId="39004"/>
    <cellStyle name="Heading 2 2 3 3 3 3 2 3" xfId="39005"/>
    <cellStyle name="Heading 2 2 3 3 3 3 3" xfId="39006"/>
    <cellStyle name="Heading 2 2 3 3 3 3 3 2" xfId="39007"/>
    <cellStyle name="Heading 2 2 3 3 3 3 3 2 2" xfId="39008"/>
    <cellStyle name="Heading 2 2 3 3 3 3 3 3" xfId="39009"/>
    <cellStyle name="Heading 2 2 3 3 3 3 4" xfId="39010"/>
    <cellStyle name="Heading 2 2 3 3 3 3 4 2" xfId="39011"/>
    <cellStyle name="Heading 2 2 3 3 3 3 4 2 2" xfId="39012"/>
    <cellStyle name="Heading 2 2 3 3 3 3 4 3" xfId="39013"/>
    <cellStyle name="Heading 2 2 3 3 3 3 5" xfId="39014"/>
    <cellStyle name="Heading 2 2 3 3 3 3 5 2" xfId="39015"/>
    <cellStyle name="Heading 2 2 3 3 3 3 5 2 2" xfId="39016"/>
    <cellStyle name="Heading 2 2 3 3 3 3 5 3" xfId="39017"/>
    <cellStyle name="Heading 2 2 3 3 3 3 6" xfId="39018"/>
    <cellStyle name="Heading 2 2 3 3 3 3 6 2" xfId="39019"/>
    <cellStyle name="Heading 2 2 3 3 3 3 6 2 2" xfId="39020"/>
    <cellStyle name="Heading 2 2 3 3 3 3 6 3" xfId="39021"/>
    <cellStyle name="Heading 2 2 3 3 3 3 7" xfId="39022"/>
    <cellStyle name="Heading 2 2 3 3 3 3 7 2" xfId="39023"/>
    <cellStyle name="Heading 2 2 3 3 3 3 7 2 2" xfId="39024"/>
    <cellStyle name="Heading 2 2 3 3 3 3 7 3" xfId="39025"/>
    <cellStyle name="Heading 2 2 3 3 3 3 8" xfId="39026"/>
    <cellStyle name="Heading 2 2 3 3 3 3 8 2" xfId="39027"/>
    <cellStyle name="Heading 2 2 3 3 3 3 9" xfId="39028"/>
    <cellStyle name="Heading 2 2 3 3 3 4" xfId="39029"/>
    <cellStyle name="Heading 2 2 3 3 3 4 2" xfId="39030"/>
    <cellStyle name="Heading 2 2 3 3 3 4 2 2" xfId="39031"/>
    <cellStyle name="Heading 2 2 3 3 3 4 2 2 2" xfId="39032"/>
    <cellStyle name="Heading 2 2 3 3 3 4 2 3" xfId="39033"/>
    <cellStyle name="Heading 2 2 3 3 3 4 3" xfId="39034"/>
    <cellStyle name="Heading 2 2 3 3 3 4 3 2" xfId="39035"/>
    <cellStyle name="Heading 2 2 3 3 3 4 3 2 2" xfId="39036"/>
    <cellStyle name="Heading 2 2 3 3 3 4 3 3" xfId="39037"/>
    <cellStyle name="Heading 2 2 3 3 3 4 4" xfId="39038"/>
    <cellStyle name="Heading 2 2 3 3 3 4 4 2" xfId="39039"/>
    <cellStyle name="Heading 2 2 3 3 3 4 4 2 2" xfId="39040"/>
    <cellStyle name="Heading 2 2 3 3 3 4 4 3" xfId="39041"/>
    <cellStyle name="Heading 2 2 3 3 3 4 5" xfId="39042"/>
    <cellStyle name="Heading 2 2 3 3 3 4 5 2" xfId="39043"/>
    <cellStyle name="Heading 2 2 3 3 3 4 5 2 2" xfId="39044"/>
    <cellStyle name="Heading 2 2 3 3 3 4 5 3" xfId="39045"/>
    <cellStyle name="Heading 2 2 3 3 3 4 6" xfId="39046"/>
    <cellStyle name="Heading 2 2 3 3 3 4 6 2" xfId="39047"/>
    <cellStyle name="Heading 2 2 3 3 3 4 6 2 2" xfId="39048"/>
    <cellStyle name="Heading 2 2 3 3 3 4 6 3" xfId="39049"/>
    <cellStyle name="Heading 2 2 3 3 3 4 7" xfId="39050"/>
    <cellStyle name="Heading 2 2 3 3 3 4 7 2" xfId="39051"/>
    <cellStyle name="Heading 2 2 3 3 3 4 7 2 2" xfId="39052"/>
    <cellStyle name="Heading 2 2 3 3 3 4 7 3" xfId="39053"/>
    <cellStyle name="Heading 2 2 3 3 3 4 8" xfId="39054"/>
    <cellStyle name="Heading 2 2 3 3 3 4 8 2" xfId="39055"/>
    <cellStyle name="Heading 2 2 3 3 3 4 9" xfId="39056"/>
    <cellStyle name="Heading 2 2 3 3 3 5" xfId="39057"/>
    <cellStyle name="Heading 2 2 3 3 3 5 2" xfId="39058"/>
    <cellStyle name="Heading 2 2 3 3 3 5 2 2" xfId="39059"/>
    <cellStyle name="Heading 2 2 3 3 3 5 2 2 2" xfId="39060"/>
    <cellStyle name="Heading 2 2 3 3 3 5 2 3" xfId="39061"/>
    <cellStyle name="Heading 2 2 3 3 3 5 3" xfId="39062"/>
    <cellStyle name="Heading 2 2 3 3 3 5 3 2" xfId="39063"/>
    <cellStyle name="Heading 2 2 3 3 3 5 3 2 2" xfId="39064"/>
    <cellStyle name="Heading 2 2 3 3 3 5 3 3" xfId="39065"/>
    <cellStyle name="Heading 2 2 3 3 3 5 4" xfId="39066"/>
    <cellStyle name="Heading 2 2 3 3 3 5 4 2" xfId="39067"/>
    <cellStyle name="Heading 2 2 3 3 3 5 4 2 2" xfId="39068"/>
    <cellStyle name="Heading 2 2 3 3 3 5 4 3" xfId="39069"/>
    <cellStyle name="Heading 2 2 3 3 3 5 5" xfId="39070"/>
    <cellStyle name="Heading 2 2 3 3 3 5 5 2" xfId="39071"/>
    <cellStyle name="Heading 2 2 3 3 3 5 5 2 2" xfId="39072"/>
    <cellStyle name="Heading 2 2 3 3 3 5 5 3" xfId="39073"/>
    <cellStyle name="Heading 2 2 3 3 3 5 6" xfId="39074"/>
    <cellStyle name="Heading 2 2 3 3 3 5 6 2" xfId="39075"/>
    <cellStyle name="Heading 2 2 3 3 3 5 6 2 2" xfId="39076"/>
    <cellStyle name="Heading 2 2 3 3 3 5 6 3" xfId="39077"/>
    <cellStyle name="Heading 2 2 3 3 3 5 7" xfId="39078"/>
    <cellStyle name="Heading 2 2 3 3 3 5 7 2" xfId="39079"/>
    <cellStyle name="Heading 2 2 3 3 3 5 7 2 2" xfId="39080"/>
    <cellStyle name="Heading 2 2 3 3 3 5 7 3" xfId="39081"/>
    <cellStyle name="Heading 2 2 3 3 3 5 8" xfId="39082"/>
    <cellStyle name="Heading 2 2 3 3 3 5 8 2" xfId="39083"/>
    <cellStyle name="Heading 2 2 3 3 3 5 9" xfId="39084"/>
    <cellStyle name="Heading 2 2 3 3 3 6" xfId="39085"/>
    <cellStyle name="Heading 2 2 3 3 3 6 2" xfId="39086"/>
    <cellStyle name="Heading 2 2 3 3 3 6 2 2" xfId="39087"/>
    <cellStyle name="Heading 2 2 3 3 3 6 2 2 2" xfId="39088"/>
    <cellStyle name="Heading 2 2 3 3 3 6 2 3" xfId="39089"/>
    <cellStyle name="Heading 2 2 3 3 3 6 3" xfId="39090"/>
    <cellStyle name="Heading 2 2 3 3 3 6 3 2" xfId="39091"/>
    <cellStyle name="Heading 2 2 3 3 3 6 3 2 2" xfId="39092"/>
    <cellStyle name="Heading 2 2 3 3 3 6 3 3" xfId="39093"/>
    <cellStyle name="Heading 2 2 3 3 3 6 4" xfId="39094"/>
    <cellStyle name="Heading 2 2 3 3 3 6 4 2" xfId="39095"/>
    <cellStyle name="Heading 2 2 3 3 3 6 4 2 2" xfId="39096"/>
    <cellStyle name="Heading 2 2 3 3 3 6 4 3" xfId="39097"/>
    <cellStyle name="Heading 2 2 3 3 3 6 5" xfId="39098"/>
    <cellStyle name="Heading 2 2 3 3 3 6 5 2" xfId="39099"/>
    <cellStyle name="Heading 2 2 3 3 3 6 5 2 2" xfId="39100"/>
    <cellStyle name="Heading 2 2 3 3 3 6 5 3" xfId="39101"/>
    <cellStyle name="Heading 2 2 3 3 3 6 6" xfId="39102"/>
    <cellStyle name="Heading 2 2 3 3 3 6 6 2" xfId="39103"/>
    <cellStyle name="Heading 2 2 3 3 3 6 6 2 2" xfId="39104"/>
    <cellStyle name="Heading 2 2 3 3 3 6 6 3" xfId="39105"/>
    <cellStyle name="Heading 2 2 3 3 3 6 7" xfId="39106"/>
    <cellStyle name="Heading 2 2 3 3 3 6 7 2" xfId="39107"/>
    <cellStyle name="Heading 2 2 3 3 3 6 7 2 2" xfId="39108"/>
    <cellStyle name="Heading 2 2 3 3 3 6 7 3" xfId="39109"/>
    <cellStyle name="Heading 2 2 3 3 3 6 8" xfId="39110"/>
    <cellStyle name="Heading 2 2 3 3 3 6 8 2" xfId="39111"/>
    <cellStyle name="Heading 2 2 3 3 3 6 9" xfId="39112"/>
    <cellStyle name="Heading 2 2 3 3 3 7" xfId="39113"/>
    <cellStyle name="Heading 2 2 3 3 3 7 2" xfId="39114"/>
    <cellStyle name="Heading 2 2 3 3 3 7 2 2" xfId="39115"/>
    <cellStyle name="Heading 2 2 3 3 3 7 2 2 2" xfId="39116"/>
    <cellStyle name="Heading 2 2 3 3 3 7 2 3" xfId="39117"/>
    <cellStyle name="Heading 2 2 3 3 3 7 3" xfId="39118"/>
    <cellStyle name="Heading 2 2 3 3 3 7 3 2" xfId="39119"/>
    <cellStyle name="Heading 2 2 3 3 3 7 3 2 2" xfId="39120"/>
    <cellStyle name="Heading 2 2 3 3 3 7 3 3" xfId="39121"/>
    <cellStyle name="Heading 2 2 3 3 3 7 4" xfId="39122"/>
    <cellStyle name="Heading 2 2 3 3 3 7 4 2" xfId="39123"/>
    <cellStyle name="Heading 2 2 3 3 3 7 4 2 2" xfId="39124"/>
    <cellStyle name="Heading 2 2 3 3 3 7 4 3" xfId="39125"/>
    <cellStyle name="Heading 2 2 3 3 3 7 5" xfId="39126"/>
    <cellStyle name="Heading 2 2 3 3 3 7 5 2" xfId="39127"/>
    <cellStyle name="Heading 2 2 3 3 3 7 5 2 2" xfId="39128"/>
    <cellStyle name="Heading 2 2 3 3 3 7 5 3" xfId="39129"/>
    <cellStyle name="Heading 2 2 3 3 3 7 6" xfId="39130"/>
    <cellStyle name="Heading 2 2 3 3 3 7 6 2" xfId="39131"/>
    <cellStyle name="Heading 2 2 3 3 3 7 6 2 2" xfId="39132"/>
    <cellStyle name="Heading 2 2 3 3 3 7 6 3" xfId="39133"/>
    <cellStyle name="Heading 2 2 3 3 3 7 7" xfId="39134"/>
    <cellStyle name="Heading 2 2 3 3 3 7 7 2" xfId="39135"/>
    <cellStyle name="Heading 2 2 3 3 3 7 7 2 2" xfId="39136"/>
    <cellStyle name="Heading 2 2 3 3 3 7 7 3" xfId="39137"/>
    <cellStyle name="Heading 2 2 3 3 3 7 8" xfId="39138"/>
    <cellStyle name="Heading 2 2 3 3 3 7 8 2" xfId="39139"/>
    <cellStyle name="Heading 2 2 3 3 3 7 9" xfId="39140"/>
    <cellStyle name="Heading 2 2 3 3 3 8" xfId="39141"/>
    <cellStyle name="Heading 2 2 3 3 3 8 2" xfId="39142"/>
    <cellStyle name="Heading 2 2 3 3 3 8 2 2" xfId="39143"/>
    <cellStyle name="Heading 2 2 3 3 3 8 2 2 2" xfId="39144"/>
    <cellStyle name="Heading 2 2 3 3 3 8 2 3" xfId="39145"/>
    <cellStyle name="Heading 2 2 3 3 3 8 3" xfId="39146"/>
    <cellStyle name="Heading 2 2 3 3 3 8 3 2" xfId="39147"/>
    <cellStyle name="Heading 2 2 3 3 3 8 3 2 2" xfId="39148"/>
    <cellStyle name="Heading 2 2 3 3 3 8 3 3" xfId="39149"/>
    <cellStyle name="Heading 2 2 3 3 3 8 4" xfId="39150"/>
    <cellStyle name="Heading 2 2 3 3 3 8 4 2" xfId="39151"/>
    <cellStyle name="Heading 2 2 3 3 3 8 4 2 2" xfId="39152"/>
    <cellStyle name="Heading 2 2 3 3 3 8 4 3" xfId="39153"/>
    <cellStyle name="Heading 2 2 3 3 3 8 5" xfId="39154"/>
    <cellStyle name="Heading 2 2 3 3 3 8 5 2" xfId="39155"/>
    <cellStyle name="Heading 2 2 3 3 3 8 5 2 2" xfId="39156"/>
    <cellStyle name="Heading 2 2 3 3 3 8 5 3" xfId="39157"/>
    <cellStyle name="Heading 2 2 3 3 3 8 6" xfId="39158"/>
    <cellStyle name="Heading 2 2 3 3 3 8 6 2" xfId="39159"/>
    <cellStyle name="Heading 2 2 3 3 3 8 6 2 2" xfId="39160"/>
    <cellStyle name="Heading 2 2 3 3 3 8 6 3" xfId="39161"/>
    <cellStyle name="Heading 2 2 3 3 3 8 7" xfId="39162"/>
    <cellStyle name="Heading 2 2 3 3 3 8 7 2" xfId="39163"/>
    <cellStyle name="Heading 2 2 3 3 3 8 7 2 2" xfId="39164"/>
    <cellStyle name="Heading 2 2 3 3 3 8 7 3" xfId="39165"/>
    <cellStyle name="Heading 2 2 3 3 3 8 8" xfId="39166"/>
    <cellStyle name="Heading 2 2 3 3 3 8 8 2" xfId="39167"/>
    <cellStyle name="Heading 2 2 3 3 3 8 9" xfId="39168"/>
    <cellStyle name="Heading 2 2 3 3 3 9" xfId="39169"/>
    <cellStyle name="Heading 2 2 3 3 3 9 2" xfId="39170"/>
    <cellStyle name="Heading 2 2 3 3 3 9 2 2" xfId="39171"/>
    <cellStyle name="Heading 2 2 3 3 3 9 3" xfId="39172"/>
    <cellStyle name="Heading 2 2 3 3 4" xfId="39173"/>
    <cellStyle name="Heading 2 2 3 3 4 2" xfId="39174"/>
    <cellStyle name="Heading 2 2 3 3 4 2 2" xfId="39175"/>
    <cellStyle name="Heading 2 2 3 3 4 3" xfId="39176"/>
    <cellStyle name="Heading 2 2 3 3 5" xfId="39177"/>
    <cellStyle name="Heading 2 2 3 3 5 2" xfId="39178"/>
    <cellStyle name="Heading 2 2 3 3 6" xfId="39179"/>
    <cellStyle name="Heading 2 2 3 4" xfId="39180"/>
    <cellStyle name="Heading 2 2 3 4 2" xfId="39181"/>
    <cellStyle name="Heading 2 2 3 4 2 10" xfId="39182"/>
    <cellStyle name="Heading 2 2 3 4 2 10 2" xfId="39183"/>
    <cellStyle name="Heading 2 2 3 4 2 10 2 2" xfId="39184"/>
    <cellStyle name="Heading 2 2 3 4 2 10 3" xfId="39185"/>
    <cellStyle name="Heading 2 2 3 4 2 11" xfId="39186"/>
    <cellStyle name="Heading 2 2 3 4 2 11 2" xfId="39187"/>
    <cellStyle name="Heading 2 2 3 4 2 11 2 2" xfId="39188"/>
    <cellStyle name="Heading 2 2 3 4 2 11 3" xfId="39189"/>
    <cellStyle name="Heading 2 2 3 4 2 12" xfId="39190"/>
    <cellStyle name="Heading 2 2 3 4 2 12 2" xfId="39191"/>
    <cellStyle name="Heading 2 2 3 4 2 12 2 2" xfId="39192"/>
    <cellStyle name="Heading 2 2 3 4 2 12 3" xfId="39193"/>
    <cellStyle name="Heading 2 2 3 4 2 13" xfId="39194"/>
    <cellStyle name="Heading 2 2 3 4 2 13 2" xfId="39195"/>
    <cellStyle name="Heading 2 2 3 4 2 13 2 2" xfId="39196"/>
    <cellStyle name="Heading 2 2 3 4 2 13 3" xfId="39197"/>
    <cellStyle name="Heading 2 2 3 4 2 14" xfId="39198"/>
    <cellStyle name="Heading 2 2 3 4 2 14 2" xfId="39199"/>
    <cellStyle name="Heading 2 2 3 4 2 14 2 2" xfId="39200"/>
    <cellStyle name="Heading 2 2 3 4 2 14 3" xfId="39201"/>
    <cellStyle name="Heading 2 2 3 4 2 15" xfId="39202"/>
    <cellStyle name="Heading 2 2 3 4 2 15 2" xfId="39203"/>
    <cellStyle name="Heading 2 2 3 4 2 15 2 2" xfId="39204"/>
    <cellStyle name="Heading 2 2 3 4 2 15 3" xfId="39205"/>
    <cellStyle name="Heading 2 2 3 4 2 16" xfId="39206"/>
    <cellStyle name="Heading 2 2 3 4 2 16 2" xfId="39207"/>
    <cellStyle name="Heading 2 2 3 4 2 16 2 2" xfId="39208"/>
    <cellStyle name="Heading 2 2 3 4 2 16 3" xfId="39209"/>
    <cellStyle name="Heading 2 2 3 4 2 17" xfId="39210"/>
    <cellStyle name="Heading 2 2 3 4 2 17 2" xfId="39211"/>
    <cellStyle name="Heading 2 2 3 4 2 17 2 2" xfId="39212"/>
    <cellStyle name="Heading 2 2 3 4 2 17 3" xfId="39213"/>
    <cellStyle name="Heading 2 2 3 4 2 18" xfId="39214"/>
    <cellStyle name="Heading 2 2 3 4 2 18 2" xfId="39215"/>
    <cellStyle name="Heading 2 2 3 4 2 18 2 2" xfId="39216"/>
    <cellStyle name="Heading 2 2 3 4 2 18 3" xfId="39217"/>
    <cellStyle name="Heading 2 2 3 4 2 19" xfId="39218"/>
    <cellStyle name="Heading 2 2 3 4 2 19 2" xfId="39219"/>
    <cellStyle name="Heading 2 2 3 4 2 19 2 2" xfId="39220"/>
    <cellStyle name="Heading 2 2 3 4 2 19 3" xfId="39221"/>
    <cellStyle name="Heading 2 2 3 4 2 2" xfId="39222"/>
    <cellStyle name="Heading 2 2 3 4 2 2 10" xfId="39223"/>
    <cellStyle name="Heading 2 2 3 4 2 2 10 2" xfId="39224"/>
    <cellStyle name="Heading 2 2 3 4 2 2 10 2 2" xfId="39225"/>
    <cellStyle name="Heading 2 2 3 4 2 2 10 3" xfId="39226"/>
    <cellStyle name="Heading 2 2 3 4 2 2 11" xfId="39227"/>
    <cellStyle name="Heading 2 2 3 4 2 2 11 2" xfId="39228"/>
    <cellStyle name="Heading 2 2 3 4 2 2 11 2 2" xfId="39229"/>
    <cellStyle name="Heading 2 2 3 4 2 2 11 3" xfId="39230"/>
    <cellStyle name="Heading 2 2 3 4 2 2 12" xfId="39231"/>
    <cellStyle name="Heading 2 2 3 4 2 2 12 2" xfId="39232"/>
    <cellStyle name="Heading 2 2 3 4 2 2 12 2 2" xfId="39233"/>
    <cellStyle name="Heading 2 2 3 4 2 2 12 3" xfId="39234"/>
    <cellStyle name="Heading 2 2 3 4 2 2 13" xfId="39235"/>
    <cellStyle name="Heading 2 2 3 4 2 2 13 2" xfId="39236"/>
    <cellStyle name="Heading 2 2 3 4 2 2 13 2 2" xfId="39237"/>
    <cellStyle name="Heading 2 2 3 4 2 2 13 3" xfId="39238"/>
    <cellStyle name="Heading 2 2 3 4 2 2 14" xfId="39239"/>
    <cellStyle name="Heading 2 2 3 4 2 2 14 2" xfId="39240"/>
    <cellStyle name="Heading 2 2 3 4 2 2 14 2 2" xfId="39241"/>
    <cellStyle name="Heading 2 2 3 4 2 2 14 3" xfId="39242"/>
    <cellStyle name="Heading 2 2 3 4 2 2 15" xfId="39243"/>
    <cellStyle name="Heading 2 2 3 4 2 2 15 2" xfId="39244"/>
    <cellStyle name="Heading 2 2 3 4 2 2 15 2 2" xfId="39245"/>
    <cellStyle name="Heading 2 2 3 4 2 2 15 3" xfId="39246"/>
    <cellStyle name="Heading 2 2 3 4 2 2 16" xfId="39247"/>
    <cellStyle name="Heading 2 2 3 4 2 2 16 2" xfId="39248"/>
    <cellStyle name="Heading 2 2 3 4 2 2 16 2 2" xfId="39249"/>
    <cellStyle name="Heading 2 2 3 4 2 2 16 3" xfId="39250"/>
    <cellStyle name="Heading 2 2 3 4 2 2 17" xfId="39251"/>
    <cellStyle name="Heading 2 2 3 4 2 2 17 2" xfId="39252"/>
    <cellStyle name="Heading 2 2 3 4 2 2 17 2 2" xfId="39253"/>
    <cellStyle name="Heading 2 2 3 4 2 2 17 3" xfId="39254"/>
    <cellStyle name="Heading 2 2 3 4 2 2 18" xfId="39255"/>
    <cellStyle name="Heading 2 2 3 4 2 2 18 2" xfId="39256"/>
    <cellStyle name="Heading 2 2 3 4 2 2 18 2 2" xfId="39257"/>
    <cellStyle name="Heading 2 2 3 4 2 2 18 3" xfId="39258"/>
    <cellStyle name="Heading 2 2 3 4 2 2 19" xfId="39259"/>
    <cellStyle name="Heading 2 2 3 4 2 2 19 2" xfId="39260"/>
    <cellStyle name="Heading 2 2 3 4 2 2 2" xfId="39261"/>
    <cellStyle name="Heading 2 2 3 4 2 2 2 2" xfId="39262"/>
    <cellStyle name="Heading 2 2 3 4 2 2 2 2 2" xfId="39263"/>
    <cellStyle name="Heading 2 2 3 4 2 2 2 2 2 2" xfId="39264"/>
    <cellStyle name="Heading 2 2 3 4 2 2 2 2 3" xfId="39265"/>
    <cellStyle name="Heading 2 2 3 4 2 2 2 3" xfId="39266"/>
    <cellStyle name="Heading 2 2 3 4 2 2 2 3 2" xfId="39267"/>
    <cellStyle name="Heading 2 2 3 4 2 2 2 3 2 2" xfId="39268"/>
    <cellStyle name="Heading 2 2 3 4 2 2 2 3 3" xfId="39269"/>
    <cellStyle name="Heading 2 2 3 4 2 2 2 4" xfId="39270"/>
    <cellStyle name="Heading 2 2 3 4 2 2 2 4 2" xfId="39271"/>
    <cellStyle name="Heading 2 2 3 4 2 2 2 4 2 2" xfId="39272"/>
    <cellStyle name="Heading 2 2 3 4 2 2 2 4 3" xfId="39273"/>
    <cellStyle name="Heading 2 2 3 4 2 2 2 5" xfId="39274"/>
    <cellStyle name="Heading 2 2 3 4 2 2 2 5 2" xfId="39275"/>
    <cellStyle name="Heading 2 2 3 4 2 2 2 5 2 2" xfId="39276"/>
    <cellStyle name="Heading 2 2 3 4 2 2 2 5 3" xfId="39277"/>
    <cellStyle name="Heading 2 2 3 4 2 2 2 6" xfId="39278"/>
    <cellStyle name="Heading 2 2 3 4 2 2 2 6 2" xfId="39279"/>
    <cellStyle name="Heading 2 2 3 4 2 2 2 6 2 2" xfId="39280"/>
    <cellStyle name="Heading 2 2 3 4 2 2 2 6 3" xfId="39281"/>
    <cellStyle name="Heading 2 2 3 4 2 2 2 7" xfId="39282"/>
    <cellStyle name="Heading 2 2 3 4 2 2 2 7 2" xfId="39283"/>
    <cellStyle name="Heading 2 2 3 4 2 2 2 7 2 2" xfId="39284"/>
    <cellStyle name="Heading 2 2 3 4 2 2 2 7 3" xfId="39285"/>
    <cellStyle name="Heading 2 2 3 4 2 2 2 8" xfId="39286"/>
    <cellStyle name="Heading 2 2 3 4 2 2 2 8 2" xfId="39287"/>
    <cellStyle name="Heading 2 2 3 4 2 2 2 9" xfId="39288"/>
    <cellStyle name="Heading 2 2 3 4 2 2 20" xfId="39289"/>
    <cellStyle name="Heading 2 2 3 4 2 2 20 2" xfId="39290"/>
    <cellStyle name="Heading 2 2 3 4 2 2 21" xfId="39291"/>
    <cellStyle name="Heading 2 2 3 4 2 2 21 2" xfId="39292"/>
    <cellStyle name="Heading 2 2 3 4 2 2 22" xfId="39293"/>
    <cellStyle name="Heading 2 2 3 4 2 2 3" xfId="39294"/>
    <cellStyle name="Heading 2 2 3 4 2 2 3 2" xfId="39295"/>
    <cellStyle name="Heading 2 2 3 4 2 2 3 2 2" xfId="39296"/>
    <cellStyle name="Heading 2 2 3 4 2 2 3 2 2 2" xfId="39297"/>
    <cellStyle name="Heading 2 2 3 4 2 2 3 2 3" xfId="39298"/>
    <cellStyle name="Heading 2 2 3 4 2 2 3 3" xfId="39299"/>
    <cellStyle name="Heading 2 2 3 4 2 2 3 3 2" xfId="39300"/>
    <cellStyle name="Heading 2 2 3 4 2 2 3 3 2 2" xfId="39301"/>
    <cellStyle name="Heading 2 2 3 4 2 2 3 3 3" xfId="39302"/>
    <cellStyle name="Heading 2 2 3 4 2 2 3 4" xfId="39303"/>
    <cellStyle name="Heading 2 2 3 4 2 2 3 4 2" xfId="39304"/>
    <cellStyle name="Heading 2 2 3 4 2 2 3 4 2 2" xfId="39305"/>
    <cellStyle name="Heading 2 2 3 4 2 2 3 4 3" xfId="39306"/>
    <cellStyle name="Heading 2 2 3 4 2 2 3 5" xfId="39307"/>
    <cellStyle name="Heading 2 2 3 4 2 2 3 5 2" xfId="39308"/>
    <cellStyle name="Heading 2 2 3 4 2 2 3 5 2 2" xfId="39309"/>
    <cellStyle name="Heading 2 2 3 4 2 2 3 5 3" xfId="39310"/>
    <cellStyle name="Heading 2 2 3 4 2 2 3 6" xfId="39311"/>
    <cellStyle name="Heading 2 2 3 4 2 2 3 6 2" xfId="39312"/>
    <cellStyle name="Heading 2 2 3 4 2 2 3 6 2 2" xfId="39313"/>
    <cellStyle name="Heading 2 2 3 4 2 2 3 6 3" xfId="39314"/>
    <cellStyle name="Heading 2 2 3 4 2 2 3 7" xfId="39315"/>
    <cellStyle name="Heading 2 2 3 4 2 2 3 7 2" xfId="39316"/>
    <cellStyle name="Heading 2 2 3 4 2 2 3 7 2 2" xfId="39317"/>
    <cellStyle name="Heading 2 2 3 4 2 2 3 7 3" xfId="39318"/>
    <cellStyle name="Heading 2 2 3 4 2 2 3 8" xfId="39319"/>
    <cellStyle name="Heading 2 2 3 4 2 2 3 8 2" xfId="39320"/>
    <cellStyle name="Heading 2 2 3 4 2 2 3 9" xfId="39321"/>
    <cellStyle name="Heading 2 2 3 4 2 2 4" xfId="39322"/>
    <cellStyle name="Heading 2 2 3 4 2 2 4 2" xfId="39323"/>
    <cellStyle name="Heading 2 2 3 4 2 2 4 2 2" xfId="39324"/>
    <cellStyle name="Heading 2 2 3 4 2 2 4 2 2 2" xfId="39325"/>
    <cellStyle name="Heading 2 2 3 4 2 2 4 2 3" xfId="39326"/>
    <cellStyle name="Heading 2 2 3 4 2 2 4 3" xfId="39327"/>
    <cellStyle name="Heading 2 2 3 4 2 2 4 3 2" xfId="39328"/>
    <cellStyle name="Heading 2 2 3 4 2 2 4 3 2 2" xfId="39329"/>
    <cellStyle name="Heading 2 2 3 4 2 2 4 3 3" xfId="39330"/>
    <cellStyle name="Heading 2 2 3 4 2 2 4 4" xfId="39331"/>
    <cellStyle name="Heading 2 2 3 4 2 2 4 4 2" xfId="39332"/>
    <cellStyle name="Heading 2 2 3 4 2 2 4 4 2 2" xfId="39333"/>
    <cellStyle name="Heading 2 2 3 4 2 2 4 4 3" xfId="39334"/>
    <cellStyle name="Heading 2 2 3 4 2 2 4 5" xfId="39335"/>
    <cellStyle name="Heading 2 2 3 4 2 2 4 5 2" xfId="39336"/>
    <cellStyle name="Heading 2 2 3 4 2 2 4 5 2 2" xfId="39337"/>
    <cellStyle name="Heading 2 2 3 4 2 2 4 5 3" xfId="39338"/>
    <cellStyle name="Heading 2 2 3 4 2 2 4 6" xfId="39339"/>
    <cellStyle name="Heading 2 2 3 4 2 2 4 6 2" xfId="39340"/>
    <cellStyle name="Heading 2 2 3 4 2 2 4 6 2 2" xfId="39341"/>
    <cellStyle name="Heading 2 2 3 4 2 2 4 6 3" xfId="39342"/>
    <cellStyle name="Heading 2 2 3 4 2 2 4 7" xfId="39343"/>
    <cellStyle name="Heading 2 2 3 4 2 2 4 7 2" xfId="39344"/>
    <cellStyle name="Heading 2 2 3 4 2 2 4 7 2 2" xfId="39345"/>
    <cellStyle name="Heading 2 2 3 4 2 2 4 7 3" xfId="39346"/>
    <cellStyle name="Heading 2 2 3 4 2 2 4 8" xfId="39347"/>
    <cellStyle name="Heading 2 2 3 4 2 2 4 8 2" xfId="39348"/>
    <cellStyle name="Heading 2 2 3 4 2 2 4 9" xfId="39349"/>
    <cellStyle name="Heading 2 2 3 4 2 2 5" xfId="39350"/>
    <cellStyle name="Heading 2 2 3 4 2 2 5 2" xfId="39351"/>
    <cellStyle name="Heading 2 2 3 4 2 2 5 2 2" xfId="39352"/>
    <cellStyle name="Heading 2 2 3 4 2 2 5 2 2 2" xfId="39353"/>
    <cellStyle name="Heading 2 2 3 4 2 2 5 2 3" xfId="39354"/>
    <cellStyle name="Heading 2 2 3 4 2 2 5 3" xfId="39355"/>
    <cellStyle name="Heading 2 2 3 4 2 2 5 3 2" xfId="39356"/>
    <cellStyle name="Heading 2 2 3 4 2 2 5 3 2 2" xfId="39357"/>
    <cellStyle name="Heading 2 2 3 4 2 2 5 3 3" xfId="39358"/>
    <cellStyle name="Heading 2 2 3 4 2 2 5 4" xfId="39359"/>
    <cellStyle name="Heading 2 2 3 4 2 2 5 4 2" xfId="39360"/>
    <cellStyle name="Heading 2 2 3 4 2 2 5 4 2 2" xfId="39361"/>
    <cellStyle name="Heading 2 2 3 4 2 2 5 4 3" xfId="39362"/>
    <cellStyle name="Heading 2 2 3 4 2 2 5 5" xfId="39363"/>
    <cellStyle name="Heading 2 2 3 4 2 2 5 5 2" xfId="39364"/>
    <cellStyle name="Heading 2 2 3 4 2 2 5 5 2 2" xfId="39365"/>
    <cellStyle name="Heading 2 2 3 4 2 2 5 5 3" xfId="39366"/>
    <cellStyle name="Heading 2 2 3 4 2 2 5 6" xfId="39367"/>
    <cellStyle name="Heading 2 2 3 4 2 2 5 6 2" xfId="39368"/>
    <cellStyle name="Heading 2 2 3 4 2 2 5 6 2 2" xfId="39369"/>
    <cellStyle name="Heading 2 2 3 4 2 2 5 6 3" xfId="39370"/>
    <cellStyle name="Heading 2 2 3 4 2 2 5 7" xfId="39371"/>
    <cellStyle name="Heading 2 2 3 4 2 2 5 7 2" xfId="39372"/>
    <cellStyle name="Heading 2 2 3 4 2 2 5 7 2 2" xfId="39373"/>
    <cellStyle name="Heading 2 2 3 4 2 2 5 7 3" xfId="39374"/>
    <cellStyle name="Heading 2 2 3 4 2 2 5 8" xfId="39375"/>
    <cellStyle name="Heading 2 2 3 4 2 2 5 8 2" xfId="39376"/>
    <cellStyle name="Heading 2 2 3 4 2 2 5 9" xfId="39377"/>
    <cellStyle name="Heading 2 2 3 4 2 2 6" xfId="39378"/>
    <cellStyle name="Heading 2 2 3 4 2 2 6 2" xfId="39379"/>
    <cellStyle name="Heading 2 2 3 4 2 2 6 2 2" xfId="39380"/>
    <cellStyle name="Heading 2 2 3 4 2 2 6 2 2 2" xfId="39381"/>
    <cellStyle name="Heading 2 2 3 4 2 2 6 2 3" xfId="39382"/>
    <cellStyle name="Heading 2 2 3 4 2 2 6 3" xfId="39383"/>
    <cellStyle name="Heading 2 2 3 4 2 2 6 3 2" xfId="39384"/>
    <cellStyle name="Heading 2 2 3 4 2 2 6 3 2 2" xfId="39385"/>
    <cellStyle name="Heading 2 2 3 4 2 2 6 3 3" xfId="39386"/>
    <cellStyle name="Heading 2 2 3 4 2 2 6 4" xfId="39387"/>
    <cellStyle name="Heading 2 2 3 4 2 2 6 4 2" xfId="39388"/>
    <cellStyle name="Heading 2 2 3 4 2 2 6 4 2 2" xfId="39389"/>
    <cellStyle name="Heading 2 2 3 4 2 2 6 4 3" xfId="39390"/>
    <cellStyle name="Heading 2 2 3 4 2 2 6 5" xfId="39391"/>
    <cellStyle name="Heading 2 2 3 4 2 2 6 5 2" xfId="39392"/>
    <cellStyle name="Heading 2 2 3 4 2 2 6 5 2 2" xfId="39393"/>
    <cellStyle name="Heading 2 2 3 4 2 2 6 5 3" xfId="39394"/>
    <cellStyle name="Heading 2 2 3 4 2 2 6 6" xfId="39395"/>
    <cellStyle name="Heading 2 2 3 4 2 2 6 6 2" xfId="39396"/>
    <cellStyle name="Heading 2 2 3 4 2 2 6 6 2 2" xfId="39397"/>
    <cellStyle name="Heading 2 2 3 4 2 2 6 6 3" xfId="39398"/>
    <cellStyle name="Heading 2 2 3 4 2 2 6 7" xfId="39399"/>
    <cellStyle name="Heading 2 2 3 4 2 2 6 7 2" xfId="39400"/>
    <cellStyle name="Heading 2 2 3 4 2 2 6 7 2 2" xfId="39401"/>
    <cellStyle name="Heading 2 2 3 4 2 2 6 7 3" xfId="39402"/>
    <cellStyle name="Heading 2 2 3 4 2 2 6 8" xfId="39403"/>
    <cellStyle name="Heading 2 2 3 4 2 2 6 8 2" xfId="39404"/>
    <cellStyle name="Heading 2 2 3 4 2 2 6 9" xfId="39405"/>
    <cellStyle name="Heading 2 2 3 4 2 2 7" xfId="39406"/>
    <cellStyle name="Heading 2 2 3 4 2 2 7 2" xfId="39407"/>
    <cellStyle name="Heading 2 2 3 4 2 2 7 2 2" xfId="39408"/>
    <cellStyle name="Heading 2 2 3 4 2 2 7 2 2 2" xfId="39409"/>
    <cellStyle name="Heading 2 2 3 4 2 2 7 2 3" xfId="39410"/>
    <cellStyle name="Heading 2 2 3 4 2 2 7 3" xfId="39411"/>
    <cellStyle name="Heading 2 2 3 4 2 2 7 3 2" xfId="39412"/>
    <cellStyle name="Heading 2 2 3 4 2 2 7 3 2 2" xfId="39413"/>
    <cellStyle name="Heading 2 2 3 4 2 2 7 3 3" xfId="39414"/>
    <cellStyle name="Heading 2 2 3 4 2 2 7 4" xfId="39415"/>
    <cellStyle name="Heading 2 2 3 4 2 2 7 4 2" xfId="39416"/>
    <cellStyle name="Heading 2 2 3 4 2 2 7 4 2 2" xfId="39417"/>
    <cellStyle name="Heading 2 2 3 4 2 2 7 4 3" xfId="39418"/>
    <cellStyle name="Heading 2 2 3 4 2 2 7 5" xfId="39419"/>
    <cellStyle name="Heading 2 2 3 4 2 2 7 5 2" xfId="39420"/>
    <cellStyle name="Heading 2 2 3 4 2 2 7 5 2 2" xfId="39421"/>
    <cellStyle name="Heading 2 2 3 4 2 2 7 5 3" xfId="39422"/>
    <cellStyle name="Heading 2 2 3 4 2 2 7 6" xfId="39423"/>
    <cellStyle name="Heading 2 2 3 4 2 2 7 6 2" xfId="39424"/>
    <cellStyle name="Heading 2 2 3 4 2 2 7 6 2 2" xfId="39425"/>
    <cellStyle name="Heading 2 2 3 4 2 2 7 6 3" xfId="39426"/>
    <cellStyle name="Heading 2 2 3 4 2 2 7 7" xfId="39427"/>
    <cellStyle name="Heading 2 2 3 4 2 2 7 7 2" xfId="39428"/>
    <cellStyle name="Heading 2 2 3 4 2 2 7 7 2 2" xfId="39429"/>
    <cellStyle name="Heading 2 2 3 4 2 2 7 7 3" xfId="39430"/>
    <cellStyle name="Heading 2 2 3 4 2 2 7 8" xfId="39431"/>
    <cellStyle name="Heading 2 2 3 4 2 2 7 8 2" xfId="39432"/>
    <cellStyle name="Heading 2 2 3 4 2 2 7 9" xfId="39433"/>
    <cellStyle name="Heading 2 2 3 4 2 2 8" xfId="39434"/>
    <cellStyle name="Heading 2 2 3 4 2 2 8 2" xfId="39435"/>
    <cellStyle name="Heading 2 2 3 4 2 2 8 2 2" xfId="39436"/>
    <cellStyle name="Heading 2 2 3 4 2 2 8 2 2 2" xfId="39437"/>
    <cellStyle name="Heading 2 2 3 4 2 2 8 2 3" xfId="39438"/>
    <cellStyle name="Heading 2 2 3 4 2 2 8 3" xfId="39439"/>
    <cellStyle name="Heading 2 2 3 4 2 2 8 3 2" xfId="39440"/>
    <cellStyle name="Heading 2 2 3 4 2 2 8 3 2 2" xfId="39441"/>
    <cellStyle name="Heading 2 2 3 4 2 2 8 3 3" xfId="39442"/>
    <cellStyle name="Heading 2 2 3 4 2 2 8 4" xfId="39443"/>
    <cellStyle name="Heading 2 2 3 4 2 2 8 4 2" xfId="39444"/>
    <cellStyle name="Heading 2 2 3 4 2 2 8 4 2 2" xfId="39445"/>
    <cellStyle name="Heading 2 2 3 4 2 2 8 4 3" xfId="39446"/>
    <cellStyle name="Heading 2 2 3 4 2 2 8 5" xfId="39447"/>
    <cellStyle name="Heading 2 2 3 4 2 2 8 5 2" xfId="39448"/>
    <cellStyle name="Heading 2 2 3 4 2 2 8 5 2 2" xfId="39449"/>
    <cellStyle name="Heading 2 2 3 4 2 2 8 5 3" xfId="39450"/>
    <cellStyle name="Heading 2 2 3 4 2 2 8 6" xfId="39451"/>
    <cellStyle name="Heading 2 2 3 4 2 2 8 6 2" xfId="39452"/>
    <cellStyle name="Heading 2 2 3 4 2 2 8 6 2 2" xfId="39453"/>
    <cellStyle name="Heading 2 2 3 4 2 2 8 6 3" xfId="39454"/>
    <cellStyle name="Heading 2 2 3 4 2 2 8 7" xfId="39455"/>
    <cellStyle name="Heading 2 2 3 4 2 2 8 7 2" xfId="39456"/>
    <cellStyle name="Heading 2 2 3 4 2 2 8 7 2 2" xfId="39457"/>
    <cellStyle name="Heading 2 2 3 4 2 2 8 7 3" xfId="39458"/>
    <cellStyle name="Heading 2 2 3 4 2 2 8 8" xfId="39459"/>
    <cellStyle name="Heading 2 2 3 4 2 2 8 8 2" xfId="39460"/>
    <cellStyle name="Heading 2 2 3 4 2 2 8 9" xfId="39461"/>
    <cellStyle name="Heading 2 2 3 4 2 2 9" xfId="39462"/>
    <cellStyle name="Heading 2 2 3 4 2 2 9 2" xfId="39463"/>
    <cellStyle name="Heading 2 2 3 4 2 2 9 2 2" xfId="39464"/>
    <cellStyle name="Heading 2 2 3 4 2 2 9 3" xfId="39465"/>
    <cellStyle name="Heading 2 2 3 4 2 20" xfId="39466"/>
    <cellStyle name="Heading 2 2 3 4 2 20 2" xfId="39467"/>
    <cellStyle name="Heading 2 2 3 4 2 21" xfId="39468"/>
    <cellStyle name="Heading 2 2 3 4 2 21 2" xfId="39469"/>
    <cellStyle name="Heading 2 2 3 4 2 22" xfId="39470"/>
    <cellStyle name="Heading 2 2 3 4 2 22 2" xfId="39471"/>
    <cellStyle name="Heading 2 2 3 4 2 23" xfId="39472"/>
    <cellStyle name="Heading 2 2 3 4 2 3" xfId="39473"/>
    <cellStyle name="Heading 2 2 3 4 2 3 2" xfId="39474"/>
    <cellStyle name="Heading 2 2 3 4 2 3 2 2" xfId="39475"/>
    <cellStyle name="Heading 2 2 3 4 2 3 2 2 2" xfId="39476"/>
    <cellStyle name="Heading 2 2 3 4 2 3 2 3" xfId="39477"/>
    <cellStyle name="Heading 2 2 3 4 2 3 3" xfId="39478"/>
    <cellStyle name="Heading 2 2 3 4 2 3 3 2" xfId="39479"/>
    <cellStyle name="Heading 2 2 3 4 2 3 3 2 2" xfId="39480"/>
    <cellStyle name="Heading 2 2 3 4 2 3 3 3" xfId="39481"/>
    <cellStyle name="Heading 2 2 3 4 2 3 4" xfId="39482"/>
    <cellStyle name="Heading 2 2 3 4 2 3 4 2" xfId="39483"/>
    <cellStyle name="Heading 2 2 3 4 2 3 4 2 2" xfId="39484"/>
    <cellStyle name="Heading 2 2 3 4 2 3 4 3" xfId="39485"/>
    <cellStyle name="Heading 2 2 3 4 2 3 5" xfId="39486"/>
    <cellStyle name="Heading 2 2 3 4 2 3 5 2" xfId="39487"/>
    <cellStyle name="Heading 2 2 3 4 2 3 5 2 2" xfId="39488"/>
    <cellStyle name="Heading 2 2 3 4 2 3 5 3" xfId="39489"/>
    <cellStyle name="Heading 2 2 3 4 2 3 6" xfId="39490"/>
    <cellStyle name="Heading 2 2 3 4 2 3 6 2" xfId="39491"/>
    <cellStyle name="Heading 2 2 3 4 2 3 6 2 2" xfId="39492"/>
    <cellStyle name="Heading 2 2 3 4 2 3 6 3" xfId="39493"/>
    <cellStyle name="Heading 2 2 3 4 2 3 7" xfId="39494"/>
    <cellStyle name="Heading 2 2 3 4 2 3 7 2" xfId="39495"/>
    <cellStyle name="Heading 2 2 3 4 2 3 7 2 2" xfId="39496"/>
    <cellStyle name="Heading 2 2 3 4 2 3 7 3" xfId="39497"/>
    <cellStyle name="Heading 2 2 3 4 2 3 8" xfId="39498"/>
    <cellStyle name="Heading 2 2 3 4 2 3 8 2" xfId="39499"/>
    <cellStyle name="Heading 2 2 3 4 2 3 9" xfId="39500"/>
    <cellStyle name="Heading 2 2 3 4 2 4" xfId="39501"/>
    <cellStyle name="Heading 2 2 3 4 2 4 2" xfId="39502"/>
    <cellStyle name="Heading 2 2 3 4 2 4 2 2" xfId="39503"/>
    <cellStyle name="Heading 2 2 3 4 2 4 2 2 2" xfId="39504"/>
    <cellStyle name="Heading 2 2 3 4 2 4 2 3" xfId="39505"/>
    <cellStyle name="Heading 2 2 3 4 2 4 3" xfId="39506"/>
    <cellStyle name="Heading 2 2 3 4 2 4 3 2" xfId="39507"/>
    <cellStyle name="Heading 2 2 3 4 2 4 3 2 2" xfId="39508"/>
    <cellStyle name="Heading 2 2 3 4 2 4 3 3" xfId="39509"/>
    <cellStyle name="Heading 2 2 3 4 2 4 4" xfId="39510"/>
    <cellStyle name="Heading 2 2 3 4 2 4 4 2" xfId="39511"/>
    <cellStyle name="Heading 2 2 3 4 2 4 4 2 2" xfId="39512"/>
    <cellStyle name="Heading 2 2 3 4 2 4 4 3" xfId="39513"/>
    <cellStyle name="Heading 2 2 3 4 2 4 5" xfId="39514"/>
    <cellStyle name="Heading 2 2 3 4 2 4 5 2" xfId="39515"/>
    <cellStyle name="Heading 2 2 3 4 2 4 5 2 2" xfId="39516"/>
    <cellStyle name="Heading 2 2 3 4 2 4 5 3" xfId="39517"/>
    <cellStyle name="Heading 2 2 3 4 2 4 6" xfId="39518"/>
    <cellStyle name="Heading 2 2 3 4 2 4 6 2" xfId="39519"/>
    <cellStyle name="Heading 2 2 3 4 2 4 6 2 2" xfId="39520"/>
    <cellStyle name="Heading 2 2 3 4 2 4 6 3" xfId="39521"/>
    <cellStyle name="Heading 2 2 3 4 2 4 7" xfId="39522"/>
    <cellStyle name="Heading 2 2 3 4 2 4 7 2" xfId="39523"/>
    <cellStyle name="Heading 2 2 3 4 2 4 7 2 2" xfId="39524"/>
    <cellStyle name="Heading 2 2 3 4 2 4 7 3" xfId="39525"/>
    <cellStyle name="Heading 2 2 3 4 2 4 8" xfId="39526"/>
    <cellStyle name="Heading 2 2 3 4 2 4 8 2" xfId="39527"/>
    <cellStyle name="Heading 2 2 3 4 2 4 9" xfId="39528"/>
    <cellStyle name="Heading 2 2 3 4 2 5" xfId="39529"/>
    <cellStyle name="Heading 2 2 3 4 2 5 2" xfId="39530"/>
    <cellStyle name="Heading 2 2 3 4 2 5 2 2" xfId="39531"/>
    <cellStyle name="Heading 2 2 3 4 2 5 2 2 2" xfId="39532"/>
    <cellStyle name="Heading 2 2 3 4 2 5 2 3" xfId="39533"/>
    <cellStyle name="Heading 2 2 3 4 2 5 3" xfId="39534"/>
    <cellStyle name="Heading 2 2 3 4 2 5 3 2" xfId="39535"/>
    <cellStyle name="Heading 2 2 3 4 2 5 3 2 2" xfId="39536"/>
    <cellStyle name="Heading 2 2 3 4 2 5 3 3" xfId="39537"/>
    <cellStyle name="Heading 2 2 3 4 2 5 4" xfId="39538"/>
    <cellStyle name="Heading 2 2 3 4 2 5 4 2" xfId="39539"/>
    <cellStyle name="Heading 2 2 3 4 2 5 4 2 2" xfId="39540"/>
    <cellStyle name="Heading 2 2 3 4 2 5 4 3" xfId="39541"/>
    <cellStyle name="Heading 2 2 3 4 2 5 5" xfId="39542"/>
    <cellStyle name="Heading 2 2 3 4 2 5 5 2" xfId="39543"/>
    <cellStyle name="Heading 2 2 3 4 2 5 5 2 2" xfId="39544"/>
    <cellStyle name="Heading 2 2 3 4 2 5 5 3" xfId="39545"/>
    <cellStyle name="Heading 2 2 3 4 2 5 6" xfId="39546"/>
    <cellStyle name="Heading 2 2 3 4 2 5 6 2" xfId="39547"/>
    <cellStyle name="Heading 2 2 3 4 2 5 6 2 2" xfId="39548"/>
    <cellStyle name="Heading 2 2 3 4 2 5 6 3" xfId="39549"/>
    <cellStyle name="Heading 2 2 3 4 2 5 7" xfId="39550"/>
    <cellStyle name="Heading 2 2 3 4 2 5 7 2" xfId="39551"/>
    <cellStyle name="Heading 2 2 3 4 2 5 7 2 2" xfId="39552"/>
    <cellStyle name="Heading 2 2 3 4 2 5 7 3" xfId="39553"/>
    <cellStyle name="Heading 2 2 3 4 2 5 8" xfId="39554"/>
    <cellStyle name="Heading 2 2 3 4 2 5 8 2" xfId="39555"/>
    <cellStyle name="Heading 2 2 3 4 2 5 9" xfId="39556"/>
    <cellStyle name="Heading 2 2 3 4 2 6" xfId="39557"/>
    <cellStyle name="Heading 2 2 3 4 2 6 2" xfId="39558"/>
    <cellStyle name="Heading 2 2 3 4 2 6 2 2" xfId="39559"/>
    <cellStyle name="Heading 2 2 3 4 2 6 2 2 2" xfId="39560"/>
    <cellStyle name="Heading 2 2 3 4 2 6 2 3" xfId="39561"/>
    <cellStyle name="Heading 2 2 3 4 2 6 3" xfId="39562"/>
    <cellStyle name="Heading 2 2 3 4 2 6 3 2" xfId="39563"/>
    <cellStyle name="Heading 2 2 3 4 2 6 3 2 2" xfId="39564"/>
    <cellStyle name="Heading 2 2 3 4 2 6 3 3" xfId="39565"/>
    <cellStyle name="Heading 2 2 3 4 2 6 4" xfId="39566"/>
    <cellStyle name="Heading 2 2 3 4 2 6 4 2" xfId="39567"/>
    <cellStyle name="Heading 2 2 3 4 2 6 4 2 2" xfId="39568"/>
    <cellStyle name="Heading 2 2 3 4 2 6 4 3" xfId="39569"/>
    <cellStyle name="Heading 2 2 3 4 2 6 5" xfId="39570"/>
    <cellStyle name="Heading 2 2 3 4 2 6 5 2" xfId="39571"/>
    <cellStyle name="Heading 2 2 3 4 2 6 5 2 2" xfId="39572"/>
    <cellStyle name="Heading 2 2 3 4 2 6 5 3" xfId="39573"/>
    <cellStyle name="Heading 2 2 3 4 2 6 6" xfId="39574"/>
    <cellStyle name="Heading 2 2 3 4 2 6 6 2" xfId="39575"/>
    <cellStyle name="Heading 2 2 3 4 2 6 6 2 2" xfId="39576"/>
    <cellStyle name="Heading 2 2 3 4 2 6 6 3" xfId="39577"/>
    <cellStyle name="Heading 2 2 3 4 2 6 7" xfId="39578"/>
    <cellStyle name="Heading 2 2 3 4 2 6 7 2" xfId="39579"/>
    <cellStyle name="Heading 2 2 3 4 2 6 7 2 2" xfId="39580"/>
    <cellStyle name="Heading 2 2 3 4 2 6 7 3" xfId="39581"/>
    <cellStyle name="Heading 2 2 3 4 2 6 8" xfId="39582"/>
    <cellStyle name="Heading 2 2 3 4 2 6 8 2" xfId="39583"/>
    <cellStyle name="Heading 2 2 3 4 2 6 9" xfId="39584"/>
    <cellStyle name="Heading 2 2 3 4 2 7" xfId="39585"/>
    <cellStyle name="Heading 2 2 3 4 2 7 2" xfId="39586"/>
    <cellStyle name="Heading 2 2 3 4 2 7 2 2" xfId="39587"/>
    <cellStyle name="Heading 2 2 3 4 2 7 2 2 2" xfId="39588"/>
    <cellStyle name="Heading 2 2 3 4 2 7 2 3" xfId="39589"/>
    <cellStyle name="Heading 2 2 3 4 2 7 3" xfId="39590"/>
    <cellStyle name="Heading 2 2 3 4 2 7 3 2" xfId="39591"/>
    <cellStyle name="Heading 2 2 3 4 2 7 3 2 2" xfId="39592"/>
    <cellStyle name="Heading 2 2 3 4 2 7 3 3" xfId="39593"/>
    <cellStyle name="Heading 2 2 3 4 2 7 4" xfId="39594"/>
    <cellStyle name="Heading 2 2 3 4 2 7 4 2" xfId="39595"/>
    <cellStyle name="Heading 2 2 3 4 2 7 4 2 2" xfId="39596"/>
    <cellStyle name="Heading 2 2 3 4 2 7 4 3" xfId="39597"/>
    <cellStyle name="Heading 2 2 3 4 2 7 5" xfId="39598"/>
    <cellStyle name="Heading 2 2 3 4 2 7 5 2" xfId="39599"/>
    <cellStyle name="Heading 2 2 3 4 2 7 5 2 2" xfId="39600"/>
    <cellStyle name="Heading 2 2 3 4 2 7 5 3" xfId="39601"/>
    <cellStyle name="Heading 2 2 3 4 2 7 6" xfId="39602"/>
    <cellStyle name="Heading 2 2 3 4 2 7 6 2" xfId="39603"/>
    <cellStyle name="Heading 2 2 3 4 2 7 6 2 2" xfId="39604"/>
    <cellStyle name="Heading 2 2 3 4 2 7 6 3" xfId="39605"/>
    <cellStyle name="Heading 2 2 3 4 2 7 7" xfId="39606"/>
    <cellStyle name="Heading 2 2 3 4 2 7 7 2" xfId="39607"/>
    <cellStyle name="Heading 2 2 3 4 2 7 7 2 2" xfId="39608"/>
    <cellStyle name="Heading 2 2 3 4 2 7 7 3" xfId="39609"/>
    <cellStyle name="Heading 2 2 3 4 2 7 8" xfId="39610"/>
    <cellStyle name="Heading 2 2 3 4 2 7 8 2" xfId="39611"/>
    <cellStyle name="Heading 2 2 3 4 2 7 9" xfId="39612"/>
    <cellStyle name="Heading 2 2 3 4 2 8" xfId="39613"/>
    <cellStyle name="Heading 2 2 3 4 2 8 2" xfId="39614"/>
    <cellStyle name="Heading 2 2 3 4 2 8 2 2" xfId="39615"/>
    <cellStyle name="Heading 2 2 3 4 2 8 2 2 2" xfId="39616"/>
    <cellStyle name="Heading 2 2 3 4 2 8 2 3" xfId="39617"/>
    <cellStyle name="Heading 2 2 3 4 2 8 3" xfId="39618"/>
    <cellStyle name="Heading 2 2 3 4 2 8 3 2" xfId="39619"/>
    <cellStyle name="Heading 2 2 3 4 2 8 3 2 2" xfId="39620"/>
    <cellStyle name="Heading 2 2 3 4 2 8 3 3" xfId="39621"/>
    <cellStyle name="Heading 2 2 3 4 2 8 4" xfId="39622"/>
    <cellStyle name="Heading 2 2 3 4 2 8 4 2" xfId="39623"/>
    <cellStyle name="Heading 2 2 3 4 2 8 4 2 2" xfId="39624"/>
    <cellStyle name="Heading 2 2 3 4 2 8 4 3" xfId="39625"/>
    <cellStyle name="Heading 2 2 3 4 2 8 5" xfId="39626"/>
    <cellStyle name="Heading 2 2 3 4 2 8 5 2" xfId="39627"/>
    <cellStyle name="Heading 2 2 3 4 2 8 5 2 2" xfId="39628"/>
    <cellStyle name="Heading 2 2 3 4 2 8 5 3" xfId="39629"/>
    <cellStyle name="Heading 2 2 3 4 2 8 6" xfId="39630"/>
    <cellStyle name="Heading 2 2 3 4 2 8 6 2" xfId="39631"/>
    <cellStyle name="Heading 2 2 3 4 2 8 6 2 2" xfId="39632"/>
    <cellStyle name="Heading 2 2 3 4 2 8 6 3" xfId="39633"/>
    <cellStyle name="Heading 2 2 3 4 2 8 7" xfId="39634"/>
    <cellStyle name="Heading 2 2 3 4 2 8 7 2" xfId="39635"/>
    <cellStyle name="Heading 2 2 3 4 2 8 7 2 2" xfId="39636"/>
    <cellStyle name="Heading 2 2 3 4 2 8 7 3" xfId="39637"/>
    <cellStyle name="Heading 2 2 3 4 2 8 8" xfId="39638"/>
    <cellStyle name="Heading 2 2 3 4 2 8 8 2" xfId="39639"/>
    <cellStyle name="Heading 2 2 3 4 2 8 9" xfId="39640"/>
    <cellStyle name="Heading 2 2 3 4 2 9" xfId="39641"/>
    <cellStyle name="Heading 2 2 3 4 2 9 2" xfId="39642"/>
    <cellStyle name="Heading 2 2 3 4 2 9 2 2" xfId="39643"/>
    <cellStyle name="Heading 2 2 3 4 2 9 2 2 2" xfId="39644"/>
    <cellStyle name="Heading 2 2 3 4 2 9 2 3" xfId="39645"/>
    <cellStyle name="Heading 2 2 3 4 2 9 3" xfId="39646"/>
    <cellStyle name="Heading 2 2 3 4 2 9 3 2" xfId="39647"/>
    <cellStyle name="Heading 2 2 3 4 2 9 3 2 2" xfId="39648"/>
    <cellStyle name="Heading 2 2 3 4 2 9 3 3" xfId="39649"/>
    <cellStyle name="Heading 2 2 3 4 2 9 4" xfId="39650"/>
    <cellStyle name="Heading 2 2 3 4 2 9 4 2" xfId="39651"/>
    <cellStyle name="Heading 2 2 3 4 2 9 4 2 2" xfId="39652"/>
    <cellStyle name="Heading 2 2 3 4 2 9 4 3" xfId="39653"/>
    <cellStyle name="Heading 2 2 3 4 2 9 5" xfId="39654"/>
    <cellStyle name="Heading 2 2 3 4 2 9 5 2" xfId="39655"/>
    <cellStyle name="Heading 2 2 3 4 2 9 5 2 2" xfId="39656"/>
    <cellStyle name="Heading 2 2 3 4 2 9 5 3" xfId="39657"/>
    <cellStyle name="Heading 2 2 3 4 2 9 6" xfId="39658"/>
    <cellStyle name="Heading 2 2 3 4 2 9 6 2" xfId="39659"/>
    <cellStyle name="Heading 2 2 3 4 2 9 6 2 2" xfId="39660"/>
    <cellStyle name="Heading 2 2 3 4 2 9 6 3" xfId="39661"/>
    <cellStyle name="Heading 2 2 3 4 2 9 7" xfId="39662"/>
    <cellStyle name="Heading 2 2 3 4 2 9 7 2" xfId="39663"/>
    <cellStyle name="Heading 2 2 3 4 2 9 7 2 2" xfId="39664"/>
    <cellStyle name="Heading 2 2 3 4 2 9 7 3" xfId="39665"/>
    <cellStyle name="Heading 2 2 3 4 2 9 8" xfId="39666"/>
    <cellStyle name="Heading 2 2 3 4 2 9 8 2" xfId="39667"/>
    <cellStyle name="Heading 2 2 3 4 2 9 9" xfId="39668"/>
    <cellStyle name="Heading 2 2 3 4 3" xfId="39669"/>
    <cellStyle name="Heading 2 2 3 4 3 10" xfId="39670"/>
    <cellStyle name="Heading 2 2 3 4 3 10 2" xfId="39671"/>
    <cellStyle name="Heading 2 2 3 4 3 10 2 2" xfId="39672"/>
    <cellStyle name="Heading 2 2 3 4 3 10 3" xfId="39673"/>
    <cellStyle name="Heading 2 2 3 4 3 11" xfId="39674"/>
    <cellStyle name="Heading 2 2 3 4 3 11 2" xfId="39675"/>
    <cellStyle name="Heading 2 2 3 4 3 11 2 2" xfId="39676"/>
    <cellStyle name="Heading 2 2 3 4 3 11 3" xfId="39677"/>
    <cellStyle name="Heading 2 2 3 4 3 12" xfId="39678"/>
    <cellStyle name="Heading 2 2 3 4 3 12 2" xfId="39679"/>
    <cellStyle name="Heading 2 2 3 4 3 12 2 2" xfId="39680"/>
    <cellStyle name="Heading 2 2 3 4 3 12 3" xfId="39681"/>
    <cellStyle name="Heading 2 2 3 4 3 13" xfId="39682"/>
    <cellStyle name="Heading 2 2 3 4 3 13 2" xfId="39683"/>
    <cellStyle name="Heading 2 2 3 4 3 13 2 2" xfId="39684"/>
    <cellStyle name="Heading 2 2 3 4 3 13 3" xfId="39685"/>
    <cellStyle name="Heading 2 2 3 4 3 14" xfId="39686"/>
    <cellStyle name="Heading 2 2 3 4 3 14 2" xfId="39687"/>
    <cellStyle name="Heading 2 2 3 4 3 14 2 2" xfId="39688"/>
    <cellStyle name="Heading 2 2 3 4 3 14 3" xfId="39689"/>
    <cellStyle name="Heading 2 2 3 4 3 15" xfId="39690"/>
    <cellStyle name="Heading 2 2 3 4 3 15 2" xfId="39691"/>
    <cellStyle name="Heading 2 2 3 4 3 15 2 2" xfId="39692"/>
    <cellStyle name="Heading 2 2 3 4 3 15 3" xfId="39693"/>
    <cellStyle name="Heading 2 2 3 4 3 16" xfId="39694"/>
    <cellStyle name="Heading 2 2 3 4 3 16 2" xfId="39695"/>
    <cellStyle name="Heading 2 2 3 4 3 16 2 2" xfId="39696"/>
    <cellStyle name="Heading 2 2 3 4 3 16 3" xfId="39697"/>
    <cellStyle name="Heading 2 2 3 4 3 17" xfId="39698"/>
    <cellStyle name="Heading 2 2 3 4 3 17 2" xfId="39699"/>
    <cellStyle name="Heading 2 2 3 4 3 17 2 2" xfId="39700"/>
    <cellStyle name="Heading 2 2 3 4 3 17 3" xfId="39701"/>
    <cellStyle name="Heading 2 2 3 4 3 18" xfId="39702"/>
    <cellStyle name="Heading 2 2 3 4 3 18 2" xfId="39703"/>
    <cellStyle name="Heading 2 2 3 4 3 18 2 2" xfId="39704"/>
    <cellStyle name="Heading 2 2 3 4 3 18 3" xfId="39705"/>
    <cellStyle name="Heading 2 2 3 4 3 19" xfId="39706"/>
    <cellStyle name="Heading 2 2 3 4 3 19 2" xfId="39707"/>
    <cellStyle name="Heading 2 2 3 4 3 2" xfId="39708"/>
    <cellStyle name="Heading 2 2 3 4 3 2 2" xfId="39709"/>
    <cellStyle name="Heading 2 2 3 4 3 2 2 2" xfId="39710"/>
    <cellStyle name="Heading 2 2 3 4 3 2 2 2 2" xfId="39711"/>
    <cellStyle name="Heading 2 2 3 4 3 2 2 3" xfId="39712"/>
    <cellStyle name="Heading 2 2 3 4 3 2 3" xfId="39713"/>
    <cellStyle name="Heading 2 2 3 4 3 2 3 2" xfId="39714"/>
    <cellStyle name="Heading 2 2 3 4 3 2 3 2 2" xfId="39715"/>
    <cellStyle name="Heading 2 2 3 4 3 2 3 3" xfId="39716"/>
    <cellStyle name="Heading 2 2 3 4 3 2 4" xfId="39717"/>
    <cellStyle name="Heading 2 2 3 4 3 2 4 2" xfId="39718"/>
    <cellStyle name="Heading 2 2 3 4 3 2 4 2 2" xfId="39719"/>
    <cellStyle name="Heading 2 2 3 4 3 2 4 3" xfId="39720"/>
    <cellStyle name="Heading 2 2 3 4 3 2 5" xfId="39721"/>
    <cellStyle name="Heading 2 2 3 4 3 2 5 2" xfId="39722"/>
    <cellStyle name="Heading 2 2 3 4 3 2 5 2 2" xfId="39723"/>
    <cellStyle name="Heading 2 2 3 4 3 2 5 3" xfId="39724"/>
    <cellStyle name="Heading 2 2 3 4 3 2 6" xfId="39725"/>
    <cellStyle name="Heading 2 2 3 4 3 2 6 2" xfId="39726"/>
    <cellStyle name="Heading 2 2 3 4 3 2 6 2 2" xfId="39727"/>
    <cellStyle name="Heading 2 2 3 4 3 2 6 3" xfId="39728"/>
    <cellStyle name="Heading 2 2 3 4 3 2 7" xfId="39729"/>
    <cellStyle name="Heading 2 2 3 4 3 2 7 2" xfId="39730"/>
    <cellStyle name="Heading 2 2 3 4 3 2 7 2 2" xfId="39731"/>
    <cellStyle name="Heading 2 2 3 4 3 2 7 3" xfId="39732"/>
    <cellStyle name="Heading 2 2 3 4 3 2 8" xfId="39733"/>
    <cellStyle name="Heading 2 2 3 4 3 2 8 2" xfId="39734"/>
    <cellStyle name="Heading 2 2 3 4 3 2 9" xfId="39735"/>
    <cellStyle name="Heading 2 2 3 4 3 20" xfId="39736"/>
    <cellStyle name="Heading 2 2 3 4 3 20 2" xfId="39737"/>
    <cellStyle name="Heading 2 2 3 4 3 21" xfId="39738"/>
    <cellStyle name="Heading 2 2 3 4 3 21 2" xfId="39739"/>
    <cellStyle name="Heading 2 2 3 4 3 22" xfId="39740"/>
    <cellStyle name="Heading 2 2 3 4 3 3" xfId="39741"/>
    <cellStyle name="Heading 2 2 3 4 3 3 2" xfId="39742"/>
    <cellStyle name="Heading 2 2 3 4 3 3 2 2" xfId="39743"/>
    <cellStyle name="Heading 2 2 3 4 3 3 2 2 2" xfId="39744"/>
    <cellStyle name="Heading 2 2 3 4 3 3 2 3" xfId="39745"/>
    <cellStyle name="Heading 2 2 3 4 3 3 3" xfId="39746"/>
    <cellStyle name="Heading 2 2 3 4 3 3 3 2" xfId="39747"/>
    <cellStyle name="Heading 2 2 3 4 3 3 3 2 2" xfId="39748"/>
    <cellStyle name="Heading 2 2 3 4 3 3 3 3" xfId="39749"/>
    <cellStyle name="Heading 2 2 3 4 3 3 4" xfId="39750"/>
    <cellStyle name="Heading 2 2 3 4 3 3 4 2" xfId="39751"/>
    <cellStyle name="Heading 2 2 3 4 3 3 4 2 2" xfId="39752"/>
    <cellStyle name="Heading 2 2 3 4 3 3 4 3" xfId="39753"/>
    <cellStyle name="Heading 2 2 3 4 3 3 5" xfId="39754"/>
    <cellStyle name="Heading 2 2 3 4 3 3 5 2" xfId="39755"/>
    <cellStyle name="Heading 2 2 3 4 3 3 5 2 2" xfId="39756"/>
    <cellStyle name="Heading 2 2 3 4 3 3 5 3" xfId="39757"/>
    <cellStyle name="Heading 2 2 3 4 3 3 6" xfId="39758"/>
    <cellStyle name="Heading 2 2 3 4 3 3 6 2" xfId="39759"/>
    <cellStyle name="Heading 2 2 3 4 3 3 6 2 2" xfId="39760"/>
    <cellStyle name="Heading 2 2 3 4 3 3 6 3" xfId="39761"/>
    <cellStyle name="Heading 2 2 3 4 3 3 7" xfId="39762"/>
    <cellStyle name="Heading 2 2 3 4 3 3 7 2" xfId="39763"/>
    <cellStyle name="Heading 2 2 3 4 3 3 7 2 2" xfId="39764"/>
    <cellStyle name="Heading 2 2 3 4 3 3 7 3" xfId="39765"/>
    <cellStyle name="Heading 2 2 3 4 3 3 8" xfId="39766"/>
    <cellStyle name="Heading 2 2 3 4 3 3 8 2" xfId="39767"/>
    <cellStyle name="Heading 2 2 3 4 3 3 9" xfId="39768"/>
    <cellStyle name="Heading 2 2 3 4 3 4" xfId="39769"/>
    <cellStyle name="Heading 2 2 3 4 3 4 2" xfId="39770"/>
    <cellStyle name="Heading 2 2 3 4 3 4 2 2" xfId="39771"/>
    <cellStyle name="Heading 2 2 3 4 3 4 2 2 2" xfId="39772"/>
    <cellStyle name="Heading 2 2 3 4 3 4 2 3" xfId="39773"/>
    <cellStyle name="Heading 2 2 3 4 3 4 3" xfId="39774"/>
    <cellStyle name="Heading 2 2 3 4 3 4 3 2" xfId="39775"/>
    <cellStyle name="Heading 2 2 3 4 3 4 3 2 2" xfId="39776"/>
    <cellStyle name="Heading 2 2 3 4 3 4 3 3" xfId="39777"/>
    <cellStyle name="Heading 2 2 3 4 3 4 4" xfId="39778"/>
    <cellStyle name="Heading 2 2 3 4 3 4 4 2" xfId="39779"/>
    <cellStyle name="Heading 2 2 3 4 3 4 4 2 2" xfId="39780"/>
    <cellStyle name="Heading 2 2 3 4 3 4 4 3" xfId="39781"/>
    <cellStyle name="Heading 2 2 3 4 3 4 5" xfId="39782"/>
    <cellStyle name="Heading 2 2 3 4 3 4 5 2" xfId="39783"/>
    <cellStyle name="Heading 2 2 3 4 3 4 5 2 2" xfId="39784"/>
    <cellStyle name="Heading 2 2 3 4 3 4 5 3" xfId="39785"/>
    <cellStyle name="Heading 2 2 3 4 3 4 6" xfId="39786"/>
    <cellStyle name="Heading 2 2 3 4 3 4 6 2" xfId="39787"/>
    <cellStyle name="Heading 2 2 3 4 3 4 6 2 2" xfId="39788"/>
    <cellStyle name="Heading 2 2 3 4 3 4 6 3" xfId="39789"/>
    <cellStyle name="Heading 2 2 3 4 3 4 7" xfId="39790"/>
    <cellStyle name="Heading 2 2 3 4 3 4 7 2" xfId="39791"/>
    <cellStyle name="Heading 2 2 3 4 3 4 7 2 2" xfId="39792"/>
    <cellStyle name="Heading 2 2 3 4 3 4 7 3" xfId="39793"/>
    <cellStyle name="Heading 2 2 3 4 3 4 8" xfId="39794"/>
    <cellStyle name="Heading 2 2 3 4 3 4 8 2" xfId="39795"/>
    <cellStyle name="Heading 2 2 3 4 3 4 9" xfId="39796"/>
    <cellStyle name="Heading 2 2 3 4 3 5" xfId="39797"/>
    <cellStyle name="Heading 2 2 3 4 3 5 2" xfId="39798"/>
    <cellStyle name="Heading 2 2 3 4 3 5 2 2" xfId="39799"/>
    <cellStyle name="Heading 2 2 3 4 3 5 2 2 2" xfId="39800"/>
    <cellStyle name="Heading 2 2 3 4 3 5 2 3" xfId="39801"/>
    <cellStyle name="Heading 2 2 3 4 3 5 3" xfId="39802"/>
    <cellStyle name="Heading 2 2 3 4 3 5 3 2" xfId="39803"/>
    <cellStyle name="Heading 2 2 3 4 3 5 3 2 2" xfId="39804"/>
    <cellStyle name="Heading 2 2 3 4 3 5 3 3" xfId="39805"/>
    <cellStyle name="Heading 2 2 3 4 3 5 4" xfId="39806"/>
    <cellStyle name="Heading 2 2 3 4 3 5 4 2" xfId="39807"/>
    <cellStyle name="Heading 2 2 3 4 3 5 4 2 2" xfId="39808"/>
    <cellStyle name="Heading 2 2 3 4 3 5 4 3" xfId="39809"/>
    <cellStyle name="Heading 2 2 3 4 3 5 5" xfId="39810"/>
    <cellStyle name="Heading 2 2 3 4 3 5 5 2" xfId="39811"/>
    <cellStyle name="Heading 2 2 3 4 3 5 5 2 2" xfId="39812"/>
    <cellStyle name="Heading 2 2 3 4 3 5 5 3" xfId="39813"/>
    <cellStyle name="Heading 2 2 3 4 3 5 6" xfId="39814"/>
    <cellStyle name="Heading 2 2 3 4 3 5 6 2" xfId="39815"/>
    <cellStyle name="Heading 2 2 3 4 3 5 6 2 2" xfId="39816"/>
    <cellStyle name="Heading 2 2 3 4 3 5 6 3" xfId="39817"/>
    <cellStyle name="Heading 2 2 3 4 3 5 7" xfId="39818"/>
    <cellStyle name="Heading 2 2 3 4 3 5 7 2" xfId="39819"/>
    <cellStyle name="Heading 2 2 3 4 3 5 7 2 2" xfId="39820"/>
    <cellStyle name="Heading 2 2 3 4 3 5 7 3" xfId="39821"/>
    <cellStyle name="Heading 2 2 3 4 3 5 8" xfId="39822"/>
    <cellStyle name="Heading 2 2 3 4 3 5 8 2" xfId="39823"/>
    <cellStyle name="Heading 2 2 3 4 3 5 9" xfId="39824"/>
    <cellStyle name="Heading 2 2 3 4 3 6" xfId="39825"/>
    <cellStyle name="Heading 2 2 3 4 3 6 2" xfId="39826"/>
    <cellStyle name="Heading 2 2 3 4 3 6 2 2" xfId="39827"/>
    <cellStyle name="Heading 2 2 3 4 3 6 2 2 2" xfId="39828"/>
    <cellStyle name="Heading 2 2 3 4 3 6 2 3" xfId="39829"/>
    <cellStyle name="Heading 2 2 3 4 3 6 3" xfId="39830"/>
    <cellStyle name="Heading 2 2 3 4 3 6 3 2" xfId="39831"/>
    <cellStyle name="Heading 2 2 3 4 3 6 3 2 2" xfId="39832"/>
    <cellStyle name="Heading 2 2 3 4 3 6 3 3" xfId="39833"/>
    <cellStyle name="Heading 2 2 3 4 3 6 4" xfId="39834"/>
    <cellStyle name="Heading 2 2 3 4 3 6 4 2" xfId="39835"/>
    <cellStyle name="Heading 2 2 3 4 3 6 4 2 2" xfId="39836"/>
    <cellStyle name="Heading 2 2 3 4 3 6 4 3" xfId="39837"/>
    <cellStyle name="Heading 2 2 3 4 3 6 5" xfId="39838"/>
    <cellStyle name="Heading 2 2 3 4 3 6 5 2" xfId="39839"/>
    <cellStyle name="Heading 2 2 3 4 3 6 5 2 2" xfId="39840"/>
    <cellStyle name="Heading 2 2 3 4 3 6 5 3" xfId="39841"/>
    <cellStyle name="Heading 2 2 3 4 3 6 6" xfId="39842"/>
    <cellStyle name="Heading 2 2 3 4 3 6 6 2" xfId="39843"/>
    <cellStyle name="Heading 2 2 3 4 3 6 6 2 2" xfId="39844"/>
    <cellStyle name="Heading 2 2 3 4 3 6 6 3" xfId="39845"/>
    <cellStyle name="Heading 2 2 3 4 3 6 7" xfId="39846"/>
    <cellStyle name="Heading 2 2 3 4 3 6 7 2" xfId="39847"/>
    <cellStyle name="Heading 2 2 3 4 3 6 7 2 2" xfId="39848"/>
    <cellStyle name="Heading 2 2 3 4 3 6 7 3" xfId="39849"/>
    <cellStyle name="Heading 2 2 3 4 3 6 8" xfId="39850"/>
    <cellStyle name="Heading 2 2 3 4 3 6 8 2" xfId="39851"/>
    <cellStyle name="Heading 2 2 3 4 3 6 9" xfId="39852"/>
    <cellStyle name="Heading 2 2 3 4 3 7" xfId="39853"/>
    <cellStyle name="Heading 2 2 3 4 3 7 2" xfId="39854"/>
    <cellStyle name="Heading 2 2 3 4 3 7 2 2" xfId="39855"/>
    <cellStyle name="Heading 2 2 3 4 3 7 2 2 2" xfId="39856"/>
    <cellStyle name="Heading 2 2 3 4 3 7 2 3" xfId="39857"/>
    <cellStyle name="Heading 2 2 3 4 3 7 3" xfId="39858"/>
    <cellStyle name="Heading 2 2 3 4 3 7 3 2" xfId="39859"/>
    <cellStyle name="Heading 2 2 3 4 3 7 3 2 2" xfId="39860"/>
    <cellStyle name="Heading 2 2 3 4 3 7 3 3" xfId="39861"/>
    <cellStyle name="Heading 2 2 3 4 3 7 4" xfId="39862"/>
    <cellStyle name="Heading 2 2 3 4 3 7 4 2" xfId="39863"/>
    <cellStyle name="Heading 2 2 3 4 3 7 4 2 2" xfId="39864"/>
    <cellStyle name="Heading 2 2 3 4 3 7 4 3" xfId="39865"/>
    <cellStyle name="Heading 2 2 3 4 3 7 5" xfId="39866"/>
    <cellStyle name="Heading 2 2 3 4 3 7 5 2" xfId="39867"/>
    <cellStyle name="Heading 2 2 3 4 3 7 5 2 2" xfId="39868"/>
    <cellStyle name="Heading 2 2 3 4 3 7 5 3" xfId="39869"/>
    <cellStyle name="Heading 2 2 3 4 3 7 6" xfId="39870"/>
    <cellStyle name="Heading 2 2 3 4 3 7 6 2" xfId="39871"/>
    <cellStyle name="Heading 2 2 3 4 3 7 6 2 2" xfId="39872"/>
    <cellStyle name="Heading 2 2 3 4 3 7 6 3" xfId="39873"/>
    <cellStyle name="Heading 2 2 3 4 3 7 7" xfId="39874"/>
    <cellStyle name="Heading 2 2 3 4 3 7 7 2" xfId="39875"/>
    <cellStyle name="Heading 2 2 3 4 3 7 7 2 2" xfId="39876"/>
    <cellStyle name="Heading 2 2 3 4 3 7 7 3" xfId="39877"/>
    <cellStyle name="Heading 2 2 3 4 3 7 8" xfId="39878"/>
    <cellStyle name="Heading 2 2 3 4 3 7 8 2" xfId="39879"/>
    <cellStyle name="Heading 2 2 3 4 3 7 9" xfId="39880"/>
    <cellStyle name="Heading 2 2 3 4 3 8" xfId="39881"/>
    <cellStyle name="Heading 2 2 3 4 3 8 2" xfId="39882"/>
    <cellStyle name="Heading 2 2 3 4 3 8 2 2" xfId="39883"/>
    <cellStyle name="Heading 2 2 3 4 3 8 2 2 2" xfId="39884"/>
    <cellStyle name="Heading 2 2 3 4 3 8 2 3" xfId="39885"/>
    <cellStyle name="Heading 2 2 3 4 3 8 3" xfId="39886"/>
    <cellStyle name="Heading 2 2 3 4 3 8 3 2" xfId="39887"/>
    <cellStyle name="Heading 2 2 3 4 3 8 3 2 2" xfId="39888"/>
    <cellStyle name="Heading 2 2 3 4 3 8 3 3" xfId="39889"/>
    <cellStyle name="Heading 2 2 3 4 3 8 4" xfId="39890"/>
    <cellStyle name="Heading 2 2 3 4 3 8 4 2" xfId="39891"/>
    <cellStyle name="Heading 2 2 3 4 3 8 4 2 2" xfId="39892"/>
    <cellStyle name="Heading 2 2 3 4 3 8 4 3" xfId="39893"/>
    <cellStyle name="Heading 2 2 3 4 3 8 5" xfId="39894"/>
    <cellStyle name="Heading 2 2 3 4 3 8 5 2" xfId="39895"/>
    <cellStyle name="Heading 2 2 3 4 3 8 5 2 2" xfId="39896"/>
    <cellStyle name="Heading 2 2 3 4 3 8 5 3" xfId="39897"/>
    <cellStyle name="Heading 2 2 3 4 3 8 6" xfId="39898"/>
    <cellStyle name="Heading 2 2 3 4 3 8 6 2" xfId="39899"/>
    <cellStyle name="Heading 2 2 3 4 3 8 6 2 2" xfId="39900"/>
    <cellStyle name="Heading 2 2 3 4 3 8 6 3" xfId="39901"/>
    <cellStyle name="Heading 2 2 3 4 3 8 7" xfId="39902"/>
    <cellStyle name="Heading 2 2 3 4 3 8 7 2" xfId="39903"/>
    <cellStyle name="Heading 2 2 3 4 3 8 7 2 2" xfId="39904"/>
    <cellStyle name="Heading 2 2 3 4 3 8 7 3" xfId="39905"/>
    <cellStyle name="Heading 2 2 3 4 3 8 8" xfId="39906"/>
    <cellStyle name="Heading 2 2 3 4 3 8 8 2" xfId="39907"/>
    <cellStyle name="Heading 2 2 3 4 3 8 9" xfId="39908"/>
    <cellStyle name="Heading 2 2 3 4 3 9" xfId="39909"/>
    <cellStyle name="Heading 2 2 3 4 3 9 2" xfId="39910"/>
    <cellStyle name="Heading 2 2 3 4 3 9 2 2" xfId="39911"/>
    <cellStyle name="Heading 2 2 3 4 3 9 3" xfId="39912"/>
    <cellStyle name="Heading 2 2 3 4 4" xfId="39913"/>
    <cellStyle name="Heading 2 2 3 4 4 2" xfId="39914"/>
    <cellStyle name="Heading 2 2 3 4 4 2 2" xfId="39915"/>
    <cellStyle name="Heading 2 2 3 4 4 3" xfId="39916"/>
    <cellStyle name="Heading 2 2 3 4 5" xfId="39917"/>
    <cellStyle name="Heading 2 2 3 4 5 2" xfId="39918"/>
    <cellStyle name="Heading 2 2 3 4 6" xfId="39919"/>
    <cellStyle name="Heading 2 2 3 5" xfId="39920"/>
    <cellStyle name="Heading 2 2 3 5 2" xfId="39921"/>
    <cellStyle name="Heading 2 2 3 5 2 10" xfId="39922"/>
    <cellStyle name="Heading 2 2 3 5 2 10 2" xfId="39923"/>
    <cellStyle name="Heading 2 2 3 5 2 10 2 2" xfId="39924"/>
    <cellStyle name="Heading 2 2 3 5 2 10 3" xfId="39925"/>
    <cellStyle name="Heading 2 2 3 5 2 11" xfId="39926"/>
    <cellStyle name="Heading 2 2 3 5 2 11 2" xfId="39927"/>
    <cellStyle name="Heading 2 2 3 5 2 11 2 2" xfId="39928"/>
    <cellStyle name="Heading 2 2 3 5 2 11 3" xfId="39929"/>
    <cellStyle name="Heading 2 2 3 5 2 12" xfId="39930"/>
    <cellStyle name="Heading 2 2 3 5 2 12 2" xfId="39931"/>
    <cellStyle name="Heading 2 2 3 5 2 12 2 2" xfId="39932"/>
    <cellStyle name="Heading 2 2 3 5 2 12 3" xfId="39933"/>
    <cellStyle name="Heading 2 2 3 5 2 13" xfId="39934"/>
    <cellStyle name="Heading 2 2 3 5 2 13 2" xfId="39935"/>
    <cellStyle name="Heading 2 2 3 5 2 13 2 2" xfId="39936"/>
    <cellStyle name="Heading 2 2 3 5 2 13 3" xfId="39937"/>
    <cellStyle name="Heading 2 2 3 5 2 14" xfId="39938"/>
    <cellStyle name="Heading 2 2 3 5 2 14 2" xfId="39939"/>
    <cellStyle name="Heading 2 2 3 5 2 14 2 2" xfId="39940"/>
    <cellStyle name="Heading 2 2 3 5 2 14 3" xfId="39941"/>
    <cellStyle name="Heading 2 2 3 5 2 15" xfId="39942"/>
    <cellStyle name="Heading 2 2 3 5 2 15 2" xfId="39943"/>
    <cellStyle name="Heading 2 2 3 5 2 15 2 2" xfId="39944"/>
    <cellStyle name="Heading 2 2 3 5 2 15 3" xfId="39945"/>
    <cellStyle name="Heading 2 2 3 5 2 16" xfId="39946"/>
    <cellStyle name="Heading 2 2 3 5 2 16 2" xfId="39947"/>
    <cellStyle name="Heading 2 2 3 5 2 16 2 2" xfId="39948"/>
    <cellStyle name="Heading 2 2 3 5 2 16 3" xfId="39949"/>
    <cellStyle name="Heading 2 2 3 5 2 17" xfId="39950"/>
    <cellStyle name="Heading 2 2 3 5 2 17 2" xfId="39951"/>
    <cellStyle name="Heading 2 2 3 5 2 17 2 2" xfId="39952"/>
    <cellStyle name="Heading 2 2 3 5 2 17 3" xfId="39953"/>
    <cellStyle name="Heading 2 2 3 5 2 18" xfId="39954"/>
    <cellStyle name="Heading 2 2 3 5 2 18 2" xfId="39955"/>
    <cellStyle name="Heading 2 2 3 5 2 18 2 2" xfId="39956"/>
    <cellStyle name="Heading 2 2 3 5 2 18 3" xfId="39957"/>
    <cellStyle name="Heading 2 2 3 5 2 19" xfId="39958"/>
    <cellStyle name="Heading 2 2 3 5 2 19 2" xfId="39959"/>
    <cellStyle name="Heading 2 2 3 5 2 19 2 2" xfId="39960"/>
    <cellStyle name="Heading 2 2 3 5 2 19 3" xfId="39961"/>
    <cellStyle name="Heading 2 2 3 5 2 2" xfId="39962"/>
    <cellStyle name="Heading 2 2 3 5 2 2 10" xfId="39963"/>
    <cellStyle name="Heading 2 2 3 5 2 2 10 2" xfId="39964"/>
    <cellStyle name="Heading 2 2 3 5 2 2 10 2 2" xfId="39965"/>
    <cellStyle name="Heading 2 2 3 5 2 2 10 3" xfId="39966"/>
    <cellStyle name="Heading 2 2 3 5 2 2 11" xfId="39967"/>
    <cellStyle name="Heading 2 2 3 5 2 2 11 2" xfId="39968"/>
    <cellStyle name="Heading 2 2 3 5 2 2 11 2 2" xfId="39969"/>
    <cellStyle name="Heading 2 2 3 5 2 2 11 3" xfId="39970"/>
    <cellStyle name="Heading 2 2 3 5 2 2 12" xfId="39971"/>
    <cellStyle name="Heading 2 2 3 5 2 2 12 2" xfId="39972"/>
    <cellStyle name="Heading 2 2 3 5 2 2 12 2 2" xfId="39973"/>
    <cellStyle name="Heading 2 2 3 5 2 2 12 3" xfId="39974"/>
    <cellStyle name="Heading 2 2 3 5 2 2 13" xfId="39975"/>
    <cellStyle name="Heading 2 2 3 5 2 2 13 2" xfId="39976"/>
    <cellStyle name="Heading 2 2 3 5 2 2 13 2 2" xfId="39977"/>
    <cellStyle name="Heading 2 2 3 5 2 2 13 3" xfId="39978"/>
    <cellStyle name="Heading 2 2 3 5 2 2 14" xfId="39979"/>
    <cellStyle name="Heading 2 2 3 5 2 2 14 2" xfId="39980"/>
    <cellStyle name="Heading 2 2 3 5 2 2 14 2 2" xfId="39981"/>
    <cellStyle name="Heading 2 2 3 5 2 2 14 3" xfId="39982"/>
    <cellStyle name="Heading 2 2 3 5 2 2 15" xfId="39983"/>
    <cellStyle name="Heading 2 2 3 5 2 2 15 2" xfId="39984"/>
    <cellStyle name="Heading 2 2 3 5 2 2 15 2 2" xfId="39985"/>
    <cellStyle name="Heading 2 2 3 5 2 2 15 3" xfId="39986"/>
    <cellStyle name="Heading 2 2 3 5 2 2 16" xfId="39987"/>
    <cellStyle name="Heading 2 2 3 5 2 2 16 2" xfId="39988"/>
    <cellStyle name="Heading 2 2 3 5 2 2 16 2 2" xfId="39989"/>
    <cellStyle name="Heading 2 2 3 5 2 2 16 3" xfId="39990"/>
    <cellStyle name="Heading 2 2 3 5 2 2 17" xfId="39991"/>
    <cellStyle name="Heading 2 2 3 5 2 2 17 2" xfId="39992"/>
    <cellStyle name="Heading 2 2 3 5 2 2 17 2 2" xfId="39993"/>
    <cellStyle name="Heading 2 2 3 5 2 2 17 3" xfId="39994"/>
    <cellStyle name="Heading 2 2 3 5 2 2 18" xfId="39995"/>
    <cellStyle name="Heading 2 2 3 5 2 2 18 2" xfId="39996"/>
    <cellStyle name="Heading 2 2 3 5 2 2 18 2 2" xfId="39997"/>
    <cellStyle name="Heading 2 2 3 5 2 2 18 3" xfId="39998"/>
    <cellStyle name="Heading 2 2 3 5 2 2 19" xfId="39999"/>
    <cellStyle name="Heading 2 2 3 5 2 2 19 2" xfId="40000"/>
    <cellStyle name="Heading 2 2 3 5 2 2 2" xfId="40001"/>
    <cellStyle name="Heading 2 2 3 5 2 2 2 2" xfId="40002"/>
    <cellStyle name="Heading 2 2 3 5 2 2 2 2 2" xfId="40003"/>
    <cellStyle name="Heading 2 2 3 5 2 2 2 2 2 2" xfId="40004"/>
    <cellStyle name="Heading 2 2 3 5 2 2 2 2 3" xfId="40005"/>
    <cellStyle name="Heading 2 2 3 5 2 2 2 3" xfId="40006"/>
    <cellStyle name="Heading 2 2 3 5 2 2 2 3 2" xfId="40007"/>
    <cellStyle name="Heading 2 2 3 5 2 2 2 3 2 2" xfId="40008"/>
    <cellStyle name="Heading 2 2 3 5 2 2 2 3 3" xfId="40009"/>
    <cellStyle name="Heading 2 2 3 5 2 2 2 4" xfId="40010"/>
    <cellStyle name="Heading 2 2 3 5 2 2 2 4 2" xfId="40011"/>
    <cellStyle name="Heading 2 2 3 5 2 2 2 4 2 2" xfId="40012"/>
    <cellStyle name="Heading 2 2 3 5 2 2 2 4 3" xfId="40013"/>
    <cellStyle name="Heading 2 2 3 5 2 2 2 5" xfId="40014"/>
    <cellStyle name="Heading 2 2 3 5 2 2 2 5 2" xfId="40015"/>
    <cellStyle name="Heading 2 2 3 5 2 2 2 5 2 2" xfId="40016"/>
    <cellStyle name="Heading 2 2 3 5 2 2 2 5 3" xfId="40017"/>
    <cellStyle name="Heading 2 2 3 5 2 2 2 6" xfId="40018"/>
    <cellStyle name="Heading 2 2 3 5 2 2 2 6 2" xfId="40019"/>
    <cellStyle name="Heading 2 2 3 5 2 2 2 6 2 2" xfId="40020"/>
    <cellStyle name="Heading 2 2 3 5 2 2 2 6 3" xfId="40021"/>
    <cellStyle name="Heading 2 2 3 5 2 2 2 7" xfId="40022"/>
    <cellStyle name="Heading 2 2 3 5 2 2 2 7 2" xfId="40023"/>
    <cellStyle name="Heading 2 2 3 5 2 2 2 7 2 2" xfId="40024"/>
    <cellStyle name="Heading 2 2 3 5 2 2 2 7 3" xfId="40025"/>
    <cellStyle name="Heading 2 2 3 5 2 2 2 8" xfId="40026"/>
    <cellStyle name="Heading 2 2 3 5 2 2 2 8 2" xfId="40027"/>
    <cellStyle name="Heading 2 2 3 5 2 2 2 9" xfId="40028"/>
    <cellStyle name="Heading 2 2 3 5 2 2 20" xfId="40029"/>
    <cellStyle name="Heading 2 2 3 5 2 2 20 2" xfId="40030"/>
    <cellStyle name="Heading 2 2 3 5 2 2 21" xfId="40031"/>
    <cellStyle name="Heading 2 2 3 5 2 2 21 2" xfId="40032"/>
    <cellStyle name="Heading 2 2 3 5 2 2 22" xfId="40033"/>
    <cellStyle name="Heading 2 2 3 5 2 2 3" xfId="40034"/>
    <cellStyle name="Heading 2 2 3 5 2 2 3 2" xfId="40035"/>
    <cellStyle name="Heading 2 2 3 5 2 2 3 2 2" xfId="40036"/>
    <cellStyle name="Heading 2 2 3 5 2 2 3 2 2 2" xfId="40037"/>
    <cellStyle name="Heading 2 2 3 5 2 2 3 2 3" xfId="40038"/>
    <cellStyle name="Heading 2 2 3 5 2 2 3 3" xfId="40039"/>
    <cellStyle name="Heading 2 2 3 5 2 2 3 3 2" xfId="40040"/>
    <cellStyle name="Heading 2 2 3 5 2 2 3 3 2 2" xfId="40041"/>
    <cellStyle name="Heading 2 2 3 5 2 2 3 3 3" xfId="40042"/>
    <cellStyle name="Heading 2 2 3 5 2 2 3 4" xfId="40043"/>
    <cellStyle name="Heading 2 2 3 5 2 2 3 4 2" xfId="40044"/>
    <cellStyle name="Heading 2 2 3 5 2 2 3 4 2 2" xfId="40045"/>
    <cellStyle name="Heading 2 2 3 5 2 2 3 4 3" xfId="40046"/>
    <cellStyle name="Heading 2 2 3 5 2 2 3 5" xfId="40047"/>
    <cellStyle name="Heading 2 2 3 5 2 2 3 5 2" xfId="40048"/>
    <cellStyle name="Heading 2 2 3 5 2 2 3 5 2 2" xfId="40049"/>
    <cellStyle name="Heading 2 2 3 5 2 2 3 5 3" xfId="40050"/>
    <cellStyle name="Heading 2 2 3 5 2 2 3 6" xfId="40051"/>
    <cellStyle name="Heading 2 2 3 5 2 2 3 6 2" xfId="40052"/>
    <cellStyle name="Heading 2 2 3 5 2 2 3 6 2 2" xfId="40053"/>
    <cellStyle name="Heading 2 2 3 5 2 2 3 6 3" xfId="40054"/>
    <cellStyle name="Heading 2 2 3 5 2 2 3 7" xfId="40055"/>
    <cellStyle name="Heading 2 2 3 5 2 2 3 7 2" xfId="40056"/>
    <cellStyle name="Heading 2 2 3 5 2 2 3 7 2 2" xfId="40057"/>
    <cellStyle name="Heading 2 2 3 5 2 2 3 7 3" xfId="40058"/>
    <cellStyle name="Heading 2 2 3 5 2 2 3 8" xfId="40059"/>
    <cellStyle name="Heading 2 2 3 5 2 2 3 8 2" xfId="40060"/>
    <cellStyle name="Heading 2 2 3 5 2 2 3 9" xfId="40061"/>
    <cellStyle name="Heading 2 2 3 5 2 2 4" xfId="40062"/>
    <cellStyle name="Heading 2 2 3 5 2 2 4 2" xfId="40063"/>
    <cellStyle name="Heading 2 2 3 5 2 2 4 2 2" xfId="40064"/>
    <cellStyle name="Heading 2 2 3 5 2 2 4 2 2 2" xfId="40065"/>
    <cellStyle name="Heading 2 2 3 5 2 2 4 2 3" xfId="40066"/>
    <cellStyle name="Heading 2 2 3 5 2 2 4 3" xfId="40067"/>
    <cellStyle name="Heading 2 2 3 5 2 2 4 3 2" xfId="40068"/>
    <cellStyle name="Heading 2 2 3 5 2 2 4 3 2 2" xfId="40069"/>
    <cellStyle name="Heading 2 2 3 5 2 2 4 3 3" xfId="40070"/>
    <cellStyle name="Heading 2 2 3 5 2 2 4 4" xfId="40071"/>
    <cellStyle name="Heading 2 2 3 5 2 2 4 4 2" xfId="40072"/>
    <cellStyle name="Heading 2 2 3 5 2 2 4 4 2 2" xfId="40073"/>
    <cellStyle name="Heading 2 2 3 5 2 2 4 4 3" xfId="40074"/>
    <cellStyle name="Heading 2 2 3 5 2 2 4 5" xfId="40075"/>
    <cellStyle name="Heading 2 2 3 5 2 2 4 5 2" xfId="40076"/>
    <cellStyle name="Heading 2 2 3 5 2 2 4 5 2 2" xfId="40077"/>
    <cellStyle name="Heading 2 2 3 5 2 2 4 5 3" xfId="40078"/>
    <cellStyle name="Heading 2 2 3 5 2 2 4 6" xfId="40079"/>
    <cellStyle name="Heading 2 2 3 5 2 2 4 6 2" xfId="40080"/>
    <cellStyle name="Heading 2 2 3 5 2 2 4 6 2 2" xfId="40081"/>
    <cellStyle name="Heading 2 2 3 5 2 2 4 6 3" xfId="40082"/>
    <cellStyle name="Heading 2 2 3 5 2 2 4 7" xfId="40083"/>
    <cellStyle name="Heading 2 2 3 5 2 2 4 7 2" xfId="40084"/>
    <cellStyle name="Heading 2 2 3 5 2 2 4 7 2 2" xfId="40085"/>
    <cellStyle name="Heading 2 2 3 5 2 2 4 7 3" xfId="40086"/>
    <cellStyle name="Heading 2 2 3 5 2 2 4 8" xfId="40087"/>
    <cellStyle name="Heading 2 2 3 5 2 2 4 8 2" xfId="40088"/>
    <cellStyle name="Heading 2 2 3 5 2 2 4 9" xfId="40089"/>
    <cellStyle name="Heading 2 2 3 5 2 2 5" xfId="40090"/>
    <cellStyle name="Heading 2 2 3 5 2 2 5 2" xfId="40091"/>
    <cellStyle name="Heading 2 2 3 5 2 2 5 2 2" xfId="40092"/>
    <cellStyle name="Heading 2 2 3 5 2 2 5 2 2 2" xfId="40093"/>
    <cellStyle name="Heading 2 2 3 5 2 2 5 2 3" xfId="40094"/>
    <cellStyle name="Heading 2 2 3 5 2 2 5 3" xfId="40095"/>
    <cellStyle name="Heading 2 2 3 5 2 2 5 3 2" xfId="40096"/>
    <cellStyle name="Heading 2 2 3 5 2 2 5 3 2 2" xfId="40097"/>
    <cellStyle name="Heading 2 2 3 5 2 2 5 3 3" xfId="40098"/>
    <cellStyle name="Heading 2 2 3 5 2 2 5 4" xfId="40099"/>
    <cellStyle name="Heading 2 2 3 5 2 2 5 4 2" xfId="40100"/>
    <cellStyle name="Heading 2 2 3 5 2 2 5 4 2 2" xfId="40101"/>
    <cellStyle name="Heading 2 2 3 5 2 2 5 4 3" xfId="40102"/>
    <cellStyle name="Heading 2 2 3 5 2 2 5 5" xfId="40103"/>
    <cellStyle name="Heading 2 2 3 5 2 2 5 5 2" xfId="40104"/>
    <cellStyle name="Heading 2 2 3 5 2 2 5 5 2 2" xfId="40105"/>
    <cellStyle name="Heading 2 2 3 5 2 2 5 5 3" xfId="40106"/>
    <cellStyle name="Heading 2 2 3 5 2 2 5 6" xfId="40107"/>
    <cellStyle name="Heading 2 2 3 5 2 2 5 6 2" xfId="40108"/>
    <cellStyle name="Heading 2 2 3 5 2 2 5 6 2 2" xfId="40109"/>
    <cellStyle name="Heading 2 2 3 5 2 2 5 6 3" xfId="40110"/>
    <cellStyle name="Heading 2 2 3 5 2 2 5 7" xfId="40111"/>
    <cellStyle name="Heading 2 2 3 5 2 2 5 7 2" xfId="40112"/>
    <cellStyle name="Heading 2 2 3 5 2 2 5 7 2 2" xfId="40113"/>
    <cellStyle name="Heading 2 2 3 5 2 2 5 7 3" xfId="40114"/>
    <cellStyle name="Heading 2 2 3 5 2 2 5 8" xfId="40115"/>
    <cellStyle name="Heading 2 2 3 5 2 2 5 8 2" xfId="40116"/>
    <cellStyle name="Heading 2 2 3 5 2 2 5 9" xfId="40117"/>
    <cellStyle name="Heading 2 2 3 5 2 2 6" xfId="40118"/>
    <cellStyle name="Heading 2 2 3 5 2 2 6 2" xfId="40119"/>
    <cellStyle name="Heading 2 2 3 5 2 2 6 2 2" xfId="40120"/>
    <cellStyle name="Heading 2 2 3 5 2 2 6 2 2 2" xfId="40121"/>
    <cellStyle name="Heading 2 2 3 5 2 2 6 2 3" xfId="40122"/>
    <cellStyle name="Heading 2 2 3 5 2 2 6 3" xfId="40123"/>
    <cellStyle name="Heading 2 2 3 5 2 2 6 3 2" xfId="40124"/>
    <cellStyle name="Heading 2 2 3 5 2 2 6 3 2 2" xfId="40125"/>
    <cellStyle name="Heading 2 2 3 5 2 2 6 3 3" xfId="40126"/>
    <cellStyle name="Heading 2 2 3 5 2 2 6 4" xfId="40127"/>
    <cellStyle name="Heading 2 2 3 5 2 2 6 4 2" xfId="40128"/>
    <cellStyle name="Heading 2 2 3 5 2 2 6 4 2 2" xfId="40129"/>
    <cellStyle name="Heading 2 2 3 5 2 2 6 4 3" xfId="40130"/>
    <cellStyle name="Heading 2 2 3 5 2 2 6 5" xfId="40131"/>
    <cellStyle name="Heading 2 2 3 5 2 2 6 5 2" xfId="40132"/>
    <cellStyle name="Heading 2 2 3 5 2 2 6 5 2 2" xfId="40133"/>
    <cellStyle name="Heading 2 2 3 5 2 2 6 5 3" xfId="40134"/>
    <cellStyle name="Heading 2 2 3 5 2 2 6 6" xfId="40135"/>
    <cellStyle name="Heading 2 2 3 5 2 2 6 6 2" xfId="40136"/>
    <cellStyle name="Heading 2 2 3 5 2 2 6 6 2 2" xfId="40137"/>
    <cellStyle name="Heading 2 2 3 5 2 2 6 6 3" xfId="40138"/>
    <cellStyle name="Heading 2 2 3 5 2 2 6 7" xfId="40139"/>
    <cellStyle name="Heading 2 2 3 5 2 2 6 7 2" xfId="40140"/>
    <cellStyle name="Heading 2 2 3 5 2 2 6 7 2 2" xfId="40141"/>
    <cellStyle name="Heading 2 2 3 5 2 2 6 7 3" xfId="40142"/>
    <cellStyle name="Heading 2 2 3 5 2 2 6 8" xfId="40143"/>
    <cellStyle name="Heading 2 2 3 5 2 2 6 8 2" xfId="40144"/>
    <cellStyle name="Heading 2 2 3 5 2 2 6 9" xfId="40145"/>
    <cellStyle name="Heading 2 2 3 5 2 2 7" xfId="40146"/>
    <cellStyle name="Heading 2 2 3 5 2 2 7 2" xfId="40147"/>
    <cellStyle name="Heading 2 2 3 5 2 2 7 2 2" xfId="40148"/>
    <cellStyle name="Heading 2 2 3 5 2 2 7 2 2 2" xfId="40149"/>
    <cellStyle name="Heading 2 2 3 5 2 2 7 2 3" xfId="40150"/>
    <cellStyle name="Heading 2 2 3 5 2 2 7 3" xfId="40151"/>
    <cellStyle name="Heading 2 2 3 5 2 2 7 3 2" xfId="40152"/>
    <cellStyle name="Heading 2 2 3 5 2 2 7 3 2 2" xfId="40153"/>
    <cellStyle name="Heading 2 2 3 5 2 2 7 3 3" xfId="40154"/>
    <cellStyle name="Heading 2 2 3 5 2 2 7 4" xfId="40155"/>
    <cellStyle name="Heading 2 2 3 5 2 2 7 4 2" xfId="40156"/>
    <cellStyle name="Heading 2 2 3 5 2 2 7 4 2 2" xfId="40157"/>
    <cellStyle name="Heading 2 2 3 5 2 2 7 4 3" xfId="40158"/>
    <cellStyle name="Heading 2 2 3 5 2 2 7 5" xfId="40159"/>
    <cellStyle name="Heading 2 2 3 5 2 2 7 5 2" xfId="40160"/>
    <cellStyle name="Heading 2 2 3 5 2 2 7 5 2 2" xfId="40161"/>
    <cellStyle name="Heading 2 2 3 5 2 2 7 5 3" xfId="40162"/>
    <cellStyle name="Heading 2 2 3 5 2 2 7 6" xfId="40163"/>
    <cellStyle name="Heading 2 2 3 5 2 2 7 6 2" xfId="40164"/>
    <cellStyle name="Heading 2 2 3 5 2 2 7 6 2 2" xfId="40165"/>
    <cellStyle name="Heading 2 2 3 5 2 2 7 6 3" xfId="40166"/>
    <cellStyle name="Heading 2 2 3 5 2 2 7 7" xfId="40167"/>
    <cellStyle name="Heading 2 2 3 5 2 2 7 7 2" xfId="40168"/>
    <cellStyle name="Heading 2 2 3 5 2 2 7 7 2 2" xfId="40169"/>
    <cellStyle name="Heading 2 2 3 5 2 2 7 7 3" xfId="40170"/>
    <cellStyle name="Heading 2 2 3 5 2 2 7 8" xfId="40171"/>
    <cellStyle name="Heading 2 2 3 5 2 2 7 8 2" xfId="40172"/>
    <cellStyle name="Heading 2 2 3 5 2 2 7 9" xfId="40173"/>
    <cellStyle name="Heading 2 2 3 5 2 2 8" xfId="40174"/>
    <cellStyle name="Heading 2 2 3 5 2 2 8 2" xfId="40175"/>
    <cellStyle name="Heading 2 2 3 5 2 2 8 2 2" xfId="40176"/>
    <cellStyle name="Heading 2 2 3 5 2 2 8 2 2 2" xfId="40177"/>
    <cellStyle name="Heading 2 2 3 5 2 2 8 2 3" xfId="40178"/>
    <cellStyle name="Heading 2 2 3 5 2 2 8 3" xfId="40179"/>
    <cellStyle name="Heading 2 2 3 5 2 2 8 3 2" xfId="40180"/>
    <cellStyle name="Heading 2 2 3 5 2 2 8 3 2 2" xfId="40181"/>
    <cellStyle name="Heading 2 2 3 5 2 2 8 3 3" xfId="40182"/>
    <cellStyle name="Heading 2 2 3 5 2 2 8 4" xfId="40183"/>
    <cellStyle name="Heading 2 2 3 5 2 2 8 4 2" xfId="40184"/>
    <cellStyle name="Heading 2 2 3 5 2 2 8 4 2 2" xfId="40185"/>
    <cellStyle name="Heading 2 2 3 5 2 2 8 4 3" xfId="40186"/>
    <cellStyle name="Heading 2 2 3 5 2 2 8 5" xfId="40187"/>
    <cellStyle name="Heading 2 2 3 5 2 2 8 5 2" xfId="40188"/>
    <cellStyle name="Heading 2 2 3 5 2 2 8 5 2 2" xfId="40189"/>
    <cellStyle name="Heading 2 2 3 5 2 2 8 5 3" xfId="40190"/>
    <cellStyle name="Heading 2 2 3 5 2 2 8 6" xfId="40191"/>
    <cellStyle name="Heading 2 2 3 5 2 2 8 6 2" xfId="40192"/>
    <cellStyle name="Heading 2 2 3 5 2 2 8 6 2 2" xfId="40193"/>
    <cellStyle name="Heading 2 2 3 5 2 2 8 6 3" xfId="40194"/>
    <cellStyle name="Heading 2 2 3 5 2 2 8 7" xfId="40195"/>
    <cellStyle name="Heading 2 2 3 5 2 2 8 7 2" xfId="40196"/>
    <cellStyle name="Heading 2 2 3 5 2 2 8 7 2 2" xfId="40197"/>
    <cellStyle name="Heading 2 2 3 5 2 2 8 7 3" xfId="40198"/>
    <cellStyle name="Heading 2 2 3 5 2 2 8 8" xfId="40199"/>
    <cellStyle name="Heading 2 2 3 5 2 2 8 8 2" xfId="40200"/>
    <cellStyle name="Heading 2 2 3 5 2 2 8 9" xfId="40201"/>
    <cellStyle name="Heading 2 2 3 5 2 2 9" xfId="40202"/>
    <cellStyle name="Heading 2 2 3 5 2 2 9 2" xfId="40203"/>
    <cellStyle name="Heading 2 2 3 5 2 2 9 2 2" xfId="40204"/>
    <cellStyle name="Heading 2 2 3 5 2 2 9 3" xfId="40205"/>
    <cellStyle name="Heading 2 2 3 5 2 20" xfId="40206"/>
    <cellStyle name="Heading 2 2 3 5 2 20 2" xfId="40207"/>
    <cellStyle name="Heading 2 2 3 5 2 21" xfId="40208"/>
    <cellStyle name="Heading 2 2 3 5 2 21 2" xfId="40209"/>
    <cellStyle name="Heading 2 2 3 5 2 22" xfId="40210"/>
    <cellStyle name="Heading 2 2 3 5 2 22 2" xfId="40211"/>
    <cellStyle name="Heading 2 2 3 5 2 23" xfId="40212"/>
    <cellStyle name="Heading 2 2 3 5 2 3" xfId="40213"/>
    <cellStyle name="Heading 2 2 3 5 2 3 2" xfId="40214"/>
    <cellStyle name="Heading 2 2 3 5 2 3 2 2" xfId="40215"/>
    <cellStyle name="Heading 2 2 3 5 2 3 2 2 2" xfId="40216"/>
    <cellStyle name="Heading 2 2 3 5 2 3 2 3" xfId="40217"/>
    <cellStyle name="Heading 2 2 3 5 2 3 3" xfId="40218"/>
    <cellStyle name="Heading 2 2 3 5 2 3 3 2" xfId="40219"/>
    <cellStyle name="Heading 2 2 3 5 2 3 3 2 2" xfId="40220"/>
    <cellStyle name="Heading 2 2 3 5 2 3 3 3" xfId="40221"/>
    <cellStyle name="Heading 2 2 3 5 2 3 4" xfId="40222"/>
    <cellStyle name="Heading 2 2 3 5 2 3 4 2" xfId="40223"/>
    <cellStyle name="Heading 2 2 3 5 2 3 4 2 2" xfId="40224"/>
    <cellStyle name="Heading 2 2 3 5 2 3 4 3" xfId="40225"/>
    <cellStyle name="Heading 2 2 3 5 2 3 5" xfId="40226"/>
    <cellStyle name="Heading 2 2 3 5 2 3 5 2" xfId="40227"/>
    <cellStyle name="Heading 2 2 3 5 2 3 5 2 2" xfId="40228"/>
    <cellStyle name="Heading 2 2 3 5 2 3 5 3" xfId="40229"/>
    <cellStyle name="Heading 2 2 3 5 2 3 6" xfId="40230"/>
    <cellStyle name="Heading 2 2 3 5 2 3 6 2" xfId="40231"/>
    <cellStyle name="Heading 2 2 3 5 2 3 6 2 2" xfId="40232"/>
    <cellStyle name="Heading 2 2 3 5 2 3 6 3" xfId="40233"/>
    <cellStyle name="Heading 2 2 3 5 2 3 7" xfId="40234"/>
    <cellStyle name="Heading 2 2 3 5 2 3 7 2" xfId="40235"/>
    <cellStyle name="Heading 2 2 3 5 2 3 7 2 2" xfId="40236"/>
    <cellStyle name="Heading 2 2 3 5 2 3 7 3" xfId="40237"/>
    <cellStyle name="Heading 2 2 3 5 2 3 8" xfId="40238"/>
    <cellStyle name="Heading 2 2 3 5 2 3 8 2" xfId="40239"/>
    <cellStyle name="Heading 2 2 3 5 2 3 9" xfId="40240"/>
    <cellStyle name="Heading 2 2 3 5 2 4" xfId="40241"/>
    <cellStyle name="Heading 2 2 3 5 2 4 2" xfId="40242"/>
    <cellStyle name="Heading 2 2 3 5 2 4 2 2" xfId="40243"/>
    <cellStyle name="Heading 2 2 3 5 2 4 2 2 2" xfId="40244"/>
    <cellStyle name="Heading 2 2 3 5 2 4 2 3" xfId="40245"/>
    <cellStyle name="Heading 2 2 3 5 2 4 3" xfId="40246"/>
    <cellStyle name="Heading 2 2 3 5 2 4 3 2" xfId="40247"/>
    <cellStyle name="Heading 2 2 3 5 2 4 3 2 2" xfId="40248"/>
    <cellStyle name="Heading 2 2 3 5 2 4 3 3" xfId="40249"/>
    <cellStyle name="Heading 2 2 3 5 2 4 4" xfId="40250"/>
    <cellStyle name="Heading 2 2 3 5 2 4 4 2" xfId="40251"/>
    <cellStyle name="Heading 2 2 3 5 2 4 4 2 2" xfId="40252"/>
    <cellStyle name="Heading 2 2 3 5 2 4 4 3" xfId="40253"/>
    <cellStyle name="Heading 2 2 3 5 2 4 5" xfId="40254"/>
    <cellStyle name="Heading 2 2 3 5 2 4 5 2" xfId="40255"/>
    <cellStyle name="Heading 2 2 3 5 2 4 5 2 2" xfId="40256"/>
    <cellStyle name="Heading 2 2 3 5 2 4 5 3" xfId="40257"/>
    <cellStyle name="Heading 2 2 3 5 2 4 6" xfId="40258"/>
    <cellStyle name="Heading 2 2 3 5 2 4 6 2" xfId="40259"/>
    <cellStyle name="Heading 2 2 3 5 2 4 6 2 2" xfId="40260"/>
    <cellStyle name="Heading 2 2 3 5 2 4 6 3" xfId="40261"/>
    <cellStyle name="Heading 2 2 3 5 2 4 7" xfId="40262"/>
    <cellStyle name="Heading 2 2 3 5 2 4 7 2" xfId="40263"/>
    <cellStyle name="Heading 2 2 3 5 2 4 7 2 2" xfId="40264"/>
    <cellStyle name="Heading 2 2 3 5 2 4 7 3" xfId="40265"/>
    <cellStyle name="Heading 2 2 3 5 2 4 8" xfId="40266"/>
    <cellStyle name="Heading 2 2 3 5 2 4 8 2" xfId="40267"/>
    <cellStyle name="Heading 2 2 3 5 2 4 9" xfId="40268"/>
    <cellStyle name="Heading 2 2 3 5 2 5" xfId="40269"/>
    <cellStyle name="Heading 2 2 3 5 2 5 2" xfId="40270"/>
    <cellStyle name="Heading 2 2 3 5 2 5 2 2" xfId="40271"/>
    <cellStyle name="Heading 2 2 3 5 2 5 2 2 2" xfId="40272"/>
    <cellStyle name="Heading 2 2 3 5 2 5 2 3" xfId="40273"/>
    <cellStyle name="Heading 2 2 3 5 2 5 3" xfId="40274"/>
    <cellStyle name="Heading 2 2 3 5 2 5 3 2" xfId="40275"/>
    <cellStyle name="Heading 2 2 3 5 2 5 3 2 2" xfId="40276"/>
    <cellStyle name="Heading 2 2 3 5 2 5 3 3" xfId="40277"/>
    <cellStyle name="Heading 2 2 3 5 2 5 4" xfId="40278"/>
    <cellStyle name="Heading 2 2 3 5 2 5 4 2" xfId="40279"/>
    <cellStyle name="Heading 2 2 3 5 2 5 4 2 2" xfId="40280"/>
    <cellStyle name="Heading 2 2 3 5 2 5 4 3" xfId="40281"/>
    <cellStyle name="Heading 2 2 3 5 2 5 5" xfId="40282"/>
    <cellStyle name="Heading 2 2 3 5 2 5 5 2" xfId="40283"/>
    <cellStyle name="Heading 2 2 3 5 2 5 5 2 2" xfId="40284"/>
    <cellStyle name="Heading 2 2 3 5 2 5 5 3" xfId="40285"/>
    <cellStyle name="Heading 2 2 3 5 2 5 6" xfId="40286"/>
    <cellStyle name="Heading 2 2 3 5 2 5 6 2" xfId="40287"/>
    <cellStyle name="Heading 2 2 3 5 2 5 6 2 2" xfId="40288"/>
    <cellStyle name="Heading 2 2 3 5 2 5 6 3" xfId="40289"/>
    <cellStyle name="Heading 2 2 3 5 2 5 7" xfId="40290"/>
    <cellStyle name="Heading 2 2 3 5 2 5 7 2" xfId="40291"/>
    <cellStyle name="Heading 2 2 3 5 2 5 7 2 2" xfId="40292"/>
    <cellStyle name="Heading 2 2 3 5 2 5 7 3" xfId="40293"/>
    <cellStyle name="Heading 2 2 3 5 2 5 8" xfId="40294"/>
    <cellStyle name="Heading 2 2 3 5 2 5 8 2" xfId="40295"/>
    <cellStyle name="Heading 2 2 3 5 2 5 9" xfId="40296"/>
    <cellStyle name="Heading 2 2 3 5 2 6" xfId="40297"/>
    <cellStyle name="Heading 2 2 3 5 2 6 2" xfId="40298"/>
    <cellStyle name="Heading 2 2 3 5 2 6 2 2" xfId="40299"/>
    <cellStyle name="Heading 2 2 3 5 2 6 2 2 2" xfId="40300"/>
    <cellStyle name="Heading 2 2 3 5 2 6 2 3" xfId="40301"/>
    <cellStyle name="Heading 2 2 3 5 2 6 3" xfId="40302"/>
    <cellStyle name="Heading 2 2 3 5 2 6 3 2" xfId="40303"/>
    <cellStyle name="Heading 2 2 3 5 2 6 3 2 2" xfId="40304"/>
    <cellStyle name="Heading 2 2 3 5 2 6 3 3" xfId="40305"/>
    <cellStyle name="Heading 2 2 3 5 2 6 4" xfId="40306"/>
    <cellStyle name="Heading 2 2 3 5 2 6 4 2" xfId="40307"/>
    <cellStyle name="Heading 2 2 3 5 2 6 4 2 2" xfId="40308"/>
    <cellStyle name="Heading 2 2 3 5 2 6 4 3" xfId="40309"/>
    <cellStyle name="Heading 2 2 3 5 2 6 5" xfId="40310"/>
    <cellStyle name="Heading 2 2 3 5 2 6 5 2" xfId="40311"/>
    <cellStyle name="Heading 2 2 3 5 2 6 5 2 2" xfId="40312"/>
    <cellStyle name="Heading 2 2 3 5 2 6 5 3" xfId="40313"/>
    <cellStyle name="Heading 2 2 3 5 2 6 6" xfId="40314"/>
    <cellStyle name="Heading 2 2 3 5 2 6 6 2" xfId="40315"/>
    <cellStyle name="Heading 2 2 3 5 2 6 6 2 2" xfId="40316"/>
    <cellStyle name="Heading 2 2 3 5 2 6 6 3" xfId="40317"/>
    <cellStyle name="Heading 2 2 3 5 2 6 7" xfId="40318"/>
    <cellStyle name="Heading 2 2 3 5 2 6 7 2" xfId="40319"/>
    <cellStyle name="Heading 2 2 3 5 2 6 7 2 2" xfId="40320"/>
    <cellStyle name="Heading 2 2 3 5 2 6 7 3" xfId="40321"/>
    <cellStyle name="Heading 2 2 3 5 2 6 8" xfId="40322"/>
    <cellStyle name="Heading 2 2 3 5 2 6 8 2" xfId="40323"/>
    <cellStyle name="Heading 2 2 3 5 2 6 9" xfId="40324"/>
    <cellStyle name="Heading 2 2 3 5 2 7" xfId="40325"/>
    <cellStyle name="Heading 2 2 3 5 2 7 2" xfId="40326"/>
    <cellStyle name="Heading 2 2 3 5 2 7 2 2" xfId="40327"/>
    <cellStyle name="Heading 2 2 3 5 2 7 2 2 2" xfId="40328"/>
    <cellStyle name="Heading 2 2 3 5 2 7 2 3" xfId="40329"/>
    <cellStyle name="Heading 2 2 3 5 2 7 3" xfId="40330"/>
    <cellStyle name="Heading 2 2 3 5 2 7 3 2" xfId="40331"/>
    <cellStyle name="Heading 2 2 3 5 2 7 3 2 2" xfId="40332"/>
    <cellStyle name="Heading 2 2 3 5 2 7 3 3" xfId="40333"/>
    <cellStyle name="Heading 2 2 3 5 2 7 4" xfId="40334"/>
    <cellStyle name="Heading 2 2 3 5 2 7 4 2" xfId="40335"/>
    <cellStyle name="Heading 2 2 3 5 2 7 4 2 2" xfId="40336"/>
    <cellStyle name="Heading 2 2 3 5 2 7 4 3" xfId="40337"/>
    <cellStyle name="Heading 2 2 3 5 2 7 5" xfId="40338"/>
    <cellStyle name="Heading 2 2 3 5 2 7 5 2" xfId="40339"/>
    <cellStyle name="Heading 2 2 3 5 2 7 5 2 2" xfId="40340"/>
    <cellStyle name="Heading 2 2 3 5 2 7 5 3" xfId="40341"/>
    <cellStyle name="Heading 2 2 3 5 2 7 6" xfId="40342"/>
    <cellStyle name="Heading 2 2 3 5 2 7 6 2" xfId="40343"/>
    <cellStyle name="Heading 2 2 3 5 2 7 6 2 2" xfId="40344"/>
    <cellStyle name="Heading 2 2 3 5 2 7 6 3" xfId="40345"/>
    <cellStyle name="Heading 2 2 3 5 2 7 7" xfId="40346"/>
    <cellStyle name="Heading 2 2 3 5 2 7 7 2" xfId="40347"/>
    <cellStyle name="Heading 2 2 3 5 2 7 7 2 2" xfId="40348"/>
    <cellStyle name="Heading 2 2 3 5 2 7 7 3" xfId="40349"/>
    <cellStyle name="Heading 2 2 3 5 2 7 8" xfId="40350"/>
    <cellStyle name="Heading 2 2 3 5 2 7 8 2" xfId="40351"/>
    <cellStyle name="Heading 2 2 3 5 2 7 9" xfId="40352"/>
    <cellStyle name="Heading 2 2 3 5 2 8" xfId="40353"/>
    <cellStyle name="Heading 2 2 3 5 2 8 2" xfId="40354"/>
    <cellStyle name="Heading 2 2 3 5 2 8 2 2" xfId="40355"/>
    <cellStyle name="Heading 2 2 3 5 2 8 2 2 2" xfId="40356"/>
    <cellStyle name="Heading 2 2 3 5 2 8 2 3" xfId="40357"/>
    <cellStyle name="Heading 2 2 3 5 2 8 3" xfId="40358"/>
    <cellStyle name="Heading 2 2 3 5 2 8 3 2" xfId="40359"/>
    <cellStyle name="Heading 2 2 3 5 2 8 3 2 2" xfId="40360"/>
    <cellStyle name="Heading 2 2 3 5 2 8 3 3" xfId="40361"/>
    <cellStyle name="Heading 2 2 3 5 2 8 4" xfId="40362"/>
    <cellStyle name="Heading 2 2 3 5 2 8 4 2" xfId="40363"/>
    <cellStyle name="Heading 2 2 3 5 2 8 4 2 2" xfId="40364"/>
    <cellStyle name="Heading 2 2 3 5 2 8 4 3" xfId="40365"/>
    <cellStyle name="Heading 2 2 3 5 2 8 5" xfId="40366"/>
    <cellStyle name="Heading 2 2 3 5 2 8 5 2" xfId="40367"/>
    <cellStyle name="Heading 2 2 3 5 2 8 5 2 2" xfId="40368"/>
    <cellStyle name="Heading 2 2 3 5 2 8 5 3" xfId="40369"/>
    <cellStyle name="Heading 2 2 3 5 2 8 6" xfId="40370"/>
    <cellStyle name="Heading 2 2 3 5 2 8 6 2" xfId="40371"/>
    <cellStyle name="Heading 2 2 3 5 2 8 6 2 2" xfId="40372"/>
    <cellStyle name="Heading 2 2 3 5 2 8 6 3" xfId="40373"/>
    <cellStyle name="Heading 2 2 3 5 2 8 7" xfId="40374"/>
    <cellStyle name="Heading 2 2 3 5 2 8 7 2" xfId="40375"/>
    <cellStyle name="Heading 2 2 3 5 2 8 7 2 2" xfId="40376"/>
    <cellStyle name="Heading 2 2 3 5 2 8 7 3" xfId="40377"/>
    <cellStyle name="Heading 2 2 3 5 2 8 8" xfId="40378"/>
    <cellStyle name="Heading 2 2 3 5 2 8 8 2" xfId="40379"/>
    <cellStyle name="Heading 2 2 3 5 2 8 9" xfId="40380"/>
    <cellStyle name="Heading 2 2 3 5 2 9" xfId="40381"/>
    <cellStyle name="Heading 2 2 3 5 2 9 2" xfId="40382"/>
    <cellStyle name="Heading 2 2 3 5 2 9 2 2" xfId="40383"/>
    <cellStyle name="Heading 2 2 3 5 2 9 2 2 2" xfId="40384"/>
    <cellStyle name="Heading 2 2 3 5 2 9 2 3" xfId="40385"/>
    <cellStyle name="Heading 2 2 3 5 2 9 3" xfId="40386"/>
    <cellStyle name="Heading 2 2 3 5 2 9 3 2" xfId="40387"/>
    <cellStyle name="Heading 2 2 3 5 2 9 3 2 2" xfId="40388"/>
    <cellStyle name="Heading 2 2 3 5 2 9 3 3" xfId="40389"/>
    <cellStyle name="Heading 2 2 3 5 2 9 4" xfId="40390"/>
    <cellStyle name="Heading 2 2 3 5 2 9 4 2" xfId="40391"/>
    <cellStyle name="Heading 2 2 3 5 2 9 4 2 2" xfId="40392"/>
    <cellStyle name="Heading 2 2 3 5 2 9 4 3" xfId="40393"/>
    <cellStyle name="Heading 2 2 3 5 2 9 5" xfId="40394"/>
    <cellStyle name="Heading 2 2 3 5 2 9 5 2" xfId="40395"/>
    <cellStyle name="Heading 2 2 3 5 2 9 5 2 2" xfId="40396"/>
    <cellStyle name="Heading 2 2 3 5 2 9 5 3" xfId="40397"/>
    <cellStyle name="Heading 2 2 3 5 2 9 6" xfId="40398"/>
    <cellStyle name="Heading 2 2 3 5 2 9 6 2" xfId="40399"/>
    <cellStyle name="Heading 2 2 3 5 2 9 6 2 2" xfId="40400"/>
    <cellStyle name="Heading 2 2 3 5 2 9 6 3" xfId="40401"/>
    <cellStyle name="Heading 2 2 3 5 2 9 7" xfId="40402"/>
    <cellStyle name="Heading 2 2 3 5 2 9 7 2" xfId="40403"/>
    <cellStyle name="Heading 2 2 3 5 2 9 7 2 2" xfId="40404"/>
    <cellStyle name="Heading 2 2 3 5 2 9 7 3" xfId="40405"/>
    <cellStyle name="Heading 2 2 3 5 2 9 8" xfId="40406"/>
    <cellStyle name="Heading 2 2 3 5 2 9 8 2" xfId="40407"/>
    <cellStyle name="Heading 2 2 3 5 2 9 9" xfId="40408"/>
    <cellStyle name="Heading 2 2 3 5 3" xfId="40409"/>
    <cellStyle name="Heading 2 2 3 5 3 10" xfId="40410"/>
    <cellStyle name="Heading 2 2 3 5 3 10 2" xfId="40411"/>
    <cellStyle name="Heading 2 2 3 5 3 10 2 2" xfId="40412"/>
    <cellStyle name="Heading 2 2 3 5 3 10 3" xfId="40413"/>
    <cellStyle name="Heading 2 2 3 5 3 11" xfId="40414"/>
    <cellStyle name="Heading 2 2 3 5 3 11 2" xfId="40415"/>
    <cellStyle name="Heading 2 2 3 5 3 11 2 2" xfId="40416"/>
    <cellStyle name="Heading 2 2 3 5 3 11 3" xfId="40417"/>
    <cellStyle name="Heading 2 2 3 5 3 12" xfId="40418"/>
    <cellStyle name="Heading 2 2 3 5 3 12 2" xfId="40419"/>
    <cellStyle name="Heading 2 2 3 5 3 12 2 2" xfId="40420"/>
    <cellStyle name="Heading 2 2 3 5 3 12 3" xfId="40421"/>
    <cellStyle name="Heading 2 2 3 5 3 13" xfId="40422"/>
    <cellStyle name="Heading 2 2 3 5 3 13 2" xfId="40423"/>
    <cellStyle name="Heading 2 2 3 5 3 13 2 2" xfId="40424"/>
    <cellStyle name="Heading 2 2 3 5 3 13 3" xfId="40425"/>
    <cellStyle name="Heading 2 2 3 5 3 14" xfId="40426"/>
    <cellStyle name="Heading 2 2 3 5 3 14 2" xfId="40427"/>
    <cellStyle name="Heading 2 2 3 5 3 14 2 2" xfId="40428"/>
    <cellStyle name="Heading 2 2 3 5 3 14 3" xfId="40429"/>
    <cellStyle name="Heading 2 2 3 5 3 15" xfId="40430"/>
    <cellStyle name="Heading 2 2 3 5 3 15 2" xfId="40431"/>
    <cellStyle name="Heading 2 2 3 5 3 15 2 2" xfId="40432"/>
    <cellStyle name="Heading 2 2 3 5 3 15 3" xfId="40433"/>
    <cellStyle name="Heading 2 2 3 5 3 16" xfId="40434"/>
    <cellStyle name="Heading 2 2 3 5 3 16 2" xfId="40435"/>
    <cellStyle name="Heading 2 2 3 5 3 16 2 2" xfId="40436"/>
    <cellStyle name="Heading 2 2 3 5 3 16 3" xfId="40437"/>
    <cellStyle name="Heading 2 2 3 5 3 17" xfId="40438"/>
    <cellStyle name="Heading 2 2 3 5 3 17 2" xfId="40439"/>
    <cellStyle name="Heading 2 2 3 5 3 17 2 2" xfId="40440"/>
    <cellStyle name="Heading 2 2 3 5 3 17 3" xfId="40441"/>
    <cellStyle name="Heading 2 2 3 5 3 18" xfId="40442"/>
    <cellStyle name="Heading 2 2 3 5 3 18 2" xfId="40443"/>
    <cellStyle name="Heading 2 2 3 5 3 18 2 2" xfId="40444"/>
    <cellStyle name="Heading 2 2 3 5 3 18 3" xfId="40445"/>
    <cellStyle name="Heading 2 2 3 5 3 19" xfId="40446"/>
    <cellStyle name="Heading 2 2 3 5 3 19 2" xfId="40447"/>
    <cellStyle name="Heading 2 2 3 5 3 2" xfId="40448"/>
    <cellStyle name="Heading 2 2 3 5 3 2 2" xfId="40449"/>
    <cellStyle name="Heading 2 2 3 5 3 2 2 2" xfId="40450"/>
    <cellStyle name="Heading 2 2 3 5 3 2 2 2 2" xfId="40451"/>
    <cellStyle name="Heading 2 2 3 5 3 2 2 3" xfId="40452"/>
    <cellStyle name="Heading 2 2 3 5 3 2 3" xfId="40453"/>
    <cellStyle name="Heading 2 2 3 5 3 2 3 2" xfId="40454"/>
    <cellStyle name="Heading 2 2 3 5 3 2 3 2 2" xfId="40455"/>
    <cellStyle name="Heading 2 2 3 5 3 2 3 3" xfId="40456"/>
    <cellStyle name="Heading 2 2 3 5 3 2 4" xfId="40457"/>
    <cellStyle name="Heading 2 2 3 5 3 2 4 2" xfId="40458"/>
    <cellStyle name="Heading 2 2 3 5 3 2 4 2 2" xfId="40459"/>
    <cellStyle name="Heading 2 2 3 5 3 2 4 3" xfId="40460"/>
    <cellStyle name="Heading 2 2 3 5 3 2 5" xfId="40461"/>
    <cellStyle name="Heading 2 2 3 5 3 2 5 2" xfId="40462"/>
    <cellStyle name="Heading 2 2 3 5 3 2 5 2 2" xfId="40463"/>
    <cellStyle name="Heading 2 2 3 5 3 2 5 3" xfId="40464"/>
    <cellStyle name="Heading 2 2 3 5 3 2 6" xfId="40465"/>
    <cellStyle name="Heading 2 2 3 5 3 2 6 2" xfId="40466"/>
    <cellStyle name="Heading 2 2 3 5 3 2 6 2 2" xfId="40467"/>
    <cellStyle name="Heading 2 2 3 5 3 2 6 3" xfId="40468"/>
    <cellStyle name="Heading 2 2 3 5 3 2 7" xfId="40469"/>
    <cellStyle name="Heading 2 2 3 5 3 2 7 2" xfId="40470"/>
    <cellStyle name="Heading 2 2 3 5 3 2 7 2 2" xfId="40471"/>
    <cellStyle name="Heading 2 2 3 5 3 2 7 3" xfId="40472"/>
    <cellStyle name="Heading 2 2 3 5 3 2 8" xfId="40473"/>
    <cellStyle name="Heading 2 2 3 5 3 2 8 2" xfId="40474"/>
    <cellStyle name="Heading 2 2 3 5 3 2 9" xfId="40475"/>
    <cellStyle name="Heading 2 2 3 5 3 20" xfId="40476"/>
    <cellStyle name="Heading 2 2 3 5 3 20 2" xfId="40477"/>
    <cellStyle name="Heading 2 2 3 5 3 21" xfId="40478"/>
    <cellStyle name="Heading 2 2 3 5 3 21 2" xfId="40479"/>
    <cellStyle name="Heading 2 2 3 5 3 22" xfId="40480"/>
    <cellStyle name="Heading 2 2 3 5 3 3" xfId="40481"/>
    <cellStyle name="Heading 2 2 3 5 3 3 2" xfId="40482"/>
    <cellStyle name="Heading 2 2 3 5 3 3 2 2" xfId="40483"/>
    <cellStyle name="Heading 2 2 3 5 3 3 2 2 2" xfId="40484"/>
    <cellStyle name="Heading 2 2 3 5 3 3 2 3" xfId="40485"/>
    <cellStyle name="Heading 2 2 3 5 3 3 3" xfId="40486"/>
    <cellStyle name="Heading 2 2 3 5 3 3 3 2" xfId="40487"/>
    <cellStyle name="Heading 2 2 3 5 3 3 3 2 2" xfId="40488"/>
    <cellStyle name="Heading 2 2 3 5 3 3 3 3" xfId="40489"/>
    <cellStyle name="Heading 2 2 3 5 3 3 4" xfId="40490"/>
    <cellStyle name="Heading 2 2 3 5 3 3 4 2" xfId="40491"/>
    <cellStyle name="Heading 2 2 3 5 3 3 4 2 2" xfId="40492"/>
    <cellStyle name="Heading 2 2 3 5 3 3 4 3" xfId="40493"/>
    <cellStyle name="Heading 2 2 3 5 3 3 5" xfId="40494"/>
    <cellStyle name="Heading 2 2 3 5 3 3 5 2" xfId="40495"/>
    <cellStyle name="Heading 2 2 3 5 3 3 5 2 2" xfId="40496"/>
    <cellStyle name="Heading 2 2 3 5 3 3 5 3" xfId="40497"/>
    <cellStyle name="Heading 2 2 3 5 3 3 6" xfId="40498"/>
    <cellStyle name="Heading 2 2 3 5 3 3 6 2" xfId="40499"/>
    <cellStyle name="Heading 2 2 3 5 3 3 6 2 2" xfId="40500"/>
    <cellStyle name="Heading 2 2 3 5 3 3 6 3" xfId="40501"/>
    <cellStyle name="Heading 2 2 3 5 3 3 7" xfId="40502"/>
    <cellStyle name="Heading 2 2 3 5 3 3 7 2" xfId="40503"/>
    <cellStyle name="Heading 2 2 3 5 3 3 7 2 2" xfId="40504"/>
    <cellStyle name="Heading 2 2 3 5 3 3 7 3" xfId="40505"/>
    <cellStyle name="Heading 2 2 3 5 3 3 8" xfId="40506"/>
    <cellStyle name="Heading 2 2 3 5 3 3 8 2" xfId="40507"/>
    <cellStyle name="Heading 2 2 3 5 3 3 9" xfId="40508"/>
    <cellStyle name="Heading 2 2 3 5 3 4" xfId="40509"/>
    <cellStyle name="Heading 2 2 3 5 3 4 2" xfId="40510"/>
    <cellStyle name="Heading 2 2 3 5 3 4 2 2" xfId="40511"/>
    <cellStyle name="Heading 2 2 3 5 3 4 2 2 2" xfId="40512"/>
    <cellStyle name="Heading 2 2 3 5 3 4 2 3" xfId="40513"/>
    <cellStyle name="Heading 2 2 3 5 3 4 3" xfId="40514"/>
    <cellStyle name="Heading 2 2 3 5 3 4 3 2" xfId="40515"/>
    <cellStyle name="Heading 2 2 3 5 3 4 3 2 2" xfId="40516"/>
    <cellStyle name="Heading 2 2 3 5 3 4 3 3" xfId="40517"/>
    <cellStyle name="Heading 2 2 3 5 3 4 4" xfId="40518"/>
    <cellStyle name="Heading 2 2 3 5 3 4 4 2" xfId="40519"/>
    <cellStyle name="Heading 2 2 3 5 3 4 4 2 2" xfId="40520"/>
    <cellStyle name="Heading 2 2 3 5 3 4 4 3" xfId="40521"/>
    <cellStyle name="Heading 2 2 3 5 3 4 5" xfId="40522"/>
    <cellStyle name="Heading 2 2 3 5 3 4 5 2" xfId="40523"/>
    <cellStyle name="Heading 2 2 3 5 3 4 5 2 2" xfId="40524"/>
    <cellStyle name="Heading 2 2 3 5 3 4 5 3" xfId="40525"/>
    <cellStyle name="Heading 2 2 3 5 3 4 6" xfId="40526"/>
    <cellStyle name="Heading 2 2 3 5 3 4 6 2" xfId="40527"/>
    <cellStyle name="Heading 2 2 3 5 3 4 6 2 2" xfId="40528"/>
    <cellStyle name="Heading 2 2 3 5 3 4 6 3" xfId="40529"/>
    <cellStyle name="Heading 2 2 3 5 3 4 7" xfId="40530"/>
    <cellStyle name="Heading 2 2 3 5 3 4 7 2" xfId="40531"/>
    <cellStyle name="Heading 2 2 3 5 3 4 7 2 2" xfId="40532"/>
    <cellStyle name="Heading 2 2 3 5 3 4 7 3" xfId="40533"/>
    <cellStyle name="Heading 2 2 3 5 3 4 8" xfId="40534"/>
    <cellStyle name="Heading 2 2 3 5 3 4 8 2" xfId="40535"/>
    <cellStyle name="Heading 2 2 3 5 3 4 9" xfId="40536"/>
    <cellStyle name="Heading 2 2 3 5 3 5" xfId="40537"/>
    <cellStyle name="Heading 2 2 3 5 3 5 2" xfId="40538"/>
    <cellStyle name="Heading 2 2 3 5 3 5 2 2" xfId="40539"/>
    <cellStyle name="Heading 2 2 3 5 3 5 2 2 2" xfId="40540"/>
    <cellStyle name="Heading 2 2 3 5 3 5 2 3" xfId="40541"/>
    <cellStyle name="Heading 2 2 3 5 3 5 3" xfId="40542"/>
    <cellStyle name="Heading 2 2 3 5 3 5 3 2" xfId="40543"/>
    <cellStyle name="Heading 2 2 3 5 3 5 3 2 2" xfId="40544"/>
    <cellStyle name="Heading 2 2 3 5 3 5 3 3" xfId="40545"/>
    <cellStyle name="Heading 2 2 3 5 3 5 4" xfId="40546"/>
    <cellStyle name="Heading 2 2 3 5 3 5 4 2" xfId="40547"/>
    <cellStyle name="Heading 2 2 3 5 3 5 4 2 2" xfId="40548"/>
    <cellStyle name="Heading 2 2 3 5 3 5 4 3" xfId="40549"/>
    <cellStyle name="Heading 2 2 3 5 3 5 5" xfId="40550"/>
    <cellStyle name="Heading 2 2 3 5 3 5 5 2" xfId="40551"/>
    <cellStyle name="Heading 2 2 3 5 3 5 5 2 2" xfId="40552"/>
    <cellStyle name="Heading 2 2 3 5 3 5 5 3" xfId="40553"/>
    <cellStyle name="Heading 2 2 3 5 3 5 6" xfId="40554"/>
    <cellStyle name="Heading 2 2 3 5 3 5 6 2" xfId="40555"/>
    <cellStyle name="Heading 2 2 3 5 3 5 6 2 2" xfId="40556"/>
    <cellStyle name="Heading 2 2 3 5 3 5 6 3" xfId="40557"/>
    <cellStyle name="Heading 2 2 3 5 3 5 7" xfId="40558"/>
    <cellStyle name="Heading 2 2 3 5 3 5 7 2" xfId="40559"/>
    <cellStyle name="Heading 2 2 3 5 3 5 7 2 2" xfId="40560"/>
    <cellStyle name="Heading 2 2 3 5 3 5 7 3" xfId="40561"/>
    <cellStyle name="Heading 2 2 3 5 3 5 8" xfId="40562"/>
    <cellStyle name="Heading 2 2 3 5 3 5 8 2" xfId="40563"/>
    <cellStyle name="Heading 2 2 3 5 3 5 9" xfId="40564"/>
    <cellStyle name="Heading 2 2 3 5 3 6" xfId="40565"/>
    <cellStyle name="Heading 2 2 3 5 3 6 2" xfId="40566"/>
    <cellStyle name="Heading 2 2 3 5 3 6 2 2" xfId="40567"/>
    <cellStyle name="Heading 2 2 3 5 3 6 2 2 2" xfId="40568"/>
    <cellStyle name="Heading 2 2 3 5 3 6 2 3" xfId="40569"/>
    <cellStyle name="Heading 2 2 3 5 3 6 3" xfId="40570"/>
    <cellStyle name="Heading 2 2 3 5 3 6 3 2" xfId="40571"/>
    <cellStyle name="Heading 2 2 3 5 3 6 3 2 2" xfId="40572"/>
    <cellStyle name="Heading 2 2 3 5 3 6 3 3" xfId="40573"/>
    <cellStyle name="Heading 2 2 3 5 3 6 4" xfId="40574"/>
    <cellStyle name="Heading 2 2 3 5 3 6 4 2" xfId="40575"/>
    <cellStyle name="Heading 2 2 3 5 3 6 4 2 2" xfId="40576"/>
    <cellStyle name="Heading 2 2 3 5 3 6 4 3" xfId="40577"/>
    <cellStyle name="Heading 2 2 3 5 3 6 5" xfId="40578"/>
    <cellStyle name="Heading 2 2 3 5 3 6 5 2" xfId="40579"/>
    <cellStyle name="Heading 2 2 3 5 3 6 5 2 2" xfId="40580"/>
    <cellStyle name="Heading 2 2 3 5 3 6 5 3" xfId="40581"/>
    <cellStyle name="Heading 2 2 3 5 3 6 6" xfId="40582"/>
    <cellStyle name="Heading 2 2 3 5 3 6 6 2" xfId="40583"/>
    <cellStyle name="Heading 2 2 3 5 3 6 6 2 2" xfId="40584"/>
    <cellStyle name="Heading 2 2 3 5 3 6 6 3" xfId="40585"/>
    <cellStyle name="Heading 2 2 3 5 3 6 7" xfId="40586"/>
    <cellStyle name="Heading 2 2 3 5 3 6 7 2" xfId="40587"/>
    <cellStyle name="Heading 2 2 3 5 3 6 7 2 2" xfId="40588"/>
    <cellStyle name="Heading 2 2 3 5 3 6 7 3" xfId="40589"/>
    <cellStyle name="Heading 2 2 3 5 3 6 8" xfId="40590"/>
    <cellStyle name="Heading 2 2 3 5 3 6 8 2" xfId="40591"/>
    <cellStyle name="Heading 2 2 3 5 3 6 9" xfId="40592"/>
    <cellStyle name="Heading 2 2 3 5 3 7" xfId="40593"/>
    <cellStyle name="Heading 2 2 3 5 3 7 2" xfId="40594"/>
    <cellStyle name="Heading 2 2 3 5 3 7 2 2" xfId="40595"/>
    <cellStyle name="Heading 2 2 3 5 3 7 2 2 2" xfId="40596"/>
    <cellStyle name="Heading 2 2 3 5 3 7 2 3" xfId="40597"/>
    <cellStyle name="Heading 2 2 3 5 3 7 3" xfId="40598"/>
    <cellStyle name="Heading 2 2 3 5 3 7 3 2" xfId="40599"/>
    <cellStyle name="Heading 2 2 3 5 3 7 3 2 2" xfId="40600"/>
    <cellStyle name="Heading 2 2 3 5 3 7 3 3" xfId="40601"/>
    <cellStyle name="Heading 2 2 3 5 3 7 4" xfId="40602"/>
    <cellStyle name="Heading 2 2 3 5 3 7 4 2" xfId="40603"/>
    <cellStyle name="Heading 2 2 3 5 3 7 4 2 2" xfId="40604"/>
    <cellStyle name="Heading 2 2 3 5 3 7 4 3" xfId="40605"/>
    <cellStyle name="Heading 2 2 3 5 3 7 5" xfId="40606"/>
    <cellStyle name="Heading 2 2 3 5 3 7 5 2" xfId="40607"/>
    <cellStyle name="Heading 2 2 3 5 3 7 5 2 2" xfId="40608"/>
    <cellStyle name="Heading 2 2 3 5 3 7 5 3" xfId="40609"/>
    <cellStyle name="Heading 2 2 3 5 3 7 6" xfId="40610"/>
    <cellStyle name="Heading 2 2 3 5 3 7 6 2" xfId="40611"/>
    <cellStyle name="Heading 2 2 3 5 3 7 6 2 2" xfId="40612"/>
    <cellStyle name="Heading 2 2 3 5 3 7 6 3" xfId="40613"/>
    <cellStyle name="Heading 2 2 3 5 3 7 7" xfId="40614"/>
    <cellStyle name="Heading 2 2 3 5 3 7 7 2" xfId="40615"/>
    <cellStyle name="Heading 2 2 3 5 3 7 7 2 2" xfId="40616"/>
    <cellStyle name="Heading 2 2 3 5 3 7 7 3" xfId="40617"/>
    <cellStyle name="Heading 2 2 3 5 3 7 8" xfId="40618"/>
    <cellStyle name="Heading 2 2 3 5 3 7 8 2" xfId="40619"/>
    <cellStyle name="Heading 2 2 3 5 3 7 9" xfId="40620"/>
    <cellStyle name="Heading 2 2 3 5 3 8" xfId="40621"/>
    <cellStyle name="Heading 2 2 3 5 3 8 2" xfId="40622"/>
    <cellStyle name="Heading 2 2 3 5 3 8 2 2" xfId="40623"/>
    <cellStyle name="Heading 2 2 3 5 3 8 2 2 2" xfId="40624"/>
    <cellStyle name="Heading 2 2 3 5 3 8 2 3" xfId="40625"/>
    <cellStyle name="Heading 2 2 3 5 3 8 3" xfId="40626"/>
    <cellStyle name="Heading 2 2 3 5 3 8 3 2" xfId="40627"/>
    <cellStyle name="Heading 2 2 3 5 3 8 3 2 2" xfId="40628"/>
    <cellStyle name="Heading 2 2 3 5 3 8 3 3" xfId="40629"/>
    <cellStyle name="Heading 2 2 3 5 3 8 4" xfId="40630"/>
    <cellStyle name="Heading 2 2 3 5 3 8 4 2" xfId="40631"/>
    <cellStyle name="Heading 2 2 3 5 3 8 4 2 2" xfId="40632"/>
    <cellStyle name="Heading 2 2 3 5 3 8 4 3" xfId="40633"/>
    <cellStyle name="Heading 2 2 3 5 3 8 5" xfId="40634"/>
    <cellStyle name="Heading 2 2 3 5 3 8 5 2" xfId="40635"/>
    <cellStyle name="Heading 2 2 3 5 3 8 5 2 2" xfId="40636"/>
    <cellStyle name="Heading 2 2 3 5 3 8 5 3" xfId="40637"/>
    <cellStyle name="Heading 2 2 3 5 3 8 6" xfId="40638"/>
    <cellStyle name="Heading 2 2 3 5 3 8 6 2" xfId="40639"/>
    <cellStyle name="Heading 2 2 3 5 3 8 6 2 2" xfId="40640"/>
    <cellStyle name="Heading 2 2 3 5 3 8 6 3" xfId="40641"/>
    <cellStyle name="Heading 2 2 3 5 3 8 7" xfId="40642"/>
    <cellStyle name="Heading 2 2 3 5 3 8 7 2" xfId="40643"/>
    <cellStyle name="Heading 2 2 3 5 3 8 7 2 2" xfId="40644"/>
    <cellStyle name="Heading 2 2 3 5 3 8 7 3" xfId="40645"/>
    <cellStyle name="Heading 2 2 3 5 3 8 8" xfId="40646"/>
    <cellStyle name="Heading 2 2 3 5 3 8 8 2" xfId="40647"/>
    <cellStyle name="Heading 2 2 3 5 3 8 9" xfId="40648"/>
    <cellStyle name="Heading 2 2 3 5 3 9" xfId="40649"/>
    <cellStyle name="Heading 2 2 3 5 3 9 2" xfId="40650"/>
    <cellStyle name="Heading 2 2 3 5 3 9 2 2" xfId="40651"/>
    <cellStyle name="Heading 2 2 3 5 3 9 3" xfId="40652"/>
    <cellStyle name="Heading 2 2 3 5 4" xfId="40653"/>
    <cellStyle name="Heading 2 2 3 5 4 2" xfId="40654"/>
    <cellStyle name="Heading 2 2 3 5 4 2 2" xfId="40655"/>
    <cellStyle name="Heading 2 2 3 5 4 3" xfId="40656"/>
    <cellStyle name="Heading 2 2 3 5 5" xfId="40657"/>
    <cellStyle name="Heading 2 2 3 5 5 2" xfId="40658"/>
    <cellStyle name="Heading 2 2 3 5 6" xfId="40659"/>
    <cellStyle name="Heading 2 2 3 6" xfId="40660"/>
    <cellStyle name="Heading 2 2 3 6 2" xfId="40661"/>
    <cellStyle name="Heading 2 2 3 6 2 10" xfId="40662"/>
    <cellStyle name="Heading 2 2 3 6 2 10 2" xfId="40663"/>
    <cellStyle name="Heading 2 2 3 6 2 10 2 2" xfId="40664"/>
    <cellStyle name="Heading 2 2 3 6 2 10 3" xfId="40665"/>
    <cellStyle name="Heading 2 2 3 6 2 11" xfId="40666"/>
    <cellStyle name="Heading 2 2 3 6 2 11 2" xfId="40667"/>
    <cellStyle name="Heading 2 2 3 6 2 11 2 2" xfId="40668"/>
    <cellStyle name="Heading 2 2 3 6 2 11 3" xfId="40669"/>
    <cellStyle name="Heading 2 2 3 6 2 12" xfId="40670"/>
    <cellStyle name="Heading 2 2 3 6 2 12 2" xfId="40671"/>
    <cellStyle name="Heading 2 2 3 6 2 12 2 2" xfId="40672"/>
    <cellStyle name="Heading 2 2 3 6 2 12 3" xfId="40673"/>
    <cellStyle name="Heading 2 2 3 6 2 13" xfId="40674"/>
    <cellStyle name="Heading 2 2 3 6 2 13 2" xfId="40675"/>
    <cellStyle name="Heading 2 2 3 6 2 13 2 2" xfId="40676"/>
    <cellStyle name="Heading 2 2 3 6 2 13 3" xfId="40677"/>
    <cellStyle name="Heading 2 2 3 6 2 14" xfId="40678"/>
    <cellStyle name="Heading 2 2 3 6 2 14 2" xfId="40679"/>
    <cellStyle name="Heading 2 2 3 6 2 14 2 2" xfId="40680"/>
    <cellStyle name="Heading 2 2 3 6 2 14 3" xfId="40681"/>
    <cellStyle name="Heading 2 2 3 6 2 15" xfId="40682"/>
    <cellStyle name="Heading 2 2 3 6 2 15 2" xfId="40683"/>
    <cellStyle name="Heading 2 2 3 6 2 15 2 2" xfId="40684"/>
    <cellStyle name="Heading 2 2 3 6 2 15 3" xfId="40685"/>
    <cellStyle name="Heading 2 2 3 6 2 16" xfId="40686"/>
    <cellStyle name="Heading 2 2 3 6 2 16 2" xfId="40687"/>
    <cellStyle name="Heading 2 2 3 6 2 16 2 2" xfId="40688"/>
    <cellStyle name="Heading 2 2 3 6 2 16 3" xfId="40689"/>
    <cellStyle name="Heading 2 2 3 6 2 17" xfId="40690"/>
    <cellStyle name="Heading 2 2 3 6 2 17 2" xfId="40691"/>
    <cellStyle name="Heading 2 2 3 6 2 17 2 2" xfId="40692"/>
    <cellStyle name="Heading 2 2 3 6 2 17 3" xfId="40693"/>
    <cellStyle name="Heading 2 2 3 6 2 18" xfId="40694"/>
    <cellStyle name="Heading 2 2 3 6 2 18 2" xfId="40695"/>
    <cellStyle name="Heading 2 2 3 6 2 18 2 2" xfId="40696"/>
    <cellStyle name="Heading 2 2 3 6 2 18 3" xfId="40697"/>
    <cellStyle name="Heading 2 2 3 6 2 19" xfId="40698"/>
    <cellStyle name="Heading 2 2 3 6 2 19 2" xfId="40699"/>
    <cellStyle name="Heading 2 2 3 6 2 19 2 2" xfId="40700"/>
    <cellStyle name="Heading 2 2 3 6 2 19 3" xfId="40701"/>
    <cellStyle name="Heading 2 2 3 6 2 2" xfId="40702"/>
    <cellStyle name="Heading 2 2 3 6 2 2 10" xfId="40703"/>
    <cellStyle name="Heading 2 2 3 6 2 2 10 2" xfId="40704"/>
    <cellStyle name="Heading 2 2 3 6 2 2 10 2 2" xfId="40705"/>
    <cellStyle name="Heading 2 2 3 6 2 2 10 3" xfId="40706"/>
    <cellStyle name="Heading 2 2 3 6 2 2 11" xfId="40707"/>
    <cellStyle name="Heading 2 2 3 6 2 2 11 2" xfId="40708"/>
    <cellStyle name="Heading 2 2 3 6 2 2 11 2 2" xfId="40709"/>
    <cellStyle name="Heading 2 2 3 6 2 2 11 3" xfId="40710"/>
    <cellStyle name="Heading 2 2 3 6 2 2 12" xfId="40711"/>
    <cellStyle name="Heading 2 2 3 6 2 2 12 2" xfId="40712"/>
    <cellStyle name="Heading 2 2 3 6 2 2 12 2 2" xfId="40713"/>
    <cellStyle name="Heading 2 2 3 6 2 2 12 3" xfId="40714"/>
    <cellStyle name="Heading 2 2 3 6 2 2 13" xfId="40715"/>
    <cellStyle name="Heading 2 2 3 6 2 2 13 2" xfId="40716"/>
    <cellStyle name="Heading 2 2 3 6 2 2 13 2 2" xfId="40717"/>
    <cellStyle name="Heading 2 2 3 6 2 2 13 3" xfId="40718"/>
    <cellStyle name="Heading 2 2 3 6 2 2 14" xfId="40719"/>
    <cellStyle name="Heading 2 2 3 6 2 2 14 2" xfId="40720"/>
    <cellStyle name="Heading 2 2 3 6 2 2 14 2 2" xfId="40721"/>
    <cellStyle name="Heading 2 2 3 6 2 2 14 3" xfId="40722"/>
    <cellStyle name="Heading 2 2 3 6 2 2 15" xfId="40723"/>
    <cellStyle name="Heading 2 2 3 6 2 2 15 2" xfId="40724"/>
    <cellStyle name="Heading 2 2 3 6 2 2 15 2 2" xfId="40725"/>
    <cellStyle name="Heading 2 2 3 6 2 2 15 3" xfId="40726"/>
    <cellStyle name="Heading 2 2 3 6 2 2 16" xfId="40727"/>
    <cellStyle name="Heading 2 2 3 6 2 2 16 2" xfId="40728"/>
    <cellStyle name="Heading 2 2 3 6 2 2 16 2 2" xfId="40729"/>
    <cellStyle name="Heading 2 2 3 6 2 2 16 3" xfId="40730"/>
    <cellStyle name="Heading 2 2 3 6 2 2 17" xfId="40731"/>
    <cellStyle name="Heading 2 2 3 6 2 2 17 2" xfId="40732"/>
    <cellStyle name="Heading 2 2 3 6 2 2 17 2 2" xfId="40733"/>
    <cellStyle name="Heading 2 2 3 6 2 2 17 3" xfId="40734"/>
    <cellStyle name="Heading 2 2 3 6 2 2 18" xfId="40735"/>
    <cellStyle name="Heading 2 2 3 6 2 2 18 2" xfId="40736"/>
    <cellStyle name="Heading 2 2 3 6 2 2 18 2 2" xfId="40737"/>
    <cellStyle name="Heading 2 2 3 6 2 2 18 3" xfId="40738"/>
    <cellStyle name="Heading 2 2 3 6 2 2 19" xfId="40739"/>
    <cellStyle name="Heading 2 2 3 6 2 2 19 2" xfId="40740"/>
    <cellStyle name="Heading 2 2 3 6 2 2 2" xfId="40741"/>
    <cellStyle name="Heading 2 2 3 6 2 2 2 2" xfId="40742"/>
    <cellStyle name="Heading 2 2 3 6 2 2 2 2 2" xfId="40743"/>
    <cellStyle name="Heading 2 2 3 6 2 2 2 2 2 2" xfId="40744"/>
    <cellStyle name="Heading 2 2 3 6 2 2 2 2 3" xfId="40745"/>
    <cellStyle name="Heading 2 2 3 6 2 2 2 3" xfId="40746"/>
    <cellStyle name="Heading 2 2 3 6 2 2 2 3 2" xfId="40747"/>
    <cellStyle name="Heading 2 2 3 6 2 2 2 3 2 2" xfId="40748"/>
    <cellStyle name="Heading 2 2 3 6 2 2 2 3 3" xfId="40749"/>
    <cellStyle name="Heading 2 2 3 6 2 2 2 4" xfId="40750"/>
    <cellStyle name="Heading 2 2 3 6 2 2 2 4 2" xfId="40751"/>
    <cellStyle name="Heading 2 2 3 6 2 2 2 4 2 2" xfId="40752"/>
    <cellStyle name="Heading 2 2 3 6 2 2 2 4 3" xfId="40753"/>
    <cellStyle name="Heading 2 2 3 6 2 2 2 5" xfId="40754"/>
    <cellStyle name="Heading 2 2 3 6 2 2 2 5 2" xfId="40755"/>
    <cellStyle name="Heading 2 2 3 6 2 2 2 5 2 2" xfId="40756"/>
    <cellStyle name="Heading 2 2 3 6 2 2 2 5 3" xfId="40757"/>
    <cellStyle name="Heading 2 2 3 6 2 2 2 6" xfId="40758"/>
    <cellStyle name="Heading 2 2 3 6 2 2 2 6 2" xfId="40759"/>
    <cellStyle name="Heading 2 2 3 6 2 2 2 6 2 2" xfId="40760"/>
    <cellStyle name="Heading 2 2 3 6 2 2 2 6 3" xfId="40761"/>
    <cellStyle name="Heading 2 2 3 6 2 2 2 7" xfId="40762"/>
    <cellStyle name="Heading 2 2 3 6 2 2 2 7 2" xfId="40763"/>
    <cellStyle name="Heading 2 2 3 6 2 2 2 7 2 2" xfId="40764"/>
    <cellStyle name="Heading 2 2 3 6 2 2 2 7 3" xfId="40765"/>
    <cellStyle name="Heading 2 2 3 6 2 2 2 8" xfId="40766"/>
    <cellStyle name="Heading 2 2 3 6 2 2 2 8 2" xfId="40767"/>
    <cellStyle name="Heading 2 2 3 6 2 2 2 9" xfId="40768"/>
    <cellStyle name="Heading 2 2 3 6 2 2 20" xfId="40769"/>
    <cellStyle name="Heading 2 2 3 6 2 2 20 2" xfId="40770"/>
    <cellStyle name="Heading 2 2 3 6 2 2 21" xfId="40771"/>
    <cellStyle name="Heading 2 2 3 6 2 2 21 2" xfId="40772"/>
    <cellStyle name="Heading 2 2 3 6 2 2 22" xfId="40773"/>
    <cellStyle name="Heading 2 2 3 6 2 2 3" xfId="40774"/>
    <cellStyle name="Heading 2 2 3 6 2 2 3 2" xfId="40775"/>
    <cellStyle name="Heading 2 2 3 6 2 2 3 2 2" xfId="40776"/>
    <cellStyle name="Heading 2 2 3 6 2 2 3 2 2 2" xfId="40777"/>
    <cellStyle name="Heading 2 2 3 6 2 2 3 2 3" xfId="40778"/>
    <cellStyle name="Heading 2 2 3 6 2 2 3 3" xfId="40779"/>
    <cellStyle name="Heading 2 2 3 6 2 2 3 3 2" xfId="40780"/>
    <cellStyle name="Heading 2 2 3 6 2 2 3 3 2 2" xfId="40781"/>
    <cellStyle name="Heading 2 2 3 6 2 2 3 3 3" xfId="40782"/>
    <cellStyle name="Heading 2 2 3 6 2 2 3 4" xfId="40783"/>
    <cellStyle name="Heading 2 2 3 6 2 2 3 4 2" xfId="40784"/>
    <cellStyle name="Heading 2 2 3 6 2 2 3 4 2 2" xfId="40785"/>
    <cellStyle name="Heading 2 2 3 6 2 2 3 4 3" xfId="40786"/>
    <cellStyle name="Heading 2 2 3 6 2 2 3 5" xfId="40787"/>
    <cellStyle name="Heading 2 2 3 6 2 2 3 5 2" xfId="40788"/>
    <cellStyle name="Heading 2 2 3 6 2 2 3 5 2 2" xfId="40789"/>
    <cellStyle name="Heading 2 2 3 6 2 2 3 5 3" xfId="40790"/>
    <cellStyle name="Heading 2 2 3 6 2 2 3 6" xfId="40791"/>
    <cellStyle name="Heading 2 2 3 6 2 2 3 6 2" xfId="40792"/>
    <cellStyle name="Heading 2 2 3 6 2 2 3 6 2 2" xfId="40793"/>
    <cellStyle name="Heading 2 2 3 6 2 2 3 6 3" xfId="40794"/>
    <cellStyle name="Heading 2 2 3 6 2 2 3 7" xfId="40795"/>
    <cellStyle name="Heading 2 2 3 6 2 2 3 7 2" xfId="40796"/>
    <cellStyle name="Heading 2 2 3 6 2 2 3 7 2 2" xfId="40797"/>
    <cellStyle name="Heading 2 2 3 6 2 2 3 7 3" xfId="40798"/>
    <cellStyle name="Heading 2 2 3 6 2 2 3 8" xfId="40799"/>
    <cellStyle name="Heading 2 2 3 6 2 2 3 8 2" xfId="40800"/>
    <cellStyle name="Heading 2 2 3 6 2 2 3 9" xfId="40801"/>
    <cellStyle name="Heading 2 2 3 6 2 2 4" xfId="40802"/>
    <cellStyle name="Heading 2 2 3 6 2 2 4 2" xfId="40803"/>
    <cellStyle name="Heading 2 2 3 6 2 2 4 2 2" xfId="40804"/>
    <cellStyle name="Heading 2 2 3 6 2 2 4 2 2 2" xfId="40805"/>
    <cellStyle name="Heading 2 2 3 6 2 2 4 2 3" xfId="40806"/>
    <cellStyle name="Heading 2 2 3 6 2 2 4 3" xfId="40807"/>
    <cellStyle name="Heading 2 2 3 6 2 2 4 3 2" xfId="40808"/>
    <cellStyle name="Heading 2 2 3 6 2 2 4 3 2 2" xfId="40809"/>
    <cellStyle name="Heading 2 2 3 6 2 2 4 3 3" xfId="40810"/>
    <cellStyle name="Heading 2 2 3 6 2 2 4 4" xfId="40811"/>
    <cellStyle name="Heading 2 2 3 6 2 2 4 4 2" xfId="40812"/>
    <cellStyle name="Heading 2 2 3 6 2 2 4 4 2 2" xfId="40813"/>
    <cellStyle name="Heading 2 2 3 6 2 2 4 4 3" xfId="40814"/>
    <cellStyle name="Heading 2 2 3 6 2 2 4 5" xfId="40815"/>
    <cellStyle name="Heading 2 2 3 6 2 2 4 5 2" xfId="40816"/>
    <cellStyle name="Heading 2 2 3 6 2 2 4 5 2 2" xfId="40817"/>
    <cellStyle name="Heading 2 2 3 6 2 2 4 5 3" xfId="40818"/>
    <cellStyle name="Heading 2 2 3 6 2 2 4 6" xfId="40819"/>
    <cellStyle name="Heading 2 2 3 6 2 2 4 6 2" xfId="40820"/>
    <cellStyle name="Heading 2 2 3 6 2 2 4 6 2 2" xfId="40821"/>
    <cellStyle name="Heading 2 2 3 6 2 2 4 6 3" xfId="40822"/>
    <cellStyle name="Heading 2 2 3 6 2 2 4 7" xfId="40823"/>
    <cellStyle name="Heading 2 2 3 6 2 2 4 7 2" xfId="40824"/>
    <cellStyle name="Heading 2 2 3 6 2 2 4 7 2 2" xfId="40825"/>
    <cellStyle name="Heading 2 2 3 6 2 2 4 7 3" xfId="40826"/>
    <cellStyle name="Heading 2 2 3 6 2 2 4 8" xfId="40827"/>
    <cellStyle name="Heading 2 2 3 6 2 2 4 8 2" xfId="40828"/>
    <cellStyle name="Heading 2 2 3 6 2 2 4 9" xfId="40829"/>
    <cellStyle name="Heading 2 2 3 6 2 2 5" xfId="40830"/>
    <cellStyle name="Heading 2 2 3 6 2 2 5 2" xfId="40831"/>
    <cellStyle name="Heading 2 2 3 6 2 2 5 2 2" xfId="40832"/>
    <cellStyle name="Heading 2 2 3 6 2 2 5 2 2 2" xfId="40833"/>
    <cellStyle name="Heading 2 2 3 6 2 2 5 2 3" xfId="40834"/>
    <cellStyle name="Heading 2 2 3 6 2 2 5 3" xfId="40835"/>
    <cellStyle name="Heading 2 2 3 6 2 2 5 3 2" xfId="40836"/>
    <cellStyle name="Heading 2 2 3 6 2 2 5 3 2 2" xfId="40837"/>
    <cellStyle name="Heading 2 2 3 6 2 2 5 3 3" xfId="40838"/>
    <cellStyle name="Heading 2 2 3 6 2 2 5 4" xfId="40839"/>
    <cellStyle name="Heading 2 2 3 6 2 2 5 4 2" xfId="40840"/>
    <cellStyle name="Heading 2 2 3 6 2 2 5 4 2 2" xfId="40841"/>
    <cellStyle name="Heading 2 2 3 6 2 2 5 4 3" xfId="40842"/>
    <cellStyle name="Heading 2 2 3 6 2 2 5 5" xfId="40843"/>
    <cellStyle name="Heading 2 2 3 6 2 2 5 5 2" xfId="40844"/>
    <cellStyle name="Heading 2 2 3 6 2 2 5 5 2 2" xfId="40845"/>
    <cellStyle name="Heading 2 2 3 6 2 2 5 5 3" xfId="40846"/>
    <cellStyle name="Heading 2 2 3 6 2 2 5 6" xfId="40847"/>
    <cellStyle name="Heading 2 2 3 6 2 2 5 6 2" xfId="40848"/>
    <cellStyle name="Heading 2 2 3 6 2 2 5 6 2 2" xfId="40849"/>
    <cellStyle name="Heading 2 2 3 6 2 2 5 6 3" xfId="40850"/>
    <cellStyle name="Heading 2 2 3 6 2 2 5 7" xfId="40851"/>
    <cellStyle name="Heading 2 2 3 6 2 2 5 7 2" xfId="40852"/>
    <cellStyle name="Heading 2 2 3 6 2 2 5 7 2 2" xfId="40853"/>
    <cellStyle name="Heading 2 2 3 6 2 2 5 7 3" xfId="40854"/>
    <cellStyle name="Heading 2 2 3 6 2 2 5 8" xfId="40855"/>
    <cellStyle name="Heading 2 2 3 6 2 2 5 8 2" xfId="40856"/>
    <cellStyle name="Heading 2 2 3 6 2 2 5 9" xfId="40857"/>
    <cellStyle name="Heading 2 2 3 6 2 2 6" xfId="40858"/>
    <cellStyle name="Heading 2 2 3 6 2 2 6 2" xfId="40859"/>
    <cellStyle name="Heading 2 2 3 6 2 2 6 2 2" xfId="40860"/>
    <cellStyle name="Heading 2 2 3 6 2 2 6 2 2 2" xfId="40861"/>
    <cellStyle name="Heading 2 2 3 6 2 2 6 2 3" xfId="40862"/>
    <cellStyle name="Heading 2 2 3 6 2 2 6 3" xfId="40863"/>
    <cellStyle name="Heading 2 2 3 6 2 2 6 3 2" xfId="40864"/>
    <cellStyle name="Heading 2 2 3 6 2 2 6 3 2 2" xfId="40865"/>
    <cellStyle name="Heading 2 2 3 6 2 2 6 3 3" xfId="40866"/>
    <cellStyle name="Heading 2 2 3 6 2 2 6 4" xfId="40867"/>
    <cellStyle name="Heading 2 2 3 6 2 2 6 4 2" xfId="40868"/>
    <cellStyle name="Heading 2 2 3 6 2 2 6 4 2 2" xfId="40869"/>
    <cellStyle name="Heading 2 2 3 6 2 2 6 4 3" xfId="40870"/>
    <cellStyle name="Heading 2 2 3 6 2 2 6 5" xfId="40871"/>
    <cellStyle name="Heading 2 2 3 6 2 2 6 5 2" xfId="40872"/>
    <cellStyle name="Heading 2 2 3 6 2 2 6 5 2 2" xfId="40873"/>
    <cellStyle name="Heading 2 2 3 6 2 2 6 5 3" xfId="40874"/>
    <cellStyle name="Heading 2 2 3 6 2 2 6 6" xfId="40875"/>
    <cellStyle name="Heading 2 2 3 6 2 2 6 6 2" xfId="40876"/>
    <cellStyle name="Heading 2 2 3 6 2 2 6 6 2 2" xfId="40877"/>
    <cellStyle name="Heading 2 2 3 6 2 2 6 6 3" xfId="40878"/>
    <cellStyle name="Heading 2 2 3 6 2 2 6 7" xfId="40879"/>
    <cellStyle name="Heading 2 2 3 6 2 2 6 7 2" xfId="40880"/>
    <cellStyle name="Heading 2 2 3 6 2 2 6 7 2 2" xfId="40881"/>
    <cellStyle name="Heading 2 2 3 6 2 2 6 7 3" xfId="40882"/>
    <cellStyle name="Heading 2 2 3 6 2 2 6 8" xfId="40883"/>
    <cellStyle name="Heading 2 2 3 6 2 2 6 8 2" xfId="40884"/>
    <cellStyle name="Heading 2 2 3 6 2 2 6 9" xfId="40885"/>
    <cellStyle name="Heading 2 2 3 6 2 2 7" xfId="40886"/>
    <cellStyle name="Heading 2 2 3 6 2 2 7 2" xfId="40887"/>
    <cellStyle name="Heading 2 2 3 6 2 2 7 2 2" xfId="40888"/>
    <cellStyle name="Heading 2 2 3 6 2 2 7 2 2 2" xfId="40889"/>
    <cellStyle name="Heading 2 2 3 6 2 2 7 2 3" xfId="40890"/>
    <cellStyle name="Heading 2 2 3 6 2 2 7 3" xfId="40891"/>
    <cellStyle name="Heading 2 2 3 6 2 2 7 3 2" xfId="40892"/>
    <cellStyle name="Heading 2 2 3 6 2 2 7 3 2 2" xfId="40893"/>
    <cellStyle name="Heading 2 2 3 6 2 2 7 3 3" xfId="40894"/>
    <cellStyle name="Heading 2 2 3 6 2 2 7 4" xfId="40895"/>
    <cellStyle name="Heading 2 2 3 6 2 2 7 4 2" xfId="40896"/>
    <cellStyle name="Heading 2 2 3 6 2 2 7 4 2 2" xfId="40897"/>
    <cellStyle name="Heading 2 2 3 6 2 2 7 4 3" xfId="40898"/>
    <cellStyle name="Heading 2 2 3 6 2 2 7 5" xfId="40899"/>
    <cellStyle name="Heading 2 2 3 6 2 2 7 5 2" xfId="40900"/>
    <cellStyle name="Heading 2 2 3 6 2 2 7 5 2 2" xfId="40901"/>
    <cellStyle name="Heading 2 2 3 6 2 2 7 5 3" xfId="40902"/>
    <cellStyle name="Heading 2 2 3 6 2 2 7 6" xfId="40903"/>
    <cellStyle name="Heading 2 2 3 6 2 2 7 6 2" xfId="40904"/>
    <cellStyle name="Heading 2 2 3 6 2 2 7 6 2 2" xfId="40905"/>
    <cellStyle name="Heading 2 2 3 6 2 2 7 6 3" xfId="40906"/>
    <cellStyle name="Heading 2 2 3 6 2 2 7 7" xfId="40907"/>
    <cellStyle name="Heading 2 2 3 6 2 2 7 7 2" xfId="40908"/>
    <cellStyle name="Heading 2 2 3 6 2 2 7 7 2 2" xfId="40909"/>
    <cellStyle name="Heading 2 2 3 6 2 2 7 7 3" xfId="40910"/>
    <cellStyle name="Heading 2 2 3 6 2 2 7 8" xfId="40911"/>
    <cellStyle name="Heading 2 2 3 6 2 2 7 8 2" xfId="40912"/>
    <cellStyle name="Heading 2 2 3 6 2 2 7 9" xfId="40913"/>
    <cellStyle name="Heading 2 2 3 6 2 2 8" xfId="40914"/>
    <cellStyle name="Heading 2 2 3 6 2 2 8 2" xfId="40915"/>
    <cellStyle name="Heading 2 2 3 6 2 2 8 2 2" xfId="40916"/>
    <cellStyle name="Heading 2 2 3 6 2 2 8 2 2 2" xfId="40917"/>
    <cellStyle name="Heading 2 2 3 6 2 2 8 2 3" xfId="40918"/>
    <cellStyle name="Heading 2 2 3 6 2 2 8 3" xfId="40919"/>
    <cellStyle name="Heading 2 2 3 6 2 2 8 3 2" xfId="40920"/>
    <cellStyle name="Heading 2 2 3 6 2 2 8 3 2 2" xfId="40921"/>
    <cellStyle name="Heading 2 2 3 6 2 2 8 3 3" xfId="40922"/>
    <cellStyle name="Heading 2 2 3 6 2 2 8 4" xfId="40923"/>
    <cellStyle name="Heading 2 2 3 6 2 2 8 4 2" xfId="40924"/>
    <cellStyle name="Heading 2 2 3 6 2 2 8 4 2 2" xfId="40925"/>
    <cellStyle name="Heading 2 2 3 6 2 2 8 4 3" xfId="40926"/>
    <cellStyle name="Heading 2 2 3 6 2 2 8 5" xfId="40927"/>
    <cellStyle name="Heading 2 2 3 6 2 2 8 5 2" xfId="40928"/>
    <cellStyle name="Heading 2 2 3 6 2 2 8 5 2 2" xfId="40929"/>
    <cellStyle name="Heading 2 2 3 6 2 2 8 5 3" xfId="40930"/>
    <cellStyle name="Heading 2 2 3 6 2 2 8 6" xfId="40931"/>
    <cellStyle name="Heading 2 2 3 6 2 2 8 6 2" xfId="40932"/>
    <cellStyle name="Heading 2 2 3 6 2 2 8 6 2 2" xfId="40933"/>
    <cellStyle name="Heading 2 2 3 6 2 2 8 6 3" xfId="40934"/>
    <cellStyle name="Heading 2 2 3 6 2 2 8 7" xfId="40935"/>
    <cellStyle name="Heading 2 2 3 6 2 2 8 7 2" xfId="40936"/>
    <cellStyle name="Heading 2 2 3 6 2 2 8 7 2 2" xfId="40937"/>
    <cellStyle name="Heading 2 2 3 6 2 2 8 7 3" xfId="40938"/>
    <cellStyle name="Heading 2 2 3 6 2 2 8 8" xfId="40939"/>
    <cellStyle name="Heading 2 2 3 6 2 2 8 8 2" xfId="40940"/>
    <cellStyle name="Heading 2 2 3 6 2 2 8 9" xfId="40941"/>
    <cellStyle name="Heading 2 2 3 6 2 2 9" xfId="40942"/>
    <cellStyle name="Heading 2 2 3 6 2 2 9 2" xfId="40943"/>
    <cellStyle name="Heading 2 2 3 6 2 2 9 2 2" xfId="40944"/>
    <cellStyle name="Heading 2 2 3 6 2 2 9 3" xfId="40945"/>
    <cellStyle name="Heading 2 2 3 6 2 20" xfId="40946"/>
    <cellStyle name="Heading 2 2 3 6 2 20 2" xfId="40947"/>
    <cellStyle name="Heading 2 2 3 6 2 21" xfId="40948"/>
    <cellStyle name="Heading 2 2 3 6 2 21 2" xfId="40949"/>
    <cellStyle name="Heading 2 2 3 6 2 22" xfId="40950"/>
    <cellStyle name="Heading 2 2 3 6 2 22 2" xfId="40951"/>
    <cellStyle name="Heading 2 2 3 6 2 23" xfId="40952"/>
    <cellStyle name="Heading 2 2 3 6 2 3" xfId="40953"/>
    <cellStyle name="Heading 2 2 3 6 2 3 2" xfId="40954"/>
    <cellStyle name="Heading 2 2 3 6 2 3 2 2" xfId="40955"/>
    <cellStyle name="Heading 2 2 3 6 2 3 2 2 2" xfId="40956"/>
    <cellStyle name="Heading 2 2 3 6 2 3 2 3" xfId="40957"/>
    <cellStyle name="Heading 2 2 3 6 2 3 3" xfId="40958"/>
    <cellStyle name="Heading 2 2 3 6 2 3 3 2" xfId="40959"/>
    <cellStyle name="Heading 2 2 3 6 2 3 3 2 2" xfId="40960"/>
    <cellStyle name="Heading 2 2 3 6 2 3 3 3" xfId="40961"/>
    <cellStyle name="Heading 2 2 3 6 2 3 4" xfId="40962"/>
    <cellStyle name="Heading 2 2 3 6 2 3 4 2" xfId="40963"/>
    <cellStyle name="Heading 2 2 3 6 2 3 4 2 2" xfId="40964"/>
    <cellStyle name="Heading 2 2 3 6 2 3 4 3" xfId="40965"/>
    <cellStyle name="Heading 2 2 3 6 2 3 5" xfId="40966"/>
    <cellStyle name="Heading 2 2 3 6 2 3 5 2" xfId="40967"/>
    <cellStyle name="Heading 2 2 3 6 2 3 5 2 2" xfId="40968"/>
    <cellStyle name="Heading 2 2 3 6 2 3 5 3" xfId="40969"/>
    <cellStyle name="Heading 2 2 3 6 2 3 6" xfId="40970"/>
    <cellStyle name="Heading 2 2 3 6 2 3 6 2" xfId="40971"/>
    <cellStyle name="Heading 2 2 3 6 2 3 6 2 2" xfId="40972"/>
    <cellStyle name="Heading 2 2 3 6 2 3 6 3" xfId="40973"/>
    <cellStyle name="Heading 2 2 3 6 2 3 7" xfId="40974"/>
    <cellStyle name="Heading 2 2 3 6 2 3 7 2" xfId="40975"/>
    <cellStyle name="Heading 2 2 3 6 2 3 7 2 2" xfId="40976"/>
    <cellStyle name="Heading 2 2 3 6 2 3 7 3" xfId="40977"/>
    <cellStyle name="Heading 2 2 3 6 2 3 8" xfId="40978"/>
    <cellStyle name="Heading 2 2 3 6 2 3 8 2" xfId="40979"/>
    <cellStyle name="Heading 2 2 3 6 2 3 9" xfId="40980"/>
    <cellStyle name="Heading 2 2 3 6 2 4" xfId="40981"/>
    <cellStyle name="Heading 2 2 3 6 2 4 2" xfId="40982"/>
    <cellStyle name="Heading 2 2 3 6 2 4 2 2" xfId="40983"/>
    <cellStyle name="Heading 2 2 3 6 2 4 2 2 2" xfId="40984"/>
    <cellStyle name="Heading 2 2 3 6 2 4 2 3" xfId="40985"/>
    <cellStyle name="Heading 2 2 3 6 2 4 3" xfId="40986"/>
    <cellStyle name="Heading 2 2 3 6 2 4 3 2" xfId="40987"/>
    <cellStyle name="Heading 2 2 3 6 2 4 3 2 2" xfId="40988"/>
    <cellStyle name="Heading 2 2 3 6 2 4 3 3" xfId="40989"/>
    <cellStyle name="Heading 2 2 3 6 2 4 4" xfId="40990"/>
    <cellStyle name="Heading 2 2 3 6 2 4 4 2" xfId="40991"/>
    <cellStyle name="Heading 2 2 3 6 2 4 4 2 2" xfId="40992"/>
    <cellStyle name="Heading 2 2 3 6 2 4 4 3" xfId="40993"/>
    <cellStyle name="Heading 2 2 3 6 2 4 5" xfId="40994"/>
    <cellStyle name="Heading 2 2 3 6 2 4 5 2" xfId="40995"/>
    <cellStyle name="Heading 2 2 3 6 2 4 5 2 2" xfId="40996"/>
    <cellStyle name="Heading 2 2 3 6 2 4 5 3" xfId="40997"/>
    <cellStyle name="Heading 2 2 3 6 2 4 6" xfId="40998"/>
    <cellStyle name="Heading 2 2 3 6 2 4 6 2" xfId="40999"/>
    <cellStyle name="Heading 2 2 3 6 2 4 6 2 2" xfId="41000"/>
    <cellStyle name="Heading 2 2 3 6 2 4 6 3" xfId="41001"/>
    <cellStyle name="Heading 2 2 3 6 2 4 7" xfId="41002"/>
    <cellStyle name="Heading 2 2 3 6 2 4 7 2" xfId="41003"/>
    <cellStyle name="Heading 2 2 3 6 2 4 7 2 2" xfId="41004"/>
    <cellStyle name="Heading 2 2 3 6 2 4 7 3" xfId="41005"/>
    <cellStyle name="Heading 2 2 3 6 2 4 8" xfId="41006"/>
    <cellStyle name="Heading 2 2 3 6 2 4 8 2" xfId="41007"/>
    <cellStyle name="Heading 2 2 3 6 2 4 9" xfId="41008"/>
    <cellStyle name="Heading 2 2 3 6 2 5" xfId="41009"/>
    <cellStyle name="Heading 2 2 3 6 2 5 2" xfId="41010"/>
    <cellStyle name="Heading 2 2 3 6 2 5 2 2" xfId="41011"/>
    <cellStyle name="Heading 2 2 3 6 2 5 2 2 2" xfId="41012"/>
    <cellStyle name="Heading 2 2 3 6 2 5 2 3" xfId="41013"/>
    <cellStyle name="Heading 2 2 3 6 2 5 3" xfId="41014"/>
    <cellStyle name="Heading 2 2 3 6 2 5 3 2" xfId="41015"/>
    <cellStyle name="Heading 2 2 3 6 2 5 3 2 2" xfId="41016"/>
    <cellStyle name="Heading 2 2 3 6 2 5 3 3" xfId="41017"/>
    <cellStyle name="Heading 2 2 3 6 2 5 4" xfId="41018"/>
    <cellStyle name="Heading 2 2 3 6 2 5 4 2" xfId="41019"/>
    <cellStyle name="Heading 2 2 3 6 2 5 4 2 2" xfId="41020"/>
    <cellStyle name="Heading 2 2 3 6 2 5 4 3" xfId="41021"/>
    <cellStyle name="Heading 2 2 3 6 2 5 5" xfId="41022"/>
    <cellStyle name="Heading 2 2 3 6 2 5 5 2" xfId="41023"/>
    <cellStyle name="Heading 2 2 3 6 2 5 5 2 2" xfId="41024"/>
    <cellStyle name="Heading 2 2 3 6 2 5 5 3" xfId="41025"/>
    <cellStyle name="Heading 2 2 3 6 2 5 6" xfId="41026"/>
    <cellStyle name="Heading 2 2 3 6 2 5 6 2" xfId="41027"/>
    <cellStyle name="Heading 2 2 3 6 2 5 6 2 2" xfId="41028"/>
    <cellStyle name="Heading 2 2 3 6 2 5 6 3" xfId="41029"/>
    <cellStyle name="Heading 2 2 3 6 2 5 7" xfId="41030"/>
    <cellStyle name="Heading 2 2 3 6 2 5 7 2" xfId="41031"/>
    <cellStyle name="Heading 2 2 3 6 2 5 7 2 2" xfId="41032"/>
    <cellStyle name="Heading 2 2 3 6 2 5 7 3" xfId="41033"/>
    <cellStyle name="Heading 2 2 3 6 2 5 8" xfId="41034"/>
    <cellStyle name="Heading 2 2 3 6 2 5 8 2" xfId="41035"/>
    <cellStyle name="Heading 2 2 3 6 2 5 9" xfId="41036"/>
    <cellStyle name="Heading 2 2 3 6 2 6" xfId="41037"/>
    <cellStyle name="Heading 2 2 3 6 2 6 2" xfId="41038"/>
    <cellStyle name="Heading 2 2 3 6 2 6 2 2" xfId="41039"/>
    <cellStyle name="Heading 2 2 3 6 2 6 2 2 2" xfId="41040"/>
    <cellStyle name="Heading 2 2 3 6 2 6 2 3" xfId="41041"/>
    <cellStyle name="Heading 2 2 3 6 2 6 3" xfId="41042"/>
    <cellStyle name="Heading 2 2 3 6 2 6 3 2" xfId="41043"/>
    <cellStyle name="Heading 2 2 3 6 2 6 3 2 2" xfId="41044"/>
    <cellStyle name="Heading 2 2 3 6 2 6 3 3" xfId="41045"/>
    <cellStyle name="Heading 2 2 3 6 2 6 4" xfId="41046"/>
    <cellStyle name="Heading 2 2 3 6 2 6 4 2" xfId="41047"/>
    <cellStyle name="Heading 2 2 3 6 2 6 4 2 2" xfId="41048"/>
    <cellStyle name="Heading 2 2 3 6 2 6 4 3" xfId="41049"/>
    <cellStyle name="Heading 2 2 3 6 2 6 5" xfId="41050"/>
    <cellStyle name="Heading 2 2 3 6 2 6 5 2" xfId="41051"/>
    <cellStyle name="Heading 2 2 3 6 2 6 5 2 2" xfId="41052"/>
    <cellStyle name="Heading 2 2 3 6 2 6 5 3" xfId="41053"/>
    <cellStyle name="Heading 2 2 3 6 2 6 6" xfId="41054"/>
    <cellStyle name="Heading 2 2 3 6 2 6 6 2" xfId="41055"/>
    <cellStyle name="Heading 2 2 3 6 2 6 6 2 2" xfId="41056"/>
    <cellStyle name="Heading 2 2 3 6 2 6 6 3" xfId="41057"/>
    <cellStyle name="Heading 2 2 3 6 2 6 7" xfId="41058"/>
    <cellStyle name="Heading 2 2 3 6 2 6 7 2" xfId="41059"/>
    <cellStyle name="Heading 2 2 3 6 2 6 7 2 2" xfId="41060"/>
    <cellStyle name="Heading 2 2 3 6 2 6 7 3" xfId="41061"/>
    <cellStyle name="Heading 2 2 3 6 2 6 8" xfId="41062"/>
    <cellStyle name="Heading 2 2 3 6 2 6 8 2" xfId="41063"/>
    <cellStyle name="Heading 2 2 3 6 2 6 9" xfId="41064"/>
    <cellStyle name="Heading 2 2 3 6 2 7" xfId="41065"/>
    <cellStyle name="Heading 2 2 3 6 2 7 2" xfId="41066"/>
    <cellStyle name="Heading 2 2 3 6 2 7 2 2" xfId="41067"/>
    <cellStyle name="Heading 2 2 3 6 2 7 2 2 2" xfId="41068"/>
    <cellStyle name="Heading 2 2 3 6 2 7 2 3" xfId="41069"/>
    <cellStyle name="Heading 2 2 3 6 2 7 3" xfId="41070"/>
    <cellStyle name="Heading 2 2 3 6 2 7 3 2" xfId="41071"/>
    <cellStyle name="Heading 2 2 3 6 2 7 3 2 2" xfId="41072"/>
    <cellStyle name="Heading 2 2 3 6 2 7 3 3" xfId="41073"/>
    <cellStyle name="Heading 2 2 3 6 2 7 4" xfId="41074"/>
    <cellStyle name="Heading 2 2 3 6 2 7 4 2" xfId="41075"/>
    <cellStyle name="Heading 2 2 3 6 2 7 4 2 2" xfId="41076"/>
    <cellStyle name="Heading 2 2 3 6 2 7 4 3" xfId="41077"/>
    <cellStyle name="Heading 2 2 3 6 2 7 5" xfId="41078"/>
    <cellStyle name="Heading 2 2 3 6 2 7 5 2" xfId="41079"/>
    <cellStyle name="Heading 2 2 3 6 2 7 5 2 2" xfId="41080"/>
    <cellStyle name="Heading 2 2 3 6 2 7 5 3" xfId="41081"/>
    <cellStyle name="Heading 2 2 3 6 2 7 6" xfId="41082"/>
    <cellStyle name="Heading 2 2 3 6 2 7 6 2" xfId="41083"/>
    <cellStyle name="Heading 2 2 3 6 2 7 6 2 2" xfId="41084"/>
    <cellStyle name="Heading 2 2 3 6 2 7 6 3" xfId="41085"/>
    <cellStyle name="Heading 2 2 3 6 2 7 7" xfId="41086"/>
    <cellStyle name="Heading 2 2 3 6 2 7 7 2" xfId="41087"/>
    <cellStyle name="Heading 2 2 3 6 2 7 7 2 2" xfId="41088"/>
    <cellStyle name="Heading 2 2 3 6 2 7 7 3" xfId="41089"/>
    <cellStyle name="Heading 2 2 3 6 2 7 8" xfId="41090"/>
    <cellStyle name="Heading 2 2 3 6 2 7 8 2" xfId="41091"/>
    <cellStyle name="Heading 2 2 3 6 2 7 9" xfId="41092"/>
    <cellStyle name="Heading 2 2 3 6 2 8" xfId="41093"/>
    <cellStyle name="Heading 2 2 3 6 2 8 2" xfId="41094"/>
    <cellStyle name="Heading 2 2 3 6 2 8 2 2" xfId="41095"/>
    <cellStyle name="Heading 2 2 3 6 2 8 2 2 2" xfId="41096"/>
    <cellStyle name="Heading 2 2 3 6 2 8 2 3" xfId="41097"/>
    <cellStyle name="Heading 2 2 3 6 2 8 3" xfId="41098"/>
    <cellStyle name="Heading 2 2 3 6 2 8 3 2" xfId="41099"/>
    <cellStyle name="Heading 2 2 3 6 2 8 3 2 2" xfId="41100"/>
    <cellStyle name="Heading 2 2 3 6 2 8 3 3" xfId="41101"/>
    <cellStyle name="Heading 2 2 3 6 2 8 4" xfId="41102"/>
    <cellStyle name="Heading 2 2 3 6 2 8 4 2" xfId="41103"/>
    <cellStyle name="Heading 2 2 3 6 2 8 4 2 2" xfId="41104"/>
    <cellStyle name="Heading 2 2 3 6 2 8 4 3" xfId="41105"/>
    <cellStyle name="Heading 2 2 3 6 2 8 5" xfId="41106"/>
    <cellStyle name="Heading 2 2 3 6 2 8 5 2" xfId="41107"/>
    <cellStyle name="Heading 2 2 3 6 2 8 5 2 2" xfId="41108"/>
    <cellStyle name="Heading 2 2 3 6 2 8 5 3" xfId="41109"/>
    <cellStyle name="Heading 2 2 3 6 2 8 6" xfId="41110"/>
    <cellStyle name="Heading 2 2 3 6 2 8 6 2" xfId="41111"/>
    <cellStyle name="Heading 2 2 3 6 2 8 6 2 2" xfId="41112"/>
    <cellStyle name="Heading 2 2 3 6 2 8 6 3" xfId="41113"/>
    <cellStyle name="Heading 2 2 3 6 2 8 7" xfId="41114"/>
    <cellStyle name="Heading 2 2 3 6 2 8 7 2" xfId="41115"/>
    <cellStyle name="Heading 2 2 3 6 2 8 7 2 2" xfId="41116"/>
    <cellStyle name="Heading 2 2 3 6 2 8 7 3" xfId="41117"/>
    <cellStyle name="Heading 2 2 3 6 2 8 8" xfId="41118"/>
    <cellStyle name="Heading 2 2 3 6 2 8 8 2" xfId="41119"/>
    <cellStyle name="Heading 2 2 3 6 2 8 9" xfId="41120"/>
    <cellStyle name="Heading 2 2 3 6 2 9" xfId="41121"/>
    <cellStyle name="Heading 2 2 3 6 2 9 2" xfId="41122"/>
    <cellStyle name="Heading 2 2 3 6 2 9 2 2" xfId="41123"/>
    <cellStyle name="Heading 2 2 3 6 2 9 2 2 2" xfId="41124"/>
    <cellStyle name="Heading 2 2 3 6 2 9 2 3" xfId="41125"/>
    <cellStyle name="Heading 2 2 3 6 2 9 3" xfId="41126"/>
    <cellStyle name="Heading 2 2 3 6 2 9 3 2" xfId="41127"/>
    <cellStyle name="Heading 2 2 3 6 2 9 3 2 2" xfId="41128"/>
    <cellStyle name="Heading 2 2 3 6 2 9 3 3" xfId="41129"/>
    <cellStyle name="Heading 2 2 3 6 2 9 4" xfId="41130"/>
    <cellStyle name="Heading 2 2 3 6 2 9 4 2" xfId="41131"/>
    <cellStyle name="Heading 2 2 3 6 2 9 4 2 2" xfId="41132"/>
    <cellStyle name="Heading 2 2 3 6 2 9 4 3" xfId="41133"/>
    <cellStyle name="Heading 2 2 3 6 2 9 5" xfId="41134"/>
    <cellStyle name="Heading 2 2 3 6 2 9 5 2" xfId="41135"/>
    <cellStyle name="Heading 2 2 3 6 2 9 5 2 2" xfId="41136"/>
    <cellStyle name="Heading 2 2 3 6 2 9 5 3" xfId="41137"/>
    <cellStyle name="Heading 2 2 3 6 2 9 6" xfId="41138"/>
    <cellStyle name="Heading 2 2 3 6 2 9 6 2" xfId="41139"/>
    <cellStyle name="Heading 2 2 3 6 2 9 6 2 2" xfId="41140"/>
    <cellStyle name="Heading 2 2 3 6 2 9 6 3" xfId="41141"/>
    <cellStyle name="Heading 2 2 3 6 2 9 7" xfId="41142"/>
    <cellStyle name="Heading 2 2 3 6 2 9 7 2" xfId="41143"/>
    <cellStyle name="Heading 2 2 3 6 2 9 7 2 2" xfId="41144"/>
    <cellStyle name="Heading 2 2 3 6 2 9 7 3" xfId="41145"/>
    <cellStyle name="Heading 2 2 3 6 2 9 8" xfId="41146"/>
    <cellStyle name="Heading 2 2 3 6 2 9 8 2" xfId="41147"/>
    <cellStyle name="Heading 2 2 3 6 2 9 9" xfId="41148"/>
    <cellStyle name="Heading 2 2 3 6 3" xfId="41149"/>
    <cellStyle name="Heading 2 2 3 6 3 10" xfId="41150"/>
    <cellStyle name="Heading 2 2 3 6 3 10 2" xfId="41151"/>
    <cellStyle name="Heading 2 2 3 6 3 10 2 2" xfId="41152"/>
    <cellStyle name="Heading 2 2 3 6 3 10 3" xfId="41153"/>
    <cellStyle name="Heading 2 2 3 6 3 11" xfId="41154"/>
    <cellStyle name="Heading 2 2 3 6 3 11 2" xfId="41155"/>
    <cellStyle name="Heading 2 2 3 6 3 11 2 2" xfId="41156"/>
    <cellStyle name="Heading 2 2 3 6 3 11 3" xfId="41157"/>
    <cellStyle name="Heading 2 2 3 6 3 12" xfId="41158"/>
    <cellStyle name="Heading 2 2 3 6 3 12 2" xfId="41159"/>
    <cellStyle name="Heading 2 2 3 6 3 12 2 2" xfId="41160"/>
    <cellStyle name="Heading 2 2 3 6 3 12 3" xfId="41161"/>
    <cellStyle name="Heading 2 2 3 6 3 13" xfId="41162"/>
    <cellStyle name="Heading 2 2 3 6 3 13 2" xfId="41163"/>
    <cellStyle name="Heading 2 2 3 6 3 13 2 2" xfId="41164"/>
    <cellStyle name="Heading 2 2 3 6 3 13 3" xfId="41165"/>
    <cellStyle name="Heading 2 2 3 6 3 14" xfId="41166"/>
    <cellStyle name="Heading 2 2 3 6 3 14 2" xfId="41167"/>
    <cellStyle name="Heading 2 2 3 6 3 14 2 2" xfId="41168"/>
    <cellStyle name="Heading 2 2 3 6 3 14 3" xfId="41169"/>
    <cellStyle name="Heading 2 2 3 6 3 15" xfId="41170"/>
    <cellStyle name="Heading 2 2 3 6 3 15 2" xfId="41171"/>
    <cellStyle name="Heading 2 2 3 6 3 15 2 2" xfId="41172"/>
    <cellStyle name="Heading 2 2 3 6 3 15 3" xfId="41173"/>
    <cellStyle name="Heading 2 2 3 6 3 16" xfId="41174"/>
    <cellStyle name="Heading 2 2 3 6 3 16 2" xfId="41175"/>
    <cellStyle name="Heading 2 2 3 6 3 16 2 2" xfId="41176"/>
    <cellStyle name="Heading 2 2 3 6 3 16 3" xfId="41177"/>
    <cellStyle name="Heading 2 2 3 6 3 17" xfId="41178"/>
    <cellStyle name="Heading 2 2 3 6 3 17 2" xfId="41179"/>
    <cellStyle name="Heading 2 2 3 6 3 17 2 2" xfId="41180"/>
    <cellStyle name="Heading 2 2 3 6 3 17 3" xfId="41181"/>
    <cellStyle name="Heading 2 2 3 6 3 18" xfId="41182"/>
    <cellStyle name="Heading 2 2 3 6 3 18 2" xfId="41183"/>
    <cellStyle name="Heading 2 2 3 6 3 18 2 2" xfId="41184"/>
    <cellStyle name="Heading 2 2 3 6 3 18 3" xfId="41185"/>
    <cellStyle name="Heading 2 2 3 6 3 19" xfId="41186"/>
    <cellStyle name="Heading 2 2 3 6 3 19 2" xfId="41187"/>
    <cellStyle name="Heading 2 2 3 6 3 2" xfId="41188"/>
    <cellStyle name="Heading 2 2 3 6 3 2 2" xfId="41189"/>
    <cellStyle name="Heading 2 2 3 6 3 2 2 2" xfId="41190"/>
    <cellStyle name="Heading 2 2 3 6 3 2 2 2 2" xfId="41191"/>
    <cellStyle name="Heading 2 2 3 6 3 2 2 3" xfId="41192"/>
    <cellStyle name="Heading 2 2 3 6 3 2 3" xfId="41193"/>
    <cellStyle name="Heading 2 2 3 6 3 2 3 2" xfId="41194"/>
    <cellStyle name="Heading 2 2 3 6 3 2 3 2 2" xfId="41195"/>
    <cellStyle name="Heading 2 2 3 6 3 2 3 3" xfId="41196"/>
    <cellStyle name="Heading 2 2 3 6 3 2 4" xfId="41197"/>
    <cellStyle name="Heading 2 2 3 6 3 2 4 2" xfId="41198"/>
    <cellStyle name="Heading 2 2 3 6 3 2 4 2 2" xfId="41199"/>
    <cellStyle name="Heading 2 2 3 6 3 2 4 3" xfId="41200"/>
    <cellStyle name="Heading 2 2 3 6 3 2 5" xfId="41201"/>
    <cellStyle name="Heading 2 2 3 6 3 2 5 2" xfId="41202"/>
    <cellStyle name="Heading 2 2 3 6 3 2 5 2 2" xfId="41203"/>
    <cellStyle name="Heading 2 2 3 6 3 2 5 3" xfId="41204"/>
    <cellStyle name="Heading 2 2 3 6 3 2 6" xfId="41205"/>
    <cellStyle name="Heading 2 2 3 6 3 2 6 2" xfId="41206"/>
    <cellStyle name="Heading 2 2 3 6 3 2 6 2 2" xfId="41207"/>
    <cellStyle name="Heading 2 2 3 6 3 2 6 3" xfId="41208"/>
    <cellStyle name="Heading 2 2 3 6 3 2 7" xfId="41209"/>
    <cellStyle name="Heading 2 2 3 6 3 2 7 2" xfId="41210"/>
    <cellStyle name="Heading 2 2 3 6 3 2 7 2 2" xfId="41211"/>
    <cellStyle name="Heading 2 2 3 6 3 2 7 3" xfId="41212"/>
    <cellStyle name="Heading 2 2 3 6 3 2 8" xfId="41213"/>
    <cellStyle name="Heading 2 2 3 6 3 2 8 2" xfId="41214"/>
    <cellStyle name="Heading 2 2 3 6 3 2 9" xfId="41215"/>
    <cellStyle name="Heading 2 2 3 6 3 20" xfId="41216"/>
    <cellStyle name="Heading 2 2 3 6 3 20 2" xfId="41217"/>
    <cellStyle name="Heading 2 2 3 6 3 21" xfId="41218"/>
    <cellStyle name="Heading 2 2 3 6 3 21 2" xfId="41219"/>
    <cellStyle name="Heading 2 2 3 6 3 22" xfId="41220"/>
    <cellStyle name="Heading 2 2 3 6 3 3" xfId="41221"/>
    <cellStyle name="Heading 2 2 3 6 3 3 2" xfId="41222"/>
    <cellStyle name="Heading 2 2 3 6 3 3 2 2" xfId="41223"/>
    <cellStyle name="Heading 2 2 3 6 3 3 2 2 2" xfId="41224"/>
    <cellStyle name="Heading 2 2 3 6 3 3 2 3" xfId="41225"/>
    <cellStyle name="Heading 2 2 3 6 3 3 3" xfId="41226"/>
    <cellStyle name="Heading 2 2 3 6 3 3 3 2" xfId="41227"/>
    <cellStyle name="Heading 2 2 3 6 3 3 3 2 2" xfId="41228"/>
    <cellStyle name="Heading 2 2 3 6 3 3 3 3" xfId="41229"/>
    <cellStyle name="Heading 2 2 3 6 3 3 4" xfId="41230"/>
    <cellStyle name="Heading 2 2 3 6 3 3 4 2" xfId="41231"/>
    <cellStyle name="Heading 2 2 3 6 3 3 4 2 2" xfId="41232"/>
    <cellStyle name="Heading 2 2 3 6 3 3 4 3" xfId="41233"/>
    <cellStyle name="Heading 2 2 3 6 3 3 5" xfId="41234"/>
    <cellStyle name="Heading 2 2 3 6 3 3 5 2" xfId="41235"/>
    <cellStyle name="Heading 2 2 3 6 3 3 5 2 2" xfId="41236"/>
    <cellStyle name="Heading 2 2 3 6 3 3 5 3" xfId="41237"/>
    <cellStyle name="Heading 2 2 3 6 3 3 6" xfId="41238"/>
    <cellStyle name="Heading 2 2 3 6 3 3 6 2" xfId="41239"/>
    <cellStyle name="Heading 2 2 3 6 3 3 6 2 2" xfId="41240"/>
    <cellStyle name="Heading 2 2 3 6 3 3 6 3" xfId="41241"/>
    <cellStyle name="Heading 2 2 3 6 3 3 7" xfId="41242"/>
    <cellStyle name="Heading 2 2 3 6 3 3 7 2" xfId="41243"/>
    <cellStyle name="Heading 2 2 3 6 3 3 7 2 2" xfId="41244"/>
    <cellStyle name="Heading 2 2 3 6 3 3 7 3" xfId="41245"/>
    <cellStyle name="Heading 2 2 3 6 3 3 8" xfId="41246"/>
    <cellStyle name="Heading 2 2 3 6 3 3 8 2" xfId="41247"/>
    <cellStyle name="Heading 2 2 3 6 3 3 9" xfId="41248"/>
    <cellStyle name="Heading 2 2 3 6 3 4" xfId="41249"/>
    <cellStyle name="Heading 2 2 3 6 3 4 2" xfId="41250"/>
    <cellStyle name="Heading 2 2 3 6 3 4 2 2" xfId="41251"/>
    <cellStyle name="Heading 2 2 3 6 3 4 2 2 2" xfId="41252"/>
    <cellStyle name="Heading 2 2 3 6 3 4 2 3" xfId="41253"/>
    <cellStyle name="Heading 2 2 3 6 3 4 3" xfId="41254"/>
    <cellStyle name="Heading 2 2 3 6 3 4 3 2" xfId="41255"/>
    <cellStyle name="Heading 2 2 3 6 3 4 3 2 2" xfId="41256"/>
    <cellStyle name="Heading 2 2 3 6 3 4 3 3" xfId="41257"/>
    <cellStyle name="Heading 2 2 3 6 3 4 4" xfId="41258"/>
    <cellStyle name="Heading 2 2 3 6 3 4 4 2" xfId="41259"/>
    <cellStyle name="Heading 2 2 3 6 3 4 4 2 2" xfId="41260"/>
    <cellStyle name="Heading 2 2 3 6 3 4 4 3" xfId="41261"/>
    <cellStyle name="Heading 2 2 3 6 3 4 5" xfId="41262"/>
    <cellStyle name="Heading 2 2 3 6 3 4 5 2" xfId="41263"/>
    <cellStyle name="Heading 2 2 3 6 3 4 5 2 2" xfId="41264"/>
    <cellStyle name="Heading 2 2 3 6 3 4 5 3" xfId="41265"/>
    <cellStyle name="Heading 2 2 3 6 3 4 6" xfId="41266"/>
    <cellStyle name="Heading 2 2 3 6 3 4 6 2" xfId="41267"/>
    <cellStyle name="Heading 2 2 3 6 3 4 6 2 2" xfId="41268"/>
    <cellStyle name="Heading 2 2 3 6 3 4 6 3" xfId="41269"/>
    <cellStyle name="Heading 2 2 3 6 3 4 7" xfId="41270"/>
    <cellStyle name="Heading 2 2 3 6 3 4 7 2" xfId="41271"/>
    <cellStyle name="Heading 2 2 3 6 3 4 7 2 2" xfId="41272"/>
    <cellStyle name="Heading 2 2 3 6 3 4 7 3" xfId="41273"/>
    <cellStyle name="Heading 2 2 3 6 3 4 8" xfId="41274"/>
    <cellStyle name="Heading 2 2 3 6 3 4 8 2" xfId="41275"/>
    <cellStyle name="Heading 2 2 3 6 3 4 9" xfId="41276"/>
    <cellStyle name="Heading 2 2 3 6 3 5" xfId="41277"/>
    <cellStyle name="Heading 2 2 3 6 3 5 2" xfId="41278"/>
    <cellStyle name="Heading 2 2 3 6 3 5 2 2" xfId="41279"/>
    <cellStyle name="Heading 2 2 3 6 3 5 2 2 2" xfId="41280"/>
    <cellStyle name="Heading 2 2 3 6 3 5 2 3" xfId="41281"/>
    <cellStyle name="Heading 2 2 3 6 3 5 3" xfId="41282"/>
    <cellStyle name="Heading 2 2 3 6 3 5 3 2" xfId="41283"/>
    <cellStyle name="Heading 2 2 3 6 3 5 3 2 2" xfId="41284"/>
    <cellStyle name="Heading 2 2 3 6 3 5 3 3" xfId="41285"/>
    <cellStyle name="Heading 2 2 3 6 3 5 4" xfId="41286"/>
    <cellStyle name="Heading 2 2 3 6 3 5 4 2" xfId="41287"/>
    <cellStyle name="Heading 2 2 3 6 3 5 4 2 2" xfId="41288"/>
    <cellStyle name="Heading 2 2 3 6 3 5 4 3" xfId="41289"/>
    <cellStyle name="Heading 2 2 3 6 3 5 5" xfId="41290"/>
    <cellStyle name="Heading 2 2 3 6 3 5 5 2" xfId="41291"/>
    <cellStyle name="Heading 2 2 3 6 3 5 5 2 2" xfId="41292"/>
    <cellStyle name="Heading 2 2 3 6 3 5 5 3" xfId="41293"/>
    <cellStyle name="Heading 2 2 3 6 3 5 6" xfId="41294"/>
    <cellStyle name="Heading 2 2 3 6 3 5 6 2" xfId="41295"/>
    <cellStyle name="Heading 2 2 3 6 3 5 6 2 2" xfId="41296"/>
    <cellStyle name="Heading 2 2 3 6 3 5 6 3" xfId="41297"/>
    <cellStyle name="Heading 2 2 3 6 3 5 7" xfId="41298"/>
    <cellStyle name="Heading 2 2 3 6 3 5 7 2" xfId="41299"/>
    <cellStyle name="Heading 2 2 3 6 3 5 7 2 2" xfId="41300"/>
    <cellStyle name="Heading 2 2 3 6 3 5 7 3" xfId="41301"/>
    <cellStyle name="Heading 2 2 3 6 3 5 8" xfId="41302"/>
    <cellStyle name="Heading 2 2 3 6 3 5 8 2" xfId="41303"/>
    <cellStyle name="Heading 2 2 3 6 3 5 9" xfId="41304"/>
    <cellStyle name="Heading 2 2 3 6 3 6" xfId="41305"/>
    <cellStyle name="Heading 2 2 3 6 3 6 2" xfId="41306"/>
    <cellStyle name="Heading 2 2 3 6 3 6 2 2" xfId="41307"/>
    <cellStyle name="Heading 2 2 3 6 3 6 2 2 2" xfId="41308"/>
    <cellStyle name="Heading 2 2 3 6 3 6 2 3" xfId="41309"/>
    <cellStyle name="Heading 2 2 3 6 3 6 3" xfId="41310"/>
    <cellStyle name="Heading 2 2 3 6 3 6 3 2" xfId="41311"/>
    <cellStyle name="Heading 2 2 3 6 3 6 3 2 2" xfId="41312"/>
    <cellStyle name="Heading 2 2 3 6 3 6 3 3" xfId="41313"/>
    <cellStyle name="Heading 2 2 3 6 3 6 4" xfId="41314"/>
    <cellStyle name="Heading 2 2 3 6 3 6 4 2" xfId="41315"/>
    <cellStyle name="Heading 2 2 3 6 3 6 4 2 2" xfId="41316"/>
    <cellStyle name="Heading 2 2 3 6 3 6 4 3" xfId="41317"/>
    <cellStyle name="Heading 2 2 3 6 3 6 5" xfId="41318"/>
    <cellStyle name="Heading 2 2 3 6 3 6 5 2" xfId="41319"/>
    <cellStyle name="Heading 2 2 3 6 3 6 5 2 2" xfId="41320"/>
    <cellStyle name="Heading 2 2 3 6 3 6 5 3" xfId="41321"/>
    <cellStyle name="Heading 2 2 3 6 3 6 6" xfId="41322"/>
    <cellStyle name="Heading 2 2 3 6 3 6 6 2" xfId="41323"/>
    <cellStyle name="Heading 2 2 3 6 3 6 6 2 2" xfId="41324"/>
    <cellStyle name="Heading 2 2 3 6 3 6 6 3" xfId="41325"/>
    <cellStyle name="Heading 2 2 3 6 3 6 7" xfId="41326"/>
    <cellStyle name="Heading 2 2 3 6 3 6 7 2" xfId="41327"/>
    <cellStyle name="Heading 2 2 3 6 3 6 7 2 2" xfId="41328"/>
    <cellStyle name="Heading 2 2 3 6 3 6 7 3" xfId="41329"/>
    <cellStyle name="Heading 2 2 3 6 3 6 8" xfId="41330"/>
    <cellStyle name="Heading 2 2 3 6 3 6 8 2" xfId="41331"/>
    <cellStyle name="Heading 2 2 3 6 3 6 9" xfId="41332"/>
    <cellStyle name="Heading 2 2 3 6 3 7" xfId="41333"/>
    <cellStyle name="Heading 2 2 3 6 3 7 2" xfId="41334"/>
    <cellStyle name="Heading 2 2 3 6 3 7 2 2" xfId="41335"/>
    <cellStyle name="Heading 2 2 3 6 3 7 2 2 2" xfId="41336"/>
    <cellStyle name="Heading 2 2 3 6 3 7 2 3" xfId="41337"/>
    <cellStyle name="Heading 2 2 3 6 3 7 3" xfId="41338"/>
    <cellStyle name="Heading 2 2 3 6 3 7 3 2" xfId="41339"/>
    <cellStyle name="Heading 2 2 3 6 3 7 3 2 2" xfId="41340"/>
    <cellStyle name="Heading 2 2 3 6 3 7 3 3" xfId="41341"/>
    <cellStyle name="Heading 2 2 3 6 3 7 4" xfId="41342"/>
    <cellStyle name="Heading 2 2 3 6 3 7 4 2" xfId="41343"/>
    <cellStyle name="Heading 2 2 3 6 3 7 4 2 2" xfId="41344"/>
    <cellStyle name="Heading 2 2 3 6 3 7 4 3" xfId="41345"/>
    <cellStyle name="Heading 2 2 3 6 3 7 5" xfId="41346"/>
    <cellStyle name="Heading 2 2 3 6 3 7 5 2" xfId="41347"/>
    <cellStyle name="Heading 2 2 3 6 3 7 5 2 2" xfId="41348"/>
    <cellStyle name="Heading 2 2 3 6 3 7 5 3" xfId="41349"/>
    <cellStyle name="Heading 2 2 3 6 3 7 6" xfId="41350"/>
    <cellStyle name="Heading 2 2 3 6 3 7 6 2" xfId="41351"/>
    <cellStyle name="Heading 2 2 3 6 3 7 6 2 2" xfId="41352"/>
    <cellStyle name="Heading 2 2 3 6 3 7 6 3" xfId="41353"/>
    <cellStyle name="Heading 2 2 3 6 3 7 7" xfId="41354"/>
    <cellStyle name="Heading 2 2 3 6 3 7 7 2" xfId="41355"/>
    <cellStyle name="Heading 2 2 3 6 3 7 7 2 2" xfId="41356"/>
    <cellStyle name="Heading 2 2 3 6 3 7 7 3" xfId="41357"/>
    <cellStyle name="Heading 2 2 3 6 3 7 8" xfId="41358"/>
    <cellStyle name="Heading 2 2 3 6 3 7 8 2" xfId="41359"/>
    <cellStyle name="Heading 2 2 3 6 3 7 9" xfId="41360"/>
    <cellStyle name="Heading 2 2 3 6 3 8" xfId="41361"/>
    <cellStyle name="Heading 2 2 3 6 3 8 2" xfId="41362"/>
    <cellStyle name="Heading 2 2 3 6 3 8 2 2" xfId="41363"/>
    <cellStyle name="Heading 2 2 3 6 3 8 2 2 2" xfId="41364"/>
    <cellStyle name="Heading 2 2 3 6 3 8 2 3" xfId="41365"/>
    <cellStyle name="Heading 2 2 3 6 3 8 3" xfId="41366"/>
    <cellStyle name="Heading 2 2 3 6 3 8 3 2" xfId="41367"/>
    <cellStyle name="Heading 2 2 3 6 3 8 3 2 2" xfId="41368"/>
    <cellStyle name="Heading 2 2 3 6 3 8 3 3" xfId="41369"/>
    <cellStyle name="Heading 2 2 3 6 3 8 4" xfId="41370"/>
    <cellStyle name="Heading 2 2 3 6 3 8 4 2" xfId="41371"/>
    <cellStyle name="Heading 2 2 3 6 3 8 4 2 2" xfId="41372"/>
    <cellStyle name="Heading 2 2 3 6 3 8 4 3" xfId="41373"/>
    <cellStyle name="Heading 2 2 3 6 3 8 5" xfId="41374"/>
    <cellStyle name="Heading 2 2 3 6 3 8 5 2" xfId="41375"/>
    <cellStyle name="Heading 2 2 3 6 3 8 5 2 2" xfId="41376"/>
    <cellStyle name="Heading 2 2 3 6 3 8 5 3" xfId="41377"/>
    <cellStyle name="Heading 2 2 3 6 3 8 6" xfId="41378"/>
    <cellStyle name="Heading 2 2 3 6 3 8 6 2" xfId="41379"/>
    <cellStyle name="Heading 2 2 3 6 3 8 6 2 2" xfId="41380"/>
    <cellStyle name="Heading 2 2 3 6 3 8 6 3" xfId="41381"/>
    <cellStyle name="Heading 2 2 3 6 3 8 7" xfId="41382"/>
    <cellStyle name="Heading 2 2 3 6 3 8 7 2" xfId="41383"/>
    <cellStyle name="Heading 2 2 3 6 3 8 7 2 2" xfId="41384"/>
    <cellStyle name="Heading 2 2 3 6 3 8 7 3" xfId="41385"/>
    <cellStyle name="Heading 2 2 3 6 3 8 8" xfId="41386"/>
    <cellStyle name="Heading 2 2 3 6 3 8 8 2" xfId="41387"/>
    <cellStyle name="Heading 2 2 3 6 3 8 9" xfId="41388"/>
    <cellStyle name="Heading 2 2 3 6 3 9" xfId="41389"/>
    <cellStyle name="Heading 2 2 3 6 3 9 2" xfId="41390"/>
    <cellStyle name="Heading 2 2 3 6 3 9 2 2" xfId="41391"/>
    <cellStyle name="Heading 2 2 3 6 3 9 3" xfId="41392"/>
    <cellStyle name="Heading 2 2 3 6 4" xfId="41393"/>
    <cellStyle name="Heading 2 2 3 6 4 2" xfId="41394"/>
    <cellStyle name="Heading 2 2 3 6 4 2 2" xfId="41395"/>
    <cellStyle name="Heading 2 2 3 6 4 3" xfId="41396"/>
    <cellStyle name="Heading 2 2 3 6 5" xfId="41397"/>
    <cellStyle name="Heading 2 2 3 6 5 2" xfId="41398"/>
    <cellStyle name="Heading 2 2 3 6 6" xfId="41399"/>
    <cellStyle name="Heading 2 2 3 7" xfId="41400"/>
    <cellStyle name="Heading 2 2 3 7 2" xfId="41401"/>
    <cellStyle name="Heading 2 2 3 7 2 10" xfId="41402"/>
    <cellStyle name="Heading 2 2 3 7 2 10 2" xfId="41403"/>
    <cellStyle name="Heading 2 2 3 7 2 10 2 2" xfId="41404"/>
    <cellStyle name="Heading 2 2 3 7 2 10 3" xfId="41405"/>
    <cellStyle name="Heading 2 2 3 7 2 11" xfId="41406"/>
    <cellStyle name="Heading 2 2 3 7 2 11 2" xfId="41407"/>
    <cellStyle name="Heading 2 2 3 7 2 11 2 2" xfId="41408"/>
    <cellStyle name="Heading 2 2 3 7 2 11 3" xfId="41409"/>
    <cellStyle name="Heading 2 2 3 7 2 12" xfId="41410"/>
    <cellStyle name="Heading 2 2 3 7 2 12 2" xfId="41411"/>
    <cellStyle name="Heading 2 2 3 7 2 12 2 2" xfId="41412"/>
    <cellStyle name="Heading 2 2 3 7 2 12 3" xfId="41413"/>
    <cellStyle name="Heading 2 2 3 7 2 13" xfId="41414"/>
    <cellStyle name="Heading 2 2 3 7 2 13 2" xfId="41415"/>
    <cellStyle name="Heading 2 2 3 7 2 13 2 2" xfId="41416"/>
    <cellStyle name="Heading 2 2 3 7 2 13 3" xfId="41417"/>
    <cellStyle name="Heading 2 2 3 7 2 14" xfId="41418"/>
    <cellStyle name="Heading 2 2 3 7 2 14 2" xfId="41419"/>
    <cellStyle name="Heading 2 2 3 7 2 14 2 2" xfId="41420"/>
    <cellStyle name="Heading 2 2 3 7 2 14 3" xfId="41421"/>
    <cellStyle name="Heading 2 2 3 7 2 15" xfId="41422"/>
    <cellStyle name="Heading 2 2 3 7 2 15 2" xfId="41423"/>
    <cellStyle name="Heading 2 2 3 7 2 15 2 2" xfId="41424"/>
    <cellStyle name="Heading 2 2 3 7 2 15 3" xfId="41425"/>
    <cellStyle name="Heading 2 2 3 7 2 16" xfId="41426"/>
    <cellStyle name="Heading 2 2 3 7 2 16 2" xfId="41427"/>
    <cellStyle name="Heading 2 2 3 7 2 16 2 2" xfId="41428"/>
    <cellStyle name="Heading 2 2 3 7 2 16 3" xfId="41429"/>
    <cellStyle name="Heading 2 2 3 7 2 17" xfId="41430"/>
    <cellStyle name="Heading 2 2 3 7 2 17 2" xfId="41431"/>
    <cellStyle name="Heading 2 2 3 7 2 17 2 2" xfId="41432"/>
    <cellStyle name="Heading 2 2 3 7 2 17 3" xfId="41433"/>
    <cellStyle name="Heading 2 2 3 7 2 18" xfId="41434"/>
    <cellStyle name="Heading 2 2 3 7 2 18 2" xfId="41435"/>
    <cellStyle name="Heading 2 2 3 7 2 18 2 2" xfId="41436"/>
    <cellStyle name="Heading 2 2 3 7 2 18 3" xfId="41437"/>
    <cellStyle name="Heading 2 2 3 7 2 19" xfId="41438"/>
    <cellStyle name="Heading 2 2 3 7 2 19 2" xfId="41439"/>
    <cellStyle name="Heading 2 2 3 7 2 19 2 2" xfId="41440"/>
    <cellStyle name="Heading 2 2 3 7 2 19 3" xfId="41441"/>
    <cellStyle name="Heading 2 2 3 7 2 2" xfId="41442"/>
    <cellStyle name="Heading 2 2 3 7 2 2 10" xfId="41443"/>
    <cellStyle name="Heading 2 2 3 7 2 2 10 2" xfId="41444"/>
    <cellStyle name="Heading 2 2 3 7 2 2 10 2 2" xfId="41445"/>
    <cellStyle name="Heading 2 2 3 7 2 2 10 3" xfId="41446"/>
    <cellStyle name="Heading 2 2 3 7 2 2 11" xfId="41447"/>
    <cellStyle name="Heading 2 2 3 7 2 2 11 2" xfId="41448"/>
    <cellStyle name="Heading 2 2 3 7 2 2 11 2 2" xfId="41449"/>
    <cellStyle name="Heading 2 2 3 7 2 2 11 3" xfId="41450"/>
    <cellStyle name="Heading 2 2 3 7 2 2 12" xfId="41451"/>
    <cellStyle name="Heading 2 2 3 7 2 2 12 2" xfId="41452"/>
    <cellStyle name="Heading 2 2 3 7 2 2 12 2 2" xfId="41453"/>
    <cellStyle name="Heading 2 2 3 7 2 2 12 3" xfId="41454"/>
    <cellStyle name="Heading 2 2 3 7 2 2 13" xfId="41455"/>
    <cellStyle name="Heading 2 2 3 7 2 2 13 2" xfId="41456"/>
    <cellStyle name="Heading 2 2 3 7 2 2 13 2 2" xfId="41457"/>
    <cellStyle name="Heading 2 2 3 7 2 2 13 3" xfId="41458"/>
    <cellStyle name="Heading 2 2 3 7 2 2 14" xfId="41459"/>
    <cellStyle name="Heading 2 2 3 7 2 2 14 2" xfId="41460"/>
    <cellStyle name="Heading 2 2 3 7 2 2 14 2 2" xfId="41461"/>
    <cellStyle name="Heading 2 2 3 7 2 2 14 3" xfId="41462"/>
    <cellStyle name="Heading 2 2 3 7 2 2 15" xfId="41463"/>
    <cellStyle name="Heading 2 2 3 7 2 2 15 2" xfId="41464"/>
    <cellStyle name="Heading 2 2 3 7 2 2 15 2 2" xfId="41465"/>
    <cellStyle name="Heading 2 2 3 7 2 2 15 3" xfId="41466"/>
    <cellStyle name="Heading 2 2 3 7 2 2 16" xfId="41467"/>
    <cellStyle name="Heading 2 2 3 7 2 2 16 2" xfId="41468"/>
    <cellStyle name="Heading 2 2 3 7 2 2 16 2 2" xfId="41469"/>
    <cellStyle name="Heading 2 2 3 7 2 2 16 3" xfId="41470"/>
    <cellStyle name="Heading 2 2 3 7 2 2 17" xfId="41471"/>
    <cellStyle name="Heading 2 2 3 7 2 2 17 2" xfId="41472"/>
    <cellStyle name="Heading 2 2 3 7 2 2 17 2 2" xfId="41473"/>
    <cellStyle name="Heading 2 2 3 7 2 2 17 3" xfId="41474"/>
    <cellStyle name="Heading 2 2 3 7 2 2 18" xfId="41475"/>
    <cellStyle name="Heading 2 2 3 7 2 2 18 2" xfId="41476"/>
    <cellStyle name="Heading 2 2 3 7 2 2 18 2 2" xfId="41477"/>
    <cellStyle name="Heading 2 2 3 7 2 2 18 3" xfId="41478"/>
    <cellStyle name="Heading 2 2 3 7 2 2 19" xfId="41479"/>
    <cellStyle name="Heading 2 2 3 7 2 2 19 2" xfId="41480"/>
    <cellStyle name="Heading 2 2 3 7 2 2 2" xfId="41481"/>
    <cellStyle name="Heading 2 2 3 7 2 2 2 2" xfId="41482"/>
    <cellStyle name="Heading 2 2 3 7 2 2 2 2 2" xfId="41483"/>
    <cellStyle name="Heading 2 2 3 7 2 2 2 2 2 2" xfId="41484"/>
    <cellStyle name="Heading 2 2 3 7 2 2 2 2 3" xfId="41485"/>
    <cellStyle name="Heading 2 2 3 7 2 2 2 3" xfId="41486"/>
    <cellStyle name="Heading 2 2 3 7 2 2 2 3 2" xfId="41487"/>
    <cellStyle name="Heading 2 2 3 7 2 2 2 3 2 2" xfId="41488"/>
    <cellStyle name="Heading 2 2 3 7 2 2 2 3 3" xfId="41489"/>
    <cellStyle name="Heading 2 2 3 7 2 2 2 4" xfId="41490"/>
    <cellStyle name="Heading 2 2 3 7 2 2 2 4 2" xfId="41491"/>
    <cellStyle name="Heading 2 2 3 7 2 2 2 4 2 2" xfId="41492"/>
    <cellStyle name="Heading 2 2 3 7 2 2 2 4 3" xfId="41493"/>
    <cellStyle name="Heading 2 2 3 7 2 2 2 5" xfId="41494"/>
    <cellStyle name="Heading 2 2 3 7 2 2 2 5 2" xfId="41495"/>
    <cellStyle name="Heading 2 2 3 7 2 2 2 5 2 2" xfId="41496"/>
    <cellStyle name="Heading 2 2 3 7 2 2 2 5 3" xfId="41497"/>
    <cellStyle name="Heading 2 2 3 7 2 2 2 6" xfId="41498"/>
    <cellStyle name="Heading 2 2 3 7 2 2 2 6 2" xfId="41499"/>
    <cellStyle name="Heading 2 2 3 7 2 2 2 6 2 2" xfId="41500"/>
    <cellStyle name="Heading 2 2 3 7 2 2 2 6 3" xfId="41501"/>
    <cellStyle name="Heading 2 2 3 7 2 2 2 7" xfId="41502"/>
    <cellStyle name="Heading 2 2 3 7 2 2 2 7 2" xfId="41503"/>
    <cellStyle name="Heading 2 2 3 7 2 2 2 7 2 2" xfId="41504"/>
    <cellStyle name="Heading 2 2 3 7 2 2 2 7 3" xfId="41505"/>
    <cellStyle name="Heading 2 2 3 7 2 2 2 8" xfId="41506"/>
    <cellStyle name="Heading 2 2 3 7 2 2 2 8 2" xfId="41507"/>
    <cellStyle name="Heading 2 2 3 7 2 2 2 9" xfId="41508"/>
    <cellStyle name="Heading 2 2 3 7 2 2 20" xfId="41509"/>
    <cellStyle name="Heading 2 2 3 7 2 2 20 2" xfId="41510"/>
    <cellStyle name="Heading 2 2 3 7 2 2 21" xfId="41511"/>
    <cellStyle name="Heading 2 2 3 7 2 2 21 2" xfId="41512"/>
    <cellStyle name="Heading 2 2 3 7 2 2 22" xfId="41513"/>
    <cellStyle name="Heading 2 2 3 7 2 2 3" xfId="41514"/>
    <cellStyle name="Heading 2 2 3 7 2 2 3 2" xfId="41515"/>
    <cellStyle name="Heading 2 2 3 7 2 2 3 2 2" xfId="41516"/>
    <cellStyle name="Heading 2 2 3 7 2 2 3 2 2 2" xfId="41517"/>
    <cellStyle name="Heading 2 2 3 7 2 2 3 2 3" xfId="41518"/>
    <cellStyle name="Heading 2 2 3 7 2 2 3 3" xfId="41519"/>
    <cellStyle name="Heading 2 2 3 7 2 2 3 3 2" xfId="41520"/>
    <cellStyle name="Heading 2 2 3 7 2 2 3 3 2 2" xfId="41521"/>
    <cellStyle name="Heading 2 2 3 7 2 2 3 3 3" xfId="41522"/>
    <cellStyle name="Heading 2 2 3 7 2 2 3 4" xfId="41523"/>
    <cellStyle name="Heading 2 2 3 7 2 2 3 4 2" xfId="41524"/>
    <cellStyle name="Heading 2 2 3 7 2 2 3 4 2 2" xfId="41525"/>
    <cellStyle name="Heading 2 2 3 7 2 2 3 4 3" xfId="41526"/>
    <cellStyle name="Heading 2 2 3 7 2 2 3 5" xfId="41527"/>
    <cellStyle name="Heading 2 2 3 7 2 2 3 5 2" xfId="41528"/>
    <cellStyle name="Heading 2 2 3 7 2 2 3 5 2 2" xfId="41529"/>
    <cellStyle name="Heading 2 2 3 7 2 2 3 5 3" xfId="41530"/>
    <cellStyle name="Heading 2 2 3 7 2 2 3 6" xfId="41531"/>
    <cellStyle name="Heading 2 2 3 7 2 2 3 6 2" xfId="41532"/>
    <cellStyle name="Heading 2 2 3 7 2 2 3 6 2 2" xfId="41533"/>
    <cellStyle name="Heading 2 2 3 7 2 2 3 6 3" xfId="41534"/>
    <cellStyle name="Heading 2 2 3 7 2 2 3 7" xfId="41535"/>
    <cellStyle name="Heading 2 2 3 7 2 2 3 7 2" xfId="41536"/>
    <cellStyle name="Heading 2 2 3 7 2 2 3 7 2 2" xfId="41537"/>
    <cellStyle name="Heading 2 2 3 7 2 2 3 7 3" xfId="41538"/>
    <cellStyle name="Heading 2 2 3 7 2 2 3 8" xfId="41539"/>
    <cellStyle name="Heading 2 2 3 7 2 2 3 8 2" xfId="41540"/>
    <cellStyle name="Heading 2 2 3 7 2 2 3 9" xfId="41541"/>
    <cellStyle name="Heading 2 2 3 7 2 2 4" xfId="41542"/>
    <cellStyle name="Heading 2 2 3 7 2 2 4 2" xfId="41543"/>
    <cellStyle name="Heading 2 2 3 7 2 2 4 2 2" xfId="41544"/>
    <cellStyle name="Heading 2 2 3 7 2 2 4 2 2 2" xfId="41545"/>
    <cellStyle name="Heading 2 2 3 7 2 2 4 2 3" xfId="41546"/>
    <cellStyle name="Heading 2 2 3 7 2 2 4 3" xfId="41547"/>
    <cellStyle name="Heading 2 2 3 7 2 2 4 3 2" xfId="41548"/>
    <cellStyle name="Heading 2 2 3 7 2 2 4 3 2 2" xfId="41549"/>
    <cellStyle name="Heading 2 2 3 7 2 2 4 3 3" xfId="41550"/>
    <cellStyle name="Heading 2 2 3 7 2 2 4 4" xfId="41551"/>
    <cellStyle name="Heading 2 2 3 7 2 2 4 4 2" xfId="41552"/>
    <cellStyle name="Heading 2 2 3 7 2 2 4 4 2 2" xfId="41553"/>
    <cellStyle name="Heading 2 2 3 7 2 2 4 4 3" xfId="41554"/>
    <cellStyle name="Heading 2 2 3 7 2 2 4 5" xfId="41555"/>
    <cellStyle name="Heading 2 2 3 7 2 2 4 5 2" xfId="41556"/>
    <cellStyle name="Heading 2 2 3 7 2 2 4 5 2 2" xfId="41557"/>
    <cellStyle name="Heading 2 2 3 7 2 2 4 5 3" xfId="41558"/>
    <cellStyle name="Heading 2 2 3 7 2 2 4 6" xfId="41559"/>
    <cellStyle name="Heading 2 2 3 7 2 2 4 6 2" xfId="41560"/>
    <cellStyle name="Heading 2 2 3 7 2 2 4 6 2 2" xfId="41561"/>
    <cellStyle name="Heading 2 2 3 7 2 2 4 6 3" xfId="41562"/>
    <cellStyle name="Heading 2 2 3 7 2 2 4 7" xfId="41563"/>
    <cellStyle name="Heading 2 2 3 7 2 2 4 7 2" xfId="41564"/>
    <cellStyle name="Heading 2 2 3 7 2 2 4 7 2 2" xfId="41565"/>
    <cellStyle name="Heading 2 2 3 7 2 2 4 7 3" xfId="41566"/>
    <cellStyle name="Heading 2 2 3 7 2 2 4 8" xfId="41567"/>
    <cellStyle name="Heading 2 2 3 7 2 2 4 8 2" xfId="41568"/>
    <cellStyle name="Heading 2 2 3 7 2 2 4 9" xfId="41569"/>
    <cellStyle name="Heading 2 2 3 7 2 2 5" xfId="41570"/>
    <cellStyle name="Heading 2 2 3 7 2 2 5 2" xfId="41571"/>
    <cellStyle name="Heading 2 2 3 7 2 2 5 2 2" xfId="41572"/>
    <cellStyle name="Heading 2 2 3 7 2 2 5 2 2 2" xfId="41573"/>
    <cellStyle name="Heading 2 2 3 7 2 2 5 2 3" xfId="41574"/>
    <cellStyle name="Heading 2 2 3 7 2 2 5 3" xfId="41575"/>
    <cellStyle name="Heading 2 2 3 7 2 2 5 3 2" xfId="41576"/>
    <cellStyle name="Heading 2 2 3 7 2 2 5 3 2 2" xfId="41577"/>
    <cellStyle name="Heading 2 2 3 7 2 2 5 3 3" xfId="41578"/>
    <cellStyle name="Heading 2 2 3 7 2 2 5 4" xfId="41579"/>
    <cellStyle name="Heading 2 2 3 7 2 2 5 4 2" xfId="41580"/>
    <cellStyle name="Heading 2 2 3 7 2 2 5 4 2 2" xfId="41581"/>
    <cellStyle name="Heading 2 2 3 7 2 2 5 4 3" xfId="41582"/>
    <cellStyle name="Heading 2 2 3 7 2 2 5 5" xfId="41583"/>
    <cellStyle name="Heading 2 2 3 7 2 2 5 5 2" xfId="41584"/>
    <cellStyle name="Heading 2 2 3 7 2 2 5 5 2 2" xfId="41585"/>
    <cellStyle name="Heading 2 2 3 7 2 2 5 5 3" xfId="41586"/>
    <cellStyle name="Heading 2 2 3 7 2 2 5 6" xfId="41587"/>
    <cellStyle name="Heading 2 2 3 7 2 2 5 6 2" xfId="41588"/>
    <cellStyle name="Heading 2 2 3 7 2 2 5 6 2 2" xfId="41589"/>
    <cellStyle name="Heading 2 2 3 7 2 2 5 6 3" xfId="41590"/>
    <cellStyle name="Heading 2 2 3 7 2 2 5 7" xfId="41591"/>
    <cellStyle name="Heading 2 2 3 7 2 2 5 7 2" xfId="41592"/>
    <cellStyle name="Heading 2 2 3 7 2 2 5 7 2 2" xfId="41593"/>
    <cellStyle name="Heading 2 2 3 7 2 2 5 7 3" xfId="41594"/>
    <cellStyle name="Heading 2 2 3 7 2 2 5 8" xfId="41595"/>
    <cellStyle name="Heading 2 2 3 7 2 2 5 8 2" xfId="41596"/>
    <cellStyle name="Heading 2 2 3 7 2 2 5 9" xfId="41597"/>
    <cellStyle name="Heading 2 2 3 7 2 2 6" xfId="41598"/>
    <cellStyle name="Heading 2 2 3 7 2 2 6 2" xfId="41599"/>
    <cellStyle name="Heading 2 2 3 7 2 2 6 2 2" xfId="41600"/>
    <cellStyle name="Heading 2 2 3 7 2 2 6 2 2 2" xfId="41601"/>
    <cellStyle name="Heading 2 2 3 7 2 2 6 2 3" xfId="41602"/>
    <cellStyle name="Heading 2 2 3 7 2 2 6 3" xfId="41603"/>
    <cellStyle name="Heading 2 2 3 7 2 2 6 3 2" xfId="41604"/>
    <cellStyle name="Heading 2 2 3 7 2 2 6 3 2 2" xfId="41605"/>
    <cellStyle name="Heading 2 2 3 7 2 2 6 3 3" xfId="41606"/>
    <cellStyle name="Heading 2 2 3 7 2 2 6 4" xfId="41607"/>
    <cellStyle name="Heading 2 2 3 7 2 2 6 4 2" xfId="41608"/>
    <cellStyle name="Heading 2 2 3 7 2 2 6 4 2 2" xfId="41609"/>
    <cellStyle name="Heading 2 2 3 7 2 2 6 4 3" xfId="41610"/>
    <cellStyle name="Heading 2 2 3 7 2 2 6 5" xfId="41611"/>
    <cellStyle name="Heading 2 2 3 7 2 2 6 5 2" xfId="41612"/>
    <cellStyle name="Heading 2 2 3 7 2 2 6 5 2 2" xfId="41613"/>
    <cellStyle name="Heading 2 2 3 7 2 2 6 5 3" xfId="41614"/>
    <cellStyle name="Heading 2 2 3 7 2 2 6 6" xfId="41615"/>
    <cellStyle name="Heading 2 2 3 7 2 2 6 6 2" xfId="41616"/>
    <cellStyle name="Heading 2 2 3 7 2 2 6 6 2 2" xfId="41617"/>
    <cellStyle name="Heading 2 2 3 7 2 2 6 6 3" xfId="41618"/>
    <cellStyle name="Heading 2 2 3 7 2 2 6 7" xfId="41619"/>
    <cellStyle name="Heading 2 2 3 7 2 2 6 7 2" xfId="41620"/>
    <cellStyle name="Heading 2 2 3 7 2 2 6 7 2 2" xfId="41621"/>
    <cellStyle name="Heading 2 2 3 7 2 2 6 7 3" xfId="41622"/>
    <cellStyle name="Heading 2 2 3 7 2 2 6 8" xfId="41623"/>
    <cellStyle name="Heading 2 2 3 7 2 2 6 8 2" xfId="41624"/>
    <cellStyle name="Heading 2 2 3 7 2 2 6 9" xfId="41625"/>
    <cellStyle name="Heading 2 2 3 7 2 2 7" xfId="41626"/>
    <cellStyle name="Heading 2 2 3 7 2 2 7 2" xfId="41627"/>
    <cellStyle name="Heading 2 2 3 7 2 2 7 2 2" xfId="41628"/>
    <cellStyle name="Heading 2 2 3 7 2 2 7 2 2 2" xfId="41629"/>
    <cellStyle name="Heading 2 2 3 7 2 2 7 2 3" xfId="41630"/>
    <cellStyle name="Heading 2 2 3 7 2 2 7 3" xfId="41631"/>
    <cellStyle name="Heading 2 2 3 7 2 2 7 3 2" xfId="41632"/>
    <cellStyle name="Heading 2 2 3 7 2 2 7 3 2 2" xfId="41633"/>
    <cellStyle name="Heading 2 2 3 7 2 2 7 3 3" xfId="41634"/>
    <cellStyle name="Heading 2 2 3 7 2 2 7 4" xfId="41635"/>
    <cellStyle name="Heading 2 2 3 7 2 2 7 4 2" xfId="41636"/>
    <cellStyle name="Heading 2 2 3 7 2 2 7 4 2 2" xfId="41637"/>
    <cellStyle name="Heading 2 2 3 7 2 2 7 4 3" xfId="41638"/>
    <cellStyle name="Heading 2 2 3 7 2 2 7 5" xfId="41639"/>
    <cellStyle name="Heading 2 2 3 7 2 2 7 5 2" xfId="41640"/>
    <cellStyle name="Heading 2 2 3 7 2 2 7 5 2 2" xfId="41641"/>
    <cellStyle name="Heading 2 2 3 7 2 2 7 5 3" xfId="41642"/>
    <cellStyle name="Heading 2 2 3 7 2 2 7 6" xfId="41643"/>
    <cellStyle name="Heading 2 2 3 7 2 2 7 6 2" xfId="41644"/>
    <cellStyle name="Heading 2 2 3 7 2 2 7 6 2 2" xfId="41645"/>
    <cellStyle name="Heading 2 2 3 7 2 2 7 6 3" xfId="41646"/>
    <cellStyle name="Heading 2 2 3 7 2 2 7 7" xfId="41647"/>
    <cellStyle name="Heading 2 2 3 7 2 2 7 7 2" xfId="41648"/>
    <cellStyle name="Heading 2 2 3 7 2 2 7 7 2 2" xfId="41649"/>
    <cellStyle name="Heading 2 2 3 7 2 2 7 7 3" xfId="41650"/>
    <cellStyle name="Heading 2 2 3 7 2 2 7 8" xfId="41651"/>
    <cellStyle name="Heading 2 2 3 7 2 2 7 8 2" xfId="41652"/>
    <cellStyle name="Heading 2 2 3 7 2 2 7 9" xfId="41653"/>
    <cellStyle name="Heading 2 2 3 7 2 2 8" xfId="41654"/>
    <cellStyle name="Heading 2 2 3 7 2 2 8 2" xfId="41655"/>
    <cellStyle name="Heading 2 2 3 7 2 2 8 2 2" xfId="41656"/>
    <cellStyle name="Heading 2 2 3 7 2 2 8 2 2 2" xfId="41657"/>
    <cellStyle name="Heading 2 2 3 7 2 2 8 2 3" xfId="41658"/>
    <cellStyle name="Heading 2 2 3 7 2 2 8 3" xfId="41659"/>
    <cellStyle name="Heading 2 2 3 7 2 2 8 3 2" xfId="41660"/>
    <cellStyle name="Heading 2 2 3 7 2 2 8 3 2 2" xfId="41661"/>
    <cellStyle name="Heading 2 2 3 7 2 2 8 3 3" xfId="41662"/>
    <cellStyle name="Heading 2 2 3 7 2 2 8 4" xfId="41663"/>
    <cellStyle name="Heading 2 2 3 7 2 2 8 4 2" xfId="41664"/>
    <cellStyle name="Heading 2 2 3 7 2 2 8 4 2 2" xfId="41665"/>
    <cellStyle name="Heading 2 2 3 7 2 2 8 4 3" xfId="41666"/>
    <cellStyle name="Heading 2 2 3 7 2 2 8 5" xfId="41667"/>
    <cellStyle name="Heading 2 2 3 7 2 2 8 5 2" xfId="41668"/>
    <cellStyle name="Heading 2 2 3 7 2 2 8 5 2 2" xfId="41669"/>
    <cellStyle name="Heading 2 2 3 7 2 2 8 5 3" xfId="41670"/>
    <cellStyle name="Heading 2 2 3 7 2 2 8 6" xfId="41671"/>
    <cellStyle name="Heading 2 2 3 7 2 2 8 6 2" xfId="41672"/>
    <cellStyle name="Heading 2 2 3 7 2 2 8 6 2 2" xfId="41673"/>
    <cellStyle name="Heading 2 2 3 7 2 2 8 6 3" xfId="41674"/>
    <cellStyle name="Heading 2 2 3 7 2 2 8 7" xfId="41675"/>
    <cellStyle name="Heading 2 2 3 7 2 2 8 7 2" xfId="41676"/>
    <cellStyle name="Heading 2 2 3 7 2 2 8 7 2 2" xfId="41677"/>
    <cellStyle name="Heading 2 2 3 7 2 2 8 7 3" xfId="41678"/>
    <cellStyle name="Heading 2 2 3 7 2 2 8 8" xfId="41679"/>
    <cellStyle name="Heading 2 2 3 7 2 2 8 8 2" xfId="41680"/>
    <cellStyle name="Heading 2 2 3 7 2 2 8 9" xfId="41681"/>
    <cellStyle name="Heading 2 2 3 7 2 2 9" xfId="41682"/>
    <cellStyle name="Heading 2 2 3 7 2 2 9 2" xfId="41683"/>
    <cellStyle name="Heading 2 2 3 7 2 2 9 2 2" xfId="41684"/>
    <cellStyle name="Heading 2 2 3 7 2 2 9 3" xfId="41685"/>
    <cellStyle name="Heading 2 2 3 7 2 20" xfId="41686"/>
    <cellStyle name="Heading 2 2 3 7 2 20 2" xfId="41687"/>
    <cellStyle name="Heading 2 2 3 7 2 21" xfId="41688"/>
    <cellStyle name="Heading 2 2 3 7 2 21 2" xfId="41689"/>
    <cellStyle name="Heading 2 2 3 7 2 22" xfId="41690"/>
    <cellStyle name="Heading 2 2 3 7 2 22 2" xfId="41691"/>
    <cellStyle name="Heading 2 2 3 7 2 23" xfId="41692"/>
    <cellStyle name="Heading 2 2 3 7 2 3" xfId="41693"/>
    <cellStyle name="Heading 2 2 3 7 2 3 2" xfId="41694"/>
    <cellStyle name="Heading 2 2 3 7 2 3 2 2" xfId="41695"/>
    <cellStyle name="Heading 2 2 3 7 2 3 2 2 2" xfId="41696"/>
    <cellStyle name="Heading 2 2 3 7 2 3 2 3" xfId="41697"/>
    <cellStyle name="Heading 2 2 3 7 2 3 3" xfId="41698"/>
    <cellStyle name="Heading 2 2 3 7 2 3 3 2" xfId="41699"/>
    <cellStyle name="Heading 2 2 3 7 2 3 3 2 2" xfId="41700"/>
    <cellStyle name="Heading 2 2 3 7 2 3 3 3" xfId="41701"/>
    <cellStyle name="Heading 2 2 3 7 2 3 4" xfId="41702"/>
    <cellStyle name="Heading 2 2 3 7 2 3 4 2" xfId="41703"/>
    <cellStyle name="Heading 2 2 3 7 2 3 4 2 2" xfId="41704"/>
    <cellStyle name="Heading 2 2 3 7 2 3 4 3" xfId="41705"/>
    <cellStyle name="Heading 2 2 3 7 2 3 5" xfId="41706"/>
    <cellStyle name="Heading 2 2 3 7 2 3 5 2" xfId="41707"/>
    <cellStyle name="Heading 2 2 3 7 2 3 5 2 2" xfId="41708"/>
    <cellStyle name="Heading 2 2 3 7 2 3 5 3" xfId="41709"/>
    <cellStyle name="Heading 2 2 3 7 2 3 6" xfId="41710"/>
    <cellStyle name="Heading 2 2 3 7 2 3 6 2" xfId="41711"/>
    <cellStyle name="Heading 2 2 3 7 2 3 6 2 2" xfId="41712"/>
    <cellStyle name="Heading 2 2 3 7 2 3 6 3" xfId="41713"/>
    <cellStyle name="Heading 2 2 3 7 2 3 7" xfId="41714"/>
    <cellStyle name="Heading 2 2 3 7 2 3 7 2" xfId="41715"/>
    <cellStyle name="Heading 2 2 3 7 2 3 7 2 2" xfId="41716"/>
    <cellStyle name="Heading 2 2 3 7 2 3 7 3" xfId="41717"/>
    <cellStyle name="Heading 2 2 3 7 2 3 8" xfId="41718"/>
    <cellStyle name="Heading 2 2 3 7 2 3 8 2" xfId="41719"/>
    <cellStyle name="Heading 2 2 3 7 2 3 9" xfId="41720"/>
    <cellStyle name="Heading 2 2 3 7 2 4" xfId="41721"/>
    <cellStyle name="Heading 2 2 3 7 2 4 2" xfId="41722"/>
    <cellStyle name="Heading 2 2 3 7 2 4 2 2" xfId="41723"/>
    <cellStyle name="Heading 2 2 3 7 2 4 2 2 2" xfId="41724"/>
    <cellStyle name="Heading 2 2 3 7 2 4 2 3" xfId="41725"/>
    <cellStyle name="Heading 2 2 3 7 2 4 3" xfId="41726"/>
    <cellStyle name="Heading 2 2 3 7 2 4 3 2" xfId="41727"/>
    <cellStyle name="Heading 2 2 3 7 2 4 3 2 2" xfId="41728"/>
    <cellStyle name="Heading 2 2 3 7 2 4 3 3" xfId="41729"/>
    <cellStyle name="Heading 2 2 3 7 2 4 4" xfId="41730"/>
    <cellStyle name="Heading 2 2 3 7 2 4 4 2" xfId="41731"/>
    <cellStyle name="Heading 2 2 3 7 2 4 4 2 2" xfId="41732"/>
    <cellStyle name="Heading 2 2 3 7 2 4 4 3" xfId="41733"/>
    <cellStyle name="Heading 2 2 3 7 2 4 5" xfId="41734"/>
    <cellStyle name="Heading 2 2 3 7 2 4 5 2" xfId="41735"/>
    <cellStyle name="Heading 2 2 3 7 2 4 5 2 2" xfId="41736"/>
    <cellStyle name="Heading 2 2 3 7 2 4 5 3" xfId="41737"/>
    <cellStyle name="Heading 2 2 3 7 2 4 6" xfId="41738"/>
    <cellStyle name="Heading 2 2 3 7 2 4 6 2" xfId="41739"/>
    <cellStyle name="Heading 2 2 3 7 2 4 6 2 2" xfId="41740"/>
    <cellStyle name="Heading 2 2 3 7 2 4 6 3" xfId="41741"/>
    <cellStyle name="Heading 2 2 3 7 2 4 7" xfId="41742"/>
    <cellStyle name="Heading 2 2 3 7 2 4 7 2" xfId="41743"/>
    <cellStyle name="Heading 2 2 3 7 2 4 7 2 2" xfId="41744"/>
    <cellStyle name="Heading 2 2 3 7 2 4 7 3" xfId="41745"/>
    <cellStyle name="Heading 2 2 3 7 2 4 8" xfId="41746"/>
    <cellStyle name="Heading 2 2 3 7 2 4 8 2" xfId="41747"/>
    <cellStyle name="Heading 2 2 3 7 2 4 9" xfId="41748"/>
    <cellStyle name="Heading 2 2 3 7 2 5" xfId="41749"/>
    <cellStyle name="Heading 2 2 3 7 2 5 2" xfId="41750"/>
    <cellStyle name="Heading 2 2 3 7 2 5 2 2" xfId="41751"/>
    <cellStyle name="Heading 2 2 3 7 2 5 2 2 2" xfId="41752"/>
    <cellStyle name="Heading 2 2 3 7 2 5 2 3" xfId="41753"/>
    <cellStyle name="Heading 2 2 3 7 2 5 3" xfId="41754"/>
    <cellStyle name="Heading 2 2 3 7 2 5 3 2" xfId="41755"/>
    <cellStyle name="Heading 2 2 3 7 2 5 3 2 2" xfId="41756"/>
    <cellStyle name="Heading 2 2 3 7 2 5 3 3" xfId="41757"/>
    <cellStyle name="Heading 2 2 3 7 2 5 4" xfId="41758"/>
    <cellStyle name="Heading 2 2 3 7 2 5 4 2" xfId="41759"/>
    <cellStyle name="Heading 2 2 3 7 2 5 4 2 2" xfId="41760"/>
    <cellStyle name="Heading 2 2 3 7 2 5 4 3" xfId="41761"/>
    <cellStyle name="Heading 2 2 3 7 2 5 5" xfId="41762"/>
    <cellStyle name="Heading 2 2 3 7 2 5 5 2" xfId="41763"/>
    <cellStyle name="Heading 2 2 3 7 2 5 5 2 2" xfId="41764"/>
    <cellStyle name="Heading 2 2 3 7 2 5 5 3" xfId="41765"/>
    <cellStyle name="Heading 2 2 3 7 2 5 6" xfId="41766"/>
    <cellStyle name="Heading 2 2 3 7 2 5 6 2" xfId="41767"/>
    <cellStyle name="Heading 2 2 3 7 2 5 6 2 2" xfId="41768"/>
    <cellStyle name="Heading 2 2 3 7 2 5 6 3" xfId="41769"/>
    <cellStyle name="Heading 2 2 3 7 2 5 7" xfId="41770"/>
    <cellStyle name="Heading 2 2 3 7 2 5 7 2" xfId="41771"/>
    <cellStyle name="Heading 2 2 3 7 2 5 7 2 2" xfId="41772"/>
    <cellStyle name="Heading 2 2 3 7 2 5 7 3" xfId="41773"/>
    <cellStyle name="Heading 2 2 3 7 2 5 8" xfId="41774"/>
    <cellStyle name="Heading 2 2 3 7 2 5 8 2" xfId="41775"/>
    <cellStyle name="Heading 2 2 3 7 2 5 9" xfId="41776"/>
    <cellStyle name="Heading 2 2 3 7 2 6" xfId="41777"/>
    <cellStyle name="Heading 2 2 3 7 2 6 2" xfId="41778"/>
    <cellStyle name="Heading 2 2 3 7 2 6 2 2" xfId="41779"/>
    <cellStyle name="Heading 2 2 3 7 2 6 2 2 2" xfId="41780"/>
    <cellStyle name="Heading 2 2 3 7 2 6 2 3" xfId="41781"/>
    <cellStyle name="Heading 2 2 3 7 2 6 3" xfId="41782"/>
    <cellStyle name="Heading 2 2 3 7 2 6 3 2" xfId="41783"/>
    <cellStyle name="Heading 2 2 3 7 2 6 3 2 2" xfId="41784"/>
    <cellStyle name="Heading 2 2 3 7 2 6 3 3" xfId="41785"/>
    <cellStyle name="Heading 2 2 3 7 2 6 4" xfId="41786"/>
    <cellStyle name="Heading 2 2 3 7 2 6 4 2" xfId="41787"/>
    <cellStyle name="Heading 2 2 3 7 2 6 4 2 2" xfId="41788"/>
    <cellStyle name="Heading 2 2 3 7 2 6 4 3" xfId="41789"/>
    <cellStyle name="Heading 2 2 3 7 2 6 5" xfId="41790"/>
    <cellStyle name="Heading 2 2 3 7 2 6 5 2" xfId="41791"/>
    <cellStyle name="Heading 2 2 3 7 2 6 5 2 2" xfId="41792"/>
    <cellStyle name="Heading 2 2 3 7 2 6 5 3" xfId="41793"/>
    <cellStyle name="Heading 2 2 3 7 2 6 6" xfId="41794"/>
    <cellStyle name="Heading 2 2 3 7 2 6 6 2" xfId="41795"/>
    <cellStyle name="Heading 2 2 3 7 2 6 6 2 2" xfId="41796"/>
    <cellStyle name="Heading 2 2 3 7 2 6 6 3" xfId="41797"/>
    <cellStyle name="Heading 2 2 3 7 2 6 7" xfId="41798"/>
    <cellStyle name="Heading 2 2 3 7 2 6 7 2" xfId="41799"/>
    <cellStyle name="Heading 2 2 3 7 2 6 7 2 2" xfId="41800"/>
    <cellStyle name="Heading 2 2 3 7 2 6 7 3" xfId="41801"/>
    <cellStyle name="Heading 2 2 3 7 2 6 8" xfId="41802"/>
    <cellStyle name="Heading 2 2 3 7 2 6 8 2" xfId="41803"/>
    <cellStyle name="Heading 2 2 3 7 2 6 9" xfId="41804"/>
    <cellStyle name="Heading 2 2 3 7 2 7" xfId="41805"/>
    <cellStyle name="Heading 2 2 3 7 2 7 2" xfId="41806"/>
    <cellStyle name="Heading 2 2 3 7 2 7 2 2" xfId="41807"/>
    <cellStyle name="Heading 2 2 3 7 2 7 2 2 2" xfId="41808"/>
    <cellStyle name="Heading 2 2 3 7 2 7 2 3" xfId="41809"/>
    <cellStyle name="Heading 2 2 3 7 2 7 3" xfId="41810"/>
    <cellStyle name="Heading 2 2 3 7 2 7 3 2" xfId="41811"/>
    <cellStyle name="Heading 2 2 3 7 2 7 3 2 2" xfId="41812"/>
    <cellStyle name="Heading 2 2 3 7 2 7 3 3" xfId="41813"/>
    <cellStyle name="Heading 2 2 3 7 2 7 4" xfId="41814"/>
    <cellStyle name="Heading 2 2 3 7 2 7 4 2" xfId="41815"/>
    <cellStyle name="Heading 2 2 3 7 2 7 4 2 2" xfId="41816"/>
    <cellStyle name="Heading 2 2 3 7 2 7 4 3" xfId="41817"/>
    <cellStyle name="Heading 2 2 3 7 2 7 5" xfId="41818"/>
    <cellStyle name="Heading 2 2 3 7 2 7 5 2" xfId="41819"/>
    <cellStyle name="Heading 2 2 3 7 2 7 5 2 2" xfId="41820"/>
    <cellStyle name="Heading 2 2 3 7 2 7 5 3" xfId="41821"/>
    <cellStyle name="Heading 2 2 3 7 2 7 6" xfId="41822"/>
    <cellStyle name="Heading 2 2 3 7 2 7 6 2" xfId="41823"/>
    <cellStyle name="Heading 2 2 3 7 2 7 6 2 2" xfId="41824"/>
    <cellStyle name="Heading 2 2 3 7 2 7 6 3" xfId="41825"/>
    <cellStyle name="Heading 2 2 3 7 2 7 7" xfId="41826"/>
    <cellStyle name="Heading 2 2 3 7 2 7 7 2" xfId="41827"/>
    <cellStyle name="Heading 2 2 3 7 2 7 7 2 2" xfId="41828"/>
    <cellStyle name="Heading 2 2 3 7 2 7 7 3" xfId="41829"/>
    <cellStyle name="Heading 2 2 3 7 2 7 8" xfId="41830"/>
    <cellStyle name="Heading 2 2 3 7 2 7 8 2" xfId="41831"/>
    <cellStyle name="Heading 2 2 3 7 2 7 9" xfId="41832"/>
    <cellStyle name="Heading 2 2 3 7 2 8" xfId="41833"/>
    <cellStyle name="Heading 2 2 3 7 2 8 2" xfId="41834"/>
    <cellStyle name="Heading 2 2 3 7 2 8 2 2" xfId="41835"/>
    <cellStyle name="Heading 2 2 3 7 2 8 2 2 2" xfId="41836"/>
    <cellStyle name="Heading 2 2 3 7 2 8 2 3" xfId="41837"/>
    <cellStyle name="Heading 2 2 3 7 2 8 3" xfId="41838"/>
    <cellStyle name="Heading 2 2 3 7 2 8 3 2" xfId="41839"/>
    <cellStyle name="Heading 2 2 3 7 2 8 3 2 2" xfId="41840"/>
    <cellStyle name="Heading 2 2 3 7 2 8 3 3" xfId="41841"/>
    <cellStyle name="Heading 2 2 3 7 2 8 4" xfId="41842"/>
    <cellStyle name="Heading 2 2 3 7 2 8 4 2" xfId="41843"/>
    <cellStyle name="Heading 2 2 3 7 2 8 4 2 2" xfId="41844"/>
    <cellStyle name="Heading 2 2 3 7 2 8 4 3" xfId="41845"/>
    <cellStyle name="Heading 2 2 3 7 2 8 5" xfId="41846"/>
    <cellStyle name="Heading 2 2 3 7 2 8 5 2" xfId="41847"/>
    <cellStyle name="Heading 2 2 3 7 2 8 5 2 2" xfId="41848"/>
    <cellStyle name="Heading 2 2 3 7 2 8 5 3" xfId="41849"/>
    <cellStyle name="Heading 2 2 3 7 2 8 6" xfId="41850"/>
    <cellStyle name="Heading 2 2 3 7 2 8 6 2" xfId="41851"/>
    <cellStyle name="Heading 2 2 3 7 2 8 6 2 2" xfId="41852"/>
    <cellStyle name="Heading 2 2 3 7 2 8 6 3" xfId="41853"/>
    <cellStyle name="Heading 2 2 3 7 2 8 7" xfId="41854"/>
    <cellStyle name="Heading 2 2 3 7 2 8 7 2" xfId="41855"/>
    <cellStyle name="Heading 2 2 3 7 2 8 7 2 2" xfId="41856"/>
    <cellStyle name="Heading 2 2 3 7 2 8 7 3" xfId="41857"/>
    <cellStyle name="Heading 2 2 3 7 2 8 8" xfId="41858"/>
    <cellStyle name="Heading 2 2 3 7 2 8 8 2" xfId="41859"/>
    <cellStyle name="Heading 2 2 3 7 2 8 9" xfId="41860"/>
    <cellStyle name="Heading 2 2 3 7 2 9" xfId="41861"/>
    <cellStyle name="Heading 2 2 3 7 2 9 2" xfId="41862"/>
    <cellStyle name="Heading 2 2 3 7 2 9 2 2" xfId="41863"/>
    <cellStyle name="Heading 2 2 3 7 2 9 2 2 2" xfId="41864"/>
    <cellStyle name="Heading 2 2 3 7 2 9 2 3" xfId="41865"/>
    <cellStyle name="Heading 2 2 3 7 2 9 3" xfId="41866"/>
    <cellStyle name="Heading 2 2 3 7 2 9 3 2" xfId="41867"/>
    <cellStyle name="Heading 2 2 3 7 2 9 3 2 2" xfId="41868"/>
    <cellStyle name="Heading 2 2 3 7 2 9 3 3" xfId="41869"/>
    <cellStyle name="Heading 2 2 3 7 2 9 4" xfId="41870"/>
    <cellStyle name="Heading 2 2 3 7 2 9 4 2" xfId="41871"/>
    <cellStyle name="Heading 2 2 3 7 2 9 4 2 2" xfId="41872"/>
    <cellStyle name="Heading 2 2 3 7 2 9 4 3" xfId="41873"/>
    <cellStyle name="Heading 2 2 3 7 2 9 5" xfId="41874"/>
    <cellStyle name="Heading 2 2 3 7 2 9 5 2" xfId="41875"/>
    <cellStyle name="Heading 2 2 3 7 2 9 5 2 2" xfId="41876"/>
    <cellStyle name="Heading 2 2 3 7 2 9 5 3" xfId="41877"/>
    <cellStyle name="Heading 2 2 3 7 2 9 6" xfId="41878"/>
    <cellStyle name="Heading 2 2 3 7 2 9 6 2" xfId="41879"/>
    <cellStyle name="Heading 2 2 3 7 2 9 6 2 2" xfId="41880"/>
    <cellStyle name="Heading 2 2 3 7 2 9 6 3" xfId="41881"/>
    <cellStyle name="Heading 2 2 3 7 2 9 7" xfId="41882"/>
    <cellStyle name="Heading 2 2 3 7 2 9 7 2" xfId="41883"/>
    <cellStyle name="Heading 2 2 3 7 2 9 7 2 2" xfId="41884"/>
    <cellStyle name="Heading 2 2 3 7 2 9 7 3" xfId="41885"/>
    <cellStyle name="Heading 2 2 3 7 2 9 8" xfId="41886"/>
    <cellStyle name="Heading 2 2 3 7 2 9 8 2" xfId="41887"/>
    <cellStyle name="Heading 2 2 3 7 2 9 9" xfId="41888"/>
    <cellStyle name="Heading 2 2 3 7 3" xfId="41889"/>
    <cellStyle name="Heading 2 2 3 7 3 10" xfId="41890"/>
    <cellStyle name="Heading 2 2 3 7 3 10 2" xfId="41891"/>
    <cellStyle name="Heading 2 2 3 7 3 10 2 2" xfId="41892"/>
    <cellStyle name="Heading 2 2 3 7 3 10 3" xfId="41893"/>
    <cellStyle name="Heading 2 2 3 7 3 11" xfId="41894"/>
    <cellStyle name="Heading 2 2 3 7 3 11 2" xfId="41895"/>
    <cellStyle name="Heading 2 2 3 7 3 11 2 2" xfId="41896"/>
    <cellStyle name="Heading 2 2 3 7 3 11 3" xfId="41897"/>
    <cellStyle name="Heading 2 2 3 7 3 12" xfId="41898"/>
    <cellStyle name="Heading 2 2 3 7 3 12 2" xfId="41899"/>
    <cellStyle name="Heading 2 2 3 7 3 12 2 2" xfId="41900"/>
    <cellStyle name="Heading 2 2 3 7 3 12 3" xfId="41901"/>
    <cellStyle name="Heading 2 2 3 7 3 13" xfId="41902"/>
    <cellStyle name="Heading 2 2 3 7 3 13 2" xfId="41903"/>
    <cellStyle name="Heading 2 2 3 7 3 13 2 2" xfId="41904"/>
    <cellStyle name="Heading 2 2 3 7 3 13 3" xfId="41905"/>
    <cellStyle name="Heading 2 2 3 7 3 14" xfId="41906"/>
    <cellStyle name="Heading 2 2 3 7 3 14 2" xfId="41907"/>
    <cellStyle name="Heading 2 2 3 7 3 14 2 2" xfId="41908"/>
    <cellStyle name="Heading 2 2 3 7 3 14 3" xfId="41909"/>
    <cellStyle name="Heading 2 2 3 7 3 15" xfId="41910"/>
    <cellStyle name="Heading 2 2 3 7 3 15 2" xfId="41911"/>
    <cellStyle name="Heading 2 2 3 7 3 15 2 2" xfId="41912"/>
    <cellStyle name="Heading 2 2 3 7 3 15 3" xfId="41913"/>
    <cellStyle name="Heading 2 2 3 7 3 16" xfId="41914"/>
    <cellStyle name="Heading 2 2 3 7 3 16 2" xfId="41915"/>
    <cellStyle name="Heading 2 2 3 7 3 16 2 2" xfId="41916"/>
    <cellStyle name="Heading 2 2 3 7 3 16 3" xfId="41917"/>
    <cellStyle name="Heading 2 2 3 7 3 17" xfId="41918"/>
    <cellStyle name="Heading 2 2 3 7 3 17 2" xfId="41919"/>
    <cellStyle name="Heading 2 2 3 7 3 17 2 2" xfId="41920"/>
    <cellStyle name="Heading 2 2 3 7 3 17 3" xfId="41921"/>
    <cellStyle name="Heading 2 2 3 7 3 18" xfId="41922"/>
    <cellStyle name="Heading 2 2 3 7 3 18 2" xfId="41923"/>
    <cellStyle name="Heading 2 2 3 7 3 18 2 2" xfId="41924"/>
    <cellStyle name="Heading 2 2 3 7 3 18 3" xfId="41925"/>
    <cellStyle name="Heading 2 2 3 7 3 19" xfId="41926"/>
    <cellStyle name="Heading 2 2 3 7 3 19 2" xfId="41927"/>
    <cellStyle name="Heading 2 2 3 7 3 2" xfId="41928"/>
    <cellStyle name="Heading 2 2 3 7 3 2 2" xfId="41929"/>
    <cellStyle name="Heading 2 2 3 7 3 2 2 2" xfId="41930"/>
    <cellStyle name="Heading 2 2 3 7 3 2 2 2 2" xfId="41931"/>
    <cellStyle name="Heading 2 2 3 7 3 2 2 3" xfId="41932"/>
    <cellStyle name="Heading 2 2 3 7 3 2 3" xfId="41933"/>
    <cellStyle name="Heading 2 2 3 7 3 2 3 2" xfId="41934"/>
    <cellStyle name="Heading 2 2 3 7 3 2 3 2 2" xfId="41935"/>
    <cellStyle name="Heading 2 2 3 7 3 2 3 3" xfId="41936"/>
    <cellStyle name="Heading 2 2 3 7 3 2 4" xfId="41937"/>
    <cellStyle name="Heading 2 2 3 7 3 2 4 2" xfId="41938"/>
    <cellStyle name="Heading 2 2 3 7 3 2 4 2 2" xfId="41939"/>
    <cellStyle name="Heading 2 2 3 7 3 2 4 3" xfId="41940"/>
    <cellStyle name="Heading 2 2 3 7 3 2 5" xfId="41941"/>
    <cellStyle name="Heading 2 2 3 7 3 2 5 2" xfId="41942"/>
    <cellStyle name="Heading 2 2 3 7 3 2 5 2 2" xfId="41943"/>
    <cellStyle name="Heading 2 2 3 7 3 2 5 3" xfId="41944"/>
    <cellStyle name="Heading 2 2 3 7 3 2 6" xfId="41945"/>
    <cellStyle name="Heading 2 2 3 7 3 2 6 2" xfId="41946"/>
    <cellStyle name="Heading 2 2 3 7 3 2 6 2 2" xfId="41947"/>
    <cellStyle name="Heading 2 2 3 7 3 2 6 3" xfId="41948"/>
    <cellStyle name="Heading 2 2 3 7 3 2 7" xfId="41949"/>
    <cellStyle name="Heading 2 2 3 7 3 2 7 2" xfId="41950"/>
    <cellStyle name="Heading 2 2 3 7 3 2 7 2 2" xfId="41951"/>
    <cellStyle name="Heading 2 2 3 7 3 2 7 3" xfId="41952"/>
    <cellStyle name="Heading 2 2 3 7 3 2 8" xfId="41953"/>
    <cellStyle name="Heading 2 2 3 7 3 2 8 2" xfId="41954"/>
    <cellStyle name="Heading 2 2 3 7 3 2 9" xfId="41955"/>
    <cellStyle name="Heading 2 2 3 7 3 20" xfId="41956"/>
    <cellStyle name="Heading 2 2 3 7 3 20 2" xfId="41957"/>
    <cellStyle name="Heading 2 2 3 7 3 21" xfId="41958"/>
    <cellStyle name="Heading 2 2 3 7 3 21 2" xfId="41959"/>
    <cellStyle name="Heading 2 2 3 7 3 22" xfId="41960"/>
    <cellStyle name="Heading 2 2 3 7 3 3" xfId="41961"/>
    <cellStyle name="Heading 2 2 3 7 3 3 2" xfId="41962"/>
    <cellStyle name="Heading 2 2 3 7 3 3 2 2" xfId="41963"/>
    <cellStyle name="Heading 2 2 3 7 3 3 2 2 2" xfId="41964"/>
    <cellStyle name="Heading 2 2 3 7 3 3 2 3" xfId="41965"/>
    <cellStyle name="Heading 2 2 3 7 3 3 3" xfId="41966"/>
    <cellStyle name="Heading 2 2 3 7 3 3 3 2" xfId="41967"/>
    <cellStyle name="Heading 2 2 3 7 3 3 3 2 2" xfId="41968"/>
    <cellStyle name="Heading 2 2 3 7 3 3 3 3" xfId="41969"/>
    <cellStyle name="Heading 2 2 3 7 3 3 4" xfId="41970"/>
    <cellStyle name="Heading 2 2 3 7 3 3 4 2" xfId="41971"/>
    <cellStyle name="Heading 2 2 3 7 3 3 4 2 2" xfId="41972"/>
    <cellStyle name="Heading 2 2 3 7 3 3 4 3" xfId="41973"/>
    <cellStyle name="Heading 2 2 3 7 3 3 5" xfId="41974"/>
    <cellStyle name="Heading 2 2 3 7 3 3 5 2" xfId="41975"/>
    <cellStyle name="Heading 2 2 3 7 3 3 5 2 2" xfId="41976"/>
    <cellStyle name="Heading 2 2 3 7 3 3 5 3" xfId="41977"/>
    <cellStyle name="Heading 2 2 3 7 3 3 6" xfId="41978"/>
    <cellStyle name="Heading 2 2 3 7 3 3 6 2" xfId="41979"/>
    <cellStyle name="Heading 2 2 3 7 3 3 6 2 2" xfId="41980"/>
    <cellStyle name="Heading 2 2 3 7 3 3 6 3" xfId="41981"/>
    <cellStyle name="Heading 2 2 3 7 3 3 7" xfId="41982"/>
    <cellStyle name="Heading 2 2 3 7 3 3 7 2" xfId="41983"/>
    <cellStyle name="Heading 2 2 3 7 3 3 7 2 2" xfId="41984"/>
    <cellStyle name="Heading 2 2 3 7 3 3 7 3" xfId="41985"/>
    <cellStyle name="Heading 2 2 3 7 3 3 8" xfId="41986"/>
    <cellStyle name="Heading 2 2 3 7 3 3 8 2" xfId="41987"/>
    <cellStyle name="Heading 2 2 3 7 3 3 9" xfId="41988"/>
    <cellStyle name="Heading 2 2 3 7 3 4" xfId="41989"/>
    <cellStyle name="Heading 2 2 3 7 3 4 2" xfId="41990"/>
    <cellStyle name="Heading 2 2 3 7 3 4 2 2" xfId="41991"/>
    <cellStyle name="Heading 2 2 3 7 3 4 2 2 2" xfId="41992"/>
    <cellStyle name="Heading 2 2 3 7 3 4 2 3" xfId="41993"/>
    <cellStyle name="Heading 2 2 3 7 3 4 3" xfId="41994"/>
    <cellStyle name="Heading 2 2 3 7 3 4 3 2" xfId="41995"/>
    <cellStyle name="Heading 2 2 3 7 3 4 3 2 2" xfId="41996"/>
    <cellStyle name="Heading 2 2 3 7 3 4 3 3" xfId="41997"/>
    <cellStyle name="Heading 2 2 3 7 3 4 4" xfId="41998"/>
    <cellStyle name="Heading 2 2 3 7 3 4 4 2" xfId="41999"/>
    <cellStyle name="Heading 2 2 3 7 3 4 4 2 2" xfId="42000"/>
    <cellStyle name="Heading 2 2 3 7 3 4 4 3" xfId="42001"/>
    <cellStyle name="Heading 2 2 3 7 3 4 5" xfId="42002"/>
    <cellStyle name="Heading 2 2 3 7 3 4 5 2" xfId="42003"/>
    <cellStyle name="Heading 2 2 3 7 3 4 5 2 2" xfId="42004"/>
    <cellStyle name="Heading 2 2 3 7 3 4 5 3" xfId="42005"/>
    <cellStyle name="Heading 2 2 3 7 3 4 6" xfId="42006"/>
    <cellStyle name="Heading 2 2 3 7 3 4 6 2" xfId="42007"/>
    <cellStyle name="Heading 2 2 3 7 3 4 6 2 2" xfId="42008"/>
    <cellStyle name="Heading 2 2 3 7 3 4 6 3" xfId="42009"/>
    <cellStyle name="Heading 2 2 3 7 3 4 7" xfId="42010"/>
    <cellStyle name="Heading 2 2 3 7 3 4 7 2" xfId="42011"/>
    <cellStyle name="Heading 2 2 3 7 3 4 7 2 2" xfId="42012"/>
    <cellStyle name="Heading 2 2 3 7 3 4 7 3" xfId="42013"/>
    <cellStyle name="Heading 2 2 3 7 3 4 8" xfId="42014"/>
    <cellStyle name="Heading 2 2 3 7 3 4 8 2" xfId="42015"/>
    <cellStyle name="Heading 2 2 3 7 3 4 9" xfId="42016"/>
    <cellStyle name="Heading 2 2 3 7 3 5" xfId="42017"/>
    <cellStyle name="Heading 2 2 3 7 3 5 2" xfId="42018"/>
    <cellStyle name="Heading 2 2 3 7 3 5 2 2" xfId="42019"/>
    <cellStyle name="Heading 2 2 3 7 3 5 2 2 2" xfId="42020"/>
    <cellStyle name="Heading 2 2 3 7 3 5 2 3" xfId="42021"/>
    <cellStyle name="Heading 2 2 3 7 3 5 3" xfId="42022"/>
    <cellStyle name="Heading 2 2 3 7 3 5 3 2" xfId="42023"/>
    <cellStyle name="Heading 2 2 3 7 3 5 3 2 2" xfId="42024"/>
    <cellStyle name="Heading 2 2 3 7 3 5 3 3" xfId="42025"/>
    <cellStyle name="Heading 2 2 3 7 3 5 4" xfId="42026"/>
    <cellStyle name="Heading 2 2 3 7 3 5 4 2" xfId="42027"/>
    <cellStyle name="Heading 2 2 3 7 3 5 4 2 2" xfId="42028"/>
    <cellStyle name="Heading 2 2 3 7 3 5 4 3" xfId="42029"/>
    <cellStyle name="Heading 2 2 3 7 3 5 5" xfId="42030"/>
    <cellStyle name="Heading 2 2 3 7 3 5 5 2" xfId="42031"/>
    <cellStyle name="Heading 2 2 3 7 3 5 5 2 2" xfId="42032"/>
    <cellStyle name="Heading 2 2 3 7 3 5 5 3" xfId="42033"/>
    <cellStyle name="Heading 2 2 3 7 3 5 6" xfId="42034"/>
    <cellStyle name="Heading 2 2 3 7 3 5 6 2" xfId="42035"/>
    <cellStyle name="Heading 2 2 3 7 3 5 6 2 2" xfId="42036"/>
    <cellStyle name="Heading 2 2 3 7 3 5 6 3" xfId="42037"/>
    <cellStyle name="Heading 2 2 3 7 3 5 7" xfId="42038"/>
    <cellStyle name="Heading 2 2 3 7 3 5 7 2" xfId="42039"/>
    <cellStyle name="Heading 2 2 3 7 3 5 7 2 2" xfId="42040"/>
    <cellStyle name="Heading 2 2 3 7 3 5 7 3" xfId="42041"/>
    <cellStyle name="Heading 2 2 3 7 3 5 8" xfId="42042"/>
    <cellStyle name="Heading 2 2 3 7 3 5 8 2" xfId="42043"/>
    <cellStyle name="Heading 2 2 3 7 3 5 9" xfId="42044"/>
    <cellStyle name="Heading 2 2 3 7 3 6" xfId="42045"/>
    <cellStyle name="Heading 2 2 3 7 3 6 2" xfId="42046"/>
    <cellStyle name="Heading 2 2 3 7 3 6 2 2" xfId="42047"/>
    <cellStyle name="Heading 2 2 3 7 3 6 2 2 2" xfId="42048"/>
    <cellStyle name="Heading 2 2 3 7 3 6 2 3" xfId="42049"/>
    <cellStyle name="Heading 2 2 3 7 3 6 3" xfId="42050"/>
    <cellStyle name="Heading 2 2 3 7 3 6 3 2" xfId="42051"/>
    <cellStyle name="Heading 2 2 3 7 3 6 3 2 2" xfId="42052"/>
    <cellStyle name="Heading 2 2 3 7 3 6 3 3" xfId="42053"/>
    <cellStyle name="Heading 2 2 3 7 3 6 4" xfId="42054"/>
    <cellStyle name="Heading 2 2 3 7 3 6 4 2" xfId="42055"/>
    <cellStyle name="Heading 2 2 3 7 3 6 4 2 2" xfId="42056"/>
    <cellStyle name="Heading 2 2 3 7 3 6 4 3" xfId="42057"/>
    <cellStyle name="Heading 2 2 3 7 3 6 5" xfId="42058"/>
    <cellStyle name="Heading 2 2 3 7 3 6 5 2" xfId="42059"/>
    <cellStyle name="Heading 2 2 3 7 3 6 5 2 2" xfId="42060"/>
    <cellStyle name="Heading 2 2 3 7 3 6 5 3" xfId="42061"/>
    <cellStyle name="Heading 2 2 3 7 3 6 6" xfId="42062"/>
    <cellStyle name="Heading 2 2 3 7 3 6 6 2" xfId="42063"/>
    <cellStyle name="Heading 2 2 3 7 3 6 6 2 2" xfId="42064"/>
    <cellStyle name="Heading 2 2 3 7 3 6 6 3" xfId="42065"/>
    <cellStyle name="Heading 2 2 3 7 3 6 7" xfId="42066"/>
    <cellStyle name="Heading 2 2 3 7 3 6 7 2" xfId="42067"/>
    <cellStyle name="Heading 2 2 3 7 3 6 7 2 2" xfId="42068"/>
    <cellStyle name="Heading 2 2 3 7 3 6 7 3" xfId="42069"/>
    <cellStyle name="Heading 2 2 3 7 3 6 8" xfId="42070"/>
    <cellStyle name="Heading 2 2 3 7 3 6 8 2" xfId="42071"/>
    <cellStyle name="Heading 2 2 3 7 3 6 9" xfId="42072"/>
    <cellStyle name="Heading 2 2 3 7 3 7" xfId="42073"/>
    <cellStyle name="Heading 2 2 3 7 3 7 2" xfId="42074"/>
    <cellStyle name="Heading 2 2 3 7 3 7 2 2" xfId="42075"/>
    <cellStyle name="Heading 2 2 3 7 3 7 2 2 2" xfId="42076"/>
    <cellStyle name="Heading 2 2 3 7 3 7 2 3" xfId="42077"/>
    <cellStyle name="Heading 2 2 3 7 3 7 3" xfId="42078"/>
    <cellStyle name="Heading 2 2 3 7 3 7 3 2" xfId="42079"/>
    <cellStyle name="Heading 2 2 3 7 3 7 3 2 2" xfId="42080"/>
    <cellStyle name="Heading 2 2 3 7 3 7 3 3" xfId="42081"/>
    <cellStyle name="Heading 2 2 3 7 3 7 4" xfId="42082"/>
    <cellStyle name="Heading 2 2 3 7 3 7 4 2" xfId="42083"/>
    <cellStyle name="Heading 2 2 3 7 3 7 4 2 2" xfId="42084"/>
    <cellStyle name="Heading 2 2 3 7 3 7 4 3" xfId="42085"/>
    <cellStyle name="Heading 2 2 3 7 3 7 5" xfId="42086"/>
    <cellStyle name="Heading 2 2 3 7 3 7 5 2" xfId="42087"/>
    <cellStyle name="Heading 2 2 3 7 3 7 5 2 2" xfId="42088"/>
    <cellStyle name="Heading 2 2 3 7 3 7 5 3" xfId="42089"/>
    <cellStyle name="Heading 2 2 3 7 3 7 6" xfId="42090"/>
    <cellStyle name="Heading 2 2 3 7 3 7 6 2" xfId="42091"/>
    <cellStyle name="Heading 2 2 3 7 3 7 6 2 2" xfId="42092"/>
    <cellStyle name="Heading 2 2 3 7 3 7 6 3" xfId="42093"/>
    <cellStyle name="Heading 2 2 3 7 3 7 7" xfId="42094"/>
    <cellStyle name="Heading 2 2 3 7 3 7 7 2" xfId="42095"/>
    <cellStyle name="Heading 2 2 3 7 3 7 7 2 2" xfId="42096"/>
    <cellStyle name="Heading 2 2 3 7 3 7 7 3" xfId="42097"/>
    <cellStyle name="Heading 2 2 3 7 3 7 8" xfId="42098"/>
    <cellStyle name="Heading 2 2 3 7 3 7 8 2" xfId="42099"/>
    <cellStyle name="Heading 2 2 3 7 3 7 9" xfId="42100"/>
    <cellStyle name="Heading 2 2 3 7 3 8" xfId="42101"/>
    <cellStyle name="Heading 2 2 3 7 3 8 2" xfId="42102"/>
    <cellStyle name="Heading 2 2 3 7 3 8 2 2" xfId="42103"/>
    <cellStyle name="Heading 2 2 3 7 3 8 2 2 2" xfId="42104"/>
    <cellStyle name="Heading 2 2 3 7 3 8 2 3" xfId="42105"/>
    <cellStyle name="Heading 2 2 3 7 3 8 3" xfId="42106"/>
    <cellStyle name="Heading 2 2 3 7 3 8 3 2" xfId="42107"/>
    <cellStyle name="Heading 2 2 3 7 3 8 3 2 2" xfId="42108"/>
    <cellStyle name="Heading 2 2 3 7 3 8 3 3" xfId="42109"/>
    <cellStyle name="Heading 2 2 3 7 3 8 4" xfId="42110"/>
    <cellStyle name="Heading 2 2 3 7 3 8 4 2" xfId="42111"/>
    <cellStyle name="Heading 2 2 3 7 3 8 4 2 2" xfId="42112"/>
    <cellStyle name="Heading 2 2 3 7 3 8 4 3" xfId="42113"/>
    <cellStyle name="Heading 2 2 3 7 3 8 5" xfId="42114"/>
    <cellStyle name="Heading 2 2 3 7 3 8 5 2" xfId="42115"/>
    <cellStyle name="Heading 2 2 3 7 3 8 5 2 2" xfId="42116"/>
    <cellStyle name="Heading 2 2 3 7 3 8 5 3" xfId="42117"/>
    <cellStyle name="Heading 2 2 3 7 3 8 6" xfId="42118"/>
    <cellStyle name="Heading 2 2 3 7 3 8 6 2" xfId="42119"/>
    <cellStyle name="Heading 2 2 3 7 3 8 6 2 2" xfId="42120"/>
    <cellStyle name="Heading 2 2 3 7 3 8 6 3" xfId="42121"/>
    <cellStyle name="Heading 2 2 3 7 3 8 7" xfId="42122"/>
    <cellStyle name="Heading 2 2 3 7 3 8 7 2" xfId="42123"/>
    <cellStyle name="Heading 2 2 3 7 3 8 7 2 2" xfId="42124"/>
    <cellStyle name="Heading 2 2 3 7 3 8 7 3" xfId="42125"/>
    <cellStyle name="Heading 2 2 3 7 3 8 8" xfId="42126"/>
    <cellStyle name="Heading 2 2 3 7 3 8 8 2" xfId="42127"/>
    <cellStyle name="Heading 2 2 3 7 3 8 9" xfId="42128"/>
    <cellStyle name="Heading 2 2 3 7 3 9" xfId="42129"/>
    <cellStyle name="Heading 2 2 3 7 3 9 2" xfId="42130"/>
    <cellStyle name="Heading 2 2 3 7 3 9 2 2" xfId="42131"/>
    <cellStyle name="Heading 2 2 3 7 3 9 3" xfId="42132"/>
    <cellStyle name="Heading 2 2 3 7 4" xfId="42133"/>
    <cellStyle name="Heading 2 2 3 7 4 2" xfId="42134"/>
    <cellStyle name="Heading 2 2 3 7 4 2 2" xfId="42135"/>
    <cellStyle name="Heading 2 2 3 7 4 3" xfId="42136"/>
    <cellStyle name="Heading 2 2 3 7 5" xfId="42137"/>
    <cellStyle name="Heading 2 2 3 7 5 2" xfId="42138"/>
    <cellStyle name="Heading 2 2 3 7 6" xfId="42139"/>
    <cellStyle name="Heading 2 2 3 8" xfId="42140"/>
    <cellStyle name="Heading 2 2 3 8 10" xfId="42141"/>
    <cellStyle name="Heading 2 2 3 8 10 2" xfId="42142"/>
    <cellStyle name="Heading 2 2 3 8 10 2 2" xfId="42143"/>
    <cellStyle name="Heading 2 2 3 8 10 3" xfId="42144"/>
    <cellStyle name="Heading 2 2 3 8 11" xfId="42145"/>
    <cellStyle name="Heading 2 2 3 8 11 2" xfId="42146"/>
    <cellStyle name="Heading 2 2 3 8 11 2 2" xfId="42147"/>
    <cellStyle name="Heading 2 2 3 8 11 3" xfId="42148"/>
    <cellStyle name="Heading 2 2 3 8 12" xfId="42149"/>
    <cellStyle name="Heading 2 2 3 8 12 2" xfId="42150"/>
    <cellStyle name="Heading 2 2 3 8 12 2 2" xfId="42151"/>
    <cellStyle name="Heading 2 2 3 8 12 3" xfId="42152"/>
    <cellStyle name="Heading 2 2 3 8 13" xfId="42153"/>
    <cellStyle name="Heading 2 2 3 8 13 2" xfId="42154"/>
    <cellStyle name="Heading 2 2 3 8 13 2 2" xfId="42155"/>
    <cellStyle name="Heading 2 2 3 8 13 3" xfId="42156"/>
    <cellStyle name="Heading 2 2 3 8 14" xfId="42157"/>
    <cellStyle name="Heading 2 2 3 8 14 2" xfId="42158"/>
    <cellStyle name="Heading 2 2 3 8 14 2 2" xfId="42159"/>
    <cellStyle name="Heading 2 2 3 8 14 3" xfId="42160"/>
    <cellStyle name="Heading 2 2 3 8 15" xfId="42161"/>
    <cellStyle name="Heading 2 2 3 8 15 2" xfId="42162"/>
    <cellStyle name="Heading 2 2 3 8 15 2 2" xfId="42163"/>
    <cellStyle name="Heading 2 2 3 8 15 3" xfId="42164"/>
    <cellStyle name="Heading 2 2 3 8 16" xfId="42165"/>
    <cellStyle name="Heading 2 2 3 8 16 2" xfId="42166"/>
    <cellStyle name="Heading 2 2 3 8 16 2 2" xfId="42167"/>
    <cellStyle name="Heading 2 2 3 8 16 3" xfId="42168"/>
    <cellStyle name="Heading 2 2 3 8 17" xfId="42169"/>
    <cellStyle name="Heading 2 2 3 8 17 2" xfId="42170"/>
    <cellStyle name="Heading 2 2 3 8 17 2 2" xfId="42171"/>
    <cellStyle name="Heading 2 2 3 8 17 3" xfId="42172"/>
    <cellStyle name="Heading 2 2 3 8 18" xfId="42173"/>
    <cellStyle name="Heading 2 2 3 8 18 2" xfId="42174"/>
    <cellStyle name="Heading 2 2 3 8 18 2 2" xfId="42175"/>
    <cellStyle name="Heading 2 2 3 8 18 3" xfId="42176"/>
    <cellStyle name="Heading 2 2 3 8 19" xfId="42177"/>
    <cellStyle name="Heading 2 2 3 8 19 2" xfId="42178"/>
    <cellStyle name="Heading 2 2 3 8 19 2 2" xfId="42179"/>
    <cellStyle name="Heading 2 2 3 8 19 3" xfId="42180"/>
    <cellStyle name="Heading 2 2 3 8 2" xfId="42181"/>
    <cellStyle name="Heading 2 2 3 8 2 10" xfId="42182"/>
    <cellStyle name="Heading 2 2 3 8 2 10 2" xfId="42183"/>
    <cellStyle name="Heading 2 2 3 8 2 10 2 2" xfId="42184"/>
    <cellStyle name="Heading 2 2 3 8 2 10 3" xfId="42185"/>
    <cellStyle name="Heading 2 2 3 8 2 11" xfId="42186"/>
    <cellStyle name="Heading 2 2 3 8 2 11 2" xfId="42187"/>
    <cellStyle name="Heading 2 2 3 8 2 11 2 2" xfId="42188"/>
    <cellStyle name="Heading 2 2 3 8 2 11 3" xfId="42189"/>
    <cellStyle name="Heading 2 2 3 8 2 12" xfId="42190"/>
    <cellStyle name="Heading 2 2 3 8 2 12 2" xfId="42191"/>
    <cellStyle name="Heading 2 2 3 8 2 12 2 2" xfId="42192"/>
    <cellStyle name="Heading 2 2 3 8 2 12 3" xfId="42193"/>
    <cellStyle name="Heading 2 2 3 8 2 13" xfId="42194"/>
    <cellStyle name="Heading 2 2 3 8 2 13 2" xfId="42195"/>
    <cellStyle name="Heading 2 2 3 8 2 13 2 2" xfId="42196"/>
    <cellStyle name="Heading 2 2 3 8 2 13 3" xfId="42197"/>
    <cellStyle name="Heading 2 2 3 8 2 14" xfId="42198"/>
    <cellStyle name="Heading 2 2 3 8 2 14 2" xfId="42199"/>
    <cellStyle name="Heading 2 2 3 8 2 14 2 2" xfId="42200"/>
    <cellStyle name="Heading 2 2 3 8 2 14 3" xfId="42201"/>
    <cellStyle name="Heading 2 2 3 8 2 15" xfId="42202"/>
    <cellStyle name="Heading 2 2 3 8 2 15 2" xfId="42203"/>
    <cellStyle name="Heading 2 2 3 8 2 15 2 2" xfId="42204"/>
    <cellStyle name="Heading 2 2 3 8 2 15 3" xfId="42205"/>
    <cellStyle name="Heading 2 2 3 8 2 16" xfId="42206"/>
    <cellStyle name="Heading 2 2 3 8 2 16 2" xfId="42207"/>
    <cellStyle name="Heading 2 2 3 8 2 16 2 2" xfId="42208"/>
    <cellStyle name="Heading 2 2 3 8 2 16 3" xfId="42209"/>
    <cellStyle name="Heading 2 2 3 8 2 17" xfId="42210"/>
    <cellStyle name="Heading 2 2 3 8 2 17 2" xfId="42211"/>
    <cellStyle name="Heading 2 2 3 8 2 17 2 2" xfId="42212"/>
    <cellStyle name="Heading 2 2 3 8 2 17 3" xfId="42213"/>
    <cellStyle name="Heading 2 2 3 8 2 18" xfId="42214"/>
    <cellStyle name="Heading 2 2 3 8 2 18 2" xfId="42215"/>
    <cellStyle name="Heading 2 2 3 8 2 18 2 2" xfId="42216"/>
    <cellStyle name="Heading 2 2 3 8 2 18 3" xfId="42217"/>
    <cellStyle name="Heading 2 2 3 8 2 19" xfId="42218"/>
    <cellStyle name="Heading 2 2 3 8 2 19 2" xfId="42219"/>
    <cellStyle name="Heading 2 2 3 8 2 2" xfId="42220"/>
    <cellStyle name="Heading 2 2 3 8 2 2 2" xfId="42221"/>
    <cellStyle name="Heading 2 2 3 8 2 2 2 2" xfId="42222"/>
    <cellStyle name="Heading 2 2 3 8 2 2 2 2 2" xfId="42223"/>
    <cellStyle name="Heading 2 2 3 8 2 2 2 3" xfId="42224"/>
    <cellStyle name="Heading 2 2 3 8 2 2 3" xfId="42225"/>
    <cellStyle name="Heading 2 2 3 8 2 2 3 2" xfId="42226"/>
    <cellStyle name="Heading 2 2 3 8 2 2 3 2 2" xfId="42227"/>
    <cellStyle name="Heading 2 2 3 8 2 2 3 3" xfId="42228"/>
    <cellStyle name="Heading 2 2 3 8 2 2 4" xfId="42229"/>
    <cellStyle name="Heading 2 2 3 8 2 2 4 2" xfId="42230"/>
    <cellStyle name="Heading 2 2 3 8 2 2 4 2 2" xfId="42231"/>
    <cellStyle name="Heading 2 2 3 8 2 2 4 3" xfId="42232"/>
    <cellStyle name="Heading 2 2 3 8 2 2 5" xfId="42233"/>
    <cellStyle name="Heading 2 2 3 8 2 2 5 2" xfId="42234"/>
    <cellStyle name="Heading 2 2 3 8 2 2 5 2 2" xfId="42235"/>
    <cellStyle name="Heading 2 2 3 8 2 2 5 3" xfId="42236"/>
    <cellStyle name="Heading 2 2 3 8 2 2 6" xfId="42237"/>
    <cellStyle name="Heading 2 2 3 8 2 2 6 2" xfId="42238"/>
    <cellStyle name="Heading 2 2 3 8 2 2 6 2 2" xfId="42239"/>
    <cellStyle name="Heading 2 2 3 8 2 2 6 3" xfId="42240"/>
    <cellStyle name="Heading 2 2 3 8 2 2 7" xfId="42241"/>
    <cellStyle name="Heading 2 2 3 8 2 2 7 2" xfId="42242"/>
    <cellStyle name="Heading 2 2 3 8 2 2 7 2 2" xfId="42243"/>
    <cellStyle name="Heading 2 2 3 8 2 2 7 3" xfId="42244"/>
    <cellStyle name="Heading 2 2 3 8 2 2 8" xfId="42245"/>
    <cellStyle name="Heading 2 2 3 8 2 2 8 2" xfId="42246"/>
    <cellStyle name="Heading 2 2 3 8 2 2 9" xfId="42247"/>
    <cellStyle name="Heading 2 2 3 8 2 20" xfId="42248"/>
    <cellStyle name="Heading 2 2 3 8 2 20 2" xfId="42249"/>
    <cellStyle name="Heading 2 2 3 8 2 21" xfId="42250"/>
    <cellStyle name="Heading 2 2 3 8 2 21 2" xfId="42251"/>
    <cellStyle name="Heading 2 2 3 8 2 22" xfId="42252"/>
    <cellStyle name="Heading 2 2 3 8 2 3" xfId="42253"/>
    <cellStyle name="Heading 2 2 3 8 2 3 2" xfId="42254"/>
    <cellStyle name="Heading 2 2 3 8 2 3 2 2" xfId="42255"/>
    <cellStyle name="Heading 2 2 3 8 2 3 2 2 2" xfId="42256"/>
    <cellStyle name="Heading 2 2 3 8 2 3 2 3" xfId="42257"/>
    <cellStyle name="Heading 2 2 3 8 2 3 3" xfId="42258"/>
    <cellStyle name="Heading 2 2 3 8 2 3 3 2" xfId="42259"/>
    <cellStyle name="Heading 2 2 3 8 2 3 3 2 2" xfId="42260"/>
    <cellStyle name="Heading 2 2 3 8 2 3 3 3" xfId="42261"/>
    <cellStyle name="Heading 2 2 3 8 2 3 4" xfId="42262"/>
    <cellStyle name="Heading 2 2 3 8 2 3 4 2" xfId="42263"/>
    <cellStyle name="Heading 2 2 3 8 2 3 4 2 2" xfId="42264"/>
    <cellStyle name="Heading 2 2 3 8 2 3 4 3" xfId="42265"/>
    <cellStyle name="Heading 2 2 3 8 2 3 5" xfId="42266"/>
    <cellStyle name="Heading 2 2 3 8 2 3 5 2" xfId="42267"/>
    <cellStyle name="Heading 2 2 3 8 2 3 5 2 2" xfId="42268"/>
    <cellStyle name="Heading 2 2 3 8 2 3 5 3" xfId="42269"/>
    <cellStyle name="Heading 2 2 3 8 2 3 6" xfId="42270"/>
    <cellStyle name="Heading 2 2 3 8 2 3 6 2" xfId="42271"/>
    <cellStyle name="Heading 2 2 3 8 2 3 6 2 2" xfId="42272"/>
    <cellStyle name="Heading 2 2 3 8 2 3 6 3" xfId="42273"/>
    <cellStyle name="Heading 2 2 3 8 2 3 7" xfId="42274"/>
    <cellStyle name="Heading 2 2 3 8 2 3 7 2" xfId="42275"/>
    <cellStyle name="Heading 2 2 3 8 2 3 7 2 2" xfId="42276"/>
    <cellStyle name="Heading 2 2 3 8 2 3 7 3" xfId="42277"/>
    <cellStyle name="Heading 2 2 3 8 2 3 8" xfId="42278"/>
    <cellStyle name="Heading 2 2 3 8 2 3 8 2" xfId="42279"/>
    <cellStyle name="Heading 2 2 3 8 2 3 9" xfId="42280"/>
    <cellStyle name="Heading 2 2 3 8 2 4" xfId="42281"/>
    <cellStyle name="Heading 2 2 3 8 2 4 2" xfId="42282"/>
    <cellStyle name="Heading 2 2 3 8 2 4 2 2" xfId="42283"/>
    <cellStyle name="Heading 2 2 3 8 2 4 2 2 2" xfId="42284"/>
    <cellStyle name="Heading 2 2 3 8 2 4 2 3" xfId="42285"/>
    <cellStyle name="Heading 2 2 3 8 2 4 3" xfId="42286"/>
    <cellStyle name="Heading 2 2 3 8 2 4 3 2" xfId="42287"/>
    <cellStyle name="Heading 2 2 3 8 2 4 3 2 2" xfId="42288"/>
    <cellStyle name="Heading 2 2 3 8 2 4 3 3" xfId="42289"/>
    <cellStyle name="Heading 2 2 3 8 2 4 4" xfId="42290"/>
    <cellStyle name="Heading 2 2 3 8 2 4 4 2" xfId="42291"/>
    <cellStyle name="Heading 2 2 3 8 2 4 4 2 2" xfId="42292"/>
    <cellStyle name="Heading 2 2 3 8 2 4 4 3" xfId="42293"/>
    <cellStyle name="Heading 2 2 3 8 2 4 5" xfId="42294"/>
    <cellStyle name="Heading 2 2 3 8 2 4 5 2" xfId="42295"/>
    <cellStyle name="Heading 2 2 3 8 2 4 5 2 2" xfId="42296"/>
    <cellStyle name="Heading 2 2 3 8 2 4 5 3" xfId="42297"/>
    <cellStyle name="Heading 2 2 3 8 2 4 6" xfId="42298"/>
    <cellStyle name="Heading 2 2 3 8 2 4 6 2" xfId="42299"/>
    <cellStyle name="Heading 2 2 3 8 2 4 6 2 2" xfId="42300"/>
    <cellStyle name="Heading 2 2 3 8 2 4 6 3" xfId="42301"/>
    <cellStyle name="Heading 2 2 3 8 2 4 7" xfId="42302"/>
    <cellStyle name="Heading 2 2 3 8 2 4 7 2" xfId="42303"/>
    <cellStyle name="Heading 2 2 3 8 2 4 7 2 2" xfId="42304"/>
    <cellStyle name="Heading 2 2 3 8 2 4 7 3" xfId="42305"/>
    <cellStyle name="Heading 2 2 3 8 2 4 8" xfId="42306"/>
    <cellStyle name="Heading 2 2 3 8 2 4 8 2" xfId="42307"/>
    <cellStyle name="Heading 2 2 3 8 2 4 9" xfId="42308"/>
    <cellStyle name="Heading 2 2 3 8 2 5" xfId="42309"/>
    <cellStyle name="Heading 2 2 3 8 2 5 2" xfId="42310"/>
    <cellStyle name="Heading 2 2 3 8 2 5 2 2" xfId="42311"/>
    <cellStyle name="Heading 2 2 3 8 2 5 2 2 2" xfId="42312"/>
    <cellStyle name="Heading 2 2 3 8 2 5 2 3" xfId="42313"/>
    <cellStyle name="Heading 2 2 3 8 2 5 3" xfId="42314"/>
    <cellStyle name="Heading 2 2 3 8 2 5 3 2" xfId="42315"/>
    <cellStyle name="Heading 2 2 3 8 2 5 3 2 2" xfId="42316"/>
    <cellStyle name="Heading 2 2 3 8 2 5 3 3" xfId="42317"/>
    <cellStyle name="Heading 2 2 3 8 2 5 4" xfId="42318"/>
    <cellStyle name="Heading 2 2 3 8 2 5 4 2" xfId="42319"/>
    <cellStyle name="Heading 2 2 3 8 2 5 4 2 2" xfId="42320"/>
    <cellStyle name="Heading 2 2 3 8 2 5 4 3" xfId="42321"/>
    <cellStyle name="Heading 2 2 3 8 2 5 5" xfId="42322"/>
    <cellStyle name="Heading 2 2 3 8 2 5 5 2" xfId="42323"/>
    <cellStyle name="Heading 2 2 3 8 2 5 5 2 2" xfId="42324"/>
    <cellStyle name="Heading 2 2 3 8 2 5 5 3" xfId="42325"/>
    <cellStyle name="Heading 2 2 3 8 2 5 6" xfId="42326"/>
    <cellStyle name="Heading 2 2 3 8 2 5 6 2" xfId="42327"/>
    <cellStyle name="Heading 2 2 3 8 2 5 6 2 2" xfId="42328"/>
    <cellStyle name="Heading 2 2 3 8 2 5 6 3" xfId="42329"/>
    <cellStyle name="Heading 2 2 3 8 2 5 7" xfId="42330"/>
    <cellStyle name="Heading 2 2 3 8 2 5 7 2" xfId="42331"/>
    <cellStyle name="Heading 2 2 3 8 2 5 7 2 2" xfId="42332"/>
    <cellStyle name="Heading 2 2 3 8 2 5 7 3" xfId="42333"/>
    <cellStyle name="Heading 2 2 3 8 2 5 8" xfId="42334"/>
    <cellStyle name="Heading 2 2 3 8 2 5 8 2" xfId="42335"/>
    <cellStyle name="Heading 2 2 3 8 2 5 9" xfId="42336"/>
    <cellStyle name="Heading 2 2 3 8 2 6" xfId="42337"/>
    <cellStyle name="Heading 2 2 3 8 2 6 2" xfId="42338"/>
    <cellStyle name="Heading 2 2 3 8 2 6 2 2" xfId="42339"/>
    <cellStyle name="Heading 2 2 3 8 2 6 2 2 2" xfId="42340"/>
    <cellStyle name="Heading 2 2 3 8 2 6 2 3" xfId="42341"/>
    <cellStyle name="Heading 2 2 3 8 2 6 3" xfId="42342"/>
    <cellStyle name="Heading 2 2 3 8 2 6 3 2" xfId="42343"/>
    <cellStyle name="Heading 2 2 3 8 2 6 3 2 2" xfId="42344"/>
    <cellStyle name="Heading 2 2 3 8 2 6 3 3" xfId="42345"/>
    <cellStyle name="Heading 2 2 3 8 2 6 4" xfId="42346"/>
    <cellStyle name="Heading 2 2 3 8 2 6 4 2" xfId="42347"/>
    <cellStyle name="Heading 2 2 3 8 2 6 4 2 2" xfId="42348"/>
    <cellStyle name="Heading 2 2 3 8 2 6 4 3" xfId="42349"/>
    <cellStyle name="Heading 2 2 3 8 2 6 5" xfId="42350"/>
    <cellStyle name="Heading 2 2 3 8 2 6 5 2" xfId="42351"/>
    <cellStyle name="Heading 2 2 3 8 2 6 5 2 2" xfId="42352"/>
    <cellStyle name="Heading 2 2 3 8 2 6 5 3" xfId="42353"/>
    <cellStyle name="Heading 2 2 3 8 2 6 6" xfId="42354"/>
    <cellStyle name="Heading 2 2 3 8 2 6 6 2" xfId="42355"/>
    <cellStyle name="Heading 2 2 3 8 2 6 6 2 2" xfId="42356"/>
    <cellStyle name="Heading 2 2 3 8 2 6 6 3" xfId="42357"/>
    <cellStyle name="Heading 2 2 3 8 2 6 7" xfId="42358"/>
    <cellStyle name="Heading 2 2 3 8 2 6 7 2" xfId="42359"/>
    <cellStyle name="Heading 2 2 3 8 2 6 7 2 2" xfId="42360"/>
    <cellStyle name="Heading 2 2 3 8 2 6 7 3" xfId="42361"/>
    <cellStyle name="Heading 2 2 3 8 2 6 8" xfId="42362"/>
    <cellStyle name="Heading 2 2 3 8 2 6 8 2" xfId="42363"/>
    <cellStyle name="Heading 2 2 3 8 2 6 9" xfId="42364"/>
    <cellStyle name="Heading 2 2 3 8 2 7" xfId="42365"/>
    <cellStyle name="Heading 2 2 3 8 2 7 2" xfId="42366"/>
    <cellStyle name="Heading 2 2 3 8 2 7 2 2" xfId="42367"/>
    <cellStyle name="Heading 2 2 3 8 2 7 2 2 2" xfId="42368"/>
    <cellStyle name="Heading 2 2 3 8 2 7 2 3" xfId="42369"/>
    <cellStyle name="Heading 2 2 3 8 2 7 3" xfId="42370"/>
    <cellStyle name="Heading 2 2 3 8 2 7 3 2" xfId="42371"/>
    <cellStyle name="Heading 2 2 3 8 2 7 3 2 2" xfId="42372"/>
    <cellStyle name="Heading 2 2 3 8 2 7 3 3" xfId="42373"/>
    <cellStyle name="Heading 2 2 3 8 2 7 4" xfId="42374"/>
    <cellStyle name="Heading 2 2 3 8 2 7 4 2" xfId="42375"/>
    <cellStyle name="Heading 2 2 3 8 2 7 4 2 2" xfId="42376"/>
    <cellStyle name="Heading 2 2 3 8 2 7 4 3" xfId="42377"/>
    <cellStyle name="Heading 2 2 3 8 2 7 5" xfId="42378"/>
    <cellStyle name="Heading 2 2 3 8 2 7 5 2" xfId="42379"/>
    <cellStyle name="Heading 2 2 3 8 2 7 5 2 2" xfId="42380"/>
    <cellStyle name="Heading 2 2 3 8 2 7 5 3" xfId="42381"/>
    <cellStyle name="Heading 2 2 3 8 2 7 6" xfId="42382"/>
    <cellStyle name="Heading 2 2 3 8 2 7 6 2" xfId="42383"/>
    <cellStyle name="Heading 2 2 3 8 2 7 6 2 2" xfId="42384"/>
    <cellStyle name="Heading 2 2 3 8 2 7 6 3" xfId="42385"/>
    <cellStyle name="Heading 2 2 3 8 2 7 7" xfId="42386"/>
    <cellStyle name="Heading 2 2 3 8 2 7 7 2" xfId="42387"/>
    <cellStyle name="Heading 2 2 3 8 2 7 7 2 2" xfId="42388"/>
    <cellStyle name="Heading 2 2 3 8 2 7 7 3" xfId="42389"/>
    <cellStyle name="Heading 2 2 3 8 2 7 8" xfId="42390"/>
    <cellStyle name="Heading 2 2 3 8 2 7 8 2" xfId="42391"/>
    <cellStyle name="Heading 2 2 3 8 2 7 9" xfId="42392"/>
    <cellStyle name="Heading 2 2 3 8 2 8" xfId="42393"/>
    <cellStyle name="Heading 2 2 3 8 2 8 2" xfId="42394"/>
    <cellStyle name="Heading 2 2 3 8 2 8 2 2" xfId="42395"/>
    <cellStyle name="Heading 2 2 3 8 2 8 2 2 2" xfId="42396"/>
    <cellStyle name="Heading 2 2 3 8 2 8 2 3" xfId="42397"/>
    <cellStyle name="Heading 2 2 3 8 2 8 3" xfId="42398"/>
    <cellStyle name="Heading 2 2 3 8 2 8 3 2" xfId="42399"/>
    <cellStyle name="Heading 2 2 3 8 2 8 3 2 2" xfId="42400"/>
    <cellStyle name="Heading 2 2 3 8 2 8 3 3" xfId="42401"/>
    <cellStyle name="Heading 2 2 3 8 2 8 4" xfId="42402"/>
    <cellStyle name="Heading 2 2 3 8 2 8 4 2" xfId="42403"/>
    <cellStyle name="Heading 2 2 3 8 2 8 4 2 2" xfId="42404"/>
    <cellStyle name="Heading 2 2 3 8 2 8 4 3" xfId="42405"/>
    <cellStyle name="Heading 2 2 3 8 2 8 5" xfId="42406"/>
    <cellStyle name="Heading 2 2 3 8 2 8 5 2" xfId="42407"/>
    <cellStyle name="Heading 2 2 3 8 2 8 5 2 2" xfId="42408"/>
    <cellStyle name="Heading 2 2 3 8 2 8 5 3" xfId="42409"/>
    <cellStyle name="Heading 2 2 3 8 2 8 6" xfId="42410"/>
    <cellStyle name="Heading 2 2 3 8 2 8 6 2" xfId="42411"/>
    <cellStyle name="Heading 2 2 3 8 2 8 6 2 2" xfId="42412"/>
    <cellStyle name="Heading 2 2 3 8 2 8 6 3" xfId="42413"/>
    <cellStyle name="Heading 2 2 3 8 2 8 7" xfId="42414"/>
    <cellStyle name="Heading 2 2 3 8 2 8 7 2" xfId="42415"/>
    <cellStyle name="Heading 2 2 3 8 2 8 7 2 2" xfId="42416"/>
    <cellStyle name="Heading 2 2 3 8 2 8 7 3" xfId="42417"/>
    <cellStyle name="Heading 2 2 3 8 2 8 8" xfId="42418"/>
    <cellStyle name="Heading 2 2 3 8 2 8 8 2" xfId="42419"/>
    <cellStyle name="Heading 2 2 3 8 2 8 9" xfId="42420"/>
    <cellStyle name="Heading 2 2 3 8 2 9" xfId="42421"/>
    <cellStyle name="Heading 2 2 3 8 2 9 2" xfId="42422"/>
    <cellStyle name="Heading 2 2 3 8 2 9 2 2" xfId="42423"/>
    <cellStyle name="Heading 2 2 3 8 2 9 3" xfId="42424"/>
    <cellStyle name="Heading 2 2 3 8 20" xfId="42425"/>
    <cellStyle name="Heading 2 2 3 8 20 2" xfId="42426"/>
    <cellStyle name="Heading 2 2 3 8 21" xfId="42427"/>
    <cellStyle name="Heading 2 2 3 8 21 2" xfId="42428"/>
    <cellStyle name="Heading 2 2 3 8 22" xfId="42429"/>
    <cellStyle name="Heading 2 2 3 8 22 2" xfId="42430"/>
    <cellStyle name="Heading 2 2 3 8 23" xfId="42431"/>
    <cellStyle name="Heading 2 2 3 8 3" xfId="42432"/>
    <cellStyle name="Heading 2 2 3 8 3 2" xfId="42433"/>
    <cellStyle name="Heading 2 2 3 8 3 2 2" xfId="42434"/>
    <cellStyle name="Heading 2 2 3 8 3 2 2 2" xfId="42435"/>
    <cellStyle name="Heading 2 2 3 8 3 2 3" xfId="42436"/>
    <cellStyle name="Heading 2 2 3 8 3 3" xfId="42437"/>
    <cellStyle name="Heading 2 2 3 8 3 3 2" xfId="42438"/>
    <cellStyle name="Heading 2 2 3 8 3 3 2 2" xfId="42439"/>
    <cellStyle name="Heading 2 2 3 8 3 3 3" xfId="42440"/>
    <cellStyle name="Heading 2 2 3 8 3 4" xfId="42441"/>
    <cellStyle name="Heading 2 2 3 8 3 4 2" xfId="42442"/>
    <cellStyle name="Heading 2 2 3 8 3 4 2 2" xfId="42443"/>
    <cellStyle name="Heading 2 2 3 8 3 4 3" xfId="42444"/>
    <cellStyle name="Heading 2 2 3 8 3 5" xfId="42445"/>
    <cellStyle name="Heading 2 2 3 8 3 5 2" xfId="42446"/>
    <cellStyle name="Heading 2 2 3 8 3 5 2 2" xfId="42447"/>
    <cellStyle name="Heading 2 2 3 8 3 5 3" xfId="42448"/>
    <cellStyle name="Heading 2 2 3 8 3 6" xfId="42449"/>
    <cellStyle name="Heading 2 2 3 8 3 6 2" xfId="42450"/>
    <cellStyle name="Heading 2 2 3 8 3 6 2 2" xfId="42451"/>
    <cellStyle name="Heading 2 2 3 8 3 6 3" xfId="42452"/>
    <cellStyle name="Heading 2 2 3 8 3 7" xfId="42453"/>
    <cellStyle name="Heading 2 2 3 8 3 7 2" xfId="42454"/>
    <cellStyle name="Heading 2 2 3 8 3 7 2 2" xfId="42455"/>
    <cellStyle name="Heading 2 2 3 8 3 7 3" xfId="42456"/>
    <cellStyle name="Heading 2 2 3 8 3 8" xfId="42457"/>
    <cellStyle name="Heading 2 2 3 8 3 8 2" xfId="42458"/>
    <cellStyle name="Heading 2 2 3 8 3 9" xfId="42459"/>
    <cellStyle name="Heading 2 2 3 8 4" xfId="42460"/>
    <cellStyle name="Heading 2 2 3 8 4 2" xfId="42461"/>
    <cellStyle name="Heading 2 2 3 8 4 2 2" xfId="42462"/>
    <cellStyle name="Heading 2 2 3 8 4 2 2 2" xfId="42463"/>
    <cellStyle name="Heading 2 2 3 8 4 2 3" xfId="42464"/>
    <cellStyle name="Heading 2 2 3 8 4 3" xfId="42465"/>
    <cellStyle name="Heading 2 2 3 8 4 3 2" xfId="42466"/>
    <cellStyle name="Heading 2 2 3 8 4 3 2 2" xfId="42467"/>
    <cellStyle name="Heading 2 2 3 8 4 3 3" xfId="42468"/>
    <cellStyle name="Heading 2 2 3 8 4 4" xfId="42469"/>
    <cellStyle name="Heading 2 2 3 8 4 4 2" xfId="42470"/>
    <cellStyle name="Heading 2 2 3 8 4 4 2 2" xfId="42471"/>
    <cellStyle name="Heading 2 2 3 8 4 4 3" xfId="42472"/>
    <cellStyle name="Heading 2 2 3 8 4 5" xfId="42473"/>
    <cellStyle name="Heading 2 2 3 8 4 5 2" xfId="42474"/>
    <cellStyle name="Heading 2 2 3 8 4 5 2 2" xfId="42475"/>
    <cellStyle name="Heading 2 2 3 8 4 5 3" xfId="42476"/>
    <cellStyle name="Heading 2 2 3 8 4 6" xfId="42477"/>
    <cellStyle name="Heading 2 2 3 8 4 6 2" xfId="42478"/>
    <cellStyle name="Heading 2 2 3 8 4 6 2 2" xfId="42479"/>
    <cellStyle name="Heading 2 2 3 8 4 6 3" xfId="42480"/>
    <cellStyle name="Heading 2 2 3 8 4 7" xfId="42481"/>
    <cellStyle name="Heading 2 2 3 8 4 7 2" xfId="42482"/>
    <cellStyle name="Heading 2 2 3 8 4 7 2 2" xfId="42483"/>
    <cellStyle name="Heading 2 2 3 8 4 7 3" xfId="42484"/>
    <cellStyle name="Heading 2 2 3 8 4 8" xfId="42485"/>
    <cellStyle name="Heading 2 2 3 8 4 8 2" xfId="42486"/>
    <cellStyle name="Heading 2 2 3 8 4 9" xfId="42487"/>
    <cellStyle name="Heading 2 2 3 8 5" xfId="42488"/>
    <cellStyle name="Heading 2 2 3 8 5 2" xfId="42489"/>
    <cellStyle name="Heading 2 2 3 8 5 2 2" xfId="42490"/>
    <cellStyle name="Heading 2 2 3 8 5 2 2 2" xfId="42491"/>
    <cellStyle name="Heading 2 2 3 8 5 2 3" xfId="42492"/>
    <cellStyle name="Heading 2 2 3 8 5 3" xfId="42493"/>
    <cellStyle name="Heading 2 2 3 8 5 3 2" xfId="42494"/>
    <cellStyle name="Heading 2 2 3 8 5 3 2 2" xfId="42495"/>
    <cellStyle name="Heading 2 2 3 8 5 3 3" xfId="42496"/>
    <cellStyle name="Heading 2 2 3 8 5 4" xfId="42497"/>
    <cellStyle name="Heading 2 2 3 8 5 4 2" xfId="42498"/>
    <cellStyle name="Heading 2 2 3 8 5 4 2 2" xfId="42499"/>
    <cellStyle name="Heading 2 2 3 8 5 4 3" xfId="42500"/>
    <cellStyle name="Heading 2 2 3 8 5 5" xfId="42501"/>
    <cellStyle name="Heading 2 2 3 8 5 5 2" xfId="42502"/>
    <cellStyle name="Heading 2 2 3 8 5 5 2 2" xfId="42503"/>
    <cellStyle name="Heading 2 2 3 8 5 5 3" xfId="42504"/>
    <cellStyle name="Heading 2 2 3 8 5 6" xfId="42505"/>
    <cellStyle name="Heading 2 2 3 8 5 6 2" xfId="42506"/>
    <cellStyle name="Heading 2 2 3 8 5 6 2 2" xfId="42507"/>
    <cellStyle name="Heading 2 2 3 8 5 6 3" xfId="42508"/>
    <cellStyle name="Heading 2 2 3 8 5 7" xfId="42509"/>
    <cellStyle name="Heading 2 2 3 8 5 7 2" xfId="42510"/>
    <cellStyle name="Heading 2 2 3 8 5 7 2 2" xfId="42511"/>
    <cellStyle name="Heading 2 2 3 8 5 7 3" xfId="42512"/>
    <cellStyle name="Heading 2 2 3 8 5 8" xfId="42513"/>
    <cellStyle name="Heading 2 2 3 8 5 8 2" xfId="42514"/>
    <cellStyle name="Heading 2 2 3 8 5 9" xfId="42515"/>
    <cellStyle name="Heading 2 2 3 8 6" xfId="42516"/>
    <cellStyle name="Heading 2 2 3 8 6 2" xfId="42517"/>
    <cellStyle name="Heading 2 2 3 8 6 2 2" xfId="42518"/>
    <cellStyle name="Heading 2 2 3 8 6 2 2 2" xfId="42519"/>
    <cellStyle name="Heading 2 2 3 8 6 2 3" xfId="42520"/>
    <cellStyle name="Heading 2 2 3 8 6 3" xfId="42521"/>
    <cellStyle name="Heading 2 2 3 8 6 3 2" xfId="42522"/>
    <cellStyle name="Heading 2 2 3 8 6 3 2 2" xfId="42523"/>
    <cellStyle name="Heading 2 2 3 8 6 3 3" xfId="42524"/>
    <cellStyle name="Heading 2 2 3 8 6 4" xfId="42525"/>
    <cellStyle name="Heading 2 2 3 8 6 4 2" xfId="42526"/>
    <cellStyle name="Heading 2 2 3 8 6 4 2 2" xfId="42527"/>
    <cellStyle name="Heading 2 2 3 8 6 4 3" xfId="42528"/>
    <cellStyle name="Heading 2 2 3 8 6 5" xfId="42529"/>
    <cellStyle name="Heading 2 2 3 8 6 5 2" xfId="42530"/>
    <cellStyle name="Heading 2 2 3 8 6 5 2 2" xfId="42531"/>
    <cellStyle name="Heading 2 2 3 8 6 5 3" xfId="42532"/>
    <cellStyle name="Heading 2 2 3 8 6 6" xfId="42533"/>
    <cellStyle name="Heading 2 2 3 8 6 6 2" xfId="42534"/>
    <cellStyle name="Heading 2 2 3 8 6 6 2 2" xfId="42535"/>
    <cellStyle name="Heading 2 2 3 8 6 6 3" xfId="42536"/>
    <cellStyle name="Heading 2 2 3 8 6 7" xfId="42537"/>
    <cellStyle name="Heading 2 2 3 8 6 7 2" xfId="42538"/>
    <cellStyle name="Heading 2 2 3 8 6 7 2 2" xfId="42539"/>
    <cellStyle name="Heading 2 2 3 8 6 7 3" xfId="42540"/>
    <cellStyle name="Heading 2 2 3 8 6 8" xfId="42541"/>
    <cellStyle name="Heading 2 2 3 8 6 8 2" xfId="42542"/>
    <cellStyle name="Heading 2 2 3 8 6 9" xfId="42543"/>
    <cellStyle name="Heading 2 2 3 8 7" xfId="42544"/>
    <cellStyle name="Heading 2 2 3 8 7 2" xfId="42545"/>
    <cellStyle name="Heading 2 2 3 8 7 2 2" xfId="42546"/>
    <cellStyle name="Heading 2 2 3 8 7 2 2 2" xfId="42547"/>
    <cellStyle name="Heading 2 2 3 8 7 2 3" xfId="42548"/>
    <cellStyle name="Heading 2 2 3 8 7 3" xfId="42549"/>
    <cellStyle name="Heading 2 2 3 8 7 3 2" xfId="42550"/>
    <cellStyle name="Heading 2 2 3 8 7 3 2 2" xfId="42551"/>
    <cellStyle name="Heading 2 2 3 8 7 3 3" xfId="42552"/>
    <cellStyle name="Heading 2 2 3 8 7 4" xfId="42553"/>
    <cellStyle name="Heading 2 2 3 8 7 4 2" xfId="42554"/>
    <cellStyle name="Heading 2 2 3 8 7 4 2 2" xfId="42555"/>
    <cellStyle name="Heading 2 2 3 8 7 4 3" xfId="42556"/>
    <cellStyle name="Heading 2 2 3 8 7 5" xfId="42557"/>
    <cellStyle name="Heading 2 2 3 8 7 5 2" xfId="42558"/>
    <cellStyle name="Heading 2 2 3 8 7 5 2 2" xfId="42559"/>
    <cellStyle name="Heading 2 2 3 8 7 5 3" xfId="42560"/>
    <cellStyle name="Heading 2 2 3 8 7 6" xfId="42561"/>
    <cellStyle name="Heading 2 2 3 8 7 6 2" xfId="42562"/>
    <cellStyle name="Heading 2 2 3 8 7 6 2 2" xfId="42563"/>
    <cellStyle name="Heading 2 2 3 8 7 6 3" xfId="42564"/>
    <cellStyle name="Heading 2 2 3 8 7 7" xfId="42565"/>
    <cellStyle name="Heading 2 2 3 8 7 7 2" xfId="42566"/>
    <cellStyle name="Heading 2 2 3 8 7 7 2 2" xfId="42567"/>
    <cellStyle name="Heading 2 2 3 8 7 7 3" xfId="42568"/>
    <cellStyle name="Heading 2 2 3 8 7 8" xfId="42569"/>
    <cellStyle name="Heading 2 2 3 8 7 8 2" xfId="42570"/>
    <cellStyle name="Heading 2 2 3 8 7 9" xfId="42571"/>
    <cellStyle name="Heading 2 2 3 8 8" xfId="42572"/>
    <cellStyle name="Heading 2 2 3 8 8 2" xfId="42573"/>
    <cellStyle name="Heading 2 2 3 8 8 2 2" xfId="42574"/>
    <cellStyle name="Heading 2 2 3 8 8 2 2 2" xfId="42575"/>
    <cellStyle name="Heading 2 2 3 8 8 2 3" xfId="42576"/>
    <cellStyle name="Heading 2 2 3 8 8 3" xfId="42577"/>
    <cellStyle name="Heading 2 2 3 8 8 3 2" xfId="42578"/>
    <cellStyle name="Heading 2 2 3 8 8 3 2 2" xfId="42579"/>
    <cellStyle name="Heading 2 2 3 8 8 3 3" xfId="42580"/>
    <cellStyle name="Heading 2 2 3 8 8 4" xfId="42581"/>
    <cellStyle name="Heading 2 2 3 8 8 4 2" xfId="42582"/>
    <cellStyle name="Heading 2 2 3 8 8 4 2 2" xfId="42583"/>
    <cellStyle name="Heading 2 2 3 8 8 4 3" xfId="42584"/>
    <cellStyle name="Heading 2 2 3 8 8 5" xfId="42585"/>
    <cellStyle name="Heading 2 2 3 8 8 5 2" xfId="42586"/>
    <cellStyle name="Heading 2 2 3 8 8 5 2 2" xfId="42587"/>
    <cellStyle name="Heading 2 2 3 8 8 5 3" xfId="42588"/>
    <cellStyle name="Heading 2 2 3 8 8 6" xfId="42589"/>
    <cellStyle name="Heading 2 2 3 8 8 6 2" xfId="42590"/>
    <cellStyle name="Heading 2 2 3 8 8 6 2 2" xfId="42591"/>
    <cellStyle name="Heading 2 2 3 8 8 6 3" xfId="42592"/>
    <cellStyle name="Heading 2 2 3 8 8 7" xfId="42593"/>
    <cellStyle name="Heading 2 2 3 8 8 7 2" xfId="42594"/>
    <cellStyle name="Heading 2 2 3 8 8 7 2 2" xfId="42595"/>
    <cellStyle name="Heading 2 2 3 8 8 7 3" xfId="42596"/>
    <cellStyle name="Heading 2 2 3 8 8 8" xfId="42597"/>
    <cellStyle name="Heading 2 2 3 8 8 8 2" xfId="42598"/>
    <cellStyle name="Heading 2 2 3 8 8 9" xfId="42599"/>
    <cellStyle name="Heading 2 2 3 8 9" xfId="42600"/>
    <cellStyle name="Heading 2 2 3 8 9 2" xfId="42601"/>
    <cellStyle name="Heading 2 2 3 8 9 2 2" xfId="42602"/>
    <cellStyle name="Heading 2 2 3 8 9 2 2 2" xfId="42603"/>
    <cellStyle name="Heading 2 2 3 8 9 2 3" xfId="42604"/>
    <cellStyle name="Heading 2 2 3 8 9 3" xfId="42605"/>
    <cellStyle name="Heading 2 2 3 8 9 3 2" xfId="42606"/>
    <cellStyle name="Heading 2 2 3 8 9 3 2 2" xfId="42607"/>
    <cellStyle name="Heading 2 2 3 8 9 3 3" xfId="42608"/>
    <cellStyle name="Heading 2 2 3 8 9 4" xfId="42609"/>
    <cellStyle name="Heading 2 2 3 8 9 4 2" xfId="42610"/>
    <cellStyle name="Heading 2 2 3 8 9 4 2 2" xfId="42611"/>
    <cellStyle name="Heading 2 2 3 8 9 4 3" xfId="42612"/>
    <cellStyle name="Heading 2 2 3 8 9 5" xfId="42613"/>
    <cellStyle name="Heading 2 2 3 8 9 5 2" xfId="42614"/>
    <cellStyle name="Heading 2 2 3 8 9 5 2 2" xfId="42615"/>
    <cellStyle name="Heading 2 2 3 8 9 5 3" xfId="42616"/>
    <cellStyle name="Heading 2 2 3 8 9 6" xfId="42617"/>
    <cellStyle name="Heading 2 2 3 8 9 6 2" xfId="42618"/>
    <cellStyle name="Heading 2 2 3 8 9 6 2 2" xfId="42619"/>
    <cellStyle name="Heading 2 2 3 8 9 6 3" xfId="42620"/>
    <cellStyle name="Heading 2 2 3 8 9 7" xfId="42621"/>
    <cellStyle name="Heading 2 2 3 8 9 7 2" xfId="42622"/>
    <cellStyle name="Heading 2 2 3 8 9 7 2 2" xfId="42623"/>
    <cellStyle name="Heading 2 2 3 8 9 7 3" xfId="42624"/>
    <cellStyle name="Heading 2 2 3 8 9 8" xfId="42625"/>
    <cellStyle name="Heading 2 2 3 8 9 8 2" xfId="42626"/>
    <cellStyle name="Heading 2 2 3 8 9 9" xfId="42627"/>
    <cellStyle name="Heading 2 2 3 9" xfId="42628"/>
    <cellStyle name="Heading 2 2 3 9 2" xfId="42629"/>
    <cellStyle name="Heading 2 2 3 9 2 2" xfId="42630"/>
    <cellStyle name="Heading 2 2 3 9 3" xfId="42631"/>
    <cellStyle name="Heading 2 2 3 9 3 2" xfId="42632"/>
    <cellStyle name="Heading 2 2 3 9 4" xfId="42633"/>
    <cellStyle name="Heading 2 2 3 9 4 2" xfId="42634"/>
    <cellStyle name="Heading 2 2 3 9 5" xfId="42635"/>
    <cellStyle name="Heading 2 2 4" xfId="42636"/>
    <cellStyle name="Heading 2 2 4 2" xfId="42637"/>
    <cellStyle name="Heading 2 2 4 3" xfId="42638"/>
    <cellStyle name="Heading 2 2 4 3 10" xfId="42639"/>
    <cellStyle name="Heading 2 2 4 3 10 2" xfId="42640"/>
    <cellStyle name="Heading 2 2 4 3 10 2 2" xfId="42641"/>
    <cellStyle name="Heading 2 2 4 3 10 3" xfId="42642"/>
    <cellStyle name="Heading 2 2 4 3 11" xfId="42643"/>
    <cellStyle name="Heading 2 2 4 3 11 2" xfId="42644"/>
    <cellStyle name="Heading 2 2 4 3 11 2 2" xfId="42645"/>
    <cellStyle name="Heading 2 2 4 3 11 3" xfId="42646"/>
    <cellStyle name="Heading 2 2 4 3 12" xfId="42647"/>
    <cellStyle name="Heading 2 2 4 3 12 2" xfId="42648"/>
    <cellStyle name="Heading 2 2 4 3 12 2 2" xfId="42649"/>
    <cellStyle name="Heading 2 2 4 3 12 3" xfId="42650"/>
    <cellStyle name="Heading 2 2 4 3 13" xfId="42651"/>
    <cellStyle name="Heading 2 2 4 3 13 2" xfId="42652"/>
    <cellStyle name="Heading 2 2 4 3 13 2 2" xfId="42653"/>
    <cellStyle name="Heading 2 2 4 3 13 3" xfId="42654"/>
    <cellStyle name="Heading 2 2 4 3 14" xfId="42655"/>
    <cellStyle name="Heading 2 2 4 3 14 2" xfId="42656"/>
    <cellStyle name="Heading 2 2 4 3 14 2 2" xfId="42657"/>
    <cellStyle name="Heading 2 2 4 3 14 3" xfId="42658"/>
    <cellStyle name="Heading 2 2 4 3 15" xfId="42659"/>
    <cellStyle name="Heading 2 2 4 3 15 2" xfId="42660"/>
    <cellStyle name="Heading 2 2 4 3 15 2 2" xfId="42661"/>
    <cellStyle name="Heading 2 2 4 3 15 3" xfId="42662"/>
    <cellStyle name="Heading 2 2 4 3 16" xfId="42663"/>
    <cellStyle name="Heading 2 2 4 3 16 2" xfId="42664"/>
    <cellStyle name="Heading 2 2 4 3 16 2 2" xfId="42665"/>
    <cellStyle name="Heading 2 2 4 3 16 3" xfId="42666"/>
    <cellStyle name="Heading 2 2 4 3 17" xfId="42667"/>
    <cellStyle name="Heading 2 2 4 3 17 2" xfId="42668"/>
    <cellStyle name="Heading 2 2 4 3 17 2 2" xfId="42669"/>
    <cellStyle name="Heading 2 2 4 3 17 3" xfId="42670"/>
    <cellStyle name="Heading 2 2 4 3 18" xfId="42671"/>
    <cellStyle name="Heading 2 2 4 3 18 2" xfId="42672"/>
    <cellStyle name="Heading 2 2 4 3 18 2 2" xfId="42673"/>
    <cellStyle name="Heading 2 2 4 3 18 3" xfId="42674"/>
    <cellStyle name="Heading 2 2 4 3 19" xfId="42675"/>
    <cellStyle name="Heading 2 2 4 3 19 2" xfId="42676"/>
    <cellStyle name="Heading 2 2 4 3 19 2 2" xfId="42677"/>
    <cellStyle name="Heading 2 2 4 3 19 3" xfId="42678"/>
    <cellStyle name="Heading 2 2 4 3 2" xfId="42679"/>
    <cellStyle name="Heading 2 2 4 3 2 10" xfId="42680"/>
    <cellStyle name="Heading 2 2 4 3 2 10 2" xfId="42681"/>
    <cellStyle name="Heading 2 2 4 3 2 10 2 2" xfId="42682"/>
    <cellStyle name="Heading 2 2 4 3 2 10 3" xfId="42683"/>
    <cellStyle name="Heading 2 2 4 3 2 11" xfId="42684"/>
    <cellStyle name="Heading 2 2 4 3 2 11 2" xfId="42685"/>
    <cellStyle name="Heading 2 2 4 3 2 11 2 2" xfId="42686"/>
    <cellStyle name="Heading 2 2 4 3 2 11 3" xfId="42687"/>
    <cellStyle name="Heading 2 2 4 3 2 12" xfId="42688"/>
    <cellStyle name="Heading 2 2 4 3 2 12 2" xfId="42689"/>
    <cellStyle name="Heading 2 2 4 3 2 12 2 2" xfId="42690"/>
    <cellStyle name="Heading 2 2 4 3 2 12 3" xfId="42691"/>
    <cellStyle name="Heading 2 2 4 3 2 13" xfId="42692"/>
    <cellStyle name="Heading 2 2 4 3 2 13 2" xfId="42693"/>
    <cellStyle name="Heading 2 2 4 3 2 13 2 2" xfId="42694"/>
    <cellStyle name="Heading 2 2 4 3 2 13 3" xfId="42695"/>
    <cellStyle name="Heading 2 2 4 3 2 14" xfId="42696"/>
    <cellStyle name="Heading 2 2 4 3 2 14 2" xfId="42697"/>
    <cellStyle name="Heading 2 2 4 3 2 14 2 2" xfId="42698"/>
    <cellStyle name="Heading 2 2 4 3 2 14 3" xfId="42699"/>
    <cellStyle name="Heading 2 2 4 3 2 15" xfId="42700"/>
    <cellStyle name="Heading 2 2 4 3 2 15 2" xfId="42701"/>
    <cellStyle name="Heading 2 2 4 3 2 15 2 2" xfId="42702"/>
    <cellStyle name="Heading 2 2 4 3 2 15 3" xfId="42703"/>
    <cellStyle name="Heading 2 2 4 3 2 16" xfId="42704"/>
    <cellStyle name="Heading 2 2 4 3 2 16 2" xfId="42705"/>
    <cellStyle name="Heading 2 2 4 3 2 16 2 2" xfId="42706"/>
    <cellStyle name="Heading 2 2 4 3 2 16 3" xfId="42707"/>
    <cellStyle name="Heading 2 2 4 3 2 17" xfId="42708"/>
    <cellStyle name="Heading 2 2 4 3 2 17 2" xfId="42709"/>
    <cellStyle name="Heading 2 2 4 3 2 17 2 2" xfId="42710"/>
    <cellStyle name="Heading 2 2 4 3 2 17 3" xfId="42711"/>
    <cellStyle name="Heading 2 2 4 3 2 18" xfId="42712"/>
    <cellStyle name="Heading 2 2 4 3 2 18 2" xfId="42713"/>
    <cellStyle name="Heading 2 2 4 3 2 18 2 2" xfId="42714"/>
    <cellStyle name="Heading 2 2 4 3 2 18 3" xfId="42715"/>
    <cellStyle name="Heading 2 2 4 3 2 19" xfId="42716"/>
    <cellStyle name="Heading 2 2 4 3 2 19 2" xfId="42717"/>
    <cellStyle name="Heading 2 2 4 3 2 2" xfId="42718"/>
    <cellStyle name="Heading 2 2 4 3 2 2 2" xfId="42719"/>
    <cellStyle name="Heading 2 2 4 3 2 2 2 2" xfId="42720"/>
    <cellStyle name="Heading 2 2 4 3 2 2 2 2 2" xfId="42721"/>
    <cellStyle name="Heading 2 2 4 3 2 2 2 3" xfId="42722"/>
    <cellStyle name="Heading 2 2 4 3 2 2 3" xfId="42723"/>
    <cellStyle name="Heading 2 2 4 3 2 2 3 2" xfId="42724"/>
    <cellStyle name="Heading 2 2 4 3 2 2 3 2 2" xfId="42725"/>
    <cellStyle name="Heading 2 2 4 3 2 2 3 3" xfId="42726"/>
    <cellStyle name="Heading 2 2 4 3 2 2 4" xfId="42727"/>
    <cellStyle name="Heading 2 2 4 3 2 2 4 2" xfId="42728"/>
    <cellStyle name="Heading 2 2 4 3 2 2 4 2 2" xfId="42729"/>
    <cellStyle name="Heading 2 2 4 3 2 2 4 3" xfId="42730"/>
    <cellStyle name="Heading 2 2 4 3 2 2 5" xfId="42731"/>
    <cellStyle name="Heading 2 2 4 3 2 2 5 2" xfId="42732"/>
    <cellStyle name="Heading 2 2 4 3 2 2 5 2 2" xfId="42733"/>
    <cellStyle name="Heading 2 2 4 3 2 2 5 3" xfId="42734"/>
    <cellStyle name="Heading 2 2 4 3 2 2 6" xfId="42735"/>
    <cellStyle name="Heading 2 2 4 3 2 2 6 2" xfId="42736"/>
    <cellStyle name="Heading 2 2 4 3 2 2 6 2 2" xfId="42737"/>
    <cellStyle name="Heading 2 2 4 3 2 2 6 3" xfId="42738"/>
    <cellStyle name="Heading 2 2 4 3 2 2 7" xfId="42739"/>
    <cellStyle name="Heading 2 2 4 3 2 2 7 2" xfId="42740"/>
    <cellStyle name="Heading 2 2 4 3 2 2 7 2 2" xfId="42741"/>
    <cellStyle name="Heading 2 2 4 3 2 2 7 3" xfId="42742"/>
    <cellStyle name="Heading 2 2 4 3 2 2 8" xfId="42743"/>
    <cellStyle name="Heading 2 2 4 3 2 2 8 2" xfId="42744"/>
    <cellStyle name="Heading 2 2 4 3 2 2 9" xfId="42745"/>
    <cellStyle name="Heading 2 2 4 3 2 20" xfId="42746"/>
    <cellStyle name="Heading 2 2 4 3 2 20 2" xfId="42747"/>
    <cellStyle name="Heading 2 2 4 3 2 21" xfId="42748"/>
    <cellStyle name="Heading 2 2 4 3 2 21 2" xfId="42749"/>
    <cellStyle name="Heading 2 2 4 3 2 22" xfId="42750"/>
    <cellStyle name="Heading 2 2 4 3 2 3" xfId="42751"/>
    <cellStyle name="Heading 2 2 4 3 2 3 2" xfId="42752"/>
    <cellStyle name="Heading 2 2 4 3 2 3 2 2" xfId="42753"/>
    <cellStyle name="Heading 2 2 4 3 2 3 2 2 2" xfId="42754"/>
    <cellStyle name="Heading 2 2 4 3 2 3 2 3" xfId="42755"/>
    <cellStyle name="Heading 2 2 4 3 2 3 3" xfId="42756"/>
    <cellStyle name="Heading 2 2 4 3 2 3 3 2" xfId="42757"/>
    <cellStyle name="Heading 2 2 4 3 2 3 3 2 2" xfId="42758"/>
    <cellStyle name="Heading 2 2 4 3 2 3 3 3" xfId="42759"/>
    <cellStyle name="Heading 2 2 4 3 2 3 4" xfId="42760"/>
    <cellStyle name="Heading 2 2 4 3 2 3 4 2" xfId="42761"/>
    <cellStyle name="Heading 2 2 4 3 2 3 4 2 2" xfId="42762"/>
    <cellStyle name="Heading 2 2 4 3 2 3 4 3" xfId="42763"/>
    <cellStyle name="Heading 2 2 4 3 2 3 5" xfId="42764"/>
    <cellStyle name="Heading 2 2 4 3 2 3 5 2" xfId="42765"/>
    <cellStyle name="Heading 2 2 4 3 2 3 5 2 2" xfId="42766"/>
    <cellStyle name="Heading 2 2 4 3 2 3 5 3" xfId="42767"/>
    <cellStyle name="Heading 2 2 4 3 2 3 6" xfId="42768"/>
    <cellStyle name="Heading 2 2 4 3 2 3 6 2" xfId="42769"/>
    <cellStyle name="Heading 2 2 4 3 2 3 6 2 2" xfId="42770"/>
    <cellStyle name="Heading 2 2 4 3 2 3 6 3" xfId="42771"/>
    <cellStyle name="Heading 2 2 4 3 2 3 7" xfId="42772"/>
    <cellStyle name="Heading 2 2 4 3 2 3 7 2" xfId="42773"/>
    <cellStyle name="Heading 2 2 4 3 2 3 7 2 2" xfId="42774"/>
    <cellStyle name="Heading 2 2 4 3 2 3 7 3" xfId="42775"/>
    <cellStyle name="Heading 2 2 4 3 2 3 8" xfId="42776"/>
    <cellStyle name="Heading 2 2 4 3 2 3 8 2" xfId="42777"/>
    <cellStyle name="Heading 2 2 4 3 2 3 9" xfId="42778"/>
    <cellStyle name="Heading 2 2 4 3 2 4" xfId="42779"/>
    <cellStyle name="Heading 2 2 4 3 2 4 2" xfId="42780"/>
    <cellStyle name="Heading 2 2 4 3 2 4 2 2" xfId="42781"/>
    <cellStyle name="Heading 2 2 4 3 2 4 2 2 2" xfId="42782"/>
    <cellStyle name="Heading 2 2 4 3 2 4 2 3" xfId="42783"/>
    <cellStyle name="Heading 2 2 4 3 2 4 3" xfId="42784"/>
    <cellStyle name="Heading 2 2 4 3 2 4 3 2" xfId="42785"/>
    <cellStyle name="Heading 2 2 4 3 2 4 3 2 2" xfId="42786"/>
    <cellStyle name="Heading 2 2 4 3 2 4 3 3" xfId="42787"/>
    <cellStyle name="Heading 2 2 4 3 2 4 4" xfId="42788"/>
    <cellStyle name="Heading 2 2 4 3 2 4 4 2" xfId="42789"/>
    <cellStyle name="Heading 2 2 4 3 2 4 4 2 2" xfId="42790"/>
    <cellStyle name="Heading 2 2 4 3 2 4 4 3" xfId="42791"/>
    <cellStyle name="Heading 2 2 4 3 2 4 5" xfId="42792"/>
    <cellStyle name="Heading 2 2 4 3 2 4 5 2" xfId="42793"/>
    <cellStyle name="Heading 2 2 4 3 2 4 5 2 2" xfId="42794"/>
    <cellStyle name="Heading 2 2 4 3 2 4 5 3" xfId="42795"/>
    <cellStyle name="Heading 2 2 4 3 2 4 6" xfId="42796"/>
    <cellStyle name="Heading 2 2 4 3 2 4 6 2" xfId="42797"/>
    <cellStyle name="Heading 2 2 4 3 2 4 6 2 2" xfId="42798"/>
    <cellStyle name="Heading 2 2 4 3 2 4 6 3" xfId="42799"/>
    <cellStyle name="Heading 2 2 4 3 2 4 7" xfId="42800"/>
    <cellStyle name="Heading 2 2 4 3 2 4 7 2" xfId="42801"/>
    <cellStyle name="Heading 2 2 4 3 2 4 7 2 2" xfId="42802"/>
    <cellStyle name="Heading 2 2 4 3 2 4 7 3" xfId="42803"/>
    <cellStyle name="Heading 2 2 4 3 2 4 8" xfId="42804"/>
    <cellStyle name="Heading 2 2 4 3 2 4 8 2" xfId="42805"/>
    <cellStyle name="Heading 2 2 4 3 2 4 9" xfId="42806"/>
    <cellStyle name="Heading 2 2 4 3 2 5" xfId="42807"/>
    <cellStyle name="Heading 2 2 4 3 2 5 2" xfId="42808"/>
    <cellStyle name="Heading 2 2 4 3 2 5 2 2" xfId="42809"/>
    <cellStyle name="Heading 2 2 4 3 2 5 2 2 2" xfId="42810"/>
    <cellStyle name="Heading 2 2 4 3 2 5 2 3" xfId="42811"/>
    <cellStyle name="Heading 2 2 4 3 2 5 3" xfId="42812"/>
    <cellStyle name="Heading 2 2 4 3 2 5 3 2" xfId="42813"/>
    <cellStyle name="Heading 2 2 4 3 2 5 3 2 2" xfId="42814"/>
    <cellStyle name="Heading 2 2 4 3 2 5 3 3" xfId="42815"/>
    <cellStyle name="Heading 2 2 4 3 2 5 4" xfId="42816"/>
    <cellStyle name="Heading 2 2 4 3 2 5 4 2" xfId="42817"/>
    <cellStyle name="Heading 2 2 4 3 2 5 4 2 2" xfId="42818"/>
    <cellStyle name="Heading 2 2 4 3 2 5 4 3" xfId="42819"/>
    <cellStyle name="Heading 2 2 4 3 2 5 5" xfId="42820"/>
    <cellStyle name="Heading 2 2 4 3 2 5 5 2" xfId="42821"/>
    <cellStyle name="Heading 2 2 4 3 2 5 5 2 2" xfId="42822"/>
    <cellStyle name="Heading 2 2 4 3 2 5 5 3" xfId="42823"/>
    <cellStyle name="Heading 2 2 4 3 2 5 6" xfId="42824"/>
    <cellStyle name="Heading 2 2 4 3 2 5 6 2" xfId="42825"/>
    <cellStyle name="Heading 2 2 4 3 2 5 6 2 2" xfId="42826"/>
    <cellStyle name="Heading 2 2 4 3 2 5 6 3" xfId="42827"/>
    <cellStyle name="Heading 2 2 4 3 2 5 7" xfId="42828"/>
    <cellStyle name="Heading 2 2 4 3 2 5 7 2" xfId="42829"/>
    <cellStyle name="Heading 2 2 4 3 2 5 7 2 2" xfId="42830"/>
    <cellStyle name="Heading 2 2 4 3 2 5 7 3" xfId="42831"/>
    <cellStyle name="Heading 2 2 4 3 2 5 8" xfId="42832"/>
    <cellStyle name="Heading 2 2 4 3 2 5 8 2" xfId="42833"/>
    <cellStyle name="Heading 2 2 4 3 2 5 9" xfId="42834"/>
    <cellStyle name="Heading 2 2 4 3 2 6" xfId="42835"/>
    <cellStyle name="Heading 2 2 4 3 2 6 2" xfId="42836"/>
    <cellStyle name="Heading 2 2 4 3 2 6 2 2" xfId="42837"/>
    <cellStyle name="Heading 2 2 4 3 2 6 2 2 2" xfId="42838"/>
    <cellStyle name="Heading 2 2 4 3 2 6 2 3" xfId="42839"/>
    <cellStyle name="Heading 2 2 4 3 2 6 3" xfId="42840"/>
    <cellStyle name="Heading 2 2 4 3 2 6 3 2" xfId="42841"/>
    <cellStyle name="Heading 2 2 4 3 2 6 3 2 2" xfId="42842"/>
    <cellStyle name="Heading 2 2 4 3 2 6 3 3" xfId="42843"/>
    <cellStyle name="Heading 2 2 4 3 2 6 4" xfId="42844"/>
    <cellStyle name="Heading 2 2 4 3 2 6 4 2" xfId="42845"/>
    <cellStyle name="Heading 2 2 4 3 2 6 4 2 2" xfId="42846"/>
    <cellStyle name="Heading 2 2 4 3 2 6 4 3" xfId="42847"/>
    <cellStyle name="Heading 2 2 4 3 2 6 5" xfId="42848"/>
    <cellStyle name="Heading 2 2 4 3 2 6 5 2" xfId="42849"/>
    <cellStyle name="Heading 2 2 4 3 2 6 5 2 2" xfId="42850"/>
    <cellStyle name="Heading 2 2 4 3 2 6 5 3" xfId="42851"/>
    <cellStyle name="Heading 2 2 4 3 2 6 6" xfId="42852"/>
    <cellStyle name="Heading 2 2 4 3 2 6 6 2" xfId="42853"/>
    <cellStyle name="Heading 2 2 4 3 2 6 6 2 2" xfId="42854"/>
    <cellStyle name="Heading 2 2 4 3 2 6 6 3" xfId="42855"/>
    <cellStyle name="Heading 2 2 4 3 2 6 7" xfId="42856"/>
    <cellStyle name="Heading 2 2 4 3 2 6 7 2" xfId="42857"/>
    <cellStyle name="Heading 2 2 4 3 2 6 7 2 2" xfId="42858"/>
    <cellStyle name="Heading 2 2 4 3 2 6 7 3" xfId="42859"/>
    <cellStyle name="Heading 2 2 4 3 2 6 8" xfId="42860"/>
    <cellStyle name="Heading 2 2 4 3 2 6 8 2" xfId="42861"/>
    <cellStyle name="Heading 2 2 4 3 2 6 9" xfId="42862"/>
    <cellStyle name="Heading 2 2 4 3 2 7" xfId="42863"/>
    <cellStyle name="Heading 2 2 4 3 2 7 2" xfId="42864"/>
    <cellStyle name="Heading 2 2 4 3 2 7 2 2" xfId="42865"/>
    <cellStyle name="Heading 2 2 4 3 2 7 2 2 2" xfId="42866"/>
    <cellStyle name="Heading 2 2 4 3 2 7 2 3" xfId="42867"/>
    <cellStyle name="Heading 2 2 4 3 2 7 3" xfId="42868"/>
    <cellStyle name="Heading 2 2 4 3 2 7 3 2" xfId="42869"/>
    <cellStyle name="Heading 2 2 4 3 2 7 3 2 2" xfId="42870"/>
    <cellStyle name="Heading 2 2 4 3 2 7 3 3" xfId="42871"/>
    <cellStyle name="Heading 2 2 4 3 2 7 4" xfId="42872"/>
    <cellStyle name="Heading 2 2 4 3 2 7 4 2" xfId="42873"/>
    <cellStyle name="Heading 2 2 4 3 2 7 4 2 2" xfId="42874"/>
    <cellStyle name="Heading 2 2 4 3 2 7 4 3" xfId="42875"/>
    <cellStyle name="Heading 2 2 4 3 2 7 5" xfId="42876"/>
    <cellStyle name="Heading 2 2 4 3 2 7 5 2" xfId="42877"/>
    <cellStyle name="Heading 2 2 4 3 2 7 5 2 2" xfId="42878"/>
    <cellStyle name="Heading 2 2 4 3 2 7 5 3" xfId="42879"/>
    <cellStyle name="Heading 2 2 4 3 2 7 6" xfId="42880"/>
    <cellStyle name="Heading 2 2 4 3 2 7 6 2" xfId="42881"/>
    <cellStyle name="Heading 2 2 4 3 2 7 6 2 2" xfId="42882"/>
    <cellStyle name="Heading 2 2 4 3 2 7 6 3" xfId="42883"/>
    <cellStyle name="Heading 2 2 4 3 2 7 7" xfId="42884"/>
    <cellStyle name="Heading 2 2 4 3 2 7 7 2" xfId="42885"/>
    <cellStyle name="Heading 2 2 4 3 2 7 7 2 2" xfId="42886"/>
    <cellStyle name="Heading 2 2 4 3 2 7 7 3" xfId="42887"/>
    <cellStyle name="Heading 2 2 4 3 2 7 8" xfId="42888"/>
    <cellStyle name="Heading 2 2 4 3 2 7 8 2" xfId="42889"/>
    <cellStyle name="Heading 2 2 4 3 2 7 9" xfId="42890"/>
    <cellStyle name="Heading 2 2 4 3 2 8" xfId="42891"/>
    <cellStyle name="Heading 2 2 4 3 2 8 2" xfId="42892"/>
    <cellStyle name="Heading 2 2 4 3 2 8 2 2" xfId="42893"/>
    <cellStyle name="Heading 2 2 4 3 2 8 2 2 2" xfId="42894"/>
    <cellStyle name="Heading 2 2 4 3 2 8 2 3" xfId="42895"/>
    <cellStyle name="Heading 2 2 4 3 2 8 3" xfId="42896"/>
    <cellStyle name="Heading 2 2 4 3 2 8 3 2" xfId="42897"/>
    <cellStyle name="Heading 2 2 4 3 2 8 3 2 2" xfId="42898"/>
    <cellStyle name="Heading 2 2 4 3 2 8 3 3" xfId="42899"/>
    <cellStyle name="Heading 2 2 4 3 2 8 4" xfId="42900"/>
    <cellStyle name="Heading 2 2 4 3 2 8 4 2" xfId="42901"/>
    <cellStyle name="Heading 2 2 4 3 2 8 4 2 2" xfId="42902"/>
    <cellStyle name="Heading 2 2 4 3 2 8 4 3" xfId="42903"/>
    <cellStyle name="Heading 2 2 4 3 2 8 5" xfId="42904"/>
    <cellStyle name="Heading 2 2 4 3 2 8 5 2" xfId="42905"/>
    <cellStyle name="Heading 2 2 4 3 2 8 5 2 2" xfId="42906"/>
    <cellStyle name="Heading 2 2 4 3 2 8 5 3" xfId="42907"/>
    <cellStyle name="Heading 2 2 4 3 2 8 6" xfId="42908"/>
    <cellStyle name="Heading 2 2 4 3 2 8 6 2" xfId="42909"/>
    <cellStyle name="Heading 2 2 4 3 2 8 6 2 2" xfId="42910"/>
    <cellStyle name="Heading 2 2 4 3 2 8 6 3" xfId="42911"/>
    <cellStyle name="Heading 2 2 4 3 2 8 7" xfId="42912"/>
    <cellStyle name="Heading 2 2 4 3 2 8 7 2" xfId="42913"/>
    <cellStyle name="Heading 2 2 4 3 2 8 7 2 2" xfId="42914"/>
    <cellStyle name="Heading 2 2 4 3 2 8 7 3" xfId="42915"/>
    <cellStyle name="Heading 2 2 4 3 2 8 8" xfId="42916"/>
    <cellStyle name="Heading 2 2 4 3 2 8 8 2" xfId="42917"/>
    <cellStyle name="Heading 2 2 4 3 2 8 9" xfId="42918"/>
    <cellStyle name="Heading 2 2 4 3 2 9" xfId="42919"/>
    <cellStyle name="Heading 2 2 4 3 2 9 2" xfId="42920"/>
    <cellStyle name="Heading 2 2 4 3 2 9 2 2" xfId="42921"/>
    <cellStyle name="Heading 2 2 4 3 2 9 3" xfId="42922"/>
    <cellStyle name="Heading 2 2 4 3 20" xfId="42923"/>
    <cellStyle name="Heading 2 2 4 3 20 2" xfId="42924"/>
    <cellStyle name="Heading 2 2 4 3 21" xfId="42925"/>
    <cellStyle name="Heading 2 2 4 3 21 2" xfId="42926"/>
    <cellStyle name="Heading 2 2 4 3 22" xfId="42927"/>
    <cellStyle name="Heading 2 2 4 3 22 2" xfId="42928"/>
    <cellStyle name="Heading 2 2 4 3 23" xfId="42929"/>
    <cellStyle name="Heading 2 2 4 3 3" xfId="42930"/>
    <cellStyle name="Heading 2 2 4 3 3 2" xfId="42931"/>
    <cellStyle name="Heading 2 2 4 3 3 2 2" xfId="42932"/>
    <cellStyle name="Heading 2 2 4 3 3 2 2 2" xfId="42933"/>
    <cellStyle name="Heading 2 2 4 3 3 2 3" xfId="42934"/>
    <cellStyle name="Heading 2 2 4 3 3 3" xfId="42935"/>
    <cellStyle name="Heading 2 2 4 3 3 3 2" xfId="42936"/>
    <cellStyle name="Heading 2 2 4 3 3 3 2 2" xfId="42937"/>
    <cellStyle name="Heading 2 2 4 3 3 3 3" xfId="42938"/>
    <cellStyle name="Heading 2 2 4 3 3 4" xfId="42939"/>
    <cellStyle name="Heading 2 2 4 3 3 4 2" xfId="42940"/>
    <cellStyle name="Heading 2 2 4 3 3 4 2 2" xfId="42941"/>
    <cellStyle name="Heading 2 2 4 3 3 4 3" xfId="42942"/>
    <cellStyle name="Heading 2 2 4 3 3 5" xfId="42943"/>
    <cellStyle name="Heading 2 2 4 3 3 5 2" xfId="42944"/>
    <cellStyle name="Heading 2 2 4 3 3 5 2 2" xfId="42945"/>
    <cellStyle name="Heading 2 2 4 3 3 5 3" xfId="42946"/>
    <cellStyle name="Heading 2 2 4 3 3 6" xfId="42947"/>
    <cellStyle name="Heading 2 2 4 3 3 6 2" xfId="42948"/>
    <cellStyle name="Heading 2 2 4 3 3 6 2 2" xfId="42949"/>
    <cellStyle name="Heading 2 2 4 3 3 6 3" xfId="42950"/>
    <cellStyle name="Heading 2 2 4 3 3 7" xfId="42951"/>
    <cellStyle name="Heading 2 2 4 3 3 7 2" xfId="42952"/>
    <cellStyle name="Heading 2 2 4 3 3 7 2 2" xfId="42953"/>
    <cellStyle name="Heading 2 2 4 3 3 7 3" xfId="42954"/>
    <cellStyle name="Heading 2 2 4 3 3 8" xfId="42955"/>
    <cellStyle name="Heading 2 2 4 3 3 8 2" xfId="42956"/>
    <cellStyle name="Heading 2 2 4 3 3 9" xfId="42957"/>
    <cellStyle name="Heading 2 2 4 3 4" xfId="42958"/>
    <cellStyle name="Heading 2 2 4 3 4 2" xfId="42959"/>
    <cellStyle name="Heading 2 2 4 3 4 2 2" xfId="42960"/>
    <cellStyle name="Heading 2 2 4 3 4 2 2 2" xfId="42961"/>
    <cellStyle name="Heading 2 2 4 3 4 2 3" xfId="42962"/>
    <cellStyle name="Heading 2 2 4 3 4 3" xfId="42963"/>
    <cellStyle name="Heading 2 2 4 3 4 3 2" xfId="42964"/>
    <cellStyle name="Heading 2 2 4 3 4 3 2 2" xfId="42965"/>
    <cellStyle name="Heading 2 2 4 3 4 3 3" xfId="42966"/>
    <cellStyle name="Heading 2 2 4 3 4 4" xfId="42967"/>
    <cellStyle name="Heading 2 2 4 3 4 4 2" xfId="42968"/>
    <cellStyle name="Heading 2 2 4 3 4 4 2 2" xfId="42969"/>
    <cellStyle name="Heading 2 2 4 3 4 4 3" xfId="42970"/>
    <cellStyle name="Heading 2 2 4 3 4 5" xfId="42971"/>
    <cellStyle name="Heading 2 2 4 3 4 5 2" xfId="42972"/>
    <cellStyle name="Heading 2 2 4 3 4 5 2 2" xfId="42973"/>
    <cellStyle name="Heading 2 2 4 3 4 5 3" xfId="42974"/>
    <cellStyle name="Heading 2 2 4 3 4 6" xfId="42975"/>
    <cellStyle name="Heading 2 2 4 3 4 6 2" xfId="42976"/>
    <cellStyle name="Heading 2 2 4 3 4 6 2 2" xfId="42977"/>
    <cellStyle name="Heading 2 2 4 3 4 6 3" xfId="42978"/>
    <cellStyle name="Heading 2 2 4 3 4 7" xfId="42979"/>
    <cellStyle name="Heading 2 2 4 3 4 7 2" xfId="42980"/>
    <cellStyle name="Heading 2 2 4 3 4 7 2 2" xfId="42981"/>
    <cellStyle name="Heading 2 2 4 3 4 7 3" xfId="42982"/>
    <cellStyle name="Heading 2 2 4 3 4 8" xfId="42983"/>
    <cellStyle name="Heading 2 2 4 3 4 8 2" xfId="42984"/>
    <cellStyle name="Heading 2 2 4 3 4 9" xfId="42985"/>
    <cellStyle name="Heading 2 2 4 3 5" xfId="42986"/>
    <cellStyle name="Heading 2 2 4 3 5 2" xfId="42987"/>
    <cellStyle name="Heading 2 2 4 3 5 2 2" xfId="42988"/>
    <cellStyle name="Heading 2 2 4 3 5 2 2 2" xfId="42989"/>
    <cellStyle name="Heading 2 2 4 3 5 2 3" xfId="42990"/>
    <cellStyle name="Heading 2 2 4 3 5 3" xfId="42991"/>
    <cellStyle name="Heading 2 2 4 3 5 3 2" xfId="42992"/>
    <cellStyle name="Heading 2 2 4 3 5 3 2 2" xfId="42993"/>
    <cellStyle name="Heading 2 2 4 3 5 3 3" xfId="42994"/>
    <cellStyle name="Heading 2 2 4 3 5 4" xfId="42995"/>
    <cellStyle name="Heading 2 2 4 3 5 4 2" xfId="42996"/>
    <cellStyle name="Heading 2 2 4 3 5 4 2 2" xfId="42997"/>
    <cellStyle name="Heading 2 2 4 3 5 4 3" xfId="42998"/>
    <cellStyle name="Heading 2 2 4 3 5 5" xfId="42999"/>
    <cellStyle name="Heading 2 2 4 3 5 5 2" xfId="43000"/>
    <cellStyle name="Heading 2 2 4 3 5 5 2 2" xfId="43001"/>
    <cellStyle name="Heading 2 2 4 3 5 5 3" xfId="43002"/>
    <cellStyle name="Heading 2 2 4 3 5 6" xfId="43003"/>
    <cellStyle name="Heading 2 2 4 3 5 6 2" xfId="43004"/>
    <cellStyle name="Heading 2 2 4 3 5 6 2 2" xfId="43005"/>
    <cellStyle name="Heading 2 2 4 3 5 6 3" xfId="43006"/>
    <cellStyle name="Heading 2 2 4 3 5 7" xfId="43007"/>
    <cellStyle name="Heading 2 2 4 3 5 7 2" xfId="43008"/>
    <cellStyle name="Heading 2 2 4 3 5 7 2 2" xfId="43009"/>
    <cellStyle name="Heading 2 2 4 3 5 7 3" xfId="43010"/>
    <cellStyle name="Heading 2 2 4 3 5 8" xfId="43011"/>
    <cellStyle name="Heading 2 2 4 3 5 8 2" xfId="43012"/>
    <cellStyle name="Heading 2 2 4 3 5 9" xfId="43013"/>
    <cellStyle name="Heading 2 2 4 3 6" xfId="43014"/>
    <cellStyle name="Heading 2 2 4 3 6 2" xfId="43015"/>
    <cellStyle name="Heading 2 2 4 3 6 2 2" xfId="43016"/>
    <cellStyle name="Heading 2 2 4 3 6 2 2 2" xfId="43017"/>
    <cellStyle name="Heading 2 2 4 3 6 2 3" xfId="43018"/>
    <cellStyle name="Heading 2 2 4 3 6 3" xfId="43019"/>
    <cellStyle name="Heading 2 2 4 3 6 3 2" xfId="43020"/>
    <cellStyle name="Heading 2 2 4 3 6 3 2 2" xfId="43021"/>
    <cellStyle name="Heading 2 2 4 3 6 3 3" xfId="43022"/>
    <cellStyle name="Heading 2 2 4 3 6 4" xfId="43023"/>
    <cellStyle name="Heading 2 2 4 3 6 4 2" xfId="43024"/>
    <cellStyle name="Heading 2 2 4 3 6 4 2 2" xfId="43025"/>
    <cellStyle name="Heading 2 2 4 3 6 4 3" xfId="43026"/>
    <cellStyle name="Heading 2 2 4 3 6 5" xfId="43027"/>
    <cellStyle name="Heading 2 2 4 3 6 5 2" xfId="43028"/>
    <cellStyle name="Heading 2 2 4 3 6 5 2 2" xfId="43029"/>
    <cellStyle name="Heading 2 2 4 3 6 5 3" xfId="43030"/>
    <cellStyle name="Heading 2 2 4 3 6 6" xfId="43031"/>
    <cellStyle name="Heading 2 2 4 3 6 6 2" xfId="43032"/>
    <cellStyle name="Heading 2 2 4 3 6 6 2 2" xfId="43033"/>
    <cellStyle name="Heading 2 2 4 3 6 6 3" xfId="43034"/>
    <cellStyle name="Heading 2 2 4 3 6 7" xfId="43035"/>
    <cellStyle name="Heading 2 2 4 3 6 7 2" xfId="43036"/>
    <cellStyle name="Heading 2 2 4 3 6 7 2 2" xfId="43037"/>
    <cellStyle name="Heading 2 2 4 3 6 7 3" xfId="43038"/>
    <cellStyle name="Heading 2 2 4 3 6 8" xfId="43039"/>
    <cellStyle name="Heading 2 2 4 3 6 8 2" xfId="43040"/>
    <cellStyle name="Heading 2 2 4 3 6 9" xfId="43041"/>
    <cellStyle name="Heading 2 2 4 3 7" xfId="43042"/>
    <cellStyle name="Heading 2 2 4 3 7 2" xfId="43043"/>
    <cellStyle name="Heading 2 2 4 3 7 2 2" xfId="43044"/>
    <cellStyle name="Heading 2 2 4 3 7 2 2 2" xfId="43045"/>
    <cellStyle name="Heading 2 2 4 3 7 2 3" xfId="43046"/>
    <cellStyle name="Heading 2 2 4 3 7 3" xfId="43047"/>
    <cellStyle name="Heading 2 2 4 3 7 3 2" xfId="43048"/>
    <cellStyle name="Heading 2 2 4 3 7 3 2 2" xfId="43049"/>
    <cellStyle name="Heading 2 2 4 3 7 3 3" xfId="43050"/>
    <cellStyle name="Heading 2 2 4 3 7 4" xfId="43051"/>
    <cellStyle name="Heading 2 2 4 3 7 4 2" xfId="43052"/>
    <cellStyle name="Heading 2 2 4 3 7 4 2 2" xfId="43053"/>
    <cellStyle name="Heading 2 2 4 3 7 4 3" xfId="43054"/>
    <cellStyle name="Heading 2 2 4 3 7 5" xfId="43055"/>
    <cellStyle name="Heading 2 2 4 3 7 5 2" xfId="43056"/>
    <cellStyle name="Heading 2 2 4 3 7 5 2 2" xfId="43057"/>
    <cellStyle name="Heading 2 2 4 3 7 5 3" xfId="43058"/>
    <cellStyle name="Heading 2 2 4 3 7 6" xfId="43059"/>
    <cellStyle name="Heading 2 2 4 3 7 6 2" xfId="43060"/>
    <cellStyle name="Heading 2 2 4 3 7 6 2 2" xfId="43061"/>
    <cellStyle name="Heading 2 2 4 3 7 6 3" xfId="43062"/>
    <cellStyle name="Heading 2 2 4 3 7 7" xfId="43063"/>
    <cellStyle name="Heading 2 2 4 3 7 7 2" xfId="43064"/>
    <cellStyle name="Heading 2 2 4 3 7 7 2 2" xfId="43065"/>
    <cellStyle name="Heading 2 2 4 3 7 7 3" xfId="43066"/>
    <cellStyle name="Heading 2 2 4 3 7 8" xfId="43067"/>
    <cellStyle name="Heading 2 2 4 3 7 8 2" xfId="43068"/>
    <cellStyle name="Heading 2 2 4 3 7 9" xfId="43069"/>
    <cellStyle name="Heading 2 2 4 3 8" xfId="43070"/>
    <cellStyle name="Heading 2 2 4 3 8 2" xfId="43071"/>
    <cellStyle name="Heading 2 2 4 3 8 2 2" xfId="43072"/>
    <cellStyle name="Heading 2 2 4 3 8 2 2 2" xfId="43073"/>
    <cellStyle name="Heading 2 2 4 3 8 2 3" xfId="43074"/>
    <cellStyle name="Heading 2 2 4 3 8 3" xfId="43075"/>
    <cellStyle name="Heading 2 2 4 3 8 3 2" xfId="43076"/>
    <cellStyle name="Heading 2 2 4 3 8 3 2 2" xfId="43077"/>
    <cellStyle name="Heading 2 2 4 3 8 3 3" xfId="43078"/>
    <cellStyle name="Heading 2 2 4 3 8 4" xfId="43079"/>
    <cellStyle name="Heading 2 2 4 3 8 4 2" xfId="43080"/>
    <cellStyle name="Heading 2 2 4 3 8 4 2 2" xfId="43081"/>
    <cellStyle name="Heading 2 2 4 3 8 4 3" xfId="43082"/>
    <cellStyle name="Heading 2 2 4 3 8 5" xfId="43083"/>
    <cellStyle name="Heading 2 2 4 3 8 5 2" xfId="43084"/>
    <cellStyle name="Heading 2 2 4 3 8 5 2 2" xfId="43085"/>
    <cellStyle name="Heading 2 2 4 3 8 5 3" xfId="43086"/>
    <cellStyle name="Heading 2 2 4 3 8 6" xfId="43087"/>
    <cellStyle name="Heading 2 2 4 3 8 6 2" xfId="43088"/>
    <cellStyle name="Heading 2 2 4 3 8 6 2 2" xfId="43089"/>
    <cellStyle name="Heading 2 2 4 3 8 6 3" xfId="43090"/>
    <cellStyle name="Heading 2 2 4 3 8 7" xfId="43091"/>
    <cellStyle name="Heading 2 2 4 3 8 7 2" xfId="43092"/>
    <cellStyle name="Heading 2 2 4 3 8 7 2 2" xfId="43093"/>
    <cellStyle name="Heading 2 2 4 3 8 7 3" xfId="43094"/>
    <cellStyle name="Heading 2 2 4 3 8 8" xfId="43095"/>
    <cellStyle name="Heading 2 2 4 3 8 8 2" xfId="43096"/>
    <cellStyle name="Heading 2 2 4 3 8 9" xfId="43097"/>
    <cellStyle name="Heading 2 2 4 3 9" xfId="43098"/>
    <cellStyle name="Heading 2 2 4 3 9 2" xfId="43099"/>
    <cellStyle name="Heading 2 2 4 3 9 2 2" xfId="43100"/>
    <cellStyle name="Heading 2 2 4 3 9 2 2 2" xfId="43101"/>
    <cellStyle name="Heading 2 2 4 3 9 2 3" xfId="43102"/>
    <cellStyle name="Heading 2 2 4 3 9 3" xfId="43103"/>
    <cellStyle name="Heading 2 2 4 3 9 3 2" xfId="43104"/>
    <cellStyle name="Heading 2 2 4 3 9 3 2 2" xfId="43105"/>
    <cellStyle name="Heading 2 2 4 3 9 3 3" xfId="43106"/>
    <cellStyle name="Heading 2 2 4 3 9 4" xfId="43107"/>
    <cellStyle name="Heading 2 2 4 3 9 4 2" xfId="43108"/>
    <cellStyle name="Heading 2 2 4 3 9 4 2 2" xfId="43109"/>
    <cellStyle name="Heading 2 2 4 3 9 4 3" xfId="43110"/>
    <cellStyle name="Heading 2 2 4 3 9 5" xfId="43111"/>
    <cellStyle name="Heading 2 2 4 3 9 5 2" xfId="43112"/>
    <cellStyle name="Heading 2 2 4 3 9 5 2 2" xfId="43113"/>
    <cellStyle name="Heading 2 2 4 3 9 5 3" xfId="43114"/>
    <cellStyle name="Heading 2 2 4 3 9 6" xfId="43115"/>
    <cellStyle name="Heading 2 2 4 3 9 6 2" xfId="43116"/>
    <cellStyle name="Heading 2 2 4 3 9 6 2 2" xfId="43117"/>
    <cellStyle name="Heading 2 2 4 3 9 6 3" xfId="43118"/>
    <cellStyle name="Heading 2 2 4 3 9 7" xfId="43119"/>
    <cellStyle name="Heading 2 2 4 3 9 7 2" xfId="43120"/>
    <cellStyle name="Heading 2 2 4 3 9 7 2 2" xfId="43121"/>
    <cellStyle name="Heading 2 2 4 3 9 7 3" xfId="43122"/>
    <cellStyle name="Heading 2 2 4 3 9 8" xfId="43123"/>
    <cellStyle name="Heading 2 2 4 3 9 8 2" xfId="43124"/>
    <cellStyle name="Heading 2 2 4 3 9 9" xfId="43125"/>
    <cellStyle name="Heading 2 2 4 4" xfId="43126"/>
    <cellStyle name="Heading 2 2 4 4 10" xfId="43127"/>
    <cellStyle name="Heading 2 2 4 4 10 2" xfId="43128"/>
    <cellStyle name="Heading 2 2 4 4 10 2 2" xfId="43129"/>
    <cellStyle name="Heading 2 2 4 4 10 3" xfId="43130"/>
    <cellStyle name="Heading 2 2 4 4 11" xfId="43131"/>
    <cellStyle name="Heading 2 2 4 4 11 2" xfId="43132"/>
    <cellStyle name="Heading 2 2 4 4 11 2 2" xfId="43133"/>
    <cellStyle name="Heading 2 2 4 4 11 3" xfId="43134"/>
    <cellStyle name="Heading 2 2 4 4 12" xfId="43135"/>
    <cellStyle name="Heading 2 2 4 4 12 2" xfId="43136"/>
    <cellStyle name="Heading 2 2 4 4 12 2 2" xfId="43137"/>
    <cellStyle name="Heading 2 2 4 4 12 3" xfId="43138"/>
    <cellStyle name="Heading 2 2 4 4 13" xfId="43139"/>
    <cellStyle name="Heading 2 2 4 4 13 2" xfId="43140"/>
    <cellStyle name="Heading 2 2 4 4 13 2 2" xfId="43141"/>
    <cellStyle name="Heading 2 2 4 4 13 3" xfId="43142"/>
    <cellStyle name="Heading 2 2 4 4 14" xfId="43143"/>
    <cellStyle name="Heading 2 2 4 4 14 2" xfId="43144"/>
    <cellStyle name="Heading 2 2 4 4 14 2 2" xfId="43145"/>
    <cellStyle name="Heading 2 2 4 4 14 3" xfId="43146"/>
    <cellStyle name="Heading 2 2 4 4 15" xfId="43147"/>
    <cellStyle name="Heading 2 2 4 4 15 2" xfId="43148"/>
    <cellStyle name="Heading 2 2 4 4 15 2 2" xfId="43149"/>
    <cellStyle name="Heading 2 2 4 4 15 3" xfId="43150"/>
    <cellStyle name="Heading 2 2 4 4 16" xfId="43151"/>
    <cellStyle name="Heading 2 2 4 4 16 2" xfId="43152"/>
    <cellStyle name="Heading 2 2 4 4 16 2 2" xfId="43153"/>
    <cellStyle name="Heading 2 2 4 4 16 3" xfId="43154"/>
    <cellStyle name="Heading 2 2 4 4 17" xfId="43155"/>
    <cellStyle name="Heading 2 2 4 4 17 2" xfId="43156"/>
    <cellStyle name="Heading 2 2 4 4 17 2 2" xfId="43157"/>
    <cellStyle name="Heading 2 2 4 4 17 3" xfId="43158"/>
    <cellStyle name="Heading 2 2 4 4 18" xfId="43159"/>
    <cellStyle name="Heading 2 2 4 4 18 2" xfId="43160"/>
    <cellStyle name="Heading 2 2 4 4 18 2 2" xfId="43161"/>
    <cellStyle name="Heading 2 2 4 4 18 3" xfId="43162"/>
    <cellStyle name="Heading 2 2 4 4 19" xfId="43163"/>
    <cellStyle name="Heading 2 2 4 4 19 2" xfId="43164"/>
    <cellStyle name="Heading 2 2 4 4 2" xfId="43165"/>
    <cellStyle name="Heading 2 2 4 4 2 2" xfId="43166"/>
    <cellStyle name="Heading 2 2 4 4 2 2 2" xfId="43167"/>
    <cellStyle name="Heading 2 2 4 4 2 2 2 2" xfId="43168"/>
    <cellStyle name="Heading 2 2 4 4 2 2 3" xfId="43169"/>
    <cellStyle name="Heading 2 2 4 4 2 3" xfId="43170"/>
    <cellStyle name="Heading 2 2 4 4 2 3 2" xfId="43171"/>
    <cellStyle name="Heading 2 2 4 4 2 3 2 2" xfId="43172"/>
    <cellStyle name="Heading 2 2 4 4 2 3 3" xfId="43173"/>
    <cellStyle name="Heading 2 2 4 4 2 4" xfId="43174"/>
    <cellStyle name="Heading 2 2 4 4 2 4 2" xfId="43175"/>
    <cellStyle name="Heading 2 2 4 4 2 4 2 2" xfId="43176"/>
    <cellStyle name="Heading 2 2 4 4 2 4 3" xfId="43177"/>
    <cellStyle name="Heading 2 2 4 4 2 5" xfId="43178"/>
    <cellStyle name="Heading 2 2 4 4 2 5 2" xfId="43179"/>
    <cellStyle name="Heading 2 2 4 4 2 5 2 2" xfId="43180"/>
    <cellStyle name="Heading 2 2 4 4 2 5 3" xfId="43181"/>
    <cellStyle name="Heading 2 2 4 4 2 6" xfId="43182"/>
    <cellStyle name="Heading 2 2 4 4 2 6 2" xfId="43183"/>
    <cellStyle name="Heading 2 2 4 4 2 6 2 2" xfId="43184"/>
    <cellStyle name="Heading 2 2 4 4 2 6 3" xfId="43185"/>
    <cellStyle name="Heading 2 2 4 4 2 7" xfId="43186"/>
    <cellStyle name="Heading 2 2 4 4 2 7 2" xfId="43187"/>
    <cellStyle name="Heading 2 2 4 4 2 7 2 2" xfId="43188"/>
    <cellStyle name="Heading 2 2 4 4 2 7 3" xfId="43189"/>
    <cellStyle name="Heading 2 2 4 4 2 8" xfId="43190"/>
    <cellStyle name="Heading 2 2 4 4 2 8 2" xfId="43191"/>
    <cellStyle name="Heading 2 2 4 4 2 9" xfId="43192"/>
    <cellStyle name="Heading 2 2 4 4 20" xfId="43193"/>
    <cellStyle name="Heading 2 2 4 4 20 2" xfId="43194"/>
    <cellStyle name="Heading 2 2 4 4 21" xfId="43195"/>
    <cellStyle name="Heading 2 2 4 4 21 2" xfId="43196"/>
    <cellStyle name="Heading 2 2 4 4 22" xfId="43197"/>
    <cellStyle name="Heading 2 2 4 4 3" xfId="43198"/>
    <cellStyle name="Heading 2 2 4 4 3 2" xfId="43199"/>
    <cellStyle name="Heading 2 2 4 4 3 2 2" xfId="43200"/>
    <cellStyle name="Heading 2 2 4 4 3 2 2 2" xfId="43201"/>
    <cellStyle name="Heading 2 2 4 4 3 2 3" xfId="43202"/>
    <cellStyle name="Heading 2 2 4 4 3 3" xfId="43203"/>
    <cellStyle name="Heading 2 2 4 4 3 3 2" xfId="43204"/>
    <cellStyle name="Heading 2 2 4 4 3 3 2 2" xfId="43205"/>
    <cellStyle name="Heading 2 2 4 4 3 3 3" xfId="43206"/>
    <cellStyle name="Heading 2 2 4 4 3 4" xfId="43207"/>
    <cellStyle name="Heading 2 2 4 4 3 4 2" xfId="43208"/>
    <cellStyle name="Heading 2 2 4 4 3 4 2 2" xfId="43209"/>
    <cellStyle name="Heading 2 2 4 4 3 4 3" xfId="43210"/>
    <cellStyle name="Heading 2 2 4 4 3 5" xfId="43211"/>
    <cellStyle name="Heading 2 2 4 4 3 5 2" xfId="43212"/>
    <cellStyle name="Heading 2 2 4 4 3 5 2 2" xfId="43213"/>
    <cellStyle name="Heading 2 2 4 4 3 5 3" xfId="43214"/>
    <cellStyle name="Heading 2 2 4 4 3 6" xfId="43215"/>
    <cellStyle name="Heading 2 2 4 4 3 6 2" xfId="43216"/>
    <cellStyle name="Heading 2 2 4 4 3 6 2 2" xfId="43217"/>
    <cellStyle name="Heading 2 2 4 4 3 6 3" xfId="43218"/>
    <cellStyle name="Heading 2 2 4 4 3 7" xfId="43219"/>
    <cellStyle name="Heading 2 2 4 4 3 7 2" xfId="43220"/>
    <cellStyle name="Heading 2 2 4 4 3 7 2 2" xfId="43221"/>
    <cellStyle name="Heading 2 2 4 4 3 7 3" xfId="43222"/>
    <cellStyle name="Heading 2 2 4 4 3 8" xfId="43223"/>
    <cellStyle name="Heading 2 2 4 4 3 8 2" xfId="43224"/>
    <cellStyle name="Heading 2 2 4 4 3 9" xfId="43225"/>
    <cellStyle name="Heading 2 2 4 4 4" xfId="43226"/>
    <cellStyle name="Heading 2 2 4 4 4 2" xfId="43227"/>
    <cellStyle name="Heading 2 2 4 4 4 2 2" xfId="43228"/>
    <cellStyle name="Heading 2 2 4 4 4 2 2 2" xfId="43229"/>
    <cellStyle name="Heading 2 2 4 4 4 2 3" xfId="43230"/>
    <cellStyle name="Heading 2 2 4 4 4 3" xfId="43231"/>
    <cellStyle name="Heading 2 2 4 4 4 3 2" xfId="43232"/>
    <cellStyle name="Heading 2 2 4 4 4 3 2 2" xfId="43233"/>
    <cellStyle name="Heading 2 2 4 4 4 3 3" xfId="43234"/>
    <cellStyle name="Heading 2 2 4 4 4 4" xfId="43235"/>
    <cellStyle name="Heading 2 2 4 4 4 4 2" xfId="43236"/>
    <cellStyle name="Heading 2 2 4 4 4 4 2 2" xfId="43237"/>
    <cellStyle name="Heading 2 2 4 4 4 4 3" xfId="43238"/>
    <cellStyle name="Heading 2 2 4 4 4 5" xfId="43239"/>
    <cellStyle name="Heading 2 2 4 4 4 5 2" xfId="43240"/>
    <cellStyle name="Heading 2 2 4 4 4 5 2 2" xfId="43241"/>
    <cellStyle name="Heading 2 2 4 4 4 5 3" xfId="43242"/>
    <cellStyle name="Heading 2 2 4 4 4 6" xfId="43243"/>
    <cellStyle name="Heading 2 2 4 4 4 6 2" xfId="43244"/>
    <cellStyle name="Heading 2 2 4 4 4 6 2 2" xfId="43245"/>
    <cellStyle name="Heading 2 2 4 4 4 6 3" xfId="43246"/>
    <cellStyle name="Heading 2 2 4 4 4 7" xfId="43247"/>
    <cellStyle name="Heading 2 2 4 4 4 7 2" xfId="43248"/>
    <cellStyle name="Heading 2 2 4 4 4 7 2 2" xfId="43249"/>
    <cellStyle name="Heading 2 2 4 4 4 7 3" xfId="43250"/>
    <cellStyle name="Heading 2 2 4 4 4 8" xfId="43251"/>
    <cellStyle name="Heading 2 2 4 4 4 8 2" xfId="43252"/>
    <cellStyle name="Heading 2 2 4 4 4 9" xfId="43253"/>
    <cellStyle name="Heading 2 2 4 4 5" xfId="43254"/>
    <cellStyle name="Heading 2 2 4 4 5 2" xfId="43255"/>
    <cellStyle name="Heading 2 2 4 4 5 2 2" xfId="43256"/>
    <cellStyle name="Heading 2 2 4 4 5 2 2 2" xfId="43257"/>
    <cellStyle name="Heading 2 2 4 4 5 2 3" xfId="43258"/>
    <cellStyle name="Heading 2 2 4 4 5 3" xfId="43259"/>
    <cellStyle name="Heading 2 2 4 4 5 3 2" xfId="43260"/>
    <cellStyle name="Heading 2 2 4 4 5 3 2 2" xfId="43261"/>
    <cellStyle name="Heading 2 2 4 4 5 3 3" xfId="43262"/>
    <cellStyle name="Heading 2 2 4 4 5 4" xfId="43263"/>
    <cellStyle name="Heading 2 2 4 4 5 4 2" xfId="43264"/>
    <cellStyle name="Heading 2 2 4 4 5 4 2 2" xfId="43265"/>
    <cellStyle name="Heading 2 2 4 4 5 4 3" xfId="43266"/>
    <cellStyle name="Heading 2 2 4 4 5 5" xfId="43267"/>
    <cellStyle name="Heading 2 2 4 4 5 5 2" xfId="43268"/>
    <cellStyle name="Heading 2 2 4 4 5 5 2 2" xfId="43269"/>
    <cellStyle name="Heading 2 2 4 4 5 5 3" xfId="43270"/>
    <cellStyle name="Heading 2 2 4 4 5 6" xfId="43271"/>
    <cellStyle name="Heading 2 2 4 4 5 6 2" xfId="43272"/>
    <cellStyle name="Heading 2 2 4 4 5 6 2 2" xfId="43273"/>
    <cellStyle name="Heading 2 2 4 4 5 6 3" xfId="43274"/>
    <cellStyle name="Heading 2 2 4 4 5 7" xfId="43275"/>
    <cellStyle name="Heading 2 2 4 4 5 7 2" xfId="43276"/>
    <cellStyle name="Heading 2 2 4 4 5 7 2 2" xfId="43277"/>
    <cellStyle name="Heading 2 2 4 4 5 7 3" xfId="43278"/>
    <cellStyle name="Heading 2 2 4 4 5 8" xfId="43279"/>
    <cellStyle name="Heading 2 2 4 4 5 8 2" xfId="43280"/>
    <cellStyle name="Heading 2 2 4 4 5 9" xfId="43281"/>
    <cellStyle name="Heading 2 2 4 4 6" xfId="43282"/>
    <cellStyle name="Heading 2 2 4 4 6 2" xfId="43283"/>
    <cellStyle name="Heading 2 2 4 4 6 2 2" xfId="43284"/>
    <cellStyle name="Heading 2 2 4 4 6 2 2 2" xfId="43285"/>
    <cellStyle name="Heading 2 2 4 4 6 2 3" xfId="43286"/>
    <cellStyle name="Heading 2 2 4 4 6 3" xfId="43287"/>
    <cellStyle name="Heading 2 2 4 4 6 3 2" xfId="43288"/>
    <cellStyle name="Heading 2 2 4 4 6 3 2 2" xfId="43289"/>
    <cellStyle name="Heading 2 2 4 4 6 3 3" xfId="43290"/>
    <cellStyle name="Heading 2 2 4 4 6 4" xfId="43291"/>
    <cellStyle name="Heading 2 2 4 4 6 4 2" xfId="43292"/>
    <cellStyle name="Heading 2 2 4 4 6 4 2 2" xfId="43293"/>
    <cellStyle name="Heading 2 2 4 4 6 4 3" xfId="43294"/>
    <cellStyle name="Heading 2 2 4 4 6 5" xfId="43295"/>
    <cellStyle name="Heading 2 2 4 4 6 5 2" xfId="43296"/>
    <cellStyle name="Heading 2 2 4 4 6 5 2 2" xfId="43297"/>
    <cellStyle name="Heading 2 2 4 4 6 5 3" xfId="43298"/>
    <cellStyle name="Heading 2 2 4 4 6 6" xfId="43299"/>
    <cellStyle name="Heading 2 2 4 4 6 6 2" xfId="43300"/>
    <cellStyle name="Heading 2 2 4 4 6 6 2 2" xfId="43301"/>
    <cellStyle name="Heading 2 2 4 4 6 6 3" xfId="43302"/>
    <cellStyle name="Heading 2 2 4 4 6 7" xfId="43303"/>
    <cellStyle name="Heading 2 2 4 4 6 7 2" xfId="43304"/>
    <cellStyle name="Heading 2 2 4 4 6 7 2 2" xfId="43305"/>
    <cellStyle name="Heading 2 2 4 4 6 7 3" xfId="43306"/>
    <cellStyle name="Heading 2 2 4 4 6 8" xfId="43307"/>
    <cellStyle name="Heading 2 2 4 4 6 8 2" xfId="43308"/>
    <cellStyle name="Heading 2 2 4 4 6 9" xfId="43309"/>
    <cellStyle name="Heading 2 2 4 4 7" xfId="43310"/>
    <cellStyle name="Heading 2 2 4 4 7 2" xfId="43311"/>
    <cellStyle name="Heading 2 2 4 4 7 2 2" xfId="43312"/>
    <cellStyle name="Heading 2 2 4 4 7 2 2 2" xfId="43313"/>
    <cellStyle name="Heading 2 2 4 4 7 2 3" xfId="43314"/>
    <cellStyle name="Heading 2 2 4 4 7 3" xfId="43315"/>
    <cellStyle name="Heading 2 2 4 4 7 3 2" xfId="43316"/>
    <cellStyle name="Heading 2 2 4 4 7 3 2 2" xfId="43317"/>
    <cellStyle name="Heading 2 2 4 4 7 3 3" xfId="43318"/>
    <cellStyle name="Heading 2 2 4 4 7 4" xfId="43319"/>
    <cellStyle name="Heading 2 2 4 4 7 4 2" xfId="43320"/>
    <cellStyle name="Heading 2 2 4 4 7 4 2 2" xfId="43321"/>
    <cellStyle name="Heading 2 2 4 4 7 4 3" xfId="43322"/>
    <cellStyle name="Heading 2 2 4 4 7 5" xfId="43323"/>
    <cellStyle name="Heading 2 2 4 4 7 5 2" xfId="43324"/>
    <cellStyle name="Heading 2 2 4 4 7 5 2 2" xfId="43325"/>
    <cellStyle name="Heading 2 2 4 4 7 5 3" xfId="43326"/>
    <cellStyle name="Heading 2 2 4 4 7 6" xfId="43327"/>
    <cellStyle name="Heading 2 2 4 4 7 6 2" xfId="43328"/>
    <cellStyle name="Heading 2 2 4 4 7 6 2 2" xfId="43329"/>
    <cellStyle name="Heading 2 2 4 4 7 6 3" xfId="43330"/>
    <cellStyle name="Heading 2 2 4 4 7 7" xfId="43331"/>
    <cellStyle name="Heading 2 2 4 4 7 7 2" xfId="43332"/>
    <cellStyle name="Heading 2 2 4 4 7 7 2 2" xfId="43333"/>
    <cellStyle name="Heading 2 2 4 4 7 7 3" xfId="43334"/>
    <cellStyle name="Heading 2 2 4 4 7 8" xfId="43335"/>
    <cellStyle name="Heading 2 2 4 4 7 8 2" xfId="43336"/>
    <cellStyle name="Heading 2 2 4 4 7 9" xfId="43337"/>
    <cellStyle name="Heading 2 2 4 4 8" xfId="43338"/>
    <cellStyle name="Heading 2 2 4 4 8 2" xfId="43339"/>
    <cellStyle name="Heading 2 2 4 4 8 2 2" xfId="43340"/>
    <cellStyle name="Heading 2 2 4 4 8 2 2 2" xfId="43341"/>
    <cellStyle name="Heading 2 2 4 4 8 2 3" xfId="43342"/>
    <cellStyle name="Heading 2 2 4 4 8 3" xfId="43343"/>
    <cellStyle name="Heading 2 2 4 4 8 3 2" xfId="43344"/>
    <cellStyle name="Heading 2 2 4 4 8 3 2 2" xfId="43345"/>
    <cellStyle name="Heading 2 2 4 4 8 3 3" xfId="43346"/>
    <cellStyle name="Heading 2 2 4 4 8 4" xfId="43347"/>
    <cellStyle name="Heading 2 2 4 4 8 4 2" xfId="43348"/>
    <cellStyle name="Heading 2 2 4 4 8 4 2 2" xfId="43349"/>
    <cellStyle name="Heading 2 2 4 4 8 4 3" xfId="43350"/>
    <cellStyle name="Heading 2 2 4 4 8 5" xfId="43351"/>
    <cellStyle name="Heading 2 2 4 4 8 5 2" xfId="43352"/>
    <cellStyle name="Heading 2 2 4 4 8 5 2 2" xfId="43353"/>
    <cellStyle name="Heading 2 2 4 4 8 5 3" xfId="43354"/>
    <cellStyle name="Heading 2 2 4 4 8 6" xfId="43355"/>
    <cellStyle name="Heading 2 2 4 4 8 6 2" xfId="43356"/>
    <cellStyle name="Heading 2 2 4 4 8 6 2 2" xfId="43357"/>
    <cellStyle name="Heading 2 2 4 4 8 6 3" xfId="43358"/>
    <cellStyle name="Heading 2 2 4 4 8 7" xfId="43359"/>
    <cellStyle name="Heading 2 2 4 4 8 7 2" xfId="43360"/>
    <cellStyle name="Heading 2 2 4 4 8 7 2 2" xfId="43361"/>
    <cellStyle name="Heading 2 2 4 4 8 7 3" xfId="43362"/>
    <cellStyle name="Heading 2 2 4 4 8 8" xfId="43363"/>
    <cellStyle name="Heading 2 2 4 4 8 8 2" xfId="43364"/>
    <cellStyle name="Heading 2 2 4 4 8 9" xfId="43365"/>
    <cellStyle name="Heading 2 2 4 4 9" xfId="43366"/>
    <cellStyle name="Heading 2 2 4 4 9 2" xfId="43367"/>
    <cellStyle name="Heading 2 2 4 4 9 2 2" xfId="43368"/>
    <cellStyle name="Heading 2 2 4 4 9 3" xfId="43369"/>
    <cellStyle name="Heading 2 2 4 5" xfId="43370"/>
    <cellStyle name="Heading 2 2 4 5 2" xfId="43371"/>
    <cellStyle name="Heading 2 2 4 5 2 2" xfId="43372"/>
    <cellStyle name="Heading 2 2 4 5 3" xfId="43373"/>
    <cellStyle name="Heading 2 2 4 6" xfId="43374"/>
    <cellStyle name="Heading 2 2 4 6 2" xfId="43375"/>
    <cellStyle name="Heading 2 2 4 7" xfId="43376"/>
    <cellStyle name="Heading 2 2 5" xfId="43377"/>
    <cellStyle name="Heading 2 2 5 2" xfId="43378"/>
    <cellStyle name="Heading 2 2 5 2 10" xfId="43379"/>
    <cellStyle name="Heading 2 2 5 2 10 2" xfId="43380"/>
    <cellStyle name="Heading 2 2 5 2 10 2 2" xfId="43381"/>
    <cellStyle name="Heading 2 2 5 2 10 3" xfId="43382"/>
    <cellStyle name="Heading 2 2 5 2 11" xfId="43383"/>
    <cellStyle name="Heading 2 2 5 2 11 2" xfId="43384"/>
    <cellStyle name="Heading 2 2 5 2 11 2 2" xfId="43385"/>
    <cellStyle name="Heading 2 2 5 2 11 3" xfId="43386"/>
    <cellStyle name="Heading 2 2 5 2 12" xfId="43387"/>
    <cellStyle name="Heading 2 2 5 2 12 2" xfId="43388"/>
    <cellStyle name="Heading 2 2 5 2 12 2 2" xfId="43389"/>
    <cellStyle name="Heading 2 2 5 2 12 3" xfId="43390"/>
    <cellStyle name="Heading 2 2 5 2 13" xfId="43391"/>
    <cellStyle name="Heading 2 2 5 2 13 2" xfId="43392"/>
    <cellStyle name="Heading 2 2 5 2 13 2 2" xfId="43393"/>
    <cellStyle name="Heading 2 2 5 2 13 3" xfId="43394"/>
    <cellStyle name="Heading 2 2 5 2 14" xfId="43395"/>
    <cellStyle name="Heading 2 2 5 2 14 2" xfId="43396"/>
    <cellStyle name="Heading 2 2 5 2 14 2 2" xfId="43397"/>
    <cellStyle name="Heading 2 2 5 2 14 3" xfId="43398"/>
    <cellStyle name="Heading 2 2 5 2 15" xfId="43399"/>
    <cellStyle name="Heading 2 2 5 2 15 2" xfId="43400"/>
    <cellStyle name="Heading 2 2 5 2 15 2 2" xfId="43401"/>
    <cellStyle name="Heading 2 2 5 2 15 3" xfId="43402"/>
    <cellStyle name="Heading 2 2 5 2 16" xfId="43403"/>
    <cellStyle name="Heading 2 2 5 2 16 2" xfId="43404"/>
    <cellStyle name="Heading 2 2 5 2 16 2 2" xfId="43405"/>
    <cellStyle name="Heading 2 2 5 2 16 3" xfId="43406"/>
    <cellStyle name="Heading 2 2 5 2 17" xfId="43407"/>
    <cellStyle name="Heading 2 2 5 2 17 2" xfId="43408"/>
    <cellStyle name="Heading 2 2 5 2 17 2 2" xfId="43409"/>
    <cellStyle name="Heading 2 2 5 2 17 3" xfId="43410"/>
    <cellStyle name="Heading 2 2 5 2 18" xfId="43411"/>
    <cellStyle name="Heading 2 2 5 2 18 2" xfId="43412"/>
    <cellStyle name="Heading 2 2 5 2 18 2 2" xfId="43413"/>
    <cellStyle name="Heading 2 2 5 2 18 3" xfId="43414"/>
    <cellStyle name="Heading 2 2 5 2 19" xfId="43415"/>
    <cellStyle name="Heading 2 2 5 2 19 2" xfId="43416"/>
    <cellStyle name="Heading 2 2 5 2 19 2 2" xfId="43417"/>
    <cellStyle name="Heading 2 2 5 2 19 3" xfId="43418"/>
    <cellStyle name="Heading 2 2 5 2 2" xfId="43419"/>
    <cellStyle name="Heading 2 2 5 2 2 10" xfId="43420"/>
    <cellStyle name="Heading 2 2 5 2 2 10 2" xfId="43421"/>
    <cellStyle name="Heading 2 2 5 2 2 10 2 2" xfId="43422"/>
    <cellStyle name="Heading 2 2 5 2 2 10 3" xfId="43423"/>
    <cellStyle name="Heading 2 2 5 2 2 11" xfId="43424"/>
    <cellStyle name="Heading 2 2 5 2 2 11 2" xfId="43425"/>
    <cellStyle name="Heading 2 2 5 2 2 11 2 2" xfId="43426"/>
    <cellStyle name="Heading 2 2 5 2 2 11 3" xfId="43427"/>
    <cellStyle name="Heading 2 2 5 2 2 12" xfId="43428"/>
    <cellStyle name="Heading 2 2 5 2 2 12 2" xfId="43429"/>
    <cellStyle name="Heading 2 2 5 2 2 12 2 2" xfId="43430"/>
    <cellStyle name="Heading 2 2 5 2 2 12 3" xfId="43431"/>
    <cellStyle name="Heading 2 2 5 2 2 13" xfId="43432"/>
    <cellStyle name="Heading 2 2 5 2 2 13 2" xfId="43433"/>
    <cellStyle name="Heading 2 2 5 2 2 13 2 2" xfId="43434"/>
    <cellStyle name="Heading 2 2 5 2 2 13 3" xfId="43435"/>
    <cellStyle name="Heading 2 2 5 2 2 14" xfId="43436"/>
    <cellStyle name="Heading 2 2 5 2 2 14 2" xfId="43437"/>
    <cellStyle name="Heading 2 2 5 2 2 14 2 2" xfId="43438"/>
    <cellStyle name="Heading 2 2 5 2 2 14 3" xfId="43439"/>
    <cellStyle name="Heading 2 2 5 2 2 15" xfId="43440"/>
    <cellStyle name="Heading 2 2 5 2 2 15 2" xfId="43441"/>
    <cellStyle name="Heading 2 2 5 2 2 15 2 2" xfId="43442"/>
    <cellStyle name="Heading 2 2 5 2 2 15 3" xfId="43443"/>
    <cellStyle name="Heading 2 2 5 2 2 16" xfId="43444"/>
    <cellStyle name="Heading 2 2 5 2 2 16 2" xfId="43445"/>
    <cellStyle name="Heading 2 2 5 2 2 16 2 2" xfId="43446"/>
    <cellStyle name="Heading 2 2 5 2 2 16 3" xfId="43447"/>
    <cellStyle name="Heading 2 2 5 2 2 17" xfId="43448"/>
    <cellStyle name="Heading 2 2 5 2 2 17 2" xfId="43449"/>
    <cellStyle name="Heading 2 2 5 2 2 17 2 2" xfId="43450"/>
    <cellStyle name="Heading 2 2 5 2 2 17 3" xfId="43451"/>
    <cellStyle name="Heading 2 2 5 2 2 18" xfId="43452"/>
    <cellStyle name="Heading 2 2 5 2 2 18 2" xfId="43453"/>
    <cellStyle name="Heading 2 2 5 2 2 18 2 2" xfId="43454"/>
    <cellStyle name="Heading 2 2 5 2 2 18 3" xfId="43455"/>
    <cellStyle name="Heading 2 2 5 2 2 19" xfId="43456"/>
    <cellStyle name="Heading 2 2 5 2 2 19 2" xfId="43457"/>
    <cellStyle name="Heading 2 2 5 2 2 2" xfId="43458"/>
    <cellStyle name="Heading 2 2 5 2 2 2 2" xfId="43459"/>
    <cellStyle name="Heading 2 2 5 2 2 2 2 2" xfId="43460"/>
    <cellStyle name="Heading 2 2 5 2 2 2 2 2 2" xfId="43461"/>
    <cellStyle name="Heading 2 2 5 2 2 2 2 3" xfId="43462"/>
    <cellStyle name="Heading 2 2 5 2 2 2 3" xfId="43463"/>
    <cellStyle name="Heading 2 2 5 2 2 2 3 2" xfId="43464"/>
    <cellStyle name="Heading 2 2 5 2 2 2 3 2 2" xfId="43465"/>
    <cellStyle name="Heading 2 2 5 2 2 2 3 3" xfId="43466"/>
    <cellStyle name="Heading 2 2 5 2 2 2 4" xfId="43467"/>
    <cellStyle name="Heading 2 2 5 2 2 2 4 2" xfId="43468"/>
    <cellStyle name="Heading 2 2 5 2 2 2 4 2 2" xfId="43469"/>
    <cellStyle name="Heading 2 2 5 2 2 2 4 3" xfId="43470"/>
    <cellStyle name="Heading 2 2 5 2 2 2 5" xfId="43471"/>
    <cellStyle name="Heading 2 2 5 2 2 2 5 2" xfId="43472"/>
    <cellStyle name="Heading 2 2 5 2 2 2 5 2 2" xfId="43473"/>
    <cellStyle name="Heading 2 2 5 2 2 2 5 3" xfId="43474"/>
    <cellStyle name="Heading 2 2 5 2 2 2 6" xfId="43475"/>
    <cellStyle name="Heading 2 2 5 2 2 2 6 2" xfId="43476"/>
    <cellStyle name="Heading 2 2 5 2 2 2 6 2 2" xfId="43477"/>
    <cellStyle name="Heading 2 2 5 2 2 2 6 3" xfId="43478"/>
    <cellStyle name="Heading 2 2 5 2 2 2 7" xfId="43479"/>
    <cellStyle name="Heading 2 2 5 2 2 2 7 2" xfId="43480"/>
    <cellStyle name="Heading 2 2 5 2 2 2 7 2 2" xfId="43481"/>
    <cellStyle name="Heading 2 2 5 2 2 2 7 3" xfId="43482"/>
    <cellStyle name="Heading 2 2 5 2 2 2 8" xfId="43483"/>
    <cellStyle name="Heading 2 2 5 2 2 2 8 2" xfId="43484"/>
    <cellStyle name="Heading 2 2 5 2 2 2 9" xfId="43485"/>
    <cellStyle name="Heading 2 2 5 2 2 20" xfId="43486"/>
    <cellStyle name="Heading 2 2 5 2 2 20 2" xfId="43487"/>
    <cellStyle name="Heading 2 2 5 2 2 21" xfId="43488"/>
    <cellStyle name="Heading 2 2 5 2 2 21 2" xfId="43489"/>
    <cellStyle name="Heading 2 2 5 2 2 22" xfId="43490"/>
    <cellStyle name="Heading 2 2 5 2 2 3" xfId="43491"/>
    <cellStyle name="Heading 2 2 5 2 2 3 2" xfId="43492"/>
    <cellStyle name="Heading 2 2 5 2 2 3 2 2" xfId="43493"/>
    <cellStyle name="Heading 2 2 5 2 2 3 2 2 2" xfId="43494"/>
    <cellStyle name="Heading 2 2 5 2 2 3 2 3" xfId="43495"/>
    <cellStyle name="Heading 2 2 5 2 2 3 3" xfId="43496"/>
    <cellStyle name="Heading 2 2 5 2 2 3 3 2" xfId="43497"/>
    <cellStyle name="Heading 2 2 5 2 2 3 3 2 2" xfId="43498"/>
    <cellStyle name="Heading 2 2 5 2 2 3 3 3" xfId="43499"/>
    <cellStyle name="Heading 2 2 5 2 2 3 4" xfId="43500"/>
    <cellStyle name="Heading 2 2 5 2 2 3 4 2" xfId="43501"/>
    <cellStyle name="Heading 2 2 5 2 2 3 4 2 2" xfId="43502"/>
    <cellStyle name="Heading 2 2 5 2 2 3 4 3" xfId="43503"/>
    <cellStyle name="Heading 2 2 5 2 2 3 5" xfId="43504"/>
    <cellStyle name="Heading 2 2 5 2 2 3 5 2" xfId="43505"/>
    <cellStyle name="Heading 2 2 5 2 2 3 5 2 2" xfId="43506"/>
    <cellStyle name="Heading 2 2 5 2 2 3 5 3" xfId="43507"/>
    <cellStyle name="Heading 2 2 5 2 2 3 6" xfId="43508"/>
    <cellStyle name="Heading 2 2 5 2 2 3 6 2" xfId="43509"/>
    <cellStyle name="Heading 2 2 5 2 2 3 6 2 2" xfId="43510"/>
    <cellStyle name="Heading 2 2 5 2 2 3 6 3" xfId="43511"/>
    <cellStyle name="Heading 2 2 5 2 2 3 7" xfId="43512"/>
    <cellStyle name="Heading 2 2 5 2 2 3 7 2" xfId="43513"/>
    <cellStyle name="Heading 2 2 5 2 2 3 7 2 2" xfId="43514"/>
    <cellStyle name="Heading 2 2 5 2 2 3 7 3" xfId="43515"/>
    <cellStyle name="Heading 2 2 5 2 2 3 8" xfId="43516"/>
    <cellStyle name="Heading 2 2 5 2 2 3 8 2" xfId="43517"/>
    <cellStyle name="Heading 2 2 5 2 2 3 9" xfId="43518"/>
    <cellStyle name="Heading 2 2 5 2 2 4" xfId="43519"/>
    <cellStyle name="Heading 2 2 5 2 2 4 2" xfId="43520"/>
    <cellStyle name="Heading 2 2 5 2 2 4 2 2" xfId="43521"/>
    <cellStyle name="Heading 2 2 5 2 2 4 2 2 2" xfId="43522"/>
    <cellStyle name="Heading 2 2 5 2 2 4 2 3" xfId="43523"/>
    <cellStyle name="Heading 2 2 5 2 2 4 3" xfId="43524"/>
    <cellStyle name="Heading 2 2 5 2 2 4 3 2" xfId="43525"/>
    <cellStyle name="Heading 2 2 5 2 2 4 3 2 2" xfId="43526"/>
    <cellStyle name="Heading 2 2 5 2 2 4 3 3" xfId="43527"/>
    <cellStyle name="Heading 2 2 5 2 2 4 4" xfId="43528"/>
    <cellStyle name="Heading 2 2 5 2 2 4 4 2" xfId="43529"/>
    <cellStyle name="Heading 2 2 5 2 2 4 4 2 2" xfId="43530"/>
    <cellStyle name="Heading 2 2 5 2 2 4 4 3" xfId="43531"/>
    <cellStyle name="Heading 2 2 5 2 2 4 5" xfId="43532"/>
    <cellStyle name="Heading 2 2 5 2 2 4 5 2" xfId="43533"/>
    <cellStyle name="Heading 2 2 5 2 2 4 5 2 2" xfId="43534"/>
    <cellStyle name="Heading 2 2 5 2 2 4 5 3" xfId="43535"/>
    <cellStyle name="Heading 2 2 5 2 2 4 6" xfId="43536"/>
    <cellStyle name="Heading 2 2 5 2 2 4 6 2" xfId="43537"/>
    <cellStyle name="Heading 2 2 5 2 2 4 6 2 2" xfId="43538"/>
    <cellStyle name="Heading 2 2 5 2 2 4 6 3" xfId="43539"/>
    <cellStyle name="Heading 2 2 5 2 2 4 7" xfId="43540"/>
    <cellStyle name="Heading 2 2 5 2 2 4 7 2" xfId="43541"/>
    <cellStyle name="Heading 2 2 5 2 2 4 7 2 2" xfId="43542"/>
    <cellStyle name="Heading 2 2 5 2 2 4 7 3" xfId="43543"/>
    <cellStyle name="Heading 2 2 5 2 2 4 8" xfId="43544"/>
    <cellStyle name="Heading 2 2 5 2 2 4 8 2" xfId="43545"/>
    <cellStyle name="Heading 2 2 5 2 2 4 9" xfId="43546"/>
    <cellStyle name="Heading 2 2 5 2 2 5" xfId="43547"/>
    <cellStyle name="Heading 2 2 5 2 2 5 2" xfId="43548"/>
    <cellStyle name="Heading 2 2 5 2 2 5 2 2" xfId="43549"/>
    <cellStyle name="Heading 2 2 5 2 2 5 2 2 2" xfId="43550"/>
    <cellStyle name="Heading 2 2 5 2 2 5 2 3" xfId="43551"/>
    <cellStyle name="Heading 2 2 5 2 2 5 3" xfId="43552"/>
    <cellStyle name="Heading 2 2 5 2 2 5 3 2" xfId="43553"/>
    <cellStyle name="Heading 2 2 5 2 2 5 3 2 2" xfId="43554"/>
    <cellStyle name="Heading 2 2 5 2 2 5 3 3" xfId="43555"/>
    <cellStyle name="Heading 2 2 5 2 2 5 4" xfId="43556"/>
    <cellStyle name="Heading 2 2 5 2 2 5 4 2" xfId="43557"/>
    <cellStyle name="Heading 2 2 5 2 2 5 4 2 2" xfId="43558"/>
    <cellStyle name="Heading 2 2 5 2 2 5 4 3" xfId="43559"/>
    <cellStyle name="Heading 2 2 5 2 2 5 5" xfId="43560"/>
    <cellStyle name="Heading 2 2 5 2 2 5 5 2" xfId="43561"/>
    <cellStyle name="Heading 2 2 5 2 2 5 5 2 2" xfId="43562"/>
    <cellStyle name="Heading 2 2 5 2 2 5 5 3" xfId="43563"/>
    <cellStyle name="Heading 2 2 5 2 2 5 6" xfId="43564"/>
    <cellStyle name="Heading 2 2 5 2 2 5 6 2" xfId="43565"/>
    <cellStyle name="Heading 2 2 5 2 2 5 6 2 2" xfId="43566"/>
    <cellStyle name="Heading 2 2 5 2 2 5 6 3" xfId="43567"/>
    <cellStyle name="Heading 2 2 5 2 2 5 7" xfId="43568"/>
    <cellStyle name="Heading 2 2 5 2 2 5 7 2" xfId="43569"/>
    <cellStyle name="Heading 2 2 5 2 2 5 7 2 2" xfId="43570"/>
    <cellStyle name="Heading 2 2 5 2 2 5 7 3" xfId="43571"/>
    <cellStyle name="Heading 2 2 5 2 2 5 8" xfId="43572"/>
    <cellStyle name="Heading 2 2 5 2 2 5 8 2" xfId="43573"/>
    <cellStyle name="Heading 2 2 5 2 2 5 9" xfId="43574"/>
    <cellStyle name="Heading 2 2 5 2 2 6" xfId="43575"/>
    <cellStyle name="Heading 2 2 5 2 2 6 2" xfId="43576"/>
    <cellStyle name="Heading 2 2 5 2 2 6 2 2" xfId="43577"/>
    <cellStyle name="Heading 2 2 5 2 2 6 2 2 2" xfId="43578"/>
    <cellStyle name="Heading 2 2 5 2 2 6 2 3" xfId="43579"/>
    <cellStyle name="Heading 2 2 5 2 2 6 3" xfId="43580"/>
    <cellStyle name="Heading 2 2 5 2 2 6 3 2" xfId="43581"/>
    <cellStyle name="Heading 2 2 5 2 2 6 3 2 2" xfId="43582"/>
    <cellStyle name="Heading 2 2 5 2 2 6 3 3" xfId="43583"/>
    <cellStyle name="Heading 2 2 5 2 2 6 4" xfId="43584"/>
    <cellStyle name="Heading 2 2 5 2 2 6 4 2" xfId="43585"/>
    <cellStyle name="Heading 2 2 5 2 2 6 4 2 2" xfId="43586"/>
    <cellStyle name="Heading 2 2 5 2 2 6 4 3" xfId="43587"/>
    <cellStyle name="Heading 2 2 5 2 2 6 5" xfId="43588"/>
    <cellStyle name="Heading 2 2 5 2 2 6 5 2" xfId="43589"/>
    <cellStyle name="Heading 2 2 5 2 2 6 5 2 2" xfId="43590"/>
    <cellStyle name="Heading 2 2 5 2 2 6 5 3" xfId="43591"/>
    <cellStyle name="Heading 2 2 5 2 2 6 6" xfId="43592"/>
    <cellStyle name="Heading 2 2 5 2 2 6 6 2" xfId="43593"/>
    <cellStyle name="Heading 2 2 5 2 2 6 6 2 2" xfId="43594"/>
    <cellStyle name="Heading 2 2 5 2 2 6 6 3" xfId="43595"/>
    <cellStyle name="Heading 2 2 5 2 2 6 7" xfId="43596"/>
    <cellStyle name="Heading 2 2 5 2 2 6 7 2" xfId="43597"/>
    <cellStyle name="Heading 2 2 5 2 2 6 7 2 2" xfId="43598"/>
    <cellStyle name="Heading 2 2 5 2 2 6 7 3" xfId="43599"/>
    <cellStyle name="Heading 2 2 5 2 2 6 8" xfId="43600"/>
    <cellStyle name="Heading 2 2 5 2 2 6 8 2" xfId="43601"/>
    <cellStyle name="Heading 2 2 5 2 2 6 9" xfId="43602"/>
    <cellStyle name="Heading 2 2 5 2 2 7" xfId="43603"/>
    <cellStyle name="Heading 2 2 5 2 2 7 2" xfId="43604"/>
    <cellStyle name="Heading 2 2 5 2 2 7 2 2" xfId="43605"/>
    <cellStyle name="Heading 2 2 5 2 2 7 2 2 2" xfId="43606"/>
    <cellStyle name="Heading 2 2 5 2 2 7 2 3" xfId="43607"/>
    <cellStyle name="Heading 2 2 5 2 2 7 3" xfId="43608"/>
    <cellStyle name="Heading 2 2 5 2 2 7 3 2" xfId="43609"/>
    <cellStyle name="Heading 2 2 5 2 2 7 3 2 2" xfId="43610"/>
    <cellStyle name="Heading 2 2 5 2 2 7 3 3" xfId="43611"/>
    <cellStyle name="Heading 2 2 5 2 2 7 4" xfId="43612"/>
    <cellStyle name="Heading 2 2 5 2 2 7 4 2" xfId="43613"/>
    <cellStyle name="Heading 2 2 5 2 2 7 4 2 2" xfId="43614"/>
    <cellStyle name="Heading 2 2 5 2 2 7 4 3" xfId="43615"/>
    <cellStyle name="Heading 2 2 5 2 2 7 5" xfId="43616"/>
    <cellStyle name="Heading 2 2 5 2 2 7 5 2" xfId="43617"/>
    <cellStyle name="Heading 2 2 5 2 2 7 5 2 2" xfId="43618"/>
    <cellStyle name="Heading 2 2 5 2 2 7 5 3" xfId="43619"/>
    <cellStyle name="Heading 2 2 5 2 2 7 6" xfId="43620"/>
    <cellStyle name="Heading 2 2 5 2 2 7 6 2" xfId="43621"/>
    <cellStyle name="Heading 2 2 5 2 2 7 6 2 2" xfId="43622"/>
    <cellStyle name="Heading 2 2 5 2 2 7 6 3" xfId="43623"/>
    <cellStyle name="Heading 2 2 5 2 2 7 7" xfId="43624"/>
    <cellStyle name="Heading 2 2 5 2 2 7 7 2" xfId="43625"/>
    <cellStyle name="Heading 2 2 5 2 2 7 7 2 2" xfId="43626"/>
    <cellStyle name="Heading 2 2 5 2 2 7 7 3" xfId="43627"/>
    <cellStyle name="Heading 2 2 5 2 2 7 8" xfId="43628"/>
    <cellStyle name="Heading 2 2 5 2 2 7 8 2" xfId="43629"/>
    <cellStyle name="Heading 2 2 5 2 2 7 9" xfId="43630"/>
    <cellStyle name="Heading 2 2 5 2 2 8" xfId="43631"/>
    <cellStyle name="Heading 2 2 5 2 2 8 2" xfId="43632"/>
    <cellStyle name="Heading 2 2 5 2 2 8 2 2" xfId="43633"/>
    <cellStyle name="Heading 2 2 5 2 2 8 2 2 2" xfId="43634"/>
    <cellStyle name="Heading 2 2 5 2 2 8 2 3" xfId="43635"/>
    <cellStyle name="Heading 2 2 5 2 2 8 3" xfId="43636"/>
    <cellStyle name="Heading 2 2 5 2 2 8 3 2" xfId="43637"/>
    <cellStyle name="Heading 2 2 5 2 2 8 3 2 2" xfId="43638"/>
    <cellStyle name="Heading 2 2 5 2 2 8 3 3" xfId="43639"/>
    <cellStyle name="Heading 2 2 5 2 2 8 4" xfId="43640"/>
    <cellStyle name="Heading 2 2 5 2 2 8 4 2" xfId="43641"/>
    <cellStyle name="Heading 2 2 5 2 2 8 4 2 2" xfId="43642"/>
    <cellStyle name="Heading 2 2 5 2 2 8 4 3" xfId="43643"/>
    <cellStyle name="Heading 2 2 5 2 2 8 5" xfId="43644"/>
    <cellStyle name="Heading 2 2 5 2 2 8 5 2" xfId="43645"/>
    <cellStyle name="Heading 2 2 5 2 2 8 5 2 2" xfId="43646"/>
    <cellStyle name="Heading 2 2 5 2 2 8 5 3" xfId="43647"/>
    <cellStyle name="Heading 2 2 5 2 2 8 6" xfId="43648"/>
    <cellStyle name="Heading 2 2 5 2 2 8 6 2" xfId="43649"/>
    <cellStyle name="Heading 2 2 5 2 2 8 6 2 2" xfId="43650"/>
    <cellStyle name="Heading 2 2 5 2 2 8 6 3" xfId="43651"/>
    <cellStyle name="Heading 2 2 5 2 2 8 7" xfId="43652"/>
    <cellStyle name="Heading 2 2 5 2 2 8 7 2" xfId="43653"/>
    <cellStyle name="Heading 2 2 5 2 2 8 7 2 2" xfId="43654"/>
    <cellStyle name="Heading 2 2 5 2 2 8 7 3" xfId="43655"/>
    <cellStyle name="Heading 2 2 5 2 2 8 8" xfId="43656"/>
    <cellStyle name="Heading 2 2 5 2 2 8 8 2" xfId="43657"/>
    <cellStyle name="Heading 2 2 5 2 2 8 9" xfId="43658"/>
    <cellStyle name="Heading 2 2 5 2 2 9" xfId="43659"/>
    <cellStyle name="Heading 2 2 5 2 2 9 2" xfId="43660"/>
    <cellStyle name="Heading 2 2 5 2 2 9 2 2" xfId="43661"/>
    <cellStyle name="Heading 2 2 5 2 2 9 3" xfId="43662"/>
    <cellStyle name="Heading 2 2 5 2 20" xfId="43663"/>
    <cellStyle name="Heading 2 2 5 2 20 2" xfId="43664"/>
    <cellStyle name="Heading 2 2 5 2 21" xfId="43665"/>
    <cellStyle name="Heading 2 2 5 2 21 2" xfId="43666"/>
    <cellStyle name="Heading 2 2 5 2 22" xfId="43667"/>
    <cellStyle name="Heading 2 2 5 2 22 2" xfId="43668"/>
    <cellStyle name="Heading 2 2 5 2 23" xfId="43669"/>
    <cellStyle name="Heading 2 2 5 2 3" xfId="43670"/>
    <cellStyle name="Heading 2 2 5 2 3 2" xfId="43671"/>
    <cellStyle name="Heading 2 2 5 2 3 2 2" xfId="43672"/>
    <cellStyle name="Heading 2 2 5 2 3 2 2 2" xfId="43673"/>
    <cellStyle name="Heading 2 2 5 2 3 2 3" xfId="43674"/>
    <cellStyle name="Heading 2 2 5 2 3 3" xfId="43675"/>
    <cellStyle name="Heading 2 2 5 2 3 3 2" xfId="43676"/>
    <cellStyle name="Heading 2 2 5 2 3 3 2 2" xfId="43677"/>
    <cellStyle name="Heading 2 2 5 2 3 3 3" xfId="43678"/>
    <cellStyle name="Heading 2 2 5 2 3 4" xfId="43679"/>
    <cellStyle name="Heading 2 2 5 2 3 4 2" xfId="43680"/>
    <cellStyle name="Heading 2 2 5 2 3 4 2 2" xfId="43681"/>
    <cellStyle name="Heading 2 2 5 2 3 4 3" xfId="43682"/>
    <cellStyle name="Heading 2 2 5 2 3 5" xfId="43683"/>
    <cellStyle name="Heading 2 2 5 2 3 5 2" xfId="43684"/>
    <cellStyle name="Heading 2 2 5 2 3 5 2 2" xfId="43685"/>
    <cellStyle name="Heading 2 2 5 2 3 5 3" xfId="43686"/>
    <cellStyle name="Heading 2 2 5 2 3 6" xfId="43687"/>
    <cellStyle name="Heading 2 2 5 2 3 6 2" xfId="43688"/>
    <cellStyle name="Heading 2 2 5 2 3 6 2 2" xfId="43689"/>
    <cellStyle name="Heading 2 2 5 2 3 6 3" xfId="43690"/>
    <cellStyle name="Heading 2 2 5 2 3 7" xfId="43691"/>
    <cellStyle name="Heading 2 2 5 2 3 7 2" xfId="43692"/>
    <cellStyle name="Heading 2 2 5 2 3 7 2 2" xfId="43693"/>
    <cellStyle name="Heading 2 2 5 2 3 7 3" xfId="43694"/>
    <cellStyle name="Heading 2 2 5 2 3 8" xfId="43695"/>
    <cellStyle name="Heading 2 2 5 2 3 8 2" xfId="43696"/>
    <cellStyle name="Heading 2 2 5 2 3 9" xfId="43697"/>
    <cellStyle name="Heading 2 2 5 2 4" xfId="43698"/>
    <cellStyle name="Heading 2 2 5 2 4 2" xfId="43699"/>
    <cellStyle name="Heading 2 2 5 2 4 2 2" xfId="43700"/>
    <cellStyle name="Heading 2 2 5 2 4 2 2 2" xfId="43701"/>
    <cellStyle name="Heading 2 2 5 2 4 2 3" xfId="43702"/>
    <cellStyle name="Heading 2 2 5 2 4 3" xfId="43703"/>
    <cellStyle name="Heading 2 2 5 2 4 3 2" xfId="43704"/>
    <cellStyle name="Heading 2 2 5 2 4 3 2 2" xfId="43705"/>
    <cellStyle name="Heading 2 2 5 2 4 3 3" xfId="43706"/>
    <cellStyle name="Heading 2 2 5 2 4 4" xfId="43707"/>
    <cellStyle name="Heading 2 2 5 2 4 4 2" xfId="43708"/>
    <cellStyle name="Heading 2 2 5 2 4 4 2 2" xfId="43709"/>
    <cellStyle name="Heading 2 2 5 2 4 4 3" xfId="43710"/>
    <cellStyle name="Heading 2 2 5 2 4 5" xfId="43711"/>
    <cellStyle name="Heading 2 2 5 2 4 5 2" xfId="43712"/>
    <cellStyle name="Heading 2 2 5 2 4 5 2 2" xfId="43713"/>
    <cellStyle name="Heading 2 2 5 2 4 5 3" xfId="43714"/>
    <cellStyle name="Heading 2 2 5 2 4 6" xfId="43715"/>
    <cellStyle name="Heading 2 2 5 2 4 6 2" xfId="43716"/>
    <cellStyle name="Heading 2 2 5 2 4 6 2 2" xfId="43717"/>
    <cellStyle name="Heading 2 2 5 2 4 6 3" xfId="43718"/>
    <cellStyle name="Heading 2 2 5 2 4 7" xfId="43719"/>
    <cellStyle name="Heading 2 2 5 2 4 7 2" xfId="43720"/>
    <cellStyle name="Heading 2 2 5 2 4 7 2 2" xfId="43721"/>
    <cellStyle name="Heading 2 2 5 2 4 7 3" xfId="43722"/>
    <cellStyle name="Heading 2 2 5 2 4 8" xfId="43723"/>
    <cellStyle name="Heading 2 2 5 2 4 8 2" xfId="43724"/>
    <cellStyle name="Heading 2 2 5 2 4 9" xfId="43725"/>
    <cellStyle name="Heading 2 2 5 2 5" xfId="43726"/>
    <cellStyle name="Heading 2 2 5 2 5 2" xfId="43727"/>
    <cellStyle name="Heading 2 2 5 2 5 2 2" xfId="43728"/>
    <cellStyle name="Heading 2 2 5 2 5 2 2 2" xfId="43729"/>
    <cellStyle name="Heading 2 2 5 2 5 2 3" xfId="43730"/>
    <cellStyle name="Heading 2 2 5 2 5 3" xfId="43731"/>
    <cellStyle name="Heading 2 2 5 2 5 3 2" xfId="43732"/>
    <cellStyle name="Heading 2 2 5 2 5 3 2 2" xfId="43733"/>
    <cellStyle name="Heading 2 2 5 2 5 3 3" xfId="43734"/>
    <cellStyle name="Heading 2 2 5 2 5 4" xfId="43735"/>
    <cellStyle name="Heading 2 2 5 2 5 4 2" xfId="43736"/>
    <cellStyle name="Heading 2 2 5 2 5 4 2 2" xfId="43737"/>
    <cellStyle name="Heading 2 2 5 2 5 4 3" xfId="43738"/>
    <cellStyle name="Heading 2 2 5 2 5 5" xfId="43739"/>
    <cellStyle name="Heading 2 2 5 2 5 5 2" xfId="43740"/>
    <cellStyle name="Heading 2 2 5 2 5 5 2 2" xfId="43741"/>
    <cellStyle name="Heading 2 2 5 2 5 5 3" xfId="43742"/>
    <cellStyle name="Heading 2 2 5 2 5 6" xfId="43743"/>
    <cellStyle name="Heading 2 2 5 2 5 6 2" xfId="43744"/>
    <cellStyle name="Heading 2 2 5 2 5 6 2 2" xfId="43745"/>
    <cellStyle name="Heading 2 2 5 2 5 6 3" xfId="43746"/>
    <cellStyle name="Heading 2 2 5 2 5 7" xfId="43747"/>
    <cellStyle name="Heading 2 2 5 2 5 7 2" xfId="43748"/>
    <cellStyle name="Heading 2 2 5 2 5 7 2 2" xfId="43749"/>
    <cellStyle name="Heading 2 2 5 2 5 7 3" xfId="43750"/>
    <cellStyle name="Heading 2 2 5 2 5 8" xfId="43751"/>
    <cellStyle name="Heading 2 2 5 2 5 8 2" xfId="43752"/>
    <cellStyle name="Heading 2 2 5 2 5 9" xfId="43753"/>
    <cellStyle name="Heading 2 2 5 2 6" xfId="43754"/>
    <cellStyle name="Heading 2 2 5 2 6 2" xfId="43755"/>
    <cellStyle name="Heading 2 2 5 2 6 2 2" xfId="43756"/>
    <cellStyle name="Heading 2 2 5 2 6 2 2 2" xfId="43757"/>
    <cellStyle name="Heading 2 2 5 2 6 2 3" xfId="43758"/>
    <cellStyle name="Heading 2 2 5 2 6 3" xfId="43759"/>
    <cellStyle name="Heading 2 2 5 2 6 3 2" xfId="43760"/>
    <cellStyle name="Heading 2 2 5 2 6 3 2 2" xfId="43761"/>
    <cellStyle name="Heading 2 2 5 2 6 3 3" xfId="43762"/>
    <cellStyle name="Heading 2 2 5 2 6 4" xfId="43763"/>
    <cellStyle name="Heading 2 2 5 2 6 4 2" xfId="43764"/>
    <cellStyle name="Heading 2 2 5 2 6 4 2 2" xfId="43765"/>
    <cellStyle name="Heading 2 2 5 2 6 4 3" xfId="43766"/>
    <cellStyle name="Heading 2 2 5 2 6 5" xfId="43767"/>
    <cellStyle name="Heading 2 2 5 2 6 5 2" xfId="43768"/>
    <cellStyle name="Heading 2 2 5 2 6 5 2 2" xfId="43769"/>
    <cellStyle name="Heading 2 2 5 2 6 5 3" xfId="43770"/>
    <cellStyle name="Heading 2 2 5 2 6 6" xfId="43771"/>
    <cellStyle name="Heading 2 2 5 2 6 6 2" xfId="43772"/>
    <cellStyle name="Heading 2 2 5 2 6 6 2 2" xfId="43773"/>
    <cellStyle name="Heading 2 2 5 2 6 6 3" xfId="43774"/>
    <cellStyle name="Heading 2 2 5 2 6 7" xfId="43775"/>
    <cellStyle name="Heading 2 2 5 2 6 7 2" xfId="43776"/>
    <cellStyle name="Heading 2 2 5 2 6 7 2 2" xfId="43777"/>
    <cellStyle name="Heading 2 2 5 2 6 7 3" xfId="43778"/>
    <cellStyle name="Heading 2 2 5 2 6 8" xfId="43779"/>
    <cellStyle name="Heading 2 2 5 2 6 8 2" xfId="43780"/>
    <cellStyle name="Heading 2 2 5 2 6 9" xfId="43781"/>
    <cellStyle name="Heading 2 2 5 2 7" xfId="43782"/>
    <cellStyle name="Heading 2 2 5 2 7 2" xfId="43783"/>
    <cellStyle name="Heading 2 2 5 2 7 2 2" xfId="43784"/>
    <cellStyle name="Heading 2 2 5 2 7 2 2 2" xfId="43785"/>
    <cellStyle name="Heading 2 2 5 2 7 2 3" xfId="43786"/>
    <cellStyle name="Heading 2 2 5 2 7 3" xfId="43787"/>
    <cellStyle name="Heading 2 2 5 2 7 3 2" xfId="43788"/>
    <cellStyle name="Heading 2 2 5 2 7 3 2 2" xfId="43789"/>
    <cellStyle name="Heading 2 2 5 2 7 3 3" xfId="43790"/>
    <cellStyle name="Heading 2 2 5 2 7 4" xfId="43791"/>
    <cellStyle name="Heading 2 2 5 2 7 4 2" xfId="43792"/>
    <cellStyle name="Heading 2 2 5 2 7 4 2 2" xfId="43793"/>
    <cellStyle name="Heading 2 2 5 2 7 4 3" xfId="43794"/>
    <cellStyle name="Heading 2 2 5 2 7 5" xfId="43795"/>
    <cellStyle name="Heading 2 2 5 2 7 5 2" xfId="43796"/>
    <cellStyle name="Heading 2 2 5 2 7 5 2 2" xfId="43797"/>
    <cellStyle name="Heading 2 2 5 2 7 5 3" xfId="43798"/>
    <cellStyle name="Heading 2 2 5 2 7 6" xfId="43799"/>
    <cellStyle name="Heading 2 2 5 2 7 6 2" xfId="43800"/>
    <cellStyle name="Heading 2 2 5 2 7 6 2 2" xfId="43801"/>
    <cellStyle name="Heading 2 2 5 2 7 6 3" xfId="43802"/>
    <cellStyle name="Heading 2 2 5 2 7 7" xfId="43803"/>
    <cellStyle name="Heading 2 2 5 2 7 7 2" xfId="43804"/>
    <cellStyle name="Heading 2 2 5 2 7 7 2 2" xfId="43805"/>
    <cellStyle name="Heading 2 2 5 2 7 7 3" xfId="43806"/>
    <cellStyle name="Heading 2 2 5 2 7 8" xfId="43807"/>
    <cellStyle name="Heading 2 2 5 2 7 8 2" xfId="43808"/>
    <cellStyle name="Heading 2 2 5 2 7 9" xfId="43809"/>
    <cellStyle name="Heading 2 2 5 2 8" xfId="43810"/>
    <cellStyle name="Heading 2 2 5 2 8 2" xfId="43811"/>
    <cellStyle name="Heading 2 2 5 2 8 2 2" xfId="43812"/>
    <cellStyle name="Heading 2 2 5 2 8 2 2 2" xfId="43813"/>
    <cellStyle name="Heading 2 2 5 2 8 2 3" xfId="43814"/>
    <cellStyle name="Heading 2 2 5 2 8 3" xfId="43815"/>
    <cellStyle name="Heading 2 2 5 2 8 3 2" xfId="43816"/>
    <cellStyle name="Heading 2 2 5 2 8 3 2 2" xfId="43817"/>
    <cellStyle name="Heading 2 2 5 2 8 3 3" xfId="43818"/>
    <cellStyle name="Heading 2 2 5 2 8 4" xfId="43819"/>
    <cellStyle name="Heading 2 2 5 2 8 4 2" xfId="43820"/>
    <cellStyle name="Heading 2 2 5 2 8 4 2 2" xfId="43821"/>
    <cellStyle name="Heading 2 2 5 2 8 4 3" xfId="43822"/>
    <cellStyle name="Heading 2 2 5 2 8 5" xfId="43823"/>
    <cellStyle name="Heading 2 2 5 2 8 5 2" xfId="43824"/>
    <cellStyle name="Heading 2 2 5 2 8 5 2 2" xfId="43825"/>
    <cellStyle name="Heading 2 2 5 2 8 5 3" xfId="43826"/>
    <cellStyle name="Heading 2 2 5 2 8 6" xfId="43827"/>
    <cellStyle name="Heading 2 2 5 2 8 6 2" xfId="43828"/>
    <cellStyle name="Heading 2 2 5 2 8 6 2 2" xfId="43829"/>
    <cellStyle name="Heading 2 2 5 2 8 6 3" xfId="43830"/>
    <cellStyle name="Heading 2 2 5 2 8 7" xfId="43831"/>
    <cellStyle name="Heading 2 2 5 2 8 7 2" xfId="43832"/>
    <cellStyle name="Heading 2 2 5 2 8 7 2 2" xfId="43833"/>
    <cellStyle name="Heading 2 2 5 2 8 7 3" xfId="43834"/>
    <cellStyle name="Heading 2 2 5 2 8 8" xfId="43835"/>
    <cellStyle name="Heading 2 2 5 2 8 8 2" xfId="43836"/>
    <cellStyle name="Heading 2 2 5 2 8 9" xfId="43837"/>
    <cellStyle name="Heading 2 2 5 2 9" xfId="43838"/>
    <cellStyle name="Heading 2 2 5 2 9 2" xfId="43839"/>
    <cellStyle name="Heading 2 2 5 2 9 2 2" xfId="43840"/>
    <cellStyle name="Heading 2 2 5 2 9 2 2 2" xfId="43841"/>
    <cellStyle name="Heading 2 2 5 2 9 2 3" xfId="43842"/>
    <cellStyle name="Heading 2 2 5 2 9 3" xfId="43843"/>
    <cellStyle name="Heading 2 2 5 2 9 3 2" xfId="43844"/>
    <cellStyle name="Heading 2 2 5 2 9 3 2 2" xfId="43845"/>
    <cellStyle name="Heading 2 2 5 2 9 3 3" xfId="43846"/>
    <cellStyle name="Heading 2 2 5 2 9 4" xfId="43847"/>
    <cellStyle name="Heading 2 2 5 2 9 4 2" xfId="43848"/>
    <cellStyle name="Heading 2 2 5 2 9 4 2 2" xfId="43849"/>
    <cellStyle name="Heading 2 2 5 2 9 4 3" xfId="43850"/>
    <cellStyle name="Heading 2 2 5 2 9 5" xfId="43851"/>
    <cellStyle name="Heading 2 2 5 2 9 5 2" xfId="43852"/>
    <cellStyle name="Heading 2 2 5 2 9 5 2 2" xfId="43853"/>
    <cellStyle name="Heading 2 2 5 2 9 5 3" xfId="43854"/>
    <cellStyle name="Heading 2 2 5 2 9 6" xfId="43855"/>
    <cellStyle name="Heading 2 2 5 2 9 6 2" xfId="43856"/>
    <cellStyle name="Heading 2 2 5 2 9 6 2 2" xfId="43857"/>
    <cellStyle name="Heading 2 2 5 2 9 6 3" xfId="43858"/>
    <cellStyle name="Heading 2 2 5 2 9 7" xfId="43859"/>
    <cellStyle name="Heading 2 2 5 2 9 7 2" xfId="43860"/>
    <cellStyle name="Heading 2 2 5 2 9 7 2 2" xfId="43861"/>
    <cellStyle name="Heading 2 2 5 2 9 7 3" xfId="43862"/>
    <cellStyle name="Heading 2 2 5 2 9 8" xfId="43863"/>
    <cellStyle name="Heading 2 2 5 2 9 8 2" xfId="43864"/>
    <cellStyle name="Heading 2 2 5 2 9 9" xfId="43865"/>
    <cellStyle name="Heading 2 2 5 3" xfId="43866"/>
    <cellStyle name="Heading 2 2 5 3 10" xfId="43867"/>
    <cellStyle name="Heading 2 2 5 3 10 2" xfId="43868"/>
    <cellStyle name="Heading 2 2 5 3 10 2 2" xfId="43869"/>
    <cellStyle name="Heading 2 2 5 3 10 3" xfId="43870"/>
    <cellStyle name="Heading 2 2 5 3 11" xfId="43871"/>
    <cellStyle name="Heading 2 2 5 3 11 2" xfId="43872"/>
    <cellStyle name="Heading 2 2 5 3 11 2 2" xfId="43873"/>
    <cellStyle name="Heading 2 2 5 3 11 3" xfId="43874"/>
    <cellStyle name="Heading 2 2 5 3 12" xfId="43875"/>
    <cellStyle name="Heading 2 2 5 3 12 2" xfId="43876"/>
    <cellStyle name="Heading 2 2 5 3 12 2 2" xfId="43877"/>
    <cellStyle name="Heading 2 2 5 3 12 3" xfId="43878"/>
    <cellStyle name="Heading 2 2 5 3 13" xfId="43879"/>
    <cellStyle name="Heading 2 2 5 3 13 2" xfId="43880"/>
    <cellStyle name="Heading 2 2 5 3 13 2 2" xfId="43881"/>
    <cellStyle name="Heading 2 2 5 3 13 3" xfId="43882"/>
    <cellStyle name="Heading 2 2 5 3 14" xfId="43883"/>
    <cellStyle name="Heading 2 2 5 3 14 2" xfId="43884"/>
    <cellStyle name="Heading 2 2 5 3 14 2 2" xfId="43885"/>
    <cellStyle name="Heading 2 2 5 3 14 3" xfId="43886"/>
    <cellStyle name="Heading 2 2 5 3 15" xfId="43887"/>
    <cellStyle name="Heading 2 2 5 3 15 2" xfId="43888"/>
    <cellStyle name="Heading 2 2 5 3 15 2 2" xfId="43889"/>
    <cellStyle name="Heading 2 2 5 3 15 3" xfId="43890"/>
    <cellStyle name="Heading 2 2 5 3 16" xfId="43891"/>
    <cellStyle name="Heading 2 2 5 3 16 2" xfId="43892"/>
    <cellStyle name="Heading 2 2 5 3 16 2 2" xfId="43893"/>
    <cellStyle name="Heading 2 2 5 3 16 3" xfId="43894"/>
    <cellStyle name="Heading 2 2 5 3 17" xfId="43895"/>
    <cellStyle name="Heading 2 2 5 3 17 2" xfId="43896"/>
    <cellStyle name="Heading 2 2 5 3 17 2 2" xfId="43897"/>
    <cellStyle name="Heading 2 2 5 3 17 3" xfId="43898"/>
    <cellStyle name="Heading 2 2 5 3 18" xfId="43899"/>
    <cellStyle name="Heading 2 2 5 3 18 2" xfId="43900"/>
    <cellStyle name="Heading 2 2 5 3 18 2 2" xfId="43901"/>
    <cellStyle name="Heading 2 2 5 3 18 3" xfId="43902"/>
    <cellStyle name="Heading 2 2 5 3 19" xfId="43903"/>
    <cellStyle name="Heading 2 2 5 3 19 2" xfId="43904"/>
    <cellStyle name="Heading 2 2 5 3 2" xfId="43905"/>
    <cellStyle name="Heading 2 2 5 3 2 2" xfId="43906"/>
    <cellStyle name="Heading 2 2 5 3 2 2 2" xfId="43907"/>
    <cellStyle name="Heading 2 2 5 3 2 2 2 2" xfId="43908"/>
    <cellStyle name="Heading 2 2 5 3 2 2 3" xfId="43909"/>
    <cellStyle name="Heading 2 2 5 3 2 3" xfId="43910"/>
    <cellStyle name="Heading 2 2 5 3 2 3 2" xfId="43911"/>
    <cellStyle name="Heading 2 2 5 3 2 3 2 2" xfId="43912"/>
    <cellStyle name="Heading 2 2 5 3 2 3 3" xfId="43913"/>
    <cellStyle name="Heading 2 2 5 3 2 4" xfId="43914"/>
    <cellStyle name="Heading 2 2 5 3 2 4 2" xfId="43915"/>
    <cellStyle name="Heading 2 2 5 3 2 4 2 2" xfId="43916"/>
    <cellStyle name="Heading 2 2 5 3 2 4 3" xfId="43917"/>
    <cellStyle name="Heading 2 2 5 3 2 5" xfId="43918"/>
    <cellStyle name="Heading 2 2 5 3 2 5 2" xfId="43919"/>
    <cellStyle name="Heading 2 2 5 3 2 5 2 2" xfId="43920"/>
    <cellStyle name="Heading 2 2 5 3 2 5 3" xfId="43921"/>
    <cellStyle name="Heading 2 2 5 3 2 6" xfId="43922"/>
    <cellStyle name="Heading 2 2 5 3 2 6 2" xfId="43923"/>
    <cellStyle name="Heading 2 2 5 3 2 6 2 2" xfId="43924"/>
    <cellStyle name="Heading 2 2 5 3 2 6 3" xfId="43925"/>
    <cellStyle name="Heading 2 2 5 3 2 7" xfId="43926"/>
    <cellStyle name="Heading 2 2 5 3 2 7 2" xfId="43927"/>
    <cellStyle name="Heading 2 2 5 3 2 7 2 2" xfId="43928"/>
    <cellStyle name="Heading 2 2 5 3 2 7 3" xfId="43929"/>
    <cellStyle name="Heading 2 2 5 3 2 8" xfId="43930"/>
    <cellStyle name="Heading 2 2 5 3 2 8 2" xfId="43931"/>
    <cellStyle name="Heading 2 2 5 3 2 9" xfId="43932"/>
    <cellStyle name="Heading 2 2 5 3 20" xfId="43933"/>
    <cellStyle name="Heading 2 2 5 3 20 2" xfId="43934"/>
    <cellStyle name="Heading 2 2 5 3 21" xfId="43935"/>
    <cellStyle name="Heading 2 2 5 3 21 2" xfId="43936"/>
    <cellStyle name="Heading 2 2 5 3 22" xfId="43937"/>
    <cellStyle name="Heading 2 2 5 3 3" xfId="43938"/>
    <cellStyle name="Heading 2 2 5 3 3 2" xfId="43939"/>
    <cellStyle name="Heading 2 2 5 3 3 2 2" xfId="43940"/>
    <cellStyle name="Heading 2 2 5 3 3 2 2 2" xfId="43941"/>
    <cellStyle name="Heading 2 2 5 3 3 2 3" xfId="43942"/>
    <cellStyle name="Heading 2 2 5 3 3 3" xfId="43943"/>
    <cellStyle name="Heading 2 2 5 3 3 3 2" xfId="43944"/>
    <cellStyle name="Heading 2 2 5 3 3 3 2 2" xfId="43945"/>
    <cellStyle name="Heading 2 2 5 3 3 3 3" xfId="43946"/>
    <cellStyle name="Heading 2 2 5 3 3 4" xfId="43947"/>
    <cellStyle name="Heading 2 2 5 3 3 4 2" xfId="43948"/>
    <cellStyle name="Heading 2 2 5 3 3 4 2 2" xfId="43949"/>
    <cellStyle name="Heading 2 2 5 3 3 4 3" xfId="43950"/>
    <cellStyle name="Heading 2 2 5 3 3 5" xfId="43951"/>
    <cellStyle name="Heading 2 2 5 3 3 5 2" xfId="43952"/>
    <cellStyle name="Heading 2 2 5 3 3 5 2 2" xfId="43953"/>
    <cellStyle name="Heading 2 2 5 3 3 5 3" xfId="43954"/>
    <cellStyle name="Heading 2 2 5 3 3 6" xfId="43955"/>
    <cellStyle name="Heading 2 2 5 3 3 6 2" xfId="43956"/>
    <cellStyle name="Heading 2 2 5 3 3 6 2 2" xfId="43957"/>
    <cellStyle name="Heading 2 2 5 3 3 6 3" xfId="43958"/>
    <cellStyle name="Heading 2 2 5 3 3 7" xfId="43959"/>
    <cellStyle name="Heading 2 2 5 3 3 7 2" xfId="43960"/>
    <cellStyle name="Heading 2 2 5 3 3 7 2 2" xfId="43961"/>
    <cellStyle name="Heading 2 2 5 3 3 7 3" xfId="43962"/>
    <cellStyle name="Heading 2 2 5 3 3 8" xfId="43963"/>
    <cellStyle name="Heading 2 2 5 3 3 8 2" xfId="43964"/>
    <cellStyle name="Heading 2 2 5 3 3 9" xfId="43965"/>
    <cellStyle name="Heading 2 2 5 3 4" xfId="43966"/>
    <cellStyle name="Heading 2 2 5 3 4 2" xfId="43967"/>
    <cellStyle name="Heading 2 2 5 3 4 2 2" xfId="43968"/>
    <cellStyle name="Heading 2 2 5 3 4 2 2 2" xfId="43969"/>
    <cellStyle name="Heading 2 2 5 3 4 2 3" xfId="43970"/>
    <cellStyle name="Heading 2 2 5 3 4 3" xfId="43971"/>
    <cellStyle name="Heading 2 2 5 3 4 3 2" xfId="43972"/>
    <cellStyle name="Heading 2 2 5 3 4 3 2 2" xfId="43973"/>
    <cellStyle name="Heading 2 2 5 3 4 3 3" xfId="43974"/>
    <cellStyle name="Heading 2 2 5 3 4 4" xfId="43975"/>
    <cellStyle name="Heading 2 2 5 3 4 4 2" xfId="43976"/>
    <cellStyle name="Heading 2 2 5 3 4 4 2 2" xfId="43977"/>
    <cellStyle name="Heading 2 2 5 3 4 4 3" xfId="43978"/>
    <cellStyle name="Heading 2 2 5 3 4 5" xfId="43979"/>
    <cellStyle name="Heading 2 2 5 3 4 5 2" xfId="43980"/>
    <cellStyle name="Heading 2 2 5 3 4 5 2 2" xfId="43981"/>
    <cellStyle name="Heading 2 2 5 3 4 5 3" xfId="43982"/>
    <cellStyle name="Heading 2 2 5 3 4 6" xfId="43983"/>
    <cellStyle name="Heading 2 2 5 3 4 6 2" xfId="43984"/>
    <cellStyle name="Heading 2 2 5 3 4 6 2 2" xfId="43985"/>
    <cellStyle name="Heading 2 2 5 3 4 6 3" xfId="43986"/>
    <cellStyle name="Heading 2 2 5 3 4 7" xfId="43987"/>
    <cellStyle name="Heading 2 2 5 3 4 7 2" xfId="43988"/>
    <cellStyle name="Heading 2 2 5 3 4 7 2 2" xfId="43989"/>
    <cellStyle name="Heading 2 2 5 3 4 7 3" xfId="43990"/>
    <cellStyle name="Heading 2 2 5 3 4 8" xfId="43991"/>
    <cellStyle name="Heading 2 2 5 3 4 8 2" xfId="43992"/>
    <cellStyle name="Heading 2 2 5 3 4 9" xfId="43993"/>
    <cellStyle name="Heading 2 2 5 3 5" xfId="43994"/>
    <cellStyle name="Heading 2 2 5 3 5 2" xfId="43995"/>
    <cellStyle name="Heading 2 2 5 3 5 2 2" xfId="43996"/>
    <cellStyle name="Heading 2 2 5 3 5 2 2 2" xfId="43997"/>
    <cellStyle name="Heading 2 2 5 3 5 2 3" xfId="43998"/>
    <cellStyle name="Heading 2 2 5 3 5 3" xfId="43999"/>
    <cellStyle name="Heading 2 2 5 3 5 3 2" xfId="44000"/>
    <cellStyle name="Heading 2 2 5 3 5 3 2 2" xfId="44001"/>
    <cellStyle name="Heading 2 2 5 3 5 3 3" xfId="44002"/>
    <cellStyle name="Heading 2 2 5 3 5 4" xfId="44003"/>
    <cellStyle name="Heading 2 2 5 3 5 4 2" xfId="44004"/>
    <cellStyle name="Heading 2 2 5 3 5 4 2 2" xfId="44005"/>
    <cellStyle name="Heading 2 2 5 3 5 4 3" xfId="44006"/>
    <cellStyle name="Heading 2 2 5 3 5 5" xfId="44007"/>
    <cellStyle name="Heading 2 2 5 3 5 5 2" xfId="44008"/>
    <cellStyle name="Heading 2 2 5 3 5 5 2 2" xfId="44009"/>
    <cellStyle name="Heading 2 2 5 3 5 5 3" xfId="44010"/>
    <cellStyle name="Heading 2 2 5 3 5 6" xfId="44011"/>
    <cellStyle name="Heading 2 2 5 3 5 6 2" xfId="44012"/>
    <cellStyle name="Heading 2 2 5 3 5 6 2 2" xfId="44013"/>
    <cellStyle name="Heading 2 2 5 3 5 6 3" xfId="44014"/>
    <cellStyle name="Heading 2 2 5 3 5 7" xfId="44015"/>
    <cellStyle name="Heading 2 2 5 3 5 7 2" xfId="44016"/>
    <cellStyle name="Heading 2 2 5 3 5 7 2 2" xfId="44017"/>
    <cellStyle name="Heading 2 2 5 3 5 7 3" xfId="44018"/>
    <cellStyle name="Heading 2 2 5 3 5 8" xfId="44019"/>
    <cellStyle name="Heading 2 2 5 3 5 8 2" xfId="44020"/>
    <cellStyle name="Heading 2 2 5 3 5 9" xfId="44021"/>
    <cellStyle name="Heading 2 2 5 3 6" xfId="44022"/>
    <cellStyle name="Heading 2 2 5 3 6 2" xfId="44023"/>
    <cellStyle name="Heading 2 2 5 3 6 2 2" xfId="44024"/>
    <cellStyle name="Heading 2 2 5 3 6 2 2 2" xfId="44025"/>
    <cellStyle name="Heading 2 2 5 3 6 2 3" xfId="44026"/>
    <cellStyle name="Heading 2 2 5 3 6 3" xfId="44027"/>
    <cellStyle name="Heading 2 2 5 3 6 3 2" xfId="44028"/>
    <cellStyle name="Heading 2 2 5 3 6 3 2 2" xfId="44029"/>
    <cellStyle name="Heading 2 2 5 3 6 3 3" xfId="44030"/>
    <cellStyle name="Heading 2 2 5 3 6 4" xfId="44031"/>
    <cellStyle name="Heading 2 2 5 3 6 4 2" xfId="44032"/>
    <cellStyle name="Heading 2 2 5 3 6 4 2 2" xfId="44033"/>
    <cellStyle name="Heading 2 2 5 3 6 4 3" xfId="44034"/>
    <cellStyle name="Heading 2 2 5 3 6 5" xfId="44035"/>
    <cellStyle name="Heading 2 2 5 3 6 5 2" xfId="44036"/>
    <cellStyle name="Heading 2 2 5 3 6 5 2 2" xfId="44037"/>
    <cellStyle name="Heading 2 2 5 3 6 5 3" xfId="44038"/>
    <cellStyle name="Heading 2 2 5 3 6 6" xfId="44039"/>
    <cellStyle name="Heading 2 2 5 3 6 6 2" xfId="44040"/>
    <cellStyle name="Heading 2 2 5 3 6 6 2 2" xfId="44041"/>
    <cellStyle name="Heading 2 2 5 3 6 6 3" xfId="44042"/>
    <cellStyle name="Heading 2 2 5 3 6 7" xfId="44043"/>
    <cellStyle name="Heading 2 2 5 3 6 7 2" xfId="44044"/>
    <cellStyle name="Heading 2 2 5 3 6 7 2 2" xfId="44045"/>
    <cellStyle name="Heading 2 2 5 3 6 7 3" xfId="44046"/>
    <cellStyle name="Heading 2 2 5 3 6 8" xfId="44047"/>
    <cellStyle name="Heading 2 2 5 3 6 8 2" xfId="44048"/>
    <cellStyle name="Heading 2 2 5 3 6 9" xfId="44049"/>
    <cellStyle name="Heading 2 2 5 3 7" xfId="44050"/>
    <cellStyle name="Heading 2 2 5 3 7 2" xfId="44051"/>
    <cellStyle name="Heading 2 2 5 3 7 2 2" xfId="44052"/>
    <cellStyle name="Heading 2 2 5 3 7 2 2 2" xfId="44053"/>
    <cellStyle name="Heading 2 2 5 3 7 2 3" xfId="44054"/>
    <cellStyle name="Heading 2 2 5 3 7 3" xfId="44055"/>
    <cellStyle name="Heading 2 2 5 3 7 3 2" xfId="44056"/>
    <cellStyle name="Heading 2 2 5 3 7 3 2 2" xfId="44057"/>
    <cellStyle name="Heading 2 2 5 3 7 3 3" xfId="44058"/>
    <cellStyle name="Heading 2 2 5 3 7 4" xfId="44059"/>
    <cellStyle name="Heading 2 2 5 3 7 4 2" xfId="44060"/>
    <cellStyle name="Heading 2 2 5 3 7 4 2 2" xfId="44061"/>
    <cellStyle name="Heading 2 2 5 3 7 4 3" xfId="44062"/>
    <cellStyle name="Heading 2 2 5 3 7 5" xfId="44063"/>
    <cellStyle name="Heading 2 2 5 3 7 5 2" xfId="44064"/>
    <cellStyle name="Heading 2 2 5 3 7 5 2 2" xfId="44065"/>
    <cellStyle name="Heading 2 2 5 3 7 5 3" xfId="44066"/>
    <cellStyle name="Heading 2 2 5 3 7 6" xfId="44067"/>
    <cellStyle name="Heading 2 2 5 3 7 6 2" xfId="44068"/>
    <cellStyle name="Heading 2 2 5 3 7 6 2 2" xfId="44069"/>
    <cellStyle name="Heading 2 2 5 3 7 6 3" xfId="44070"/>
    <cellStyle name="Heading 2 2 5 3 7 7" xfId="44071"/>
    <cellStyle name="Heading 2 2 5 3 7 7 2" xfId="44072"/>
    <cellStyle name="Heading 2 2 5 3 7 7 2 2" xfId="44073"/>
    <cellStyle name="Heading 2 2 5 3 7 7 3" xfId="44074"/>
    <cellStyle name="Heading 2 2 5 3 7 8" xfId="44075"/>
    <cellStyle name="Heading 2 2 5 3 7 8 2" xfId="44076"/>
    <cellStyle name="Heading 2 2 5 3 7 9" xfId="44077"/>
    <cellStyle name="Heading 2 2 5 3 8" xfId="44078"/>
    <cellStyle name="Heading 2 2 5 3 8 2" xfId="44079"/>
    <cellStyle name="Heading 2 2 5 3 8 2 2" xfId="44080"/>
    <cellStyle name="Heading 2 2 5 3 8 2 2 2" xfId="44081"/>
    <cellStyle name="Heading 2 2 5 3 8 2 3" xfId="44082"/>
    <cellStyle name="Heading 2 2 5 3 8 3" xfId="44083"/>
    <cellStyle name="Heading 2 2 5 3 8 3 2" xfId="44084"/>
    <cellStyle name="Heading 2 2 5 3 8 3 2 2" xfId="44085"/>
    <cellStyle name="Heading 2 2 5 3 8 3 3" xfId="44086"/>
    <cellStyle name="Heading 2 2 5 3 8 4" xfId="44087"/>
    <cellStyle name="Heading 2 2 5 3 8 4 2" xfId="44088"/>
    <cellStyle name="Heading 2 2 5 3 8 4 2 2" xfId="44089"/>
    <cellStyle name="Heading 2 2 5 3 8 4 3" xfId="44090"/>
    <cellStyle name="Heading 2 2 5 3 8 5" xfId="44091"/>
    <cellStyle name="Heading 2 2 5 3 8 5 2" xfId="44092"/>
    <cellStyle name="Heading 2 2 5 3 8 5 2 2" xfId="44093"/>
    <cellStyle name="Heading 2 2 5 3 8 5 3" xfId="44094"/>
    <cellStyle name="Heading 2 2 5 3 8 6" xfId="44095"/>
    <cellStyle name="Heading 2 2 5 3 8 6 2" xfId="44096"/>
    <cellStyle name="Heading 2 2 5 3 8 6 2 2" xfId="44097"/>
    <cellStyle name="Heading 2 2 5 3 8 6 3" xfId="44098"/>
    <cellStyle name="Heading 2 2 5 3 8 7" xfId="44099"/>
    <cellStyle name="Heading 2 2 5 3 8 7 2" xfId="44100"/>
    <cellStyle name="Heading 2 2 5 3 8 7 2 2" xfId="44101"/>
    <cellStyle name="Heading 2 2 5 3 8 7 3" xfId="44102"/>
    <cellStyle name="Heading 2 2 5 3 8 8" xfId="44103"/>
    <cellStyle name="Heading 2 2 5 3 8 8 2" xfId="44104"/>
    <cellStyle name="Heading 2 2 5 3 8 9" xfId="44105"/>
    <cellStyle name="Heading 2 2 5 3 9" xfId="44106"/>
    <cellStyle name="Heading 2 2 5 3 9 2" xfId="44107"/>
    <cellStyle name="Heading 2 2 5 3 9 2 2" xfId="44108"/>
    <cellStyle name="Heading 2 2 5 3 9 3" xfId="44109"/>
    <cellStyle name="Heading 2 2 5 4" xfId="44110"/>
    <cellStyle name="Heading 2 2 5 4 2" xfId="44111"/>
    <cellStyle name="Heading 2 2 5 4 2 2" xfId="44112"/>
    <cellStyle name="Heading 2 2 5 4 3" xfId="44113"/>
    <cellStyle name="Heading 2 2 5 5" xfId="44114"/>
    <cellStyle name="Heading 2 2 5 5 2" xfId="44115"/>
    <cellStyle name="Heading 2 2 5 6" xfId="44116"/>
    <cellStyle name="Heading 2 2 6" xfId="44117"/>
    <cellStyle name="Heading 2 2 6 2" xfId="44118"/>
    <cellStyle name="Heading 2 2 6 2 10" xfId="44119"/>
    <cellStyle name="Heading 2 2 6 2 10 2" xfId="44120"/>
    <cellStyle name="Heading 2 2 6 2 10 2 2" xfId="44121"/>
    <cellStyle name="Heading 2 2 6 2 10 3" xfId="44122"/>
    <cellStyle name="Heading 2 2 6 2 11" xfId="44123"/>
    <cellStyle name="Heading 2 2 6 2 11 2" xfId="44124"/>
    <cellStyle name="Heading 2 2 6 2 11 2 2" xfId="44125"/>
    <cellStyle name="Heading 2 2 6 2 11 3" xfId="44126"/>
    <cellStyle name="Heading 2 2 6 2 12" xfId="44127"/>
    <cellStyle name="Heading 2 2 6 2 12 2" xfId="44128"/>
    <cellStyle name="Heading 2 2 6 2 12 2 2" xfId="44129"/>
    <cellStyle name="Heading 2 2 6 2 12 3" xfId="44130"/>
    <cellStyle name="Heading 2 2 6 2 13" xfId="44131"/>
    <cellStyle name="Heading 2 2 6 2 13 2" xfId="44132"/>
    <cellStyle name="Heading 2 2 6 2 13 2 2" xfId="44133"/>
    <cellStyle name="Heading 2 2 6 2 13 3" xfId="44134"/>
    <cellStyle name="Heading 2 2 6 2 14" xfId="44135"/>
    <cellStyle name="Heading 2 2 6 2 14 2" xfId="44136"/>
    <cellStyle name="Heading 2 2 6 2 14 2 2" xfId="44137"/>
    <cellStyle name="Heading 2 2 6 2 14 3" xfId="44138"/>
    <cellStyle name="Heading 2 2 6 2 15" xfId="44139"/>
    <cellStyle name="Heading 2 2 6 2 15 2" xfId="44140"/>
    <cellStyle name="Heading 2 2 6 2 15 2 2" xfId="44141"/>
    <cellStyle name="Heading 2 2 6 2 15 3" xfId="44142"/>
    <cellStyle name="Heading 2 2 6 2 16" xfId="44143"/>
    <cellStyle name="Heading 2 2 6 2 16 2" xfId="44144"/>
    <cellStyle name="Heading 2 2 6 2 16 2 2" xfId="44145"/>
    <cellStyle name="Heading 2 2 6 2 16 3" xfId="44146"/>
    <cellStyle name="Heading 2 2 6 2 17" xfId="44147"/>
    <cellStyle name="Heading 2 2 6 2 17 2" xfId="44148"/>
    <cellStyle name="Heading 2 2 6 2 17 2 2" xfId="44149"/>
    <cellStyle name="Heading 2 2 6 2 17 3" xfId="44150"/>
    <cellStyle name="Heading 2 2 6 2 18" xfId="44151"/>
    <cellStyle name="Heading 2 2 6 2 18 2" xfId="44152"/>
    <cellStyle name="Heading 2 2 6 2 18 2 2" xfId="44153"/>
    <cellStyle name="Heading 2 2 6 2 18 3" xfId="44154"/>
    <cellStyle name="Heading 2 2 6 2 19" xfId="44155"/>
    <cellStyle name="Heading 2 2 6 2 19 2" xfId="44156"/>
    <cellStyle name="Heading 2 2 6 2 19 2 2" xfId="44157"/>
    <cellStyle name="Heading 2 2 6 2 19 3" xfId="44158"/>
    <cellStyle name="Heading 2 2 6 2 2" xfId="44159"/>
    <cellStyle name="Heading 2 2 6 2 2 10" xfId="44160"/>
    <cellStyle name="Heading 2 2 6 2 2 10 2" xfId="44161"/>
    <cellStyle name="Heading 2 2 6 2 2 10 2 2" xfId="44162"/>
    <cellStyle name="Heading 2 2 6 2 2 10 3" xfId="44163"/>
    <cellStyle name="Heading 2 2 6 2 2 11" xfId="44164"/>
    <cellStyle name="Heading 2 2 6 2 2 11 2" xfId="44165"/>
    <cellStyle name="Heading 2 2 6 2 2 11 2 2" xfId="44166"/>
    <cellStyle name="Heading 2 2 6 2 2 11 3" xfId="44167"/>
    <cellStyle name="Heading 2 2 6 2 2 12" xfId="44168"/>
    <cellStyle name="Heading 2 2 6 2 2 12 2" xfId="44169"/>
    <cellStyle name="Heading 2 2 6 2 2 12 2 2" xfId="44170"/>
    <cellStyle name="Heading 2 2 6 2 2 12 3" xfId="44171"/>
    <cellStyle name="Heading 2 2 6 2 2 13" xfId="44172"/>
    <cellStyle name="Heading 2 2 6 2 2 13 2" xfId="44173"/>
    <cellStyle name="Heading 2 2 6 2 2 13 2 2" xfId="44174"/>
    <cellStyle name="Heading 2 2 6 2 2 13 3" xfId="44175"/>
    <cellStyle name="Heading 2 2 6 2 2 14" xfId="44176"/>
    <cellStyle name="Heading 2 2 6 2 2 14 2" xfId="44177"/>
    <cellStyle name="Heading 2 2 6 2 2 14 2 2" xfId="44178"/>
    <cellStyle name="Heading 2 2 6 2 2 14 3" xfId="44179"/>
    <cellStyle name="Heading 2 2 6 2 2 15" xfId="44180"/>
    <cellStyle name="Heading 2 2 6 2 2 15 2" xfId="44181"/>
    <cellStyle name="Heading 2 2 6 2 2 15 2 2" xfId="44182"/>
    <cellStyle name="Heading 2 2 6 2 2 15 3" xfId="44183"/>
    <cellStyle name="Heading 2 2 6 2 2 16" xfId="44184"/>
    <cellStyle name="Heading 2 2 6 2 2 16 2" xfId="44185"/>
    <cellStyle name="Heading 2 2 6 2 2 16 2 2" xfId="44186"/>
    <cellStyle name="Heading 2 2 6 2 2 16 3" xfId="44187"/>
    <cellStyle name="Heading 2 2 6 2 2 17" xfId="44188"/>
    <cellStyle name="Heading 2 2 6 2 2 17 2" xfId="44189"/>
    <cellStyle name="Heading 2 2 6 2 2 17 2 2" xfId="44190"/>
    <cellStyle name="Heading 2 2 6 2 2 17 3" xfId="44191"/>
    <cellStyle name="Heading 2 2 6 2 2 18" xfId="44192"/>
    <cellStyle name="Heading 2 2 6 2 2 18 2" xfId="44193"/>
    <cellStyle name="Heading 2 2 6 2 2 18 2 2" xfId="44194"/>
    <cellStyle name="Heading 2 2 6 2 2 18 3" xfId="44195"/>
    <cellStyle name="Heading 2 2 6 2 2 19" xfId="44196"/>
    <cellStyle name="Heading 2 2 6 2 2 19 2" xfId="44197"/>
    <cellStyle name="Heading 2 2 6 2 2 2" xfId="44198"/>
    <cellStyle name="Heading 2 2 6 2 2 2 2" xfId="44199"/>
    <cellStyle name="Heading 2 2 6 2 2 2 2 2" xfId="44200"/>
    <cellStyle name="Heading 2 2 6 2 2 2 2 2 2" xfId="44201"/>
    <cellStyle name="Heading 2 2 6 2 2 2 2 3" xfId="44202"/>
    <cellStyle name="Heading 2 2 6 2 2 2 3" xfId="44203"/>
    <cellStyle name="Heading 2 2 6 2 2 2 3 2" xfId="44204"/>
    <cellStyle name="Heading 2 2 6 2 2 2 3 2 2" xfId="44205"/>
    <cellStyle name="Heading 2 2 6 2 2 2 3 3" xfId="44206"/>
    <cellStyle name="Heading 2 2 6 2 2 2 4" xfId="44207"/>
    <cellStyle name="Heading 2 2 6 2 2 2 4 2" xfId="44208"/>
    <cellStyle name="Heading 2 2 6 2 2 2 4 2 2" xfId="44209"/>
    <cellStyle name="Heading 2 2 6 2 2 2 4 3" xfId="44210"/>
    <cellStyle name="Heading 2 2 6 2 2 2 5" xfId="44211"/>
    <cellStyle name="Heading 2 2 6 2 2 2 5 2" xfId="44212"/>
    <cellStyle name="Heading 2 2 6 2 2 2 5 2 2" xfId="44213"/>
    <cellStyle name="Heading 2 2 6 2 2 2 5 3" xfId="44214"/>
    <cellStyle name="Heading 2 2 6 2 2 2 6" xfId="44215"/>
    <cellStyle name="Heading 2 2 6 2 2 2 6 2" xfId="44216"/>
    <cellStyle name="Heading 2 2 6 2 2 2 6 2 2" xfId="44217"/>
    <cellStyle name="Heading 2 2 6 2 2 2 6 3" xfId="44218"/>
    <cellStyle name="Heading 2 2 6 2 2 2 7" xfId="44219"/>
    <cellStyle name="Heading 2 2 6 2 2 2 7 2" xfId="44220"/>
    <cellStyle name="Heading 2 2 6 2 2 2 7 2 2" xfId="44221"/>
    <cellStyle name="Heading 2 2 6 2 2 2 7 3" xfId="44222"/>
    <cellStyle name="Heading 2 2 6 2 2 2 8" xfId="44223"/>
    <cellStyle name="Heading 2 2 6 2 2 2 8 2" xfId="44224"/>
    <cellStyle name="Heading 2 2 6 2 2 2 9" xfId="44225"/>
    <cellStyle name="Heading 2 2 6 2 2 20" xfId="44226"/>
    <cellStyle name="Heading 2 2 6 2 2 20 2" xfId="44227"/>
    <cellStyle name="Heading 2 2 6 2 2 21" xfId="44228"/>
    <cellStyle name="Heading 2 2 6 2 2 21 2" xfId="44229"/>
    <cellStyle name="Heading 2 2 6 2 2 22" xfId="44230"/>
    <cellStyle name="Heading 2 2 6 2 2 3" xfId="44231"/>
    <cellStyle name="Heading 2 2 6 2 2 3 2" xfId="44232"/>
    <cellStyle name="Heading 2 2 6 2 2 3 2 2" xfId="44233"/>
    <cellStyle name="Heading 2 2 6 2 2 3 2 2 2" xfId="44234"/>
    <cellStyle name="Heading 2 2 6 2 2 3 2 3" xfId="44235"/>
    <cellStyle name="Heading 2 2 6 2 2 3 3" xfId="44236"/>
    <cellStyle name="Heading 2 2 6 2 2 3 3 2" xfId="44237"/>
    <cellStyle name="Heading 2 2 6 2 2 3 3 2 2" xfId="44238"/>
    <cellStyle name="Heading 2 2 6 2 2 3 3 3" xfId="44239"/>
    <cellStyle name="Heading 2 2 6 2 2 3 4" xfId="44240"/>
    <cellStyle name="Heading 2 2 6 2 2 3 4 2" xfId="44241"/>
    <cellStyle name="Heading 2 2 6 2 2 3 4 2 2" xfId="44242"/>
    <cellStyle name="Heading 2 2 6 2 2 3 4 3" xfId="44243"/>
    <cellStyle name="Heading 2 2 6 2 2 3 5" xfId="44244"/>
    <cellStyle name="Heading 2 2 6 2 2 3 5 2" xfId="44245"/>
    <cellStyle name="Heading 2 2 6 2 2 3 5 2 2" xfId="44246"/>
    <cellStyle name="Heading 2 2 6 2 2 3 5 3" xfId="44247"/>
    <cellStyle name="Heading 2 2 6 2 2 3 6" xfId="44248"/>
    <cellStyle name="Heading 2 2 6 2 2 3 6 2" xfId="44249"/>
    <cellStyle name="Heading 2 2 6 2 2 3 6 2 2" xfId="44250"/>
    <cellStyle name="Heading 2 2 6 2 2 3 6 3" xfId="44251"/>
    <cellStyle name="Heading 2 2 6 2 2 3 7" xfId="44252"/>
    <cellStyle name="Heading 2 2 6 2 2 3 7 2" xfId="44253"/>
    <cellStyle name="Heading 2 2 6 2 2 3 7 2 2" xfId="44254"/>
    <cellStyle name="Heading 2 2 6 2 2 3 7 3" xfId="44255"/>
    <cellStyle name="Heading 2 2 6 2 2 3 8" xfId="44256"/>
    <cellStyle name="Heading 2 2 6 2 2 3 8 2" xfId="44257"/>
    <cellStyle name="Heading 2 2 6 2 2 3 9" xfId="44258"/>
    <cellStyle name="Heading 2 2 6 2 2 4" xfId="44259"/>
    <cellStyle name="Heading 2 2 6 2 2 4 2" xfId="44260"/>
    <cellStyle name="Heading 2 2 6 2 2 4 2 2" xfId="44261"/>
    <cellStyle name="Heading 2 2 6 2 2 4 2 2 2" xfId="44262"/>
    <cellStyle name="Heading 2 2 6 2 2 4 2 3" xfId="44263"/>
    <cellStyle name="Heading 2 2 6 2 2 4 3" xfId="44264"/>
    <cellStyle name="Heading 2 2 6 2 2 4 3 2" xfId="44265"/>
    <cellStyle name="Heading 2 2 6 2 2 4 3 2 2" xfId="44266"/>
    <cellStyle name="Heading 2 2 6 2 2 4 3 3" xfId="44267"/>
    <cellStyle name="Heading 2 2 6 2 2 4 4" xfId="44268"/>
    <cellStyle name="Heading 2 2 6 2 2 4 4 2" xfId="44269"/>
    <cellStyle name="Heading 2 2 6 2 2 4 4 2 2" xfId="44270"/>
    <cellStyle name="Heading 2 2 6 2 2 4 4 3" xfId="44271"/>
    <cellStyle name="Heading 2 2 6 2 2 4 5" xfId="44272"/>
    <cellStyle name="Heading 2 2 6 2 2 4 5 2" xfId="44273"/>
    <cellStyle name="Heading 2 2 6 2 2 4 5 2 2" xfId="44274"/>
    <cellStyle name="Heading 2 2 6 2 2 4 5 3" xfId="44275"/>
    <cellStyle name="Heading 2 2 6 2 2 4 6" xfId="44276"/>
    <cellStyle name="Heading 2 2 6 2 2 4 6 2" xfId="44277"/>
    <cellStyle name="Heading 2 2 6 2 2 4 6 2 2" xfId="44278"/>
    <cellStyle name="Heading 2 2 6 2 2 4 6 3" xfId="44279"/>
    <cellStyle name="Heading 2 2 6 2 2 4 7" xfId="44280"/>
    <cellStyle name="Heading 2 2 6 2 2 4 7 2" xfId="44281"/>
    <cellStyle name="Heading 2 2 6 2 2 4 7 2 2" xfId="44282"/>
    <cellStyle name="Heading 2 2 6 2 2 4 7 3" xfId="44283"/>
    <cellStyle name="Heading 2 2 6 2 2 4 8" xfId="44284"/>
    <cellStyle name="Heading 2 2 6 2 2 4 8 2" xfId="44285"/>
    <cellStyle name="Heading 2 2 6 2 2 4 9" xfId="44286"/>
    <cellStyle name="Heading 2 2 6 2 2 5" xfId="44287"/>
    <cellStyle name="Heading 2 2 6 2 2 5 2" xfId="44288"/>
    <cellStyle name="Heading 2 2 6 2 2 5 2 2" xfId="44289"/>
    <cellStyle name="Heading 2 2 6 2 2 5 2 2 2" xfId="44290"/>
    <cellStyle name="Heading 2 2 6 2 2 5 2 3" xfId="44291"/>
    <cellStyle name="Heading 2 2 6 2 2 5 3" xfId="44292"/>
    <cellStyle name="Heading 2 2 6 2 2 5 3 2" xfId="44293"/>
    <cellStyle name="Heading 2 2 6 2 2 5 3 2 2" xfId="44294"/>
    <cellStyle name="Heading 2 2 6 2 2 5 3 3" xfId="44295"/>
    <cellStyle name="Heading 2 2 6 2 2 5 4" xfId="44296"/>
    <cellStyle name="Heading 2 2 6 2 2 5 4 2" xfId="44297"/>
    <cellStyle name="Heading 2 2 6 2 2 5 4 2 2" xfId="44298"/>
    <cellStyle name="Heading 2 2 6 2 2 5 4 3" xfId="44299"/>
    <cellStyle name="Heading 2 2 6 2 2 5 5" xfId="44300"/>
    <cellStyle name="Heading 2 2 6 2 2 5 5 2" xfId="44301"/>
    <cellStyle name="Heading 2 2 6 2 2 5 5 2 2" xfId="44302"/>
    <cellStyle name="Heading 2 2 6 2 2 5 5 3" xfId="44303"/>
    <cellStyle name="Heading 2 2 6 2 2 5 6" xfId="44304"/>
    <cellStyle name="Heading 2 2 6 2 2 5 6 2" xfId="44305"/>
    <cellStyle name="Heading 2 2 6 2 2 5 6 2 2" xfId="44306"/>
    <cellStyle name="Heading 2 2 6 2 2 5 6 3" xfId="44307"/>
    <cellStyle name="Heading 2 2 6 2 2 5 7" xfId="44308"/>
    <cellStyle name="Heading 2 2 6 2 2 5 7 2" xfId="44309"/>
    <cellStyle name="Heading 2 2 6 2 2 5 7 2 2" xfId="44310"/>
    <cellStyle name="Heading 2 2 6 2 2 5 7 3" xfId="44311"/>
    <cellStyle name="Heading 2 2 6 2 2 5 8" xfId="44312"/>
    <cellStyle name="Heading 2 2 6 2 2 5 8 2" xfId="44313"/>
    <cellStyle name="Heading 2 2 6 2 2 5 9" xfId="44314"/>
    <cellStyle name="Heading 2 2 6 2 2 6" xfId="44315"/>
    <cellStyle name="Heading 2 2 6 2 2 6 2" xfId="44316"/>
    <cellStyle name="Heading 2 2 6 2 2 6 2 2" xfId="44317"/>
    <cellStyle name="Heading 2 2 6 2 2 6 2 2 2" xfId="44318"/>
    <cellStyle name="Heading 2 2 6 2 2 6 2 3" xfId="44319"/>
    <cellStyle name="Heading 2 2 6 2 2 6 3" xfId="44320"/>
    <cellStyle name="Heading 2 2 6 2 2 6 3 2" xfId="44321"/>
    <cellStyle name="Heading 2 2 6 2 2 6 3 2 2" xfId="44322"/>
    <cellStyle name="Heading 2 2 6 2 2 6 3 3" xfId="44323"/>
    <cellStyle name="Heading 2 2 6 2 2 6 4" xfId="44324"/>
    <cellStyle name="Heading 2 2 6 2 2 6 4 2" xfId="44325"/>
    <cellStyle name="Heading 2 2 6 2 2 6 4 2 2" xfId="44326"/>
    <cellStyle name="Heading 2 2 6 2 2 6 4 3" xfId="44327"/>
    <cellStyle name="Heading 2 2 6 2 2 6 5" xfId="44328"/>
    <cellStyle name="Heading 2 2 6 2 2 6 5 2" xfId="44329"/>
    <cellStyle name="Heading 2 2 6 2 2 6 5 2 2" xfId="44330"/>
    <cellStyle name="Heading 2 2 6 2 2 6 5 3" xfId="44331"/>
    <cellStyle name="Heading 2 2 6 2 2 6 6" xfId="44332"/>
    <cellStyle name="Heading 2 2 6 2 2 6 6 2" xfId="44333"/>
    <cellStyle name="Heading 2 2 6 2 2 6 6 2 2" xfId="44334"/>
    <cellStyle name="Heading 2 2 6 2 2 6 6 3" xfId="44335"/>
    <cellStyle name="Heading 2 2 6 2 2 6 7" xfId="44336"/>
    <cellStyle name="Heading 2 2 6 2 2 6 7 2" xfId="44337"/>
    <cellStyle name="Heading 2 2 6 2 2 6 7 2 2" xfId="44338"/>
    <cellStyle name="Heading 2 2 6 2 2 6 7 3" xfId="44339"/>
    <cellStyle name="Heading 2 2 6 2 2 6 8" xfId="44340"/>
    <cellStyle name="Heading 2 2 6 2 2 6 8 2" xfId="44341"/>
    <cellStyle name="Heading 2 2 6 2 2 6 9" xfId="44342"/>
    <cellStyle name="Heading 2 2 6 2 2 7" xfId="44343"/>
    <cellStyle name="Heading 2 2 6 2 2 7 2" xfId="44344"/>
    <cellStyle name="Heading 2 2 6 2 2 7 2 2" xfId="44345"/>
    <cellStyle name="Heading 2 2 6 2 2 7 2 2 2" xfId="44346"/>
    <cellStyle name="Heading 2 2 6 2 2 7 2 3" xfId="44347"/>
    <cellStyle name="Heading 2 2 6 2 2 7 3" xfId="44348"/>
    <cellStyle name="Heading 2 2 6 2 2 7 3 2" xfId="44349"/>
    <cellStyle name="Heading 2 2 6 2 2 7 3 2 2" xfId="44350"/>
    <cellStyle name="Heading 2 2 6 2 2 7 3 3" xfId="44351"/>
    <cellStyle name="Heading 2 2 6 2 2 7 4" xfId="44352"/>
    <cellStyle name="Heading 2 2 6 2 2 7 4 2" xfId="44353"/>
    <cellStyle name="Heading 2 2 6 2 2 7 4 2 2" xfId="44354"/>
    <cellStyle name="Heading 2 2 6 2 2 7 4 3" xfId="44355"/>
    <cellStyle name="Heading 2 2 6 2 2 7 5" xfId="44356"/>
    <cellStyle name="Heading 2 2 6 2 2 7 5 2" xfId="44357"/>
    <cellStyle name="Heading 2 2 6 2 2 7 5 2 2" xfId="44358"/>
    <cellStyle name="Heading 2 2 6 2 2 7 5 3" xfId="44359"/>
    <cellStyle name="Heading 2 2 6 2 2 7 6" xfId="44360"/>
    <cellStyle name="Heading 2 2 6 2 2 7 6 2" xfId="44361"/>
    <cellStyle name="Heading 2 2 6 2 2 7 6 2 2" xfId="44362"/>
    <cellStyle name="Heading 2 2 6 2 2 7 6 3" xfId="44363"/>
    <cellStyle name="Heading 2 2 6 2 2 7 7" xfId="44364"/>
    <cellStyle name="Heading 2 2 6 2 2 7 7 2" xfId="44365"/>
    <cellStyle name="Heading 2 2 6 2 2 7 7 2 2" xfId="44366"/>
    <cellStyle name="Heading 2 2 6 2 2 7 7 3" xfId="44367"/>
    <cellStyle name="Heading 2 2 6 2 2 7 8" xfId="44368"/>
    <cellStyle name="Heading 2 2 6 2 2 7 8 2" xfId="44369"/>
    <cellStyle name="Heading 2 2 6 2 2 7 9" xfId="44370"/>
    <cellStyle name="Heading 2 2 6 2 2 8" xfId="44371"/>
    <cellStyle name="Heading 2 2 6 2 2 8 2" xfId="44372"/>
    <cellStyle name="Heading 2 2 6 2 2 8 2 2" xfId="44373"/>
    <cellStyle name="Heading 2 2 6 2 2 8 2 2 2" xfId="44374"/>
    <cellStyle name="Heading 2 2 6 2 2 8 2 3" xfId="44375"/>
    <cellStyle name="Heading 2 2 6 2 2 8 3" xfId="44376"/>
    <cellStyle name="Heading 2 2 6 2 2 8 3 2" xfId="44377"/>
    <cellStyle name="Heading 2 2 6 2 2 8 3 2 2" xfId="44378"/>
    <cellStyle name="Heading 2 2 6 2 2 8 3 3" xfId="44379"/>
    <cellStyle name="Heading 2 2 6 2 2 8 4" xfId="44380"/>
    <cellStyle name="Heading 2 2 6 2 2 8 4 2" xfId="44381"/>
    <cellStyle name="Heading 2 2 6 2 2 8 4 2 2" xfId="44382"/>
    <cellStyle name="Heading 2 2 6 2 2 8 4 3" xfId="44383"/>
    <cellStyle name="Heading 2 2 6 2 2 8 5" xfId="44384"/>
    <cellStyle name="Heading 2 2 6 2 2 8 5 2" xfId="44385"/>
    <cellStyle name="Heading 2 2 6 2 2 8 5 2 2" xfId="44386"/>
    <cellStyle name="Heading 2 2 6 2 2 8 5 3" xfId="44387"/>
    <cellStyle name="Heading 2 2 6 2 2 8 6" xfId="44388"/>
    <cellStyle name="Heading 2 2 6 2 2 8 6 2" xfId="44389"/>
    <cellStyle name="Heading 2 2 6 2 2 8 6 2 2" xfId="44390"/>
    <cellStyle name="Heading 2 2 6 2 2 8 6 3" xfId="44391"/>
    <cellStyle name="Heading 2 2 6 2 2 8 7" xfId="44392"/>
    <cellStyle name="Heading 2 2 6 2 2 8 7 2" xfId="44393"/>
    <cellStyle name="Heading 2 2 6 2 2 8 7 2 2" xfId="44394"/>
    <cellStyle name="Heading 2 2 6 2 2 8 7 3" xfId="44395"/>
    <cellStyle name="Heading 2 2 6 2 2 8 8" xfId="44396"/>
    <cellStyle name="Heading 2 2 6 2 2 8 8 2" xfId="44397"/>
    <cellStyle name="Heading 2 2 6 2 2 8 9" xfId="44398"/>
    <cellStyle name="Heading 2 2 6 2 2 9" xfId="44399"/>
    <cellStyle name="Heading 2 2 6 2 2 9 2" xfId="44400"/>
    <cellStyle name="Heading 2 2 6 2 2 9 2 2" xfId="44401"/>
    <cellStyle name="Heading 2 2 6 2 2 9 3" xfId="44402"/>
    <cellStyle name="Heading 2 2 6 2 20" xfId="44403"/>
    <cellStyle name="Heading 2 2 6 2 20 2" xfId="44404"/>
    <cellStyle name="Heading 2 2 6 2 21" xfId="44405"/>
    <cellStyle name="Heading 2 2 6 2 21 2" xfId="44406"/>
    <cellStyle name="Heading 2 2 6 2 22" xfId="44407"/>
    <cellStyle name="Heading 2 2 6 2 22 2" xfId="44408"/>
    <cellStyle name="Heading 2 2 6 2 23" xfId="44409"/>
    <cellStyle name="Heading 2 2 6 2 3" xfId="44410"/>
    <cellStyle name="Heading 2 2 6 2 3 2" xfId="44411"/>
    <cellStyle name="Heading 2 2 6 2 3 2 2" xfId="44412"/>
    <cellStyle name="Heading 2 2 6 2 3 2 2 2" xfId="44413"/>
    <cellStyle name="Heading 2 2 6 2 3 2 3" xfId="44414"/>
    <cellStyle name="Heading 2 2 6 2 3 3" xfId="44415"/>
    <cellStyle name="Heading 2 2 6 2 3 3 2" xfId="44416"/>
    <cellStyle name="Heading 2 2 6 2 3 3 2 2" xfId="44417"/>
    <cellStyle name="Heading 2 2 6 2 3 3 3" xfId="44418"/>
    <cellStyle name="Heading 2 2 6 2 3 4" xfId="44419"/>
    <cellStyle name="Heading 2 2 6 2 3 4 2" xfId="44420"/>
    <cellStyle name="Heading 2 2 6 2 3 4 2 2" xfId="44421"/>
    <cellStyle name="Heading 2 2 6 2 3 4 3" xfId="44422"/>
    <cellStyle name="Heading 2 2 6 2 3 5" xfId="44423"/>
    <cellStyle name="Heading 2 2 6 2 3 5 2" xfId="44424"/>
    <cellStyle name="Heading 2 2 6 2 3 5 2 2" xfId="44425"/>
    <cellStyle name="Heading 2 2 6 2 3 5 3" xfId="44426"/>
    <cellStyle name="Heading 2 2 6 2 3 6" xfId="44427"/>
    <cellStyle name="Heading 2 2 6 2 3 6 2" xfId="44428"/>
    <cellStyle name="Heading 2 2 6 2 3 6 2 2" xfId="44429"/>
    <cellStyle name="Heading 2 2 6 2 3 6 3" xfId="44430"/>
    <cellStyle name="Heading 2 2 6 2 3 7" xfId="44431"/>
    <cellStyle name="Heading 2 2 6 2 3 7 2" xfId="44432"/>
    <cellStyle name="Heading 2 2 6 2 3 7 2 2" xfId="44433"/>
    <cellStyle name="Heading 2 2 6 2 3 7 3" xfId="44434"/>
    <cellStyle name="Heading 2 2 6 2 3 8" xfId="44435"/>
    <cellStyle name="Heading 2 2 6 2 3 8 2" xfId="44436"/>
    <cellStyle name="Heading 2 2 6 2 3 9" xfId="44437"/>
    <cellStyle name="Heading 2 2 6 2 4" xfId="44438"/>
    <cellStyle name="Heading 2 2 6 2 4 2" xfId="44439"/>
    <cellStyle name="Heading 2 2 6 2 4 2 2" xfId="44440"/>
    <cellStyle name="Heading 2 2 6 2 4 2 2 2" xfId="44441"/>
    <cellStyle name="Heading 2 2 6 2 4 2 3" xfId="44442"/>
    <cellStyle name="Heading 2 2 6 2 4 3" xfId="44443"/>
    <cellStyle name="Heading 2 2 6 2 4 3 2" xfId="44444"/>
    <cellStyle name="Heading 2 2 6 2 4 3 2 2" xfId="44445"/>
    <cellStyle name="Heading 2 2 6 2 4 3 3" xfId="44446"/>
    <cellStyle name="Heading 2 2 6 2 4 4" xfId="44447"/>
    <cellStyle name="Heading 2 2 6 2 4 4 2" xfId="44448"/>
    <cellStyle name="Heading 2 2 6 2 4 4 2 2" xfId="44449"/>
    <cellStyle name="Heading 2 2 6 2 4 4 3" xfId="44450"/>
    <cellStyle name="Heading 2 2 6 2 4 5" xfId="44451"/>
    <cellStyle name="Heading 2 2 6 2 4 5 2" xfId="44452"/>
    <cellStyle name="Heading 2 2 6 2 4 5 2 2" xfId="44453"/>
    <cellStyle name="Heading 2 2 6 2 4 5 3" xfId="44454"/>
    <cellStyle name="Heading 2 2 6 2 4 6" xfId="44455"/>
    <cellStyle name="Heading 2 2 6 2 4 6 2" xfId="44456"/>
    <cellStyle name="Heading 2 2 6 2 4 6 2 2" xfId="44457"/>
    <cellStyle name="Heading 2 2 6 2 4 6 3" xfId="44458"/>
    <cellStyle name="Heading 2 2 6 2 4 7" xfId="44459"/>
    <cellStyle name="Heading 2 2 6 2 4 7 2" xfId="44460"/>
    <cellStyle name="Heading 2 2 6 2 4 7 2 2" xfId="44461"/>
    <cellStyle name="Heading 2 2 6 2 4 7 3" xfId="44462"/>
    <cellStyle name="Heading 2 2 6 2 4 8" xfId="44463"/>
    <cellStyle name="Heading 2 2 6 2 4 8 2" xfId="44464"/>
    <cellStyle name="Heading 2 2 6 2 4 9" xfId="44465"/>
    <cellStyle name="Heading 2 2 6 2 5" xfId="44466"/>
    <cellStyle name="Heading 2 2 6 2 5 2" xfId="44467"/>
    <cellStyle name="Heading 2 2 6 2 5 2 2" xfId="44468"/>
    <cellStyle name="Heading 2 2 6 2 5 2 2 2" xfId="44469"/>
    <cellStyle name="Heading 2 2 6 2 5 2 3" xfId="44470"/>
    <cellStyle name="Heading 2 2 6 2 5 3" xfId="44471"/>
    <cellStyle name="Heading 2 2 6 2 5 3 2" xfId="44472"/>
    <cellStyle name="Heading 2 2 6 2 5 3 2 2" xfId="44473"/>
    <cellStyle name="Heading 2 2 6 2 5 3 3" xfId="44474"/>
    <cellStyle name="Heading 2 2 6 2 5 4" xfId="44475"/>
    <cellStyle name="Heading 2 2 6 2 5 4 2" xfId="44476"/>
    <cellStyle name="Heading 2 2 6 2 5 4 2 2" xfId="44477"/>
    <cellStyle name="Heading 2 2 6 2 5 4 3" xfId="44478"/>
    <cellStyle name="Heading 2 2 6 2 5 5" xfId="44479"/>
    <cellStyle name="Heading 2 2 6 2 5 5 2" xfId="44480"/>
    <cellStyle name="Heading 2 2 6 2 5 5 2 2" xfId="44481"/>
    <cellStyle name="Heading 2 2 6 2 5 5 3" xfId="44482"/>
    <cellStyle name="Heading 2 2 6 2 5 6" xfId="44483"/>
    <cellStyle name="Heading 2 2 6 2 5 6 2" xfId="44484"/>
    <cellStyle name="Heading 2 2 6 2 5 6 2 2" xfId="44485"/>
    <cellStyle name="Heading 2 2 6 2 5 6 3" xfId="44486"/>
    <cellStyle name="Heading 2 2 6 2 5 7" xfId="44487"/>
    <cellStyle name="Heading 2 2 6 2 5 7 2" xfId="44488"/>
    <cellStyle name="Heading 2 2 6 2 5 7 2 2" xfId="44489"/>
    <cellStyle name="Heading 2 2 6 2 5 7 3" xfId="44490"/>
    <cellStyle name="Heading 2 2 6 2 5 8" xfId="44491"/>
    <cellStyle name="Heading 2 2 6 2 5 8 2" xfId="44492"/>
    <cellStyle name="Heading 2 2 6 2 5 9" xfId="44493"/>
    <cellStyle name="Heading 2 2 6 2 6" xfId="44494"/>
    <cellStyle name="Heading 2 2 6 2 6 2" xfId="44495"/>
    <cellStyle name="Heading 2 2 6 2 6 2 2" xfId="44496"/>
    <cellStyle name="Heading 2 2 6 2 6 2 2 2" xfId="44497"/>
    <cellStyle name="Heading 2 2 6 2 6 2 3" xfId="44498"/>
    <cellStyle name="Heading 2 2 6 2 6 3" xfId="44499"/>
    <cellStyle name="Heading 2 2 6 2 6 3 2" xfId="44500"/>
    <cellStyle name="Heading 2 2 6 2 6 3 2 2" xfId="44501"/>
    <cellStyle name="Heading 2 2 6 2 6 3 3" xfId="44502"/>
    <cellStyle name="Heading 2 2 6 2 6 4" xfId="44503"/>
    <cellStyle name="Heading 2 2 6 2 6 4 2" xfId="44504"/>
    <cellStyle name="Heading 2 2 6 2 6 4 2 2" xfId="44505"/>
    <cellStyle name="Heading 2 2 6 2 6 4 3" xfId="44506"/>
    <cellStyle name="Heading 2 2 6 2 6 5" xfId="44507"/>
    <cellStyle name="Heading 2 2 6 2 6 5 2" xfId="44508"/>
    <cellStyle name="Heading 2 2 6 2 6 5 2 2" xfId="44509"/>
    <cellStyle name="Heading 2 2 6 2 6 5 3" xfId="44510"/>
    <cellStyle name="Heading 2 2 6 2 6 6" xfId="44511"/>
    <cellStyle name="Heading 2 2 6 2 6 6 2" xfId="44512"/>
    <cellStyle name="Heading 2 2 6 2 6 6 2 2" xfId="44513"/>
    <cellStyle name="Heading 2 2 6 2 6 6 3" xfId="44514"/>
    <cellStyle name="Heading 2 2 6 2 6 7" xfId="44515"/>
    <cellStyle name="Heading 2 2 6 2 6 7 2" xfId="44516"/>
    <cellStyle name="Heading 2 2 6 2 6 7 2 2" xfId="44517"/>
    <cellStyle name="Heading 2 2 6 2 6 7 3" xfId="44518"/>
    <cellStyle name="Heading 2 2 6 2 6 8" xfId="44519"/>
    <cellStyle name="Heading 2 2 6 2 6 8 2" xfId="44520"/>
    <cellStyle name="Heading 2 2 6 2 6 9" xfId="44521"/>
    <cellStyle name="Heading 2 2 6 2 7" xfId="44522"/>
    <cellStyle name="Heading 2 2 6 2 7 2" xfId="44523"/>
    <cellStyle name="Heading 2 2 6 2 7 2 2" xfId="44524"/>
    <cellStyle name="Heading 2 2 6 2 7 2 2 2" xfId="44525"/>
    <cellStyle name="Heading 2 2 6 2 7 2 3" xfId="44526"/>
    <cellStyle name="Heading 2 2 6 2 7 3" xfId="44527"/>
    <cellStyle name="Heading 2 2 6 2 7 3 2" xfId="44528"/>
    <cellStyle name="Heading 2 2 6 2 7 3 2 2" xfId="44529"/>
    <cellStyle name="Heading 2 2 6 2 7 3 3" xfId="44530"/>
    <cellStyle name="Heading 2 2 6 2 7 4" xfId="44531"/>
    <cellStyle name="Heading 2 2 6 2 7 4 2" xfId="44532"/>
    <cellStyle name="Heading 2 2 6 2 7 4 2 2" xfId="44533"/>
    <cellStyle name="Heading 2 2 6 2 7 4 3" xfId="44534"/>
    <cellStyle name="Heading 2 2 6 2 7 5" xfId="44535"/>
    <cellStyle name="Heading 2 2 6 2 7 5 2" xfId="44536"/>
    <cellStyle name="Heading 2 2 6 2 7 5 2 2" xfId="44537"/>
    <cellStyle name="Heading 2 2 6 2 7 5 3" xfId="44538"/>
    <cellStyle name="Heading 2 2 6 2 7 6" xfId="44539"/>
    <cellStyle name="Heading 2 2 6 2 7 6 2" xfId="44540"/>
    <cellStyle name="Heading 2 2 6 2 7 6 2 2" xfId="44541"/>
    <cellStyle name="Heading 2 2 6 2 7 6 3" xfId="44542"/>
    <cellStyle name="Heading 2 2 6 2 7 7" xfId="44543"/>
    <cellStyle name="Heading 2 2 6 2 7 7 2" xfId="44544"/>
    <cellStyle name="Heading 2 2 6 2 7 7 2 2" xfId="44545"/>
    <cellStyle name="Heading 2 2 6 2 7 7 3" xfId="44546"/>
    <cellStyle name="Heading 2 2 6 2 7 8" xfId="44547"/>
    <cellStyle name="Heading 2 2 6 2 7 8 2" xfId="44548"/>
    <cellStyle name="Heading 2 2 6 2 7 9" xfId="44549"/>
    <cellStyle name="Heading 2 2 6 2 8" xfId="44550"/>
    <cellStyle name="Heading 2 2 6 2 8 2" xfId="44551"/>
    <cellStyle name="Heading 2 2 6 2 8 2 2" xfId="44552"/>
    <cellStyle name="Heading 2 2 6 2 8 2 2 2" xfId="44553"/>
    <cellStyle name="Heading 2 2 6 2 8 2 3" xfId="44554"/>
    <cellStyle name="Heading 2 2 6 2 8 3" xfId="44555"/>
    <cellStyle name="Heading 2 2 6 2 8 3 2" xfId="44556"/>
    <cellStyle name="Heading 2 2 6 2 8 3 2 2" xfId="44557"/>
    <cellStyle name="Heading 2 2 6 2 8 3 3" xfId="44558"/>
    <cellStyle name="Heading 2 2 6 2 8 4" xfId="44559"/>
    <cellStyle name="Heading 2 2 6 2 8 4 2" xfId="44560"/>
    <cellStyle name="Heading 2 2 6 2 8 4 2 2" xfId="44561"/>
    <cellStyle name="Heading 2 2 6 2 8 4 3" xfId="44562"/>
    <cellStyle name="Heading 2 2 6 2 8 5" xfId="44563"/>
    <cellStyle name="Heading 2 2 6 2 8 5 2" xfId="44564"/>
    <cellStyle name="Heading 2 2 6 2 8 5 2 2" xfId="44565"/>
    <cellStyle name="Heading 2 2 6 2 8 5 3" xfId="44566"/>
    <cellStyle name="Heading 2 2 6 2 8 6" xfId="44567"/>
    <cellStyle name="Heading 2 2 6 2 8 6 2" xfId="44568"/>
    <cellStyle name="Heading 2 2 6 2 8 6 2 2" xfId="44569"/>
    <cellStyle name="Heading 2 2 6 2 8 6 3" xfId="44570"/>
    <cellStyle name="Heading 2 2 6 2 8 7" xfId="44571"/>
    <cellStyle name="Heading 2 2 6 2 8 7 2" xfId="44572"/>
    <cellStyle name="Heading 2 2 6 2 8 7 2 2" xfId="44573"/>
    <cellStyle name="Heading 2 2 6 2 8 7 3" xfId="44574"/>
    <cellStyle name="Heading 2 2 6 2 8 8" xfId="44575"/>
    <cellStyle name="Heading 2 2 6 2 8 8 2" xfId="44576"/>
    <cellStyle name="Heading 2 2 6 2 8 9" xfId="44577"/>
    <cellStyle name="Heading 2 2 6 2 9" xfId="44578"/>
    <cellStyle name="Heading 2 2 6 2 9 2" xfId="44579"/>
    <cellStyle name="Heading 2 2 6 2 9 2 2" xfId="44580"/>
    <cellStyle name="Heading 2 2 6 2 9 2 2 2" xfId="44581"/>
    <cellStyle name="Heading 2 2 6 2 9 2 3" xfId="44582"/>
    <cellStyle name="Heading 2 2 6 2 9 3" xfId="44583"/>
    <cellStyle name="Heading 2 2 6 2 9 3 2" xfId="44584"/>
    <cellStyle name="Heading 2 2 6 2 9 3 2 2" xfId="44585"/>
    <cellStyle name="Heading 2 2 6 2 9 3 3" xfId="44586"/>
    <cellStyle name="Heading 2 2 6 2 9 4" xfId="44587"/>
    <cellStyle name="Heading 2 2 6 2 9 4 2" xfId="44588"/>
    <cellStyle name="Heading 2 2 6 2 9 4 2 2" xfId="44589"/>
    <cellStyle name="Heading 2 2 6 2 9 4 3" xfId="44590"/>
    <cellStyle name="Heading 2 2 6 2 9 5" xfId="44591"/>
    <cellStyle name="Heading 2 2 6 2 9 5 2" xfId="44592"/>
    <cellStyle name="Heading 2 2 6 2 9 5 2 2" xfId="44593"/>
    <cellStyle name="Heading 2 2 6 2 9 5 3" xfId="44594"/>
    <cellStyle name="Heading 2 2 6 2 9 6" xfId="44595"/>
    <cellStyle name="Heading 2 2 6 2 9 6 2" xfId="44596"/>
    <cellStyle name="Heading 2 2 6 2 9 6 2 2" xfId="44597"/>
    <cellStyle name="Heading 2 2 6 2 9 6 3" xfId="44598"/>
    <cellStyle name="Heading 2 2 6 2 9 7" xfId="44599"/>
    <cellStyle name="Heading 2 2 6 2 9 7 2" xfId="44600"/>
    <cellStyle name="Heading 2 2 6 2 9 7 2 2" xfId="44601"/>
    <cellStyle name="Heading 2 2 6 2 9 7 3" xfId="44602"/>
    <cellStyle name="Heading 2 2 6 2 9 8" xfId="44603"/>
    <cellStyle name="Heading 2 2 6 2 9 8 2" xfId="44604"/>
    <cellStyle name="Heading 2 2 6 2 9 9" xfId="44605"/>
    <cellStyle name="Heading 2 2 6 3" xfId="44606"/>
    <cellStyle name="Heading 2 2 6 3 10" xfId="44607"/>
    <cellStyle name="Heading 2 2 6 3 10 2" xfId="44608"/>
    <cellStyle name="Heading 2 2 6 3 10 2 2" xfId="44609"/>
    <cellStyle name="Heading 2 2 6 3 10 3" xfId="44610"/>
    <cellStyle name="Heading 2 2 6 3 11" xfId="44611"/>
    <cellStyle name="Heading 2 2 6 3 11 2" xfId="44612"/>
    <cellStyle name="Heading 2 2 6 3 11 2 2" xfId="44613"/>
    <cellStyle name="Heading 2 2 6 3 11 3" xfId="44614"/>
    <cellStyle name="Heading 2 2 6 3 12" xfId="44615"/>
    <cellStyle name="Heading 2 2 6 3 12 2" xfId="44616"/>
    <cellStyle name="Heading 2 2 6 3 12 2 2" xfId="44617"/>
    <cellStyle name="Heading 2 2 6 3 12 3" xfId="44618"/>
    <cellStyle name="Heading 2 2 6 3 13" xfId="44619"/>
    <cellStyle name="Heading 2 2 6 3 13 2" xfId="44620"/>
    <cellStyle name="Heading 2 2 6 3 13 2 2" xfId="44621"/>
    <cellStyle name="Heading 2 2 6 3 13 3" xfId="44622"/>
    <cellStyle name="Heading 2 2 6 3 14" xfId="44623"/>
    <cellStyle name="Heading 2 2 6 3 14 2" xfId="44624"/>
    <cellStyle name="Heading 2 2 6 3 14 2 2" xfId="44625"/>
    <cellStyle name="Heading 2 2 6 3 14 3" xfId="44626"/>
    <cellStyle name="Heading 2 2 6 3 15" xfId="44627"/>
    <cellStyle name="Heading 2 2 6 3 15 2" xfId="44628"/>
    <cellStyle name="Heading 2 2 6 3 15 2 2" xfId="44629"/>
    <cellStyle name="Heading 2 2 6 3 15 3" xfId="44630"/>
    <cellStyle name="Heading 2 2 6 3 16" xfId="44631"/>
    <cellStyle name="Heading 2 2 6 3 16 2" xfId="44632"/>
    <cellStyle name="Heading 2 2 6 3 16 2 2" xfId="44633"/>
    <cellStyle name="Heading 2 2 6 3 16 3" xfId="44634"/>
    <cellStyle name="Heading 2 2 6 3 17" xfId="44635"/>
    <cellStyle name="Heading 2 2 6 3 17 2" xfId="44636"/>
    <cellStyle name="Heading 2 2 6 3 17 2 2" xfId="44637"/>
    <cellStyle name="Heading 2 2 6 3 17 3" xfId="44638"/>
    <cellStyle name="Heading 2 2 6 3 18" xfId="44639"/>
    <cellStyle name="Heading 2 2 6 3 18 2" xfId="44640"/>
    <cellStyle name="Heading 2 2 6 3 18 2 2" xfId="44641"/>
    <cellStyle name="Heading 2 2 6 3 18 3" xfId="44642"/>
    <cellStyle name="Heading 2 2 6 3 19" xfId="44643"/>
    <cellStyle name="Heading 2 2 6 3 19 2" xfId="44644"/>
    <cellStyle name="Heading 2 2 6 3 2" xfId="44645"/>
    <cellStyle name="Heading 2 2 6 3 2 2" xfId="44646"/>
    <cellStyle name="Heading 2 2 6 3 2 2 2" xfId="44647"/>
    <cellStyle name="Heading 2 2 6 3 2 2 2 2" xfId="44648"/>
    <cellStyle name="Heading 2 2 6 3 2 2 3" xfId="44649"/>
    <cellStyle name="Heading 2 2 6 3 2 3" xfId="44650"/>
    <cellStyle name="Heading 2 2 6 3 2 3 2" xfId="44651"/>
    <cellStyle name="Heading 2 2 6 3 2 3 2 2" xfId="44652"/>
    <cellStyle name="Heading 2 2 6 3 2 3 3" xfId="44653"/>
    <cellStyle name="Heading 2 2 6 3 2 4" xfId="44654"/>
    <cellStyle name="Heading 2 2 6 3 2 4 2" xfId="44655"/>
    <cellStyle name="Heading 2 2 6 3 2 4 2 2" xfId="44656"/>
    <cellStyle name="Heading 2 2 6 3 2 4 3" xfId="44657"/>
    <cellStyle name="Heading 2 2 6 3 2 5" xfId="44658"/>
    <cellStyle name="Heading 2 2 6 3 2 5 2" xfId="44659"/>
    <cellStyle name="Heading 2 2 6 3 2 5 2 2" xfId="44660"/>
    <cellStyle name="Heading 2 2 6 3 2 5 3" xfId="44661"/>
    <cellStyle name="Heading 2 2 6 3 2 6" xfId="44662"/>
    <cellStyle name="Heading 2 2 6 3 2 6 2" xfId="44663"/>
    <cellStyle name="Heading 2 2 6 3 2 6 2 2" xfId="44664"/>
    <cellStyle name="Heading 2 2 6 3 2 6 3" xfId="44665"/>
    <cellStyle name="Heading 2 2 6 3 2 7" xfId="44666"/>
    <cellStyle name="Heading 2 2 6 3 2 7 2" xfId="44667"/>
    <cellStyle name="Heading 2 2 6 3 2 7 2 2" xfId="44668"/>
    <cellStyle name="Heading 2 2 6 3 2 7 3" xfId="44669"/>
    <cellStyle name="Heading 2 2 6 3 2 8" xfId="44670"/>
    <cellStyle name="Heading 2 2 6 3 2 8 2" xfId="44671"/>
    <cellStyle name="Heading 2 2 6 3 2 9" xfId="44672"/>
    <cellStyle name="Heading 2 2 6 3 20" xfId="44673"/>
    <cellStyle name="Heading 2 2 6 3 20 2" xfId="44674"/>
    <cellStyle name="Heading 2 2 6 3 21" xfId="44675"/>
    <cellStyle name="Heading 2 2 6 3 21 2" xfId="44676"/>
    <cellStyle name="Heading 2 2 6 3 22" xfId="44677"/>
    <cellStyle name="Heading 2 2 6 3 3" xfId="44678"/>
    <cellStyle name="Heading 2 2 6 3 3 2" xfId="44679"/>
    <cellStyle name="Heading 2 2 6 3 3 2 2" xfId="44680"/>
    <cellStyle name="Heading 2 2 6 3 3 2 2 2" xfId="44681"/>
    <cellStyle name="Heading 2 2 6 3 3 2 3" xfId="44682"/>
    <cellStyle name="Heading 2 2 6 3 3 3" xfId="44683"/>
    <cellStyle name="Heading 2 2 6 3 3 3 2" xfId="44684"/>
    <cellStyle name="Heading 2 2 6 3 3 3 2 2" xfId="44685"/>
    <cellStyle name="Heading 2 2 6 3 3 3 3" xfId="44686"/>
    <cellStyle name="Heading 2 2 6 3 3 4" xfId="44687"/>
    <cellStyle name="Heading 2 2 6 3 3 4 2" xfId="44688"/>
    <cellStyle name="Heading 2 2 6 3 3 4 2 2" xfId="44689"/>
    <cellStyle name="Heading 2 2 6 3 3 4 3" xfId="44690"/>
    <cellStyle name="Heading 2 2 6 3 3 5" xfId="44691"/>
    <cellStyle name="Heading 2 2 6 3 3 5 2" xfId="44692"/>
    <cellStyle name="Heading 2 2 6 3 3 5 2 2" xfId="44693"/>
    <cellStyle name="Heading 2 2 6 3 3 5 3" xfId="44694"/>
    <cellStyle name="Heading 2 2 6 3 3 6" xfId="44695"/>
    <cellStyle name="Heading 2 2 6 3 3 6 2" xfId="44696"/>
    <cellStyle name="Heading 2 2 6 3 3 6 2 2" xfId="44697"/>
    <cellStyle name="Heading 2 2 6 3 3 6 3" xfId="44698"/>
    <cellStyle name="Heading 2 2 6 3 3 7" xfId="44699"/>
    <cellStyle name="Heading 2 2 6 3 3 7 2" xfId="44700"/>
    <cellStyle name="Heading 2 2 6 3 3 7 2 2" xfId="44701"/>
    <cellStyle name="Heading 2 2 6 3 3 7 3" xfId="44702"/>
    <cellStyle name="Heading 2 2 6 3 3 8" xfId="44703"/>
    <cellStyle name="Heading 2 2 6 3 3 8 2" xfId="44704"/>
    <cellStyle name="Heading 2 2 6 3 3 9" xfId="44705"/>
    <cellStyle name="Heading 2 2 6 3 4" xfId="44706"/>
    <cellStyle name="Heading 2 2 6 3 4 2" xfId="44707"/>
    <cellStyle name="Heading 2 2 6 3 4 2 2" xfId="44708"/>
    <cellStyle name="Heading 2 2 6 3 4 2 2 2" xfId="44709"/>
    <cellStyle name="Heading 2 2 6 3 4 2 3" xfId="44710"/>
    <cellStyle name="Heading 2 2 6 3 4 3" xfId="44711"/>
    <cellStyle name="Heading 2 2 6 3 4 3 2" xfId="44712"/>
    <cellStyle name="Heading 2 2 6 3 4 3 2 2" xfId="44713"/>
    <cellStyle name="Heading 2 2 6 3 4 3 3" xfId="44714"/>
    <cellStyle name="Heading 2 2 6 3 4 4" xfId="44715"/>
    <cellStyle name="Heading 2 2 6 3 4 4 2" xfId="44716"/>
    <cellStyle name="Heading 2 2 6 3 4 4 2 2" xfId="44717"/>
    <cellStyle name="Heading 2 2 6 3 4 4 3" xfId="44718"/>
    <cellStyle name="Heading 2 2 6 3 4 5" xfId="44719"/>
    <cellStyle name="Heading 2 2 6 3 4 5 2" xfId="44720"/>
    <cellStyle name="Heading 2 2 6 3 4 5 2 2" xfId="44721"/>
    <cellStyle name="Heading 2 2 6 3 4 5 3" xfId="44722"/>
    <cellStyle name="Heading 2 2 6 3 4 6" xfId="44723"/>
    <cellStyle name="Heading 2 2 6 3 4 6 2" xfId="44724"/>
    <cellStyle name="Heading 2 2 6 3 4 6 2 2" xfId="44725"/>
    <cellStyle name="Heading 2 2 6 3 4 6 3" xfId="44726"/>
    <cellStyle name="Heading 2 2 6 3 4 7" xfId="44727"/>
    <cellStyle name="Heading 2 2 6 3 4 7 2" xfId="44728"/>
    <cellStyle name="Heading 2 2 6 3 4 7 2 2" xfId="44729"/>
    <cellStyle name="Heading 2 2 6 3 4 7 3" xfId="44730"/>
    <cellStyle name="Heading 2 2 6 3 4 8" xfId="44731"/>
    <cellStyle name="Heading 2 2 6 3 4 8 2" xfId="44732"/>
    <cellStyle name="Heading 2 2 6 3 4 9" xfId="44733"/>
    <cellStyle name="Heading 2 2 6 3 5" xfId="44734"/>
    <cellStyle name="Heading 2 2 6 3 5 2" xfId="44735"/>
    <cellStyle name="Heading 2 2 6 3 5 2 2" xfId="44736"/>
    <cellStyle name="Heading 2 2 6 3 5 2 2 2" xfId="44737"/>
    <cellStyle name="Heading 2 2 6 3 5 2 3" xfId="44738"/>
    <cellStyle name="Heading 2 2 6 3 5 3" xfId="44739"/>
    <cellStyle name="Heading 2 2 6 3 5 3 2" xfId="44740"/>
    <cellStyle name="Heading 2 2 6 3 5 3 2 2" xfId="44741"/>
    <cellStyle name="Heading 2 2 6 3 5 3 3" xfId="44742"/>
    <cellStyle name="Heading 2 2 6 3 5 4" xfId="44743"/>
    <cellStyle name="Heading 2 2 6 3 5 4 2" xfId="44744"/>
    <cellStyle name="Heading 2 2 6 3 5 4 2 2" xfId="44745"/>
    <cellStyle name="Heading 2 2 6 3 5 4 3" xfId="44746"/>
    <cellStyle name="Heading 2 2 6 3 5 5" xfId="44747"/>
    <cellStyle name="Heading 2 2 6 3 5 5 2" xfId="44748"/>
    <cellStyle name="Heading 2 2 6 3 5 5 2 2" xfId="44749"/>
    <cellStyle name="Heading 2 2 6 3 5 5 3" xfId="44750"/>
    <cellStyle name="Heading 2 2 6 3 5 6" xfId="44751"/>
    <cellStyle name="Heading 2 2 6 3 5 6 2" xfId="44752"/>
    <cellStyle name="Heading 2 2 6 3 5 6 2 2" xfId="44753"/>
    <cellStyle name="Heading 2 2 6 3 5 6 3" xfId="44754"/>
    <cellStyle name="Heading 2 2 6 3 5 7" xfId="44755"/>
    <cellStyle name="Heading 2 2 6 3 5 7 2" xfId="44756"/>
    <cellStyle name="Heading 2 2 6 3 5 7 2 2" xfId="44757"/>
    <cellStyle name="Heading 2 2 6 3 5 7 3" xfId="44758"/>
    <cellStyle name="Heading 2 2 6 3 5 8" xfId="44759"/>
    <cellStyle name="Heading 2 2 6 3 5 8 2" xfId="44760"/>
    <cellStyle name="Heading 2 2 6 3 5 9" xfId="44761"/>
    <cellStyle name="Heading 2 2 6 3 6" xfId="44762"/>
    <cellStyle name="Heading 2 2 6 3 6 2" xfId="44763"/>
    <cellStyle name="Heading 2 2 6 3 6 2 2" xfId="44764"/>
    <cellStyle name="Heading 2 2 6 3 6 2 2 2" xfId="44765"/>
    <cellStyle name="Heading 2 2 6 3 6 2 3" xfId="44766"/>
    <cellStyle name="Heading 2 2 6 3 6 3" xfId="44767"/>
    <cellStyle name="Heading 2 2 6 3 6 3 2" xfId="44768"/>
    <cellStyle name="Heading 2 2 6 3 6 3 2 2" xfId="44769"/>
    <cellStyle name="Heading 2 2 6 3 6 3 3" xfId="44770"/>
    <cellStyle name="Heading 2 2 6 3 6 4" xfId="44771"/>
    <cellStyle name="Heading 2 2 6 3 6 4 2" xfId="44772"/>
    <cellStyle name="Heading 2 2 6 3 6 4 2 2" xfId="44773"/>
    <cellStyle name="Heading 2 2 6 3 6 4 3" xfId="44774"/>
    <cellStyle name="Heading 2 2 6 3 6 5" xfId="44775"/>
    <cellStyle name="Heading 2 2 6 3 6 5 2" xfId="44776"/>
    <cellStyle name="Heading 2 2 6 3 6 5 2 2" xfId="44777"/>
    <cellStyle name="Heading 2 2 6 3 6 5 3" xfId="44778"/>
    <cellStyle name="Heading 2 2 6 3 6 6" xfId="44779"/>
    <cellStyle name="Heading 2 2 6 3 6 6 2" xfId="44780"/>
    <cellStyle name="Heading 2 2 6 3 6 6 2 2" xfId="44781"/>
    <cellStyle name="Heading 2 2 6 3 6 6 3" xfId="44782"/>
    <cellStyle name="Heading 2 2 6 3 6 7" xfId="44783"/>
    <cellStyle name="Heading 2 2 6 3 6 7 2" xfId="44784"/>
    <cellStyle name="Heading 2 2 6 3 6 7 2 2" xfId="44785"/>
    <cellStyle name="Heading 2 2 6 3 6 7 3" xfId="44786"/>
    <cellStyle name="Heading 2 2 6 3 6 8" xfId="44787"/>
    <cellStyle name="Heading 2 2 6 3 6 8 2" xfId="44788"/>
    <cellStyle name="Heading 2 2 6 3 6 9" xfId="44789"/>
    <cellStyle name="Heading 2 2 6 3 7" xfId="44790"/>
    <cellStyle name="Heading 2 2 6 3 7 2" xfId="44791"/>
    <cellStyle name="Heading 2 2 6 3 7 2 2" xfId="44792"/>
    <cellStyle name="Heading 2 2 6 3 7 2 2 2" xfId="44793"/>
    <cellStyle name="Heading 2 2 6 3 7 2 3" xfId="44794"/>
    <cellStyle name="Heading 2 2 6 3 7 3" xfId="44795"/>
    <cellStyle name="Heading 2 2 6 3 7 3 2" xfId="44796"/>
    <cellStyle name="Heading 2 2 6 3 7 3 2 2" xfId="44797"/>
    <cellStyle name="Heading 2 2 6 3 7 3 3" xfId="44798"/>
    <cellStyle name="Heading 2 2 6 3 7 4" xfId="44799"/>
    <cellStyle name="Heading 2 2 6 3 7 4 2" xfId="44800"/>
    <cellStyle name="Heading 2 2 6 3 7 4 2 2" xfId="44801"/>
    <cellStyle name="Heading 2 2 6 3 7 4 3" xfId="44802"/>
    <cellStyle name="Heading 2 2 6 3 7 5" xfId="44803"/>
    <cellStyle name="Heading 2 2 6 3 7 5 2" xfId="44804"/>
    <cellStyle name="Heading 2 2 6 3 7 5 2 2" xfId="44805"/>
    <cellStyle name="Heading 2 2 6 3 7 5 3" xfId="44806"/>
    <cellStyle name="Heading 2 2 6 3 7 6" xfId="44807"/>
    <cellStyle name="Heading 2 2 6 3 7 6 2" xfId="44808"/>
    <cellStyle name="Heading 2 2 6 3 7 6 2 2" xfId="44809"/>
    <cellStyle name="Heading 2 2 6 3 7 6 3" xfId="44810"/>
    <cellStyle name="Heading 2 2 6 3 7 7" xfId="44811"/>
    <cellStyle name="Heading 2 2 6 3 7 7 2" xfId="44812"/>
    <cellStyle name="Heading 2 2 6 3 7 7 2 2" xfId="44813"/>
    <cellStyle name="Heading 2 2 6 3 7 7 3" xfId="44814"/>
    <cellStyle name="Heading 2 2 6 3 7 8" xfId="44815"/>
    <cellStyle name="Heading 2 2 6 3 7 8 2" xfId="44816"/>
    <cellStyle name="Heading 2 2 6 3 7 9" xfId="44817"/>
    <cellStyle name="Heading 2 2 6 3 8" xfId="44818"/>
    <cellStyle name="Heading 2 2 6 3 8 2" xfId="44819"/>
    <cellStyle name="Heading 2 2 6 3 8 2 2" xfId="44820"/>
    <cellStyle name="Heading 2 2 6 3 8 2 2 2" xfId="44821"/>
    <cellStyle name="Heading 2 2 6 3 8 2 3" xfId="44822"/>
    <cellStyle name="Heading 2 2 6 3 8 3" xfId="44823"/>
    <cellStyle name="Heading 2 2 6 3 8 3 2" xfId="44824"/>
    <cellStyle name="Heading 2 2 6 3 8 3 2 2" xfId="44825"/>
    <cellStyle name="Heading 2 2 6 3 8 3 3" xfId="44826"/>
    <cellStyle name="Heading 2 2 6 3 8 4" xfId="44827"/>
    <cellStyle name="Heading 2 2 6 3 8 4 2" xfId="44828"/>
    <cellStyle name="Heading 2 2 6 3 8 4 2 2" xfId="44829"/>
    <cellStyle name="Heading 2 2 6 3 8 4 3" xfId="44830"/>
    <cellStyle name="Heading 2 2 6 3 8 5" xfId="44831"/>
    <cellStyle name="Heading 2 2 6 3 8 5 2" xfId="44832"/>
    <cellStyle name="Heading 2 2 6 3 8 5 2 2" xfId="44833"/>
    <cellStyle name="Heading 2 2 6 3 8 5 3" xfId="44834"/>
    <cellStyle name="Heading 2 2 6 3 8 6" xfId="44835"/>
    <cellStyle name="Heading 2 2 6 3 8 6 2" xfId="44836"/>
    <cellStyle name="Heading 2 2 6 3 8 6 2 2" xfId="44837"/>
    <cellStyle name="Heading 2 2 6 3 8 6 3" xfId="44838"/>
    <cellStyle name="Heading 2 2 6 3 8 7" xfId="44839"/>
    <cellStyle name="Heading 2 2 6 3 8 7 2" xfId="44840"/>
    <cellStyle name="Heading 2 2 6 3 8 7 2 2" xfId="44841"/>
    <cellStyle name="Heading 2 2 6 3 8 7 3" xfId="44842"/>
    <cellStyle name="Heading 2 2 6 3 8 8" xfId="44843"/>
    <cellStyle name="Heading 2 2 6 3 8 8 2" xfId="44844"/>
    <cellStyle name="Heading 2 2 6 3 8 9" xfId="44845"/>
    <cellStyle name="Heading 2 2 6 3 9" xfId="44846"/>
    <cellStyle name="Heading 2 2 6 3 9 2" xfId="44847"/>
    <cellStyle name="Heading 2 2 6 3 9 2 2" xfId="44848"/>
    <cellStyle name="Heading 2 2 6 3 9 3" xfId="44849"/>
    <cellStyle name="Heading 2 2 6 4" xfId="44850"/>
    <cellStyle name="Heading 2 2 6 4 2" xfId="44851"/>
    <cellStyle name="Heading 2 2 6 4 2 2" xfId="44852"/>
    <cellStyle name="Heading 2 2 6 4 3" xfId="44853"/>
    <cellStyle name="Heading 2 2 6 5" xfId="44854"/>
    <cellStyle name="Heading 2 2 6 5 2" xfId="44855"/>
    <cellStyle name="Heading 2 2 6 6" xfId="44856"/>
    <cellStyle name="Heading 2 2 7" xfId="44857"/>
    <cellStyle name="Heading 2 2 7 2" xfId="44858"/>
    <cellStyle name="Heading 2 2 7 2 10" xfId="44859"/>
    <cellStyle name="Heading 2 2 7 2 10 2" xfId="44860"/>
    <cellStyle name="Heading 2 2 7 2 10 2 2" xfId="44861"/>
    <cellStyle name="Heading 2 2 7 2 10 3" xfId="44862"/>
    <cellStyle name="Heading 2 2 7 2 11" xfId="44863"/>
    <cellStyle name="Heading 2 2 7 2 11 2" xfId="44864"/>
    <cellStyle name="Heading 2 2 7 2 11 2 2" xfId="44865"/>
    <cellStyle name="Heading 2 2 7 2 11 3" xfId="44866"/>
    <cellStyle name="Heading 2 2 7 2 12" xfId="44867"/>
    <cellStyle name="Heading 2 2 7 2 12 2" xfId="44868"/>
    <cellStyle name="Heading 2 2 7 2 12 2 2" xfId="44869"/>
    <cellStyle name="Heading 2 2 7 2 12 3" xfId="44870"/>
    <cellStyle name="Heading 2 2 7 2 13" xfId="44871"/>
    <cellStyle name="Heading 2 2 7 2 13 2" xfId="44872"/>
    <cellStyle name="Heading 2 2 7 2 13 2 2" xfId="44873"/>
    <cellStyle name="Heading 2 2 7 2 13 3" xfId="44874"/>
    <cellStyle name="Heading 2 2 7 2 14" xfId="44875"/>
    <cellStyle name="Heading 2 2 7 2 14 2" xfId="44876"/>
    <cellStyle name="Heading 2 2 7 2 14 2 2" xfId="44877"/>
    <cellStyle name="Heading 2 2 7 2 14 3" xfId="44878"/>
    <cellStyle name="Heading 2 2 7 2 15" xfId="44879"/>
    <cellStyle name="Heading 2 2 7 2 15 2" xfId="44880"/>
    <cellStyle name="Heading 2 2 7 2 15 2 2" xfId="44881"/>
    <cellStyle name="Heading 2 2 7 2 15 3" xfId="44882"/>
    <cellStyle name="Heading 2 2 7 2 16" xfId="44883"/>
    <cellStyle name="Heading 2 2 7 2 16 2" xfId="44884"/>
    <cellStyle name="Heading 2 2 7 2 16 2 2" xfId="44885"/>
    <cellStyle name="Heading 2 2 7 2 16 3" xfId="44886"/>
    <cellStyle name="Heading 2 2 7 2 17" xfId="44887"/>
    <cellStyle name="Heading 2 2 7 2 17 2" xfId="44888"/>
    <cellStyle name="Heading 2 2 7 2 17 2 2" xfId="44889"/>
    <cellStyle name="Heading 2 2 7 2 17 3" xfId="44890"/>
    <cellStyle name="Heading 2 2 7 2 18" xfId="44891"/>
    <cellStyle name="Heading 2 2 7 2 18 2" xfId="44892"/>
    <cellStyle name="Heading 2 2 7 2 18 2 2" xfId="44893"/>
    <cellStyle name="Heading 2 2 7 2 18 3" xfId="44894"/>
    <cellStyle name="Heading 2 2 7 2 19" xfId="44895"/>
    <cellStyle name="Heading 2 2 7 2 19 2" xfId="44896"/>
    <cellStyle name="Heading 2 2 7 2 19 2 2" xfId="44897"/>
    <cellStyle name="Heading 2 2 7 2 19 3" xfId="44898"/>
    <cellStyle name="Heading 2 2 7 2 2" xfId="44899"/>
    <cellStyle name="Heading 2 2 7 2 2 10" xfId="44900"/>
    <cellStyle name="Heading 2 2 7 2 2 10 2" xfId="44901"/>
    <cellStyle name="Heading 2 2 7 2 2 10 2 2" xfId="44902"/>
    <cellStyle name="Heading 2 2 7 2 2 10 3" xfId="44903"/>
    <cellStyle name="Heading 2 2 7 2 2 11" xfId="44904"/>
    <cellStyle name="Heading 2 2 7 2 2 11 2" xfId="44905"/>
    <cellStyle name="Heading 2 2 7 2 2 11 2 2" xfId="44906"/>
    <cellStyle name="Heading 2 2 7 2 2 11 3" xfId="44907"/>
    <cellStyle name="Heading 2 2 7 2 2 12" xfId="44908"/>
    <cellStyle name="Heading 2 2 7 2 2 12 2" xfId="44909"/>
    <cellStyle name="Heading 2 2 7 2 2 12 2 2" xfId="44910"/>
    <cellStyle name="Heading 2 2 7 2 2 12 3" xfId="44911"/>
    <cellStyle name="Heading 2 2 7 2 2 13" xfId="44912"/>
    <cellStyle name="Heading 2 2 7 2 2 13 2" xfId="44913"/>
    <cellStyle name="Heading 2 2 7 2 2 13 2 2" xfId="44914"/>
    <cellStyle name="Heading 2 2 7 2 2 13 3" xfId="44915"/>
    <cellStyle name="Heading 2 2 7 2 2 14" xfId="44916"/>
    <cellStyle name="Heading 2 2 7 2 2 14 2" xfId="44917"/>
    <cellStyle name="Heading 2 2 7 2 2 14 2 2" xfId="44918"/>
    <cellStyle name="Heading 2 2 7 2 2 14 3" xfId="44919"/>
    <cellStyle name="Heading 2 2 7 2 2 15" xfId="44920"/>
    <cellStyle name="Heading 2 2 7 2 2 15 2" xfId="44921"/>
    <cellStyle name="Heading 2 2 7 2 2 15 2 2" xfId="44922"/>
    <cellStyle name="Heading 2 2 7 2 2 15 3" xfId="44923"/>
    <cellStyle name="Heading 2 2 7 2 2 16" xfId="44924"/>
    <cellStyle name="Heading 2 2 7 2 2 16 2" xfId="44925"/>
    <cellStyle name="Heading 2 2 7 2 2 16 2 2" xfId="44926"/>
    <cellStyle name="Heading 2 2 7 2 2 16 3" xfId="44927"/>
    <cellStyle name="Heading 2 2 7 2 2 17" xfId="44928"/>
    <cellStyle name="Heading 2 2 7 2 2 17 2" xfId="44929"/>
    <cellStyle name="Heading 2 2 7 2 2 17 2 2" xfId="44930"/>
    <cellStyle name="Heading 2 2 7 2 2 17 3" xfId="44931"/>
    <cellStyle name="Heading 2 2 7 2 2 18" xfId="44932"/>
    <cellStyle name="Heading 2 2 7 2 2 18 2" xfId="44933"/>
    <cellStyle name="Heading 2 2 7 2 2 18 2 2" xfId="44934"/>
    <cellStyle name="Heading 2 2 7 2 2 18 3" xfId="44935"/>
    <cellStyle name="Heading 2 2 7 2 2 19" xfId="44936"/>
    <cellStyle name="Heading 2 2 7 2 2 19 2" xfId="44937"/>
    <cellStyle name="Heading 2 2 7 2 2 2" xfId="44938"/>
    <cellStyle name="Heading 2 2 7 2 2 2 2" xfId="44939"/>
    <cellStyle name="Heading 2 2 7 2 2 2 2 2" xfId="44940"/>
    <cellStyle name="Heading 2 2 7 2 2 2 2 2 2" xfId="44941"/>
    <cellStyle name="Heading 2 2 7 2 2 2 2 3" xfId="44942"/>
    <cellStyle name="Heading 2 2 7 2 2 2 3" xfId="44943"/>
    <cellStyle name="Heading 2 2 7 2 2 2 3 2" xfId="44944"/>
    <cellStyle name="Heading 2 2 7 2 2 2 3 2 2" xfId="44945"/>
    <cellStyle name="Heading 2 2 7 2 2 2 3 3" xfId="44946"/>
    <cellStyle name="Heading 2 2 7 2 2 2 4" xfId="44947"/>
    <cellStyle name="Heading 2 2 7 2 2 2 4 2" xfId="44948"/>
    <cellStyle name="Heading 2 2 7 2 2 2 4 2 2" xfId="44949"/>
    <cellStyle name="Heading 2 2 7 2 2 2 4 3" xfId="44950"/>
    <cellStyle name="Heading 2 2 7 2 2 2 5" xfId="44951"/>
    <cellStyle name="Heading 2 2 7 2 2 2 5 2" xfId="44952"/>
    <cellStyle name="Heading 2 2 7 2 2 2 5 2 2" xfId="44953"/>
    <cellStyle name="Heading 2 2 7 2 2 2 5 3" xfId="44954"/>
    <cellStyle name="Heading 2 2 7 2 2 2 6" xfId="44955"/>
    <cellStyle name="Heading 2 2 7 2 2 2 6 2" xfId="44956"/>
    <cellStyle name="Heading 2 2 7 2 2 2 6 2 2" xfId="44957"/>
    <cellStyle name="Heading 2 2 7 2 2 2 6 3" xfId="44958"/>
    <cellStyle name="Heading 2 2 7 2 2 2 7" xfId="44959"/>
    <cellStyle name="Heading 2 2 7 2 2 2 7 2" xfId="44960"/>
    <cellStyle name="Heading 2 2 7 2 2 2 7 2 2" xfId="44961"/>
    <cellStyle name="Heading 2 2 7 2 2 2 7 3" xfId="44962"/>
    <cellStyle name="Heading 2 2 7 2 2 2 8" xfId="44963"/>
    <cellStyle name="Heading 2 2 7 2 2 2 8 2" xfId="44964"/>
    <cellStyle name="Heading 2 2 7 2 2 2 9" xfId="44965"/>
    <cellStyle name="Heading 2 2 7 2 2 20" xfId="44966"/>
    <cellStyle name="Heading 2 2 7 2 2 20 2" xfId="44967"/>
    <cellStyle name="Heading 2 2 7 2 2 21" xfId="44968"/>
    <cellStyle name="Heading 2 2 7 2 2 21 2" xfId="44969"/>
    <cellStyle name="Heading 2 2 7 2 2 22" xfId="44970"/>
    <cellStyle name="Heading 2 2 7 2 2 3" xfId="44971"/>
    <cellStyle name="Heading 2 2 7 2 2 3 2" xfId="44972"/>
    <cellStyle name="Heading 2 2 7 2 2 3 2 2" xfId="44973"/>
    <cellStyle name="Heading 2 2 7 2 2 3 2 2 2" xfId="44974"/>
    <cellStyle name="Heading 2 2 7 2 2 3 2 3" xfId="44975"/>
    <cellStyle name="Heading 2 2 7 2 2 3 3" xfId="44976"/>
    <cellStyle name="Heading 2 2 7 2 2 3 3 2" xfId="44977"/>
    <cellStyle name="Heading 2 2 7 2 2 3 3 2 2" xfId="44978"/>
    <cellStyle name="Heading 2 2 7 2 2 3 3 3" xfId="44979"/>
    <cellStyle name="Heading 2 2 7 2 2 3 4" xfId="44980"/>
    <cellStyle name="Heading 2 2 7 2 2 3 4 2" xfId="44981"/>
    <cellStyle name="Heading 2 2 7 2 2 3 4 2 2" xfId="44982"/>
    <cellStyle name="Heading 2 2 7 2 2 3 4 3" xfId="44983"/>
    <cellStyle name="Heading 2 2 7 2 2 3 5" xfId="44984"/>
    <cellStyle name="Heading 2 2 7 2 2 3 5 2" xfId="44985"/>
    <cellStyle name="Heading 2 2 7 2 2 3 5 2 2" xfId="44986"/>
    <cellStyle name="Heading 2 2 7 2 2 3 5 3" xfId="44987"/>
    <cellStyle name="Heading 2 2 7 2 2 3 6" xfId="44988"/>
    <cellStyle name="Heading 2 2 7 2 2 3 6 2" xfId="44989"/>
    <cellStyle name="Heading 2 2 7 2 2 3 6 2 2" xfId="44990"/>
    <cellStyle name="Heading 2 2 7 2 2 3 6 3" xfId="44991"/>
    <cellStyle name="Heading 2 2 7 2 2 3 7" xfId="44992"/>
    <cellStyle name="Heading 2 2 7 2 2 3 7 2" xfId="44993"/>
    <cellStyle name="Heading 2 2 7 2 2 3 7 2 2" xfId="44994"/>
    <cellStyle name="Heading 2 2 7 2 2 3 7 3" xfId="44995"/>
    <cellStyle name="Heading 2 2 7 2 2 3 8" xfId="44996"/>
    <cellStyle name="Heading 2 2 7 2 2 3 8 2" xfId="44997"/>
    <cellStyle name="Heading 2 2 7 2 2 3 9" xfId="44998"/>
    <cellStyle name="Heading 2 2 7 2 2 4" xfId="44999"/>
    <cellStyle name="Heading 2 2 7 2 2 4 2" xfId="45000"/>
    <cellStyle name="Heading 2 2 7 2 2 4 2 2" xfId="45001"/>
    <cellStyle name="Heading 2 2 7 2 2 4 2 2 2" xfId="45002"/>
    <cellStyle name="Heading 2 2 7 2 2 4 2 3" xfId="45003"/>
    <cellStyle name="Heading 2 2 7 2 2 4 3" xfId="45004"/>
    <cellStyle name="Heading 2 2 7 2 2 4 3 2" xfId="45005"/>
    <cellStyle name="Heading 2 2 7 2 2 4 3 2 2" xfId="45006"/>
    <cellStyle name="Heading 2 2 7 2 2 4 3 3" xfId="45007"/>
    <cellStyle name="Heading 2 2 7 2 2 4 4" xfId="45008"/>
    <cellStyle name="Heading 2 2 7 2 2 4 4 2" xfId="45009"/>
    <cellStyle name="Heading 2 2 7 2 2 4 4 2 2" xfId="45010"/>
    <cellStyle name="Heading 2 2 7 2 2 4 4 3" xfId="45011"/>
    <cellStyle name="Heading 2 2 7 2 2 4 5" xfId="45012"/>
    <cellStyle name="Heading 2 2 7 2 2 4 5 2" xfId="45013"/>
    <cellStyle name="Heading 2 2 7 2 2 4 5 2 2" xfId="45014"/>
    <cellStyle name="Heading 2 2 7 2 2 4 5 3" xfId="45015"/>
    <cellStyle name="Heading 2 2 7 2 2 4 6" xfId="45016"/>
    <cellStyle name="Heading 2 2 7 2 2 4 6 2" xfId="45017"/>
    <cellStyle name="Heading 2 2 7 2 2 4 6 2 2" xfId="45018"/>
    <cellStyle name="Heading 2 2 7 2 2 4 6 3" xfId="45019"/>
    <cellStyle name="Heading 2 2 7 2 2 4 7" xfId="45020"/>
    <cellStyle name="Heading 2 2 7 2 2 4 7 2" xfId="45021"/>
    <cellStyle name="Heading 2 2 7 2 2 4 7 2 2" xfId="45022"/>
    <cellStyle name="Heading 2 2 7 2 2 4 7 3" xfId="45023"/>
    <cellStyle name="Heading 2 2 7 2 2 4 8" xfId="45024"/>
    <cellStyle name="Heading 2 2 7 2 2 4 8 2" xfId="45025"/>
    <cellStyle name="Heading 2 2 7 2 2 4 9" xfId="45026"/>
    <cellStyle name="Heading 2 2 7 2 2 5" xfId="45027"/>
    <cellStyle name="Heading 2 2 7 2 2 5 2" xfId="45028"/>
    <cellStyle name="Heading 2 2 7 2 2 5 2 2" xfId="45029"/>
    <cellStyle name="Heading 2 2 7 2 2 5 2 2 2" xfId="45030"/>
    <cellStyle name="Heading 2 2 7 2 2 5 2 3" xfId="45031"/>
    <cellStyle name="Heading 2 2 7 2 2 5 3" xfId="45032"/>
    <cellStyle name="Heading 2 2 7 2 2 5 3 2" xfId="45033"/>
    <cellStyle name="Heading 2 2 7 2 2 5 3 2 2" xfId="45034"/>
    <cellStyle name="Heading 2 2 7 2 2 5 3 3" xfId="45035"/>
    <cellStyle name="Heading 2 2 7 2 2 5 4" xfId="45036"/>
    <cellStyle name="Heading 2 2 7 2 2 5 4 2" xfId="45037"/>
    <cellStyle name="Heading 2 2 7 2 2 5 4 2 2" xfId="45038"/>
    <cellStyle name="Heading 2 2 7 2 2 5 4 3" xfId="45039"/>
    <cellStyle name="Heading 2 2 7 2 2 5 5" xfId="45040"/>
    <cellStyle name="Heading 2 2 7 2 2 5 5 2" xfId="45041"/>
    <cellStyle name="Heading 2 2 7 2 2 5 5 2 2" xfId="45042"/>
    <cellStyle name="Heading 2 2 7 2 2 5 5 3" xfId="45043"/>
    <cellStyle name="Heading 2 2 7 2 2 5 6" xfId="45044"/>
    <cellStyle name="Heading 2 2 7 2 2 5 6 2" xfId="45045"/>
    <cellStyle name="Heading 2 2 7 2 2 5 6 2 2" xfId="45046"/>
    <cellStyle name="Heading 2 2 7 2 2 5 6 3" xfId="45047"/>
    <cellStyle name="Heading 2 2 7 2 2 5 7" xfId="45048"/>
    <cellStyle name="Heading 2 2 7 2 2 5 7 2" xfId="45049"/>
    <cellStyle name="Heading 2 2 7 2 2 5 7 2 2" xfId="45050"/>
    <cellStyle name="Heading 2 2 7 2 2 5 7 3" xfId="45051"/>
    <cellStyle name="Heading 2 2 7 2 2 5 8" xfId="45052"/>
    <cellStyle name="Heading 2 2 7 2 2 5 8 2" xfId="45053"/>
    <cellStyle name="Heading 2 2 7 2 2 5 9" xfId="45054"/>
    <cellStyle name="Heading 2 2 7 2 2 6" xfId="45055"/>
    <cellStyle name="Heading 2 2 7 2 2 6 2" xfId="45056"/>
    <cellStyle name="Heading 2 2 7 2 2 6 2 2" xfId="45057"/>
    <cellStyle name="Heading 2 2 7 2 2 6 2 2 2" xfId="45058"/>
    <cellStyle name="Heading 2 2 7 2 2 6 2 3" xfId="45059"/>
    <cellStyle name="Heading 2 2 7 2 2 6 3" xfId="45060"/>
    <cellStyle name="Heading 2 2 7 2 2 6 3 2" xfId="45061"/>
    <cellStyle name="Heading 2 2 7 2 2 6 3 2 2" xfId="45062"/>
    <cellStyle name="Heading 2 2 7 2 2 6 3 3" xfId="45063"/>
    <cellStyle name="Heading 2 2 7 2 2 6 4" xfId="45064"/>
    <cellStyle name="Heading 2 2 7 2 2 6 4 2" xfId="45065"/>
    <cellStyle name="Heading 2 2 7 2 2 6 4 2 2" xfId="45066"/>
    <cellStyle name="Heading 2 2 7 2 2 6 4 3" xfId="45067"/>
    <cellStyle name="Heading 2 2 7 2 2 6 5" xfId="45068"/>
    <cellStyle name="Heading 2 2 7 2 2 6 5 2" xfId="45069"/>
    <cellStyle name="Heading 2 2 7 2 2 6 5 2 2" xfId="45070"/>
    <cellStyle name="Heading 2 2 7 2 2 6 5 3" xfId="45071"/>
    <cellStyle name="Heading 2 2 7 2 2 6 6" xfId="45072"/>
    <cellStyle name="Heading 2 2 7 2 2 6 6 2" xfId="45073"/>
    <cellStyle name="Heading 2 2 7 2 2 6 6 2 2" xfId="45074"/>
    <cellStyle name="Heading 2 2 7 2 2 6 6 3" xfId="45075"/>
    <cellStyle name="Heading 2 2 7 2 2 6 7" xfId="45076"/>
    <cellStyle name="Heading 2 2 7 2 2 6 7 2" xfId="45077"/>
    <cellStyle name="Heading 2 2 7 2 2 6 7 2 2" xfId="45078"/>
    <cellStyle name="Heading 2 2 7 2 2 6 7 3" xfId="45079"/>
    <cellStyle name="Heading 2 2 7 2 2 6 8" xfId="45080"/>
    <cellStyle name="Heading 2 2 7 2 2 6 8 2" xfId="45081"/>
    <cellStyle name="Heading 2 2 7 2 2 6 9" xfId="45082"/>
    <cellStyle name="Heading 2 2 7 2 2 7" xfId="45083"/>
    <cellStyle name="Heading 2 2 7 2 2 7 2" xfId="45084"/>
    <cellStyle name="Heading 2 2 7 2 2 7 2 2" xfId="45085"/>
    <cellStyle name="Heading 2 2 7 2 2 7 2 2 2" xfId="45086"/>
    <cellStyle name="Heading 2 2 7 2 2 7 2 3" xfId="45087"/>
    <cellStyle name="Heading 2 2 7 2 2 7 3" xfId="45088"/>
    <cellStyle name="Heading 2 2 7 2 2 7 3 2" xfId="45089"/>
    <cellStyle name="Heading 2 2 7 2 2 7 3 2 2" xfId="45090"/>
    <cellStyle name="Heading 2 2 7 2 2 7 3 3" xfId="45091"/>
    <cellStyle name="Heading 2 2 7 2 2 7 4" xfId="45092"/>
    <cellStyle name="Heading 2 2 7 2 2 7 4 2" xfId="45093"/>
    <cellStyle name="Heading 2 2 7 2 2 7 4 2 2" xfId="45094"/>
    <cellStyle name="Heading 2 2 7 2 2 7 4 3" xfId="45095"/>
    <cellStyle name="Heading 2 2 7 2 2 7 5" xfId="45096"/>
    <cellStyle name="Heading 2 2 7 2 2 7 5 2" xfId="45097"/>
    <cellStyle name="Heading 2 2 7 2 2 7 5 2 2" xfId="45098"/>
    <cellStyle name="Heading 2 2 7 2 2 7 5 3" xfId="45099"/>
    <cellStyle name="Heading 2 2 7 2 2 7 6" xfId="45100"/>
    <cellStyle name="Heading 2 2 7 2 2 7 6 2" xfId="45101"/>
    <cellStyle name="Heading 2 2 7 2 2 7 6 2 2" xfId="45102"/>
    <cellStyle name="Heading 2 2 7 2 2 7 6 3" xfId="45103"/>
    <cellStyle name="Heading 2 2 7 2 2 7 7" xfId="45104"/>
    <cellStyle name="Heading 2 2 7 2 2 7 7 2" xfId="45105"/>
    <cellStyle name="Heading 2 2 7 2 2 7 7 2 2" xfId="45106"/>
    <cellStyle name="Heading 2 2 7 2 2 7 7 3" xfId="45107"/>
    <cellStyle name="Heading 2 2 7 2 2 7 8" xfId="45108"/>
    <cellStyle name="Heading 2 2 7 2 2 7 8 2" xfId="45109"/>
    <cellStyle name="Heading 2 2 7 2 2 7 9" xfId="45110"/>
    <cellStyle name="Heading 2 2 7 2 2 8" xfId="45111"/>
    <cellStyle name="Heading 2 2 7 2 2 8 2" xfId="45112"/>
    <cellStyle name="Heading 2 2 7 2 2 8 2 2" xfId="45113"/>
    <cellStyle name="Heading 2 2 7 2 2 8 2 2 2" xfId="45114"/>
    <cellStyle name="Heading 2 2 7 2 2 8 2 3" xfId="45115"/>
    <cellStyle name="Heading 2 2 7 2 2 8 3" xfId="45116"/>
    <cellStyle name="Heading 2 2 7 2 2 8 3 2" xfId="45117"/>
    <cellStyle name="Heading 2 2 7 2 2 8 3 2 2" xfId="45118"/>
    <cellStyle name="Heading 2 2 7 2 2 8 3 3" xfId="45119"/>
    <cellStyle name="Heading 2 2 7 2 2 8 4" xfId="45120"/>
    <cellStyle name="Heading 2 2 7 2 2 8 4 2" xfId="45121"/>
    <cellStyle name="Heading 2 2 7 2 2 8 4 2 2" xfId="45122"/>
    <cellStyle name="Heading 2 2 7 2 2 8 4 3" xfId="45123"/>
    <cellStyle name="Heading 2 2 7 2 2 8 5" xfId="45124"/>
    <cellStyle name="Heading 2 2 7 2 2 8 5 2" xfId="45125"/>
    <cellStyle name="Heading 2 2 7 2 2 8 5 2 2" xfId="45126"/>
    <cellStyle name="Heading 2 2 7 2 2 8 5 3" xfId="45127"/>
    <cellStyle name="Heading 2 2 7 2 2 8 6" xfId="45128"/>
    <cellStyle name="Heading 2 2 7 2 2 8 6 2" xfId="45129"/>
    <cellStyle name="Heading 2 2 7 2 2 8 6 2 2" xfId="45130"/>
    <cellStyle name="Heading 2 2 7 2 2 8 6 3" xfId="45131"/>
    <cellStyle name="Heading 2 2 7 2 2 8 7" xfId="45132"/>
    <cellStyle name="Heading 2 2 7 2 2 8 7 2" xfId="45133"/>
    <cellStyle name="Heading 2 2 7 2 2 8 7 2 2" xfId="45134"/>
    <cellStyle name="Heading 2 2 7 2 2 8 7 3" xfId="45135"/>
    <cellStyle name="Heading 2 2 7 2 2 8 8" xfId="45136"/>
    <cellStyle name="Heading 2 2 7 2 2 8 8 2" xfId="45137"/>
    <cellStyle name="Heading 2 2 7 2 2 8 9" xfId="45138"/>
    <cellStyle name="Heading 2 2 7 2 2 9" xfId="45139"/>
    <cellStyle name="Heading 2 2 7 2 2 9 2" xfId="45140"/>
    <cellStyle name="Heading 2 2 7 2 2 9 2 2" xfId="45141"/>
    <cellStyle name="Heading 2 2 7 2 2 9 3" xfId="45142"/>
    <cellStyle name="Heading 2 2 7 2 20" xfId="45143"/>
    <cellStyle name="Heading 2 2 7 2 20 2" xfId="45144"/>
    <cellStyle name="Heading 2 2 7 2 21" xfId="45145"/>
    <cellStyle name="Heading 2 2 7 2 21 2" xfId="45146"/>
    <cellStyle name="Heading 2 2 7 2 22" xfId="45147"/>
    <cellStyle name="Heading 2 2 7 2 22 2" xfId="45148"/>
    <cellStyle name="Heading 2 2 7 2 23" xfId="45149"/>
    <cellStyle name="Heading 2 2 7 2 3" xfId="45150"/>
    <cellStyle name="Heading 2 2 7 2 3 2" xfId="45151"/>
    <cellStyle name="Heading 2 2 7 2 3 2 2" xfId="45152"/>
    <cellStyle name="Heading 2 2 7 2 3 2 2 2" xfId="45153"/>
    <cellStyle name="Heading 2 2 7 2 3 2 3" xfId="45154"/>
    <cellStyle name="Heading 2 2 7 2 3 3" xfId="45155"/>
    <cellStyle name="Heading 2 2 7 2 3 3 2" xfId="45156"/>
    <cellStyle name="Heading 2 2 7 2 3 3 2 2" xfId="45157"/>
    <cellStyle name="Heading 2 2 7 2 3 3 3" xfId="45158"/>
    <cellStyle name="Heading 2 2 7 2 3 4" xfId="45159"/>
    <cellStyle name="Heading 2 2 7 2 3 4 2" xfId="45160"/>
    <cellStyle name="Heading 2 2 7 2 3 4 2 2" xfId="45161"/>
    <cellStyle name="Heading 2 2 7 2 3 4 3" xfId="45162"/>
    <cellStyle name="Heading 2 2 7 2 3 5" xfId="45163"/>
    <cellStyle name="Heading 2 2 7 2 3 5 2" xfId="45164"/>
    <cellStyle name="Heading 2 2 7 2 3 5 2 2" xfId="45165"/>
    <cellStyle name="Heading 2 2 7 2 3 5 3" xfId="45166"/>
    <cellStyle name="Heading 2 2 7 2 3 6" xfId="45167"/>
    <cellStyle name="Heading 2 2 7 2 3 6 2" xfId="45168"/>
    <cellStyle name="Heading 2 2 7 2 3 6 2 2" xfId="45169"/>
    <cellStyle name="Heading 2 2 7 2 3 6 3" xfId="45170"/>
    <cellStyle name="Heading 2 2 7 2 3 7" xfId="45171"/>
    <cellStyle name="Heading 2 2 7 2 3 7 2" xfId="45172"/>
    <cellStyle name="Heading 2 2 7 2 3 7 2 2" xfId="45173"/>
    <cellStyle name="Heading 2 2 7 2 3 7 3" xfId="45174"/>
    <cellStyle name="Heading 2 2 7 2 3 8" xfId="45175"/>
    <cellStyle name="Heading 2 2 7 2 3 8 2" xfId="45176"/>
    <cellStyle name="Heading 2 2 7 2 3 9" xfId="45177"/>
    <cellStyle name="Heading 2 2 7 2 4" xfId="45178"/>
    <cellStyle name="Heading 2 2 7 2 4 2" xfId="45179"/>
    <cellStyle name="Heading 2 2 7 2 4 2 2" xfId="45180"/>
    <cellStyle name="Heading 2 2 7 2 4 2 2 2" xfId="45181"/>
    <cellStyle name="Heading 2 2 7 2 4 2 3" xfId="45182"/>
    <cellStyle name="Heading 2 2 7 2 4 3" xfId="45183"/>
    <cellStyle name="Heading 2 2 7 2 4 3 2" xfId="45184"/>
    <cellStyle name="Heading 2 2 7 2 4 3 2 2" xfId="45185"/>
    <cellStyle name="Heading 2 2 7 2 4 3 3" xfId="45186"/>
    <cellStyle name="Heading 2 2 7 2 4 4" xfId="45187"/>
    <cellStyle name="Heading 2 2 7 2 4 4 2" xfId="45188"/>
    <cellStyle name="Heading 2 2 7 2 4 4 2 2" xfId="45189"/>
    <cellStyle name="Heading 2 2 7 2 4 4 3" xfId="45190"/>
    <cellStyle name="Heading 2 2 7 2 4 5" xfId="45191"/>
    <cellStyle name="Heading 2 2 7 2 4 5 2" xfId="45192"/>
    <cellStyle name="Heading 2 2 7 2 4 5 2 2" xfId="45193"/>
    <cellStyle name="Heading 2 2 7 2 4 5 3" xfId="45194"/>
    <cellStyle name="Heading 2 2 7 2 4 6" xfId="45195"/>
    <cellStyle name="Heading 2 2 7 2 4 6 2" xfId="45196"/>
    <cellStyle name="Heading 2 2 7 2 4 6 2 2" xfId="45197"/>
    <cellStyle name="Heading 2 2 7 2 4 6 3" xfId="45198"/>
    <cellStyle name="Heading 2 2 7 2 4 7" xfId="45199"/>
    <cellStyle name="Heading 2 2 7 2 4 7 2" xfId="45200"/>
    <cellStyle name="Heading 2 2 7 2 4 7 2 2" xfId="45201"/>
    <cellStyle name="Heading 2 2 7 2 4 7 3" xfId="45202"/>
    <cellStyle name="Heading 2 2 7 2 4 8" xfId="45203"/>
    <cellStyle name="Heading 2 2 7 2 4 8 2" xfId="45204"/>
    <cellStyle name="Heading 2 2 7 2 4 9" xfId="45205"/>
    <cellStyle name="Heading 2 2 7 2 5" xfId="45206"/>
    <cellStyle name="Heading 2 2 7 2 5 2" xfId="45207"/>
    <cellStyle name="Heading 2 2 7 2 5 2 2" xfId="45208"/>
    <cellStyle name="Heading 2 2 7 2 5 2 2 2" xfId="45209"/>
    <cellStyle name="Heading 2 2 7 2 5 2 3" xfId="45210"/>
    <cellStyle name="Heading 2 2 7 2 5 3" xfId="45211"/>
    <cellStyle name="Heading 2 2 7 2 5 3 2" xfId="45212"/>
    <cellStyle name="Heading 2 2 7 2 5 3 2 2" xfId="45213"/>
    <cellStyle name="Heading 2 2 7 2 5 3 3" xfId="45214"/>
    <cellStyle name="Heading 2 2 7 2 5 4" xfId="45215"/>
    <cellStyle name="Heading 2 2 7 2 5 4 2" xfId="45216"/>
    <cellStyle name="Heading 2 2 7 2 5 4 2 2" xfId="45217"/>
    <cellStyle name="Heading 2 2 7 2 5 4 3" xfId="45218"/>
    <cellStyle name="Heading 2 2 7 2 5 5" xfId="45219"/>
    <cellStyle name="Heading 2 2 7 2 5 5 2" xfId="45220"/>
    <cellStyle name="Heading 2 2 7 2 5 5 2 2" xfId="45221"/>
    <cellStyle name="Heading 2 2 7 2 5 5 3" xfId="45222"/>
    <cellStyle name="Heading 2 2 7 2 5 6" xfId="45223"/>
    <cellStyle name="Heading 2 2 7 2 5 6 2" xfId="45224"/>
    <cellStyle name="Heading 2 2 7 2 5 6 2 2" xfId="45225"/>
    <cellStyle name="Heading 2 2 7 2 5 6 3" xfId="45226"/>
    <cellStyle name="Heading 2 2 7 2 5 7" xfId="45227"/>
    <cellStyle name="Heading 2 2 7 2 5 7 2" xfId="45228"/>
    <cellStyle name="Heading 2 2 7 2 5 7 2 2" xfId="45229"/>
    <cellStyle name="Heading 2 2 7 2 5 7 3" xfId="45230"/>
    <cellStyle name="Heading 2 2 7 2 5 8" xfId="45231"/>
    <cellStyle name="Heading 2 2 7 2 5 8 2" xfId="45232"/>
    <cellStyle name="Heading 2 2 7 2 5 9" xfId="45233"/>
    <cellStyle name="Heading 2 2 7 2 6" xfId="45234"/>
    <cellStyle name="Heading 2 2 7 2 6 2" xfId="45235"/>
    <cellStyle name="Heading 2 2 7 2 6 2 2" xfId="45236"/>
    <cellStyle name="Heading 2 2 7 2 6 2 2 2" xfId="45237"/>
    <cellStyle name="Heading 2 2 7 2 6 2 3" xfId="45238"/>
    <cellStyle name="Heading 2 2 7 2 6 3" xfId="45239"/>
    <cellStyle name="Heading 2 2 7 2 6 3 2" xfId="45240"/>
    <cellStyle name="Heading 2 2 7 2 6 3 2 2" xfId="45241"/>
    <cellStyle name="Heading 2 2 7 2 6 3 3" xfId="45242"/>
    <cellStyle name="Heading 2 2 7 2 6 4" xfId="45243"/>
    <cellStyle name="Heading 2 2 7 2 6 4 2" xfId="45244"/>
    <cellStyle name="Heading 2 2 7 2 6 4 2 2" xfId="45245"/>
    <cellStyle name="Heading 2 2 7 2 6 4 3" xfId="45246"/>
    <cellStyle name="Heading 2 2 7 2 6 5" xfId="45247"/>
    <cellStyle name="Heading 2 2 7 2 6 5 2" xfId="45248"/>
    <cellStyle name="Heading 2 2 7 2 6 5 2 2" xfId="45249"/>
    <cellStyle name="Heading 2 2 7 2 6 5 3" xfId="45250"/>
    <cellStyle name="Heading 2 2 7 2 6 6" xfId="45251"/>
    <cellStyle name="Heading 2 2 7 2 6 6 2" xfId="45252"/>
    <cellStyle name="Heading 2 2 7 2 6 6 2 2" xfId="45253"/>
    <cellStyle name="Heading 2 2 7 2 6 6 3" xfId="45254"/>
    <cellStyle name="Heading 2 2 7 2 6 7" xfId="45255"/>
    <cellStyle name="Heading 2 2 7 2 6 7 2" xfId="45256"/>
    <cellStyle name="Heading 2 2 7 2 6 7 2 2" xfId="45257"/>
    <cellStyle name="Heading 2 2 7 2 6 7 3" xfId="45258"/>
    <cellStyle name="Heading 2 2 7 2 6 8" xfId="45259"/>
    <cellStyle name="Heading 2 2 7 2 6 8 2" xfId="45260"/>
    <cellStyle name="Heading 2 2 7 2 6 9" xfId="45261"/>
    <cellStyle name="Heading 2 2 7 2 7" xfId="45262"/>
    <cellStyle name="Heading 2 2 7 2 7 2" xfId="45263"/>
    <cellStyle name="Heading 2 2 7 2 7 2 2" xfId="45264"/>
    <cellStyle name="Heading 2 2 7 2 7 2 2 2" xfId="45265"/>
    <cellStyle name="Heading 2 2 7 2 7 2 3" xfId="45266"/>
    <cellStyle name="Heading 2 2 7 2 7 3" xfId="45267"/>
    <cellStyle name="Heading 2 2 7 2 7 3 2" xfId="45268"/>
    <cellStyle name="Heading 2 2 7 2 7 3 2 2" xfId="45269"/>
    <cellStyle name="Heading 2 2 7 2 7 3 3" xfId="45270"/>
    <cellStyle name="Heading 2 2 7 2 7 4" xfId="45271"/>
    <cellStyle name="Heading 2 2 7 2 7 4 2" xfId="45272"/>
    <cellStyle name="Heading 2 2 7 2 7 4 2 2" xfId="45273"/>
    <cellStyle name="Heading 2 2 7 2 7 4 3" xfId="45274"/>
    <cellStyle name="Heading 2 2 7 2 7 5" xfId="45275"/>
    <cellStyle name="Heading 2 2 7 2 7 5 2" xfId="45276"/>
    <cellStyle name="Heading 2 2 7 2 7 5 2 2" xfId="45277"/>
    <cellStyle name="Heading 2 2 7 2 7 5 3" xfId="45278"/>
    <cellStyle name="Heading 2 2 7 2 7 6" xfId="45279"/>
    <cellStyle name="Heading 2 2 7 2 7 6 2" xfId="45280"/>
    <cellStyle name="Heading 2 2 7 2 7 6 2 2" xfId="45281"/>
    <cellStyle name="Heading 2 2 7 2 7 6 3" xfId="45282"/>
    <cellStyle name="Heading 2 2 7 2 7 7" xfId="45283"/>
    <cellStyle name="Heading 2 2 7 2 7 7 2" xfId="45284"/>
    <cellStyle name="Heading 2 2 7 2 7 7 2 2" xfId="45285"/>
    <cellStyle name="Heading 2 2 7 2 7 7 3" xfId="45286"/>
    <cellStyle name="Heading 2 2 7 2 7 8" xfId="45287"/>
    <cellStyle name="Heading 2 2 7 2 7 8 2" xfId="45288"/>
    <cellStyle name="Heading 2 2 7 2 7 9" xfId="45289"/>
    <cellStyle name="Heading 2 2 7 2 8" xfId="45290"/>
    <cellStyle name="Heading 2 2 7 2 8 2" xfId="45291"/>
    <cellStyle name="Heading 2 2 7 2 8 2 2" xfId="45292"/>
    <cellStyle name="Heading 2 2 7 2 8 2 2 2" xfId="45293"/>
    <cellStyle name="Heading 2 2 7 2 8 2 3" xfId="45294"/>
    <cellStyle name="Heading 2 2 7 2 8 3" xfId="45295"/>
    <cellStyle name="Heading 2 2 7 2 8 3 2" xfId="45296"/>
    <cellStyle name="Heading 2 2 7 2 8 3 2 2" xfId="45297"/>
    <cellStyle name="Heading 2 2 7 2 8 3 3" xfId="45298"/>
    <cellStyle name="Heading 2 2 7 2 8 4" xfId="45299"/>
    <cellStyle name="Heading 2 2 7 2 8 4 2" xfId="45300"/>
    <cellStyle name="Heading 2 2 7 2 8 4 2 2" xfId="45301"/>
    <cellStyle name="Heading 2 2 7 2 8 4 3" xfId="45302"/>
    <cellStyle name="Heading 2 2 7 2 8 5" xfId="45303"/>
    <cellStyle name="Heading 2 2 7 2 8 5 2" xfId="45304"/>
    <cellStyle name="Heading 2 2 7 2 8 5 2 2" xfId="45305"/>
    <cellStyle name="Heading 2 2 7 2 8 5 3" xfId="45306"/>
    <cellStyle name="Heading 2 2 7 2 8 6" xfId="45307"/>
    <cellStyle name="Heading 2 2 7 2 8 6 2" xfId="45308"/>
    <cellStyle name="Heading 2 2 7 2 8 6 2 2" xfId="45309"/>
    <cellStyle name="Heading 2 2 7 2 8 6 3" xfId="45310"/>
    <cellStyle name="Heading 2 2 7 2 8 7" xfId="45311"/>
    <cellStyle name="Heading 2 2 7 2 8 7 2" xfId="45312"/>
    <cellStyle name="Heading 2 2 7 2 8 7 2 2" xfId="45313"/>
    <cellStyle name="Heading 2 2 7 2 8 7 3" xfId="45314"/>
    <cellStyle name="Heading 2 2 7 2 8 8" xfId="45315"/>
    <cellStyle name="Heading 2 2 7 2 8 8 2" xfId="45316"/>
    <cellStyle name="Heading 2 2 7 2 8 9" xfId="45317"/>
    <cellStyle name="Heading 2 2 7 2 9" xfId="45318"/>
    <cellStyle name="Heading 2 2 7 2 9 2" xfId="45319"/>
    <cellStyle name="Heading 2 2 7 2 9 2 2" xfId="45320"/>
    <cellStyle name="Heading 2 2 7 2 9 2 2 2" xfId="45321"/>
    <cellStyle name="Heading 2 2 7 2 9 2 3" xfId="45322"/>
    <cellStyle name="Heading 2 2 7 2 9 3" xfId="45323"/>
    <cellStyle name="Heading 2 2 7 2 9 3 2" xfId="45324"/>
    <cellStyle name="Heading 2 2 7 2 9 3 2 2" xfId="45325"/>
    <cellStyle name="Heading 2 2 7 2 9 3 3" xfId="45326"/>
    <cellStyle name="Heading 2 2 7 2 9 4" xfId="45327"/>
    <cellStyle name="Heading 2 2 7 2 9 4 2" xfId="45328"/>
    <cellStyle name="Heading 2 2 7 2 9 4 2 2" xfId="45329"/>
    <cellStyle name="Heading 2 2 7 2 9 4 3" xfId="45330"/>
    <cellStyle name="Heading 2 2 7 2 9 5" xfId="45331"/>
    <cellStyle name="Heading 2 2 7 2 9 5 2" xfId="45332"/>
    <cellStyle name="Heading 2 2 7 2 9 5 2 2" xfId="45333"/>
    <cellStyle name="Heading 2 2 7 2 9 5 3" xfId="45334"/>
    <cellStyle name="Heading 2 2 7 2 9 6" xfId="45335"/>
    <cellStyle name="Heading 2 2 7 2 9 6 2" xfId="45336"/>
    <cellStyle name="Heading 2 2 7 2 9 6 2 2" xfId="45337"/>
    <cellStyle name="Heading 2 2 7 2 9 6 3" xfId="45338"/>
    <cellStyle name="Heading 2 2 7 2 9 7" xfId="45339"/>
    <cellStyle name="Heading 2 2 7 2 9 7 2" xfId="45340"/>
    <cellStyle name="Heading 2 2 7 2 9 7 2 2" xfId="45341"/>
    <cellStyle name="Heading 2 2 7 2 9 7 3" xfId="45342"/>
    <cellStyle name="Heading 2 2 7 2 9 8" xfId="45343"/>
    <cellStyle name="Heading 2 2 7 2 9 8 2" xfId="45344"/>
    <cellStyle name="Heading 2 2 7 2 9 9" xfId="45345"/>
    <cellStyle name="Heading 2 2 7 3" xfId="45346"/>
    <cellStyle name="Heading 2 2 7 3 10" xfId="45347"/>
    <cellStyle name="Heading 2 2 7 3 10 2" xfId="45348"/>
    <cellStyle name="Heading 2 2 7 3 10 2 2" xfId="45349"/>
    <cellStyle name="Heading 2 2 7 3 10 3" xfId="45350"/>
    <cellStyle name="Heading 2 2 7 3 11" xfId="45351"/>
    <cellStyle name="Heading 2 2 7 3 11 2" xfId="45352"/>
    <cellStyle name="Heading 2 2 7 3 11 2 2" xfId="45353"/>
    <cellStyle name="Heading 2 2 7 3 11 3" xfId="45354"/>
    <cellStyle name="Heading 2 2 7 3 12" xfId="45355"/>
    <cellStyle name="Heading 2 2 7 3 12 2" xfId="45356"/>
    <cellStyle name="Heading 2 2 7 3 12 2 2" xfId="45357"/>
    <cellStyle name="Heading 2 2 7 3 12 3" xfId="45358"/>
    <cellStyle name="Heading 2 2 7 3 13" xfId="45359"/>
    <cellStyle name="Heading 2 2 7 3 13 2" xfId="45360"/>
    <cellStyle name="Heading 2 2 7 3 13 2 2" xfId="45361"/>
    <cellStyle name="Heading 2 2 7 3 13 3" xfId="45362"/>
    <cellStyle name="Heading 2 2 7 3 14" xfId="45363"/>
    <cellStyle name="Heading 2 2 7 3 14 2" xfId="45364"/>
    <cellStyle name="Heading 2 2 7 3 14 2 2" xfId="45365"/>
    <cellStyle name="Heading 2 2 7 3 14 3" xfId="45366"/>
    <cellStyle name="Heading 2 2 7 3 15" xfId="45367"/>
    <cellStyle name="Heading 2 2 7 3 15 2" xfId="45368"/>
    <cellStyle name="Heading 2 2 7 3 15 2 2" xfId="45369"/>
    <cellStyle name="Heading 2 2 7 3 15 3" xfId="45370"/>
    <cellStyle name="Heading 2 2 7 3 16" xfId="45371"/>
    <cellStyle name="Heading 2 2 7 3 16 2" xfId="45372"/>
    <cellStyle name="Heading 2 2 7 3 16 2 2" xfId="45373"/>
    <cellStyle name="Heading 2 2 7 3 16 3" xfId="45374"/>
    <cellStyle name="Heading 2 2 7 3 17" xfId="45375"/>
    <cellStyle name="Heading 2 2 7 3 17 2" xfId="45376"/>
    <cellStyle name="Heading 2 2 7 3 17 2 2" xfId="45377"/>
    <cellStyle name="Heading 2 2 7 3 17 3" xfId="45378"/>
    <cellStyle name="Heading 2 2 7 3 18" xfId="45379"/>
    <cellStyle name="Heading 2 2 7 3 18 2" xfId="45380"/>
    <cellStyle name="Heading 2 2 7 3 18 2 2" xfId="45381"/>
    <cellStyle name="Heading 2 2 7 3 18 3" xfId="45382"/>
    <cellStyle name="Heading 2 2 7 3 19" xfId="45383"/>
    <cellStyle name="Heading 2 2 7 3 19 2" xfId="45384"/>
    <cellStyle name="Heading 2 2 7 3 2" xfId="45385"/>
    <cellStyle name="Heading 2 2 7 3 2 2" xfId="45386"/>
    <cellStyle name="Heading 2 2 7 3 2 2 2" xfId="45387"/>
    <cellStyle name="Heading 2 2 7 3 2 2 2 2" xfId="45388"/>
    <cellStyle name="Heading 2 2 7 3 2 2 3" xfId="45389"/>
    <cellStyle name="Heading 2 2 7 3 2 3" xfId="45390"/>
    <cellStyle name="Heading 2 2 7 3 2 3 2" xfId="45391"/>
    <cellStyle name="Heading 2 2 7 3 2 3 2 2" xfId="45392"/>
    <cellStyle name="Heading 2 2 7 3 2 3 3" xfId="45393"/>
    <cellStyle name="Heading 2 2 7 3 2 4" xfId="45394"/>
    <cellStyle name="Heading 2 2 7 3 2 4 2" xfId="45395"/>
    <cellStyle name="Heading 2 2 7 3 2 4 2 2" xfId="45396"/>
    <cellStyle name="Heading 2 2 7 3 2 4 3" xfId="45397"/>
    <cellStyle name="Heading 2 2 7 3 2 5" xfId="45398"/>
    <cellStyle name="Heading 2 2 7 3 2 5 2" xfId="45399"/>
    <cellStyle name="Heading 2 2 7 3 2 5 2 2" xfId="45400"/>
    <cellStyle name="Heading 2 2 7 3 2 5 3" xfId="45401"/>
    <cellStyle name="Heading 2 2 7 3 2 6" xfId="45402"/>
    <cellStyle name="Heading 2 2 7 3 2 6 2" xfId="45403"/>
    <cellStyle name="Heading 2 2 7 3 2 6 2 2" xfId="45404"/>
    <cellStyle name="Heading 2 2 7 3 2 6 3" xfId="45405"/>
    <cellStyle name="Heading 2 2 7 3 2 7" xfId="45406"/>
    <cellStyle name="Heading 2 2 7 3 2 7 2" xfId="45407"/>
    <cellStyle name="Heading 2 2 7 3 2 7 2 2" xfId="45408"/>
    <cellStyle name="Heading 2 2 7 3 2 7 3" xfId="45409"/>
    <cellStyle name="Heading 2 2 7 3 2 8" xfId="45410"/>
    <cellStyle name="Heading 2 2 7 3 2 8 2" xfId="45411"/>
    <cellStyle name="Heading 2 2 7 3 2 9" xfId="45412"/>
    <cellStyle name="Heading 2 2 7 3 20" xfId="45413"/>
    <cellStyle name="Heading 2 2 7 3 20 2" xfId="45414"/>
    <cellStyle name="Heading 2 2 7 3 21" xfId="45415"/>
    <cellStyle name="Heading 2 2 7 3 21 2" xfId="45416"/>
    <cellStyle name="Heading 2 2 7 3 22" xfId="45417"/>
    <cellStyle name="Heading 2 2 7 3 3" xfId="45418"/>
    <cellStyle name="Heading 2 2 7 3 3 2" xfId="45419"/>
    <cellStyle name="Heading 2 2 7 3 3 2 2" xfId="45420"/>
    <cellStyle name="Heading 2 2 7 3 3 2 2 2" xfId="45421"/>
    <cellStyle name="Heading 2 2 7 3 3 2 3" xfId="45422"/>
    <cellStyle name="Heading 2 2 7 3 3 3" xfId="45423"/>
    <cellStyle name="Heading 2 2 7 3 3 3 2" xfId="45424"/>
    <cellStyle name="Heading 2 2 7 3 3 3 2 2" xfId="45425"/>
    <cellStyle name="Heading 2 2 7 3 3 3 3" xfId="45426"/>
    <cellStyle name="Heading 2 2 7 3 3 4" xfId="45427"/>
    <cellStyle name="Heading 2 2 7 3 3 4 2" xfId="45428"/>
    <cellStyle name="Heading 2 2 7 3 3 4 2 2" xfId="45429"/>
    <cellStyle name="Heading 2 2 7 3 3 4 3" xfId="45430"/>
    <cellStyle name="Heading 2 2 7 3 3 5" xfId="45431"/>
    <cellStyle name="Heading 2 2 7 3 3 5 2" xfId="45432"/>
    <cellStyle name="Heading 2 2 7 3 3 5 2 2" xfId="45433"/>
    <cellStyle name="Heading 2 2 7 3 3 5 3" xfId="45434"/>
    <cellStyle name="Heading 2 2 7 3 3 6" xfId="45435"/>
    <cellStyle name="Heading 2 2 7 3 3 6 2" xfId="45436"/>
    <cellStyle name="Heading 2 2 7 3 3 6 2 2" xfId="45437"/>
    <cellStyle name="Heading 2 2 7 3 3 6 3" xfId="45438"/>
    <cellStyle name="Heading 2 2 7 3 3 7" xfId="45439"/>
    <cellStyle name="Heading 2 2 7 3 3 7 2" xfId="45440"/>
    <cellStyle name="Heading 2 2 7 3 3 7 2 2" xfId="45441"/>
    <cellStyle name="Heading 2 2 7 3 3 7 3" xfId="45442"/>
    <cellStyle name="Heading 2 2 7 3 3 8" xfId="45443"/>
    <cellStyle name="Heading 2 2 7 3 3 8 2" xfId="45444"/>
    <cellStyle name="Heading 2 2 7 3 3 9" xfId="45445"/>
    <cellStyle name="Heading 2 2 7 3 4" xfId="45446"/>
    <cellStyle name="Heading 2 2 7 3 4 2" xfId="45447"/>
    <cellStyle name="Heading 2 2 7 3 4 2 2" xfId="45448"/>
    <cellStyle name="Heading 2 2 7 3 4 2 2 2" xfId="45449"/>
    <cellStyle name="Heading 2 2 7 3 4 2 3" xfId="45450"/>
    <cellStyle name="Heading 2 2 7 3 4 3" xfId="45451"/>
    <cellStyle name="Heading 2 2 7 3 4 3 2" xfId="45452"/>
    <cellStyle name="Heading 2 2 7 3 4 3 2 2" xfId="45453"/>
    <cellStyle name="Heading 2 2 7 3 4 3 3" xfId="45454"/>
    <cellStyle name="Heading 2 2 7 3 4 4" xfId="45455"/>
    <cellStyle name="Heading 2 2 7 3 4 4 2" xfId="45456"/>
    <cellStyle name="Heading 2 2 7 3 4 4 2 2" xfId="45457"/>
    <cellStyle name="Heading 2 2 7 3 4 4 3" xfId="45458"/>
    <cellStyle name="Heading 2 2 7 3 4 5" xfId="45459"/>
    <cellStyle name="Heading 2 2 7 3 4 5 2" xfId="45460"/>
    <cellStyle name="Heading 2 2 7 3 4 5 2 2" xfId="45461"/>
    <cellStyle name="Heading 2 2 7 3 4 5 3" xfId="45462"/>
    <cellStyle name="Heading 2 2 7 3 4 6" xfId="45463"/>
    <cellStyle name="Heading 2 2 7 3 4 6 2" xfId="45464"/>
    <cellStyle name="Heading 2 2 7 3 4 6 2 2" xfId="45465"/>
    <cellStyle name="Heading 2 2 7 3 4 6 3" xfId="45466"/>
    <cellStyle name="Heading 2 2 7 3 4 7" xfId="45467"/>
    <cellStyle name="Heading 2 2 7 3 4 7 2" xfId="45468"/>
    <cellStyle name="Heading 2 2 7 3 4 7 2 2" xfId="45469"/>
    <cellStyle name="Heading 2 2 7 3 4 7 3" xfId="45470"/>
    <cellStyle name="Heading 2 2 7 3 4 8" xfId="45471"/>
    <cellStyle name="Heading 2 2 7 3 4 8 2" xfId="45472"/>
    <cellStyle name="Heading 2 2 7 3 4 9" xfId="45473"/>
    <cellStyle name="Heading 2 2 7 3 5" xfId="45474"/>
    <cellStyle name="Heading 2 2 7 3 5 2" xfId="45475"/>
    <cellStyle name="Heading 2 2 7 3 5 2 2" xfId="45476"/>
    <cellStyle name="Heading 2 2 7 3 5 2 2 2" xfId="45477"/>
    <cellStyle name="Heading 2 2 7 3 5 2 3" xfId="45478"/>
    <cellStyle name="Heading 2 2 7 3 5 3" xfId="45479"/>
    <cellStyle name="Heading 2 2 7 3 5 3 2" xfId="45480"/>
    <cellStyle name="Heading 2 2 7 3 5 3 2 2" xfId="45481"/>
    <cellStyle name="Heading 2 2 7 3 5 3 3" xfId="45482"/>
    <cellStyle name="Heading 2 2 7 3 5 4" xfId="45483"/>
    <cellStyle name="Heading 2 2 7 3 5 4 2" xfId="45484"/>
    <cellStyle name="Heading 2 2 7 3 5 4 2 2" xfId="45485"/>
    <cellStyle name="Heading 2 2 7 3 5 4 3" xfId="45486"/>
    <cellStyle name="Heading 2 2 7 3 5 5" xfId="45487"/>
    <cellStyle name="Heading 2 2 7 3 5 5 2" xfId="45488"/>
    <cellStyle name="Heading 2 2 7 3 5 5 2 2" xfId="45489"/>
    <cellStyle name="Heading 2 2 7 3 5 5 3" xfId="45490"/>
    <cellStyle name="Heading 2 2 7 3 5 6" xfId="45491"/>
    <cellStyle name="Heading 2 2 7 3 5 6 2" xfId="45492"/>
    <cellStyle name="Heading 2 2 7 3 5 6 2 2" xfId="45493"/>
    <cellStyle name="Heading 2 2 7 3 5 6 3" xfId="45494"/>
    <cellStyle name="Heading 2 2 7 3 5 7" xfId="45495"/>
    <cellStyle name="Heading 2 2 7 3 5 7 2" xfId="45496"/>
    <cellStyle name="Heading 2 2 7 3 5 7 2 2" xfId="45497"/>
    <cellStyle name="Heading 2 2 7 3 5 7 3" xfId="45498"/>
    <cellStyle name="Heading 2 2 7 3 5 8" xfId="45499"/>
    <cellStyle name="Heading 2 2 7 3 5 8 2" xfId="45500"/>
    <cellStyle name="Heading 2 2 7 3 5 9" xfId="45501"/>
    <cellStyle name="Heading 2 2 7 3 6" xfId="45502"/>
    <cellStyle name="Heading 2 2 7 3 6 2" xfId="45503"/>
    <cellStyle name="Heading 2 2 7 3 6 2 2" xfId="45504"/>
    <cellStyle name="Heading 2 2 7 3 6 2 2 2" xfId="45505"/>
    <cellStyle name="Heading 2 2 7 3 6 2 3" xfId="45506"/>
    <cellStyle name="Heading 2 2 7 3 6 3" xfId="45507"/>
    <cellStyle name="Heading 2 2 7 3 6 3 2" xfId="45508"/>
    <cellStyle name="Heading 2 2 7 3 6 3 2 2" xfId="45509"/>
    <cellStyle name="Heading 2 2 7 3 6 3 3" xfId="45510"/>
    <cellStyle name="Heading 2 2 7 3 6 4" xfId="45511"/>
    <cellStyle name="Heading 2 2 7 3 6 4 2" xfId="45512"/>
    <cellStyle name="Heading 2 2 7 3 6 4 2 2" xfId="45513"/>
    <cellStyle name="Heading 2 2 7 3 6 4 3" xfId="45514"/>
    <cellStyle name="Heading 2 2 7 3 6 5" xfId="45515"/>
    <cellStyle name="Heading 2 2 7 3 6 5 2" xfId="45516"/>
    <cellStyle name="Heading 2 2 7 3 6 5 2 2" xfId="45517"/>
    <cellStyle name="Heading 2 2 7 3 6 5 3" xfId="45518"/>
    <cellStyle name="Heading 2 2 7 3 6 6" xfId="45519"/>
    <cellStyle name="Heading 2 2 7 3 6 6 2" xfId="45520"/>
    <cellStyle name="Heading 2 2 7 3 6 6 2 2" xfId="45521"/>
    <cellStyle name="Heading 2 2 7 3 6 6 3" xfId="45522"/>
    <cellStyle name="Heading 2 2 7 3 6 7" xfId="45523"/>
    <cellStyle name="Heading 2 2 7 3 6 7 2" xfId="45524"/>
    <cellStyle name="Heading 2 2 7 3 6 7 2 2" xfId="45525"/>
    <cellStyle name="Heading 2 2 7 3 6 7 3" xfId="45526"/>
    <cellStyle name="Heading 2 2 7 3 6 8" xfId="45527"/>
    <cellStyle name="Heading 2 2 7 3 6 8 2" xfId="45528"/>
    <cellStyle name="Heading 2 2 7 3 6 9" xfId="45529"/>
    <cellStyle name="Heading 2 2 7 3 7" xfId="45530"/>
    <cellStyle name="Heading 2 2 7 3 7 2" xfId="45531"/>
    <cellStyle name="Heading 2 2 7 3 7 2 2" xfId="45532"/>
    <cellStyle name="Heading 2 2 7 3 7 2 2 2" xfId="45533"/>
    <cellStyle name="Heading 2 2 7 3 7 2 3" xfId="45534"/>
    <cellStyle name="Heading 2 2 7 3 7 3" xfId="45535"/>
    <cellStyle name="Heading 2 2 7 3 7 3 2" xfId="45536"/>
    <cellStyle name="Heading 2 2 7 3 7 3 2 2" xfId="45537"/>
    <cellStyle name="Heading 2 2 7 3 7 3 3" xfId="45538"/>
    <cellStyle name="Heading 2 2 7 3 7 4" xfId="45539"/>
    <cellStyle name="Heading 2 2 7 3 7 4 2" xfId="45540"/>
    <cellStyle name="Heading 2 2 7 3 7 4 2 2" xfId="45541"/>
    <cellStyle name="Heading 2 2 7 3 7 4 3" xfId="45542"/>
    <cellStyle name="Heading 2 2 7 3 7 5" xfId="45543"/>
    <cellStyle name="Heading 2 2 7 3 7 5 2" xfId="45544"/>
    <cellStyle name="Heading 2 2 7 3 7 5 2 2" xfId="45545"/>
    <cellStyle name="Heading 2 2 7 3 7 5 3" xfId="45546"/>
    <cellStyle name="Heading 2 2 7 3 7 6" xfId="45547"/>
    <cellStyle name="Heading 2 2 7 3 7 6 2" xfId="45548"/>
    <cellStyle name="Heading 2 2 7 3 7 6 2 2" xfId="45549"/>
    <cellStyle name="Heading 2 2 7 3 7 6 3" xfId="45550"/>
    <cellStyle name="Heading 2 2 7 3 7 7" xfId="45551"/>
    <cellStyle name="Heading 2 2 7 3 7 7 2" xfId="45552"/>
    <cellStyle name="Heading 2 2 7 3 7 7 2 2" xfId="45553"/>
    <cellStyle name="Heading 2 2 7 3 7 7 3" xfId="45554"/>
    <cellStyle name="Heading 2 2 7 3 7 8" xfId="45555"/>
    <cellStyle name="Heading 2 2 7 3 7 8 2" xfId="45556"/>
    <cellStyle name="Heading 2 2 7 3 7 9" xfId="45557"/>
    <cellStyle name="Heading 2 2 7 3 8" xfId="45558"/>
    <cellStyle name="Heading 2 2 7 3 8 2" xfId="45559"/>
    <cellStyle name="Heading 2 2 7 3 8 2 2" xfId="45560"/>
    <cellStyle name="Heading 2 2 7 3 8 2 2 2" xfId="45561"/>
    <cellStyle name="Heading 2 2 7 3 8 2 3" xfId="45562"/>
    <cellStyle name="Heading 2 2 7 3 8 3" xfId="45563"/>
    <cellStyle name="Heading 2 2 7 3 8 3 2" xfId="45564"/>
    <cellStyle name="Heading 2 2 7 3 8 3 2 2" xfId="45565"/>
    <cellStyle name="Heading 2 2 7 3 8 3 3" xfId="45566"/>
    <cellStyle name="Heading 2 2 7 3 8 4" xfId="45567"/>
    <cellStyle name="Heading 2 2 7 3 8 4 2" xfId="45568"/>
    <cellStyle name="Heading 2 2 7 3 8 4 2 2" xfId="45569"/>
    <cellStyle name="Heading 2 2 7 3 8 4 3" xfId="45570"/>
    <cellStyle name="Heading 2 2 7 3 8 5" xfId="45571"/>
    <cellStyle name="Heading 2 2 7 3 8 5 2" xfId="45572"/>
    <cellStyle name="Heading 2 2 7 3 8 5 2 2" xfId="45573"/>
    <cellStyle name="Heading 2 2 7 3 8 5 3" xfId="45574"/>
    <cellStyle name="Heading 2 2 7 3 8 6" xfId="45575"/>
    <cellStyle name="Heading 2 2 7 3 8 6 2" xfId="45576"/>
    <cellStyle name="Heading 2 2 7 3 8 6 2 2" xfId="45577"/>
    <cellStyle name="Heading 2 2 7 3 8 6 3" xfId="45578"/>
    <cellStyle name="Heading 2 2 7 3 8 7" xfId="45579"/>
    <cellStyle name="Heading 2 2 7 3 8 7 2" xfId="45580"/>
    <cellStyle name="Heading 2 2 7 3 8 7 2 2" xfId="45581"/>
    <cellStyle name="Heading 2 2 7 3 8 7 3" xfId="45582"/>
    <cellStyle name="Heading 2 2 7 3 8 8" xfId="45583"/>
    <cellStyle name="Heading 2 2 7 3 8 8 2" xfId="45584"/>
    <cellStyle name="Heading 2 2 7 3 8 9" xfId="45585"/>
    <cellStyle name="Heading 2 2 7 3 9" xfId="45586"/>
    <cellStyle name="Heading 2 2 7 3 9 2" xfId="45587"/>
    <cellStyle name="Heading 2 2 7 3 9 2 2" xfId="45588"/>
    <cellStyle name="Heading 2 2 7 3 9 3" xfId="45589"/>
    <cellStyle name="Heading 2 2 7 4" xfId="45590"/>
    <cellStyle name="Heading 2 2 7 4 2" xfId="45591"/>
    <cellStyle name="Heading 2 2 7 4 2 2" xfId="45592"/>
    <cellStyle name="Heading 2 2 7 4 3" xfId="45593"/>
    <cellStyle name="Heading 2 2 7 5" xfId="45594"/>
    <cellStyle name="Heading 2 2 7 5 2" xfId="45595"/>
    <cellStyle name="Heading 2 2 7 6" xfId="45596"/>
    <cellStyle name="Heading 2 2 8" xfId="45597"/>
    <cellStyle name="Heading 2 2 8 2" xfId="45598"/>
    <cellStyle name="Heading 2 2 8 2 10" xfId="45599"/>
    <cellStyle name="Heading 2 2 8 2 10 2" xfId="45600"/>
    <cellStyle name="Heading 2 2 8 2 10 2 2" xfId="45601"/>
    <cellStyle name="Heading 2 2 8 2 10 3" xfId="45602"/>
    <cellStyle name="Heading 2 2 8 2 11" xfId="45603"/>
    <cellStyle name="Heading 2 2 8 2 11 2" xfId="45604"/>
    <cellStyle name="Heading 2 2 8 2 11 2 2" xfId="45605"/>
    <cellStyle name="Heading 2 2 8 2 11 3" xfId="45606"/>
    <cellStyle name="Heading 2 2 8 2 12" xfId="45607"/>
    <cellStyle name="Heading 2 2 8 2 12 2" xfId="45608"/>
    <cellStyle name="Heading 2 2 8 2 12 2 2" xfId="45609"/>
    <cellStyle name="Heading 2 2 8 2 12 3" xfId="45610"/>
    <cellStyle name="Heading 2 2 8 2 13" xfId="45611"/>
    <cellStyle name="Heading 2 2 8 2 13 2" xfId="45612"/>
    <cellStyle name="Heading 2 2 8 2 13 2 2" xfId="45613"/>
    <cellStyle name="Heading 2 2 8 2 13 3" xfId="45614"/>
    <cellStyle name="Heading 2 2 8 2 14" xfId="45615"/>
    <cellStyle name="Heading 2 2 8 2 14 2" xfId="45616"/>
    <cellStyle name="Heading 2 2 8 2 14 2 2" xfId="45617"/>
    <cellStyle name="Heading 2 2 8 2 14 3" xfId="45618"/>
    <cellStyle name="Heading 2 2 8 2 15" xfId="45619"/>
    <cellStyle name="Heading 2 2 8 2 15 2" xfId="45620"/>
    <cellStyle name="Heading 2 2 8 2 15 2 2" xfId="45621"/>
    <cellStyle name="Heading 2 2 8 2 15 3" xfId="45622"/>
    <cellStyle name="Heading 2 2 8 2 16" xfId="45623"/>
    <cellStyle name="Heading 2 2 8 2 16 2" xfId="45624"/>
    <cellStyle name="Heading 2 2 8 2 16 2 2" xfId="45625"/>
    <cellStyle name="Heading 2 2 8 2 16 3" xfId="45626"/>
    <cellStyle name="Heading 2 2 8 2 17" xfId="45627"/>
    <cellStyle name="Heading 2 2 8 2 17 2" xfId="45628"/>
    <cellStyle name="Heading 2 2 8 2 17 2 2" xfId="45629"/>
    <cellStyle name="Heading 2 2 8 2 17 3" xfId="45630"/>
    <cellStyle name="Heading 2 2 8 2 18" xfId="45631"/>
    <cellStyle name="Heading 2 2 8 2 18 2" xfId="45632"/>
    <cellStyle name="Heading 2 2 8 2 18 2 2" xfId="45633"/>
    <cellStyle name="Heading 2 2 8 2 18 3" xfId="45634"/>
    <cellStyle name="Heading 2 2 8 2 19" xfId="45635"/>
    <cellStyle name="Heading 2 2 8 2 19 2" xfId="45636"/>
    <cellStyle name="Heading 2 2 8 2 19 2 2" xfId="45637"/>
    <cellStyle name="Heading 2 2 8 2 19 3" xfId="45638"/>
    <cellStyle name="Heading 2 2 8 2 2" xfId="45639"/>
    <cellStyle name="Heading 2 2 8 2 2 10" xfId="45640"/>
    <cellStyle name="Heading 2 2 8 2 2 10 2" xfId="45641"/>
    <cellStyle name="Heading 2 2 8 2 2 10 2 2" xfId="45642"/>
    <cellStyle name="Heading 2 2 8 2 2 10 3" xfId="45643"/>
    <cellStyle name="Heading 2 2 8 2 2 11" xfId="45644"/>
    <cellStyle name="Heading 2 2 8 2 2 11 2" xfId="45645"/>
    <cellStyle name="Heading 2 2 8 2 2 11 2 2" xfId="45646"/>
    <cellStyle name="Heading 2 2 8 2 2 11 3" xfId="45647"/>
    <cellStyle name="Heading 2 2 8 2 2 12" xfId="45648"/>
    <cellStyle name="Heading 2 2 8 2 2 12 2" xfId="45649"/>
    <cellStyle name="Heading 2 2 8 2 2 12 2 2" xfId="45650"/>
    <cellStyle name="Heading 2 2 8 2 2 12 3" xfId="45651"/>
    <cellStyle name="Heading 2 2 8 2 2 13" xfId="45652"/>
    <cellStyle name="Heading 2 2 8 2 2 13 2" xfId="45653"/>
    <cellStyle name="Heading 2 2 8 2 2 13 2 2" xfId="45654"/>
    <cellStyle name="Heading 2 2 8 2 2 13 3" xfId="45655"/>
    <cellStyle name="Heading 2 2 8 2 2 14" xfId="45656"/>
    <cellStyle name="Heading 2 2 8 2 2 14 2" xfId="45657"/>
    <cellStyle name="Heading 2 2 8 2 2 14 2 2" xfId="45658"/>
    <cellStyle name="Heading 2 2 8 2 2 14 3" xfId="45659"/>
    <cellStyle name="Heading 2 2 8 2 2 15" xfId="45660"/>
    <cellStyle name="Heading 2 2 8 2 2 15 2" xfId="45661"/>
    <cellStyle name="Heading 2 2 8 2 2 15 2 2" xfId="45662"/>
    <cellStyle name="Heading 2 2 8 2 2 15 3" xfId="45663"/>
    <cellStyle name="Heading 2 2 8 2 2 16" xfId="45664"/>
    <cellStyle name="Heading 2 2 8 2 2 16 2" xfId="45665"/>
    <cellStyle name="Heading 2 2 8 2 2 16 2 2" xfId="45666"/>
    <cellStyle name="Heading 2 2 8 2 2 16 3" xfId="45667"/>
    <cellStyle name="Heading 2 2 8 2 2 17" xfId="45668"/>
    <cellStyle name="Heading 2 2 8 2 2 17 2" xfId="45669"/>
    <cellStyle name="Heading 2 2 8 2 2 17 2 2" xfId="45670"/>
    <cellStyle name="Heading 2 2 8 2 2 17 3" xfId="45671"/>
    <cellStyle name="Heading 2 2 8 2 2 18" xfId="45672"/>
    <cellStyle name="Heading 2 2 8 2 2 18 2" xfId="45673"/>
    <cellStyle name="Heading 2 2 8 2 2 18 2 2" xfId="45674"/>
    <cellStyle name="Heading 2 2 8 2 2 18 3" xfId="45675"/>
    <cellStyle name="Heading 2 2 8 2 2 19" xfId="45676"/>
    <cellStyle name="Heading 2 2 8 2 2 19 2" xfId="45677"/>
    <cellStyle name="Heading 2 2 8 2 2 2" xfId="45678"/>
    <cellStyle name="Heading 2 2 8 2 2 2 2" xfId="45679"/>
    <cellStyle name="Heading 2 2 8 2 2 2 2 2" xfId="45680"/>
    <cellStyle name="Heading 2 2 8 2 2 2 2 2 2" xfId="45681"/>
    <cellStyle name="Heading 2 2 8 2 2 2 2 3" xfId="45682"/>
    <cellStyle name="Heading 2 2 8 2 2 2 3" xfId="45683"/>
    <cellStyle name="Heading 2 2 8 2 2 2 3 2" xfId="45684"/>
    <cellStyle name="Heading 2 2 8 2 2 2 3 2 2" xfId="45685"/>
    <cellStyle name="Heading 2 2 8 2 2 2 3 3" xfId="45686"/>
    <cellStyle name="Heading 2 2 8 2 2 2 4" xfId="45687"/>
    <cellStyle name="Heading 2 2 8 2 2 2 4 2" xfId="45688"/>
    <cellStyle name="Heading 2 2 8 2 2 2 4 2 2" xfId="45689"/>
    <cellStyle name="Heading 2 2 8 2 2 2 4 3" xfId="45690"/>
    <cellStyle name="Heading 2 2 8 2 2 2 5" xfId="45691"/>
    <cellStyle name="Heading 2 2 8 2 2 2 5 2" xfId="45692"/>
    <cellStyle name="Heading 2 2 8 2 2 2 5 2 2" xfId="45693"/>
    <cellStyle name="Heading 2 2 8 2 2 2 5 3" xfId="45694"/>
    <cellStyle name="Heading 2 2 8 2 2 2 6" xfId="45695"/>
    <cellStyle name="Heading 2 2 8 2 2 2 6 2" xfId="45696"/>
    <cellStyle name="Heading 2 2 8 2 2 2 6 2 2" xfId="45697"/>
    <cellStyle name="Heading 2 2 8 2 2 2 6 3" xfId="45698"/>
    <cellStyle name="Heading 2 2 8 2 2 2 7" xfId="45699"/>
    <cellStyle name="Heading 2 2 8 2 2 2 7 2" xfId="45700"/>
    <cellStyle name="Heading 2 2 8 2 2 2 7 2 2" xfId="45701"/>
    <cellStyle name="Heading 2 2 8 2 2 2 7 3" xfId="45702"/>
    <cellStyle name="Heading 2 2 8 2 2 2 8" xfId="45703"/>
    <cellStyle name="Heading 2 2 8 2 2 2 8 2" xfId="45704"/>
    <cellStyle name="Heading 2 2 8 2 2 2 9" xfId="45705"/>
    <cellStyle name="Heading 2 2 8 2 2 20" xfId="45706"/>
    <cellStyle name="Heading 2 2 8 2 2 20 2" xfId="45707"/>
    <cellStyle name="Heading 2 2 8 2 2 21" xfId="45708"/>
    <cellStyle name="Heading 2 2 8 2 2 21 2" xfId="45709"/>
    <cellStyle name="Heading 2 2 8 2 2 22" xfId="45710"/>
    <cellStyle name="Heading 2 2 8 2 2 3" xfId="45711"/>
    <cellStyle name="Heading 2 2 8 2 2 3 2" xfId="45712"/>
    <cellStyle name="Heading 2 2 8 2 2 3 2 2" xfId="45713"/>
    <cellStyle name="Heading 2 2 8 2 2 3 2 2 2" xfId="45714"/>
    <cellStyle name="Heading 2 2 8 2 2 3 2 3" xfId="45715"/>
    <cellStyle name="Heading 2 2 8 2 2 3 3" xfId="45716"/>
    <cellStyle name="Heading 2 2 8 2 2 3 3 2" xfId="45717"/>
    <cellStyle name="Heading 2 2 8 2 2 3 3 2 2" xfId="45718"/>
    <cellStyle name="Heading 2 2 8 2 2 3 3 3" xfId="45719"/>
    <cellStyle name="Heading 2 2 8 2 2 3 4" xfId="45720"/>
    <cellStyle name="Heading 2 2 8 2 2 3 4 2" xfId="45721"/>
    <cellStyle name="Heading 2 2 8 2 2 3 4 2 2" xfId="45722"/>
    <cellStyle name="Heading 2 2 8 2 2 3 4 3" xfId="45723"/>
    <cellStyle name="Heading 2 2 8 2 2 3 5" xfId="45724"/>
    <cellStyle name="Heading 2 2 8 2 2 3 5 2" xfId="45725"/>
    <cellStyle name="Heading 2 2 8 2 2 3 5 2 2" xfId="45726"/>
    <cellStyle name="Heading 2 2 8 2 2 3 5 3" xfId="45727"/>
    <cellStyle name="Heading 2 2 8 2 2 3 6" xfId="45728"/>
    <cellStyle name="Heading 2 2 8 2 2 3 6 2" xfId="45729"/>
    <cellStyle name="Heading 2 2 8 2 2 3 6 2 2" xfId="45730"/>
    <cellStyle name="Heading 2 2 8 2 2 3 6 3" xfId="45731"/>
    <cellStyle name="Heading 2 2 8 2 2 3 7" xfId="45732"/>
    <cellStyle name="Heading 2 2 8 2 2 3 7 2" xfId="45733"/>
    <cellStyle name="Heading 2 2 8 2 2 3 7 2 2" xfId="45734"/>
    <cellStyle name="Heading 2 2 8 2 2 3 7 3" xfId="45735"/>
    <cellStyle name="Heading 2 2 8 2 2 3 8" xfId="45736"/>
    <cellStyle name="Heading 2 2 8 2 2 3 8 2" xfId="45737"/>
    <cellStyle name="Heading 2 2 8 2 2 3 9" xfId="45738"/>
    <cellStyle name="Heading 2 2 8 2 2 4" xfId="45739"/>
    <cellStyle name="Heading 2 2 8 2 2 4 2" xfId="45740"/>
    <cellStyle name="Heading 2 2 8 2 2 4 2 2" xfId="45741"/>
    <cellStyle name="Heading 2 2 8 2 2 4 2 2 2" xfId="45742"/>
    <cellStyle name="Heading 2 2 8 2 2 4 2 3" xfId="45743"/>
    <cellStyle name="Heading 2 2 8 2 2 4 3" xfId="45744"/>
    <cellStyle name="Heading 2 2 8 2 2 4 3 2" xfId="45745"/>
    <cellStyle name="Heading 2 2 8 2 2 4 3 2 2" xfId="45746"/>
    <cellStyle name="Heading 2 2 8 2 2 4 3 3" xfId="45747"/>
    <cellStyle name="Heading 2 2 8 2 2 4 4" xfId="45748"/>
    <cellStyle name="Heading 2 2 8 2 2 4 4 2" xfId="45749"/>
    <cellStyle name="Heading 2 2 8 2 2 4 4 2 2" xfId="45750"/>
    <cellStyle name="Heading 2 2 8 2 2 4 4 3" xfId="45751"/>
    <cellStyle name="Heading 2 2 8 2 2 4 5" xfId="45752"/>
    <cellStyle name="Heading 2 2 8 2 2 4 5 2" xfId="45753"/>
    <cellStyle name="Heading 2 2 8 2 2 4 5 2 2" xfId="45754"/>
    <cellStyle name="Heading 2 2 8 2 2 4 5 3" xfId="45755"/>
    <cellStyle name="Heading 2 2 8 2 2 4 6" xfId="45756"/>
    <cellStyle name="Heading 2 2 8 2 2 4 6 2" xfId="45757"/>
    <cellStyle name="Heading 2 2 8 2 2 4 6 2 2" xfId="45758"/>
    <cellStyle name="Heading 2 2 8 2 2 4 6 3" xfId="45759"/>
    <cellStyle name="Heading 2 2 8 2 2 4 7" xfId="45760"/>
    <cellStyle name="Heading 2 2 8 2 2 4 7 2" xfId="45761"/>
    <cellStyle name="Heading 2 2 8 2 2 4 7 2 2" xfId="45762"/>
    <cellStyle name="Heading 2 2 8 2 2 4 7 3" xfId="45763"/>
    <cellStyle name="Heading 2 2 8 2 2 4 8" xfId="45764"/>
    <cellStyle name="Heading 2 2 8 2 2 4 8 2" xfId="45765"/>
    <cellStyle name="Heading 2 2 8 2 2 4 9" xfId="45766"/>
    <cellStyle name="Heading 2 2 8 2 2 5" xfId="45767"/>
    <cellStyle name="Heading 2 2 8 2 2 5 2" xfId="45768"/>
    <cellStyle name="Heading 2 2 8 2 2 5 2 2" xfId="45769"/>
    <cellStyle name="Heading 2 2 8 2 2 5 2 2 2" xfId="45770"/>
    <cellStyle name="Heading 2 2 8 2 2 5 2 3" xfId="45771"/>
    <cellStyle name="Heading 2 2 8 2 2 5 3" xfId="45772"/>
    <cellStyle name="Heading 2 2 8 2 2 5 3 2" xfId="45773"/>
    <cellStyle name="Heading 2 2 8 2 2 5 3 2 2" xfId="45774"/>
    <cellStyle name="Heading 2 2 8 2 2 5 3 3" xfId="45775"/>
    <cellStyle name="Heading 2 2 8 2 2 5 4" xfId="45776"/>
    <cellStyle name="Heading 2 2 8 2 2 5 4 2" xfId="45777"/>
    <cellStyle name="Heading 2 2 8 2 2 5 4 2 2" xfId="45778"/>
    <cellStyle name="Heading 2 2 8 2 2 5 4 3" xfId="45779"/>
    <cellStyle name="Heading 2 2 8 2 2 5 5" xfId="45780"/>
    <cellStyle name="Heading 2 2 8 2 2 5 5 2" xfId="45781"/>
    <cellStyle name="Heading 2 2 8 2 2 5 5 2 2" xfId="45782"/>
    <cellStyle name="Heading 2 2 8 2 2 5 5 3" xfId="45783"/>
    <cellStyle name="Heading 2 2 8 2 2 5 6" xfId="45784"/>
    <cellStyle name="Heading 2 2 8 2 2 5 6 2" xfId="45785"/>
    <cellStyle name="Heading 2 2 8 2 2 5 6 2 2" xfId="45786"/>
    <cellStyle name="Heading 2 2 8 2 2 5 6 3" xfId="45787"/>
    <cellStyle name="Heading 2 2 8 2 2 5 7" xfId="45788"/>
    <cellStyle name="Heading 2 2 8 2 2 5 7 2" xfId="45789"/>
    <cellStyle name="Heading 2 2 8 2 2 5 7 2 2" xfId="45790"/>
    <cellStyle name="Heading 2 2 8 2 2 5 7 3" xfId="45791"/>
    <cellStyle name="Heading 2 2 8 2 2 5 8" xfId="45792"/>
    <cellStyle name="Heading 2 2 8 2 2 5 8 2" xfId="45793"/>
    <cellStyle name="Heading 2 2 8 2 2 5 9" xfId="45794"/>
    <cellStyle name="Heading 2 2 8 2 2 6" xfId="45795"/>
    <cellStyle name="Heading 2 2 8 2 2 6 2" xfId="45796"/>
    <cellStyle name="Heading 2 2 8 2 2 6 2 2" xfId="45797"/>
    <cellStyle name="Heading 2 2 8 2 2 6 2 2 2" xfId="45798"/>
    <cellStyle name="Heading 2 2 8 2 2 6 2 3" xfId="45799"/>
    <cellStyle name="Heading 2 2 8 2 2 6 3" xfId="45800"/>
    <cellStyle name="Heading 2 2 8 2 2 6 3 2" xfId="45801"/>
    <cellStyle name="Heading 2 2 8 2 2 6 3 2 2" xfId="45802"/>
    <cellStyle name="Heading 2 2 8 2 2 6 3 3" xfId="45803"/>
    <cellStyle name="Heading 2 2 8 2 2 6 4" xfId="45804"/>
    <cellStyle name="Heading 2 2 8 2 2 6 4 2" xfId="45805"/>
    <cellStyle name="Heading 2 2 8 2 2 6 4 2 2" xfId="45806"/>
    <cellStyle name="Heading 2 2 8 2 2 6 4 3" xfId="45807"/>
    <cellStyle name="Heading 2 2 8 2 2 6 5" xfId="45808"/>
    <cellStyle name="Heading 2 2 8 2 2 6 5 2" xfId="45809"/>
    <cellStyle name="Heading 2 2 8 2 2 6 5 2 2" xfId="45810"/>
    <cellStyle name="Heading 2 2 8 2 2 6 5 3" xfId="45811"/>
    <cellStyle name="Heading 2 2 8 2 2 6 6" xfId="45812"/>
    <cellStyle name="Heading 2 2 8 2 2 6 6 2" xfId="45813"/>
    <cellStyle name="Heading 2 2 8 2 2 6 6 2 2" xfId="45814"/>
    <cellStyle name="Heading 2 2 8 2 2 6 6 3" xfId="45815"/>
    <cellStyle name="Heading 2 2 8 2 2 6 7" xfId="45816"/>
    <cellStyle name="Heading 2 2 8 2 2 6 7 2" xfId="45817"/>
    <cellStyle name="Heading 2 2 8 2 2 6 7 2 2" xfId="45818"/>
    <cellStyle name="Heading 2 2 8 2 2 6 7 3" xfId="45819"/>
    <cellStyle name="Heading 2 2 8 2 2 6 8" xfId="45820"/>
    <cellStyle name="Heading 2 2 8 2 2 6 8 2" xfId="45821"/>
    <cellStyle name="Heading 2 2 8 2 2 6 9" xfId="45822"/>
    <cellStyle name="Heading 2 2 8 2 2 7" xfId="45823"/>
    <cellStyle name="Heading 2 2 8 2 2 7 2" xfId="45824"/>
    <cellStyle name="Heading 2 2 8 2 2 7 2 2" xfId="45825"/>
    <cellStyle name="Heading 2 2 8 2 2 7 2 2 2" xfId="45826"/>
    <cellStyle name="Heading 2 2 8 2 2 7 2 3" xfId="45827"/>
    <cellStyle name="Heading 2 2 8 2 2 7 3" xfId="45828"/>
    <cellStyle name="Heading 2 2 8 2 2 7 3 2" xfId="45829"/>
    <cellStyle name="Heading 2 2 8 2 2 7 3 2 2" xfId="45830"/>
    <cellStyle name="Heading 2 2 8 2 2 7 3 3" xfId="45831"/>
    <cellStyle name="Heading 2 2 8 2 2 7 4" xfId="45832"/>
    <cellStyle name="Heading 2 2 8 2 2 7 4 2" xfId="45833"/>
    <cellStyle name="Heading 2 2 8 2 2 7 4 2 2" xfId="45834"/>
    <cellStyle name="Heading 2 2 8 2 2 7 4 3" xfId="45835"/>
    <cellStyle name="Heading 2 2 8 2 2 7 5" xfId="45836"/>
    <cellStyle name="Heading 2 2 8 2 2 7 5 2" xfId="45837"/>
    <cellStyle name="Heading 2 2 8 2 2 7 5 2 2" xfId="45838"/>
    <cellStyle name="Heading 2 2 8 2 2 7 5 3" xfId="45839"/>
    <cellStyle name="Heading 2 2 8 2 2 7 6" xfId="45840"/>
    <cellStyle name="Heading 2 2 8 2 2 7 6 2" xfId="45841"/>
    <cellStyle name="Heading 2 2 8 2 2 7 6 2 2" xfId="45842"/>
    <cellStyle name="Heading 2 2 8 2 2 7 6 3" xfId="45843"/>
    <cellStyle name="Heading 2 2 8 2 2 7 7" xfId="45844"/>
    <cellStyle name="Heading 2 2 8 2 2 7 7 2" xfId="45845"/>
    <cellStyle name="Heading 2 2 8 2 2 7 7 2 2" xfId="45846"/>
    <cellStyle name="Heading 2 2 8 2 2 7 7 3" xfId="45847"/>
    <cellStyle name="Heading 2 2 8 2 2 7 8" xfId="45848"/>
    <cellStyle name="Heading 2 2 8 2 2 7 8 2" xfId="45849"/>
    <cellStyle name="Heading 2 2 8 2 2 7 9" xfId="45850"/>
    <cellStyle name="Heading 2 2 8 2 2 8" xfId="45851"/>
    <cellStyle name="Heading 2 2 8 2 2 8 2" xfId="45852"/>
    <cellStyle name="Heading 2 2 8 2 2 8 2 2" xfId="45853"/>
    <cellStyle name="Heading 2 2 8 2 2 8 2 2 2" xfId="45854"/>
    <cellStyle name="Heading 2 2 8 2 2 8 2 3" xfId="45855"/>
    <cellStyle name="Heading 2 2 8 2 2 8 3" xfId="45856"/>
    <cellStyle name="Heading 2 2 8 2 2 8 3 2" xfId="45857"/>
    <cellStyle name="Heading 2 2 8 2 2 8 3 2 2" xfId="45858"/>
    <cellStyle name="Heading 2 2 8 2 2 8 3 3" xfId="45859"/>
    <cellStyle name="Heading 2 2 8 2 2 8 4" xfId="45860"/>
    <cellStyle name="Heading 2 2 8 2 2 8 4 2" xfId="45861"/>
    <cellStyle name="Heading 2 2 8 2 2 8 4 2 2" xfId="45862"/>
    <cellStyle name="Heading 2 2 8 2 2 8 4 3" xfId="45863"/>
    <cellStyle name="Heading 2 2 8 2 2 8 5" xfId="45864"/>
    <cellStyle name="Heading 2 2 8 2 2 8 5 2" xfId="45865"/>
    <cellStyle name="Heading 2 2 8 2 2 8 5 2 2" xfId="45866"/>
    <cellStyle name="Heading 2 2 8 2 2 8 5 3" xfId="45867"/>
    <cellStyle name="Heading 2 2 8 2 2 8 6" xfId="45868"/>
    <cellStyle name="Heading 2 2 8 2 2 8 6 2" xfId="45869"/>
    <cellStyle name="Heading 2 2 8 2 2 8 6 2 2" xfId="45870"/>
    <cellStyle name="Heading 2 2 8 2 2 8 6 3" xfId="45871"/>
    <cellStyle name="Heading 2 2 8 2 2 8 7" xfId="45872"/>
    <cellStyle name="Heading 2 2 8 2 2 8 7 2" xfId="45873"/>
    <cellStyle name="Heading 2 2 8 2 2 8 7 2 2" xfId="45874"/>
    <cellStyle name="Heading 2 2 8 2 2 8 7 3" xfId="45875"/>
    <cellStyle name="Heading 2 2 8 2 2 8 8" xfId="45876"/>
    <cellStyle name="Heading 2 2 8 2 2 8 8 2" xfId="45877"/>
    <cellStyle name="Heading 2 2 8 2 2 8 9" xfId="45878"/>
    <cellStyle name="Heading 2 2 8 2 2 9" xfId="45879"/>
    <cellStyle name="Heading 2 2 8 2 2 9 2" xfId="45880"/>
    <cellStyle name="Heading 2 2 8 2 2 9 2 2" xfId="45881"/>
    <cellStyle name="Heading 2 2 8 2 2 9 3" xfId="45882"/>
    <cellStyle name="Heading 2 2 8 2 20" xfId="45883"/>
    <cellStyle name="Heading 2 2 8 2 20 2" xfId="45884"/>
    <cellStyle name="Heading 2 2 8 2 21" xfId="45885"/>
    <cellStyle name="Heading 2 2 8 2 21 2" xfId="45886"/>
    <cellStyle name="Heading 2 2 8 2 22" xfId="45887"/>
    <cellStyle name="Heading 2 2 8 2 22 2" xfId="45888"/>
    <cellStyle name="Heading 2 2 8 2 23" xfId="45889"/>
    <cellStyle name="Heading 2 2 8 2 3" xfId="45890"/>
    <cellStyle name="Heading 2 2 8 2 3 2" xfId="45891"/>
    <cellStyle name="Heading 2 2 8 2 3 2 2" xfId="45892"/>
    <cellStyle name="Heading 2 2 8 2 3 2 2 2" xfId="45893"/>
    <cellStyle name="Heading 2 2 8 2 3 2 3" xfId="45894"/>
    <cellStyle name="Heading 2 2 8 2 3 3" xfId="45895"/>
    <cellStyle name="Heading 2 2 8 2 3 3 2" xfId="45896"/>
    <cellStyle name="Heading 2 2 8 2 3 3 2 2" xfId="45897"/>
    <cellStyle name="Heading 2 2 8 2 3 3 3" xfId="45898"/>
    <cellStyle name="Heading 2 2 8 2 3 4" xfId="45899"/>
    <cellStyle name="Heading 2 2 8 2 3 4 2" xfId="45900"/>
    <cellStyle name="Heading 2 2 8 2 3 4 2 2" xfId="45901"/>
    <cellStyle name="Heading 2 2 8 2 3 4 3" xfId="45902"/>
    <cellStyle name="Heading 2 2 8 2 3 5" xfId="45903"/>
    <cellStyle name="Heading 2 2 8 2 3 5 2" xfId="45904"/>
    <cellStyle name="Heading 2 2 8 2 3 5 2 2" xfId="45905"/>
    <cellStyle name="Heading 2 2 8 2 3 5 3" xfId="45906"/>
    <cellStyle name="Heading 2 2 8 2 3 6" xfId="45907"/>
    <cellStyle name="Heading 2 2 8 2 3 6 2" xfId="45908"/>
    <cellStyle name="Heading 2 2 8 2 3 6 2 2" xfId="45909"/>
    <cellStyle name="Heading 2 2 8 2 3 6 3" xfId="45910"/>
    <cellStyle name="Heading 2 2 8 2 3 7" xfId="45911"/>
    <cellStyle name="Heading 2 2 8 2 3 7 2" xfId="45912"/>
    <cellStyle name="Heading 2 2 8 2 3 7 2 2" xfId="45913"/>
    <cellStyle name="Heading 2 2 8 2 3 7 3" xfId="45914"/>
    <cellStyle name="Heading 2 2 8 2 3 8" xfId="45915"/>
    <cellStyle name="Heading 2 2 8 2 3 8 2" xfId="45916"/>
    <cellStyle name="Heading 2 2 8 2 3 9" xfId="45917"/>
    <cellStyle name="Heading 2 2 8 2 4" xfId="45918"/>
    <cellStyle name="Heading 2 2 8 2 4 2" xfId="45919"/>
    <cellStyle name="Heading 2 2 8 2 4 2 2" xfId="45920"/>
    <cellStyle name="Heading 2 2 8 2 4 2 2 2" xfId="45921"/>
    <cellStyle name="Heading 2 2 8 2 4 2 3" xfId="45922"/>
    <cellStyle name="Heading 2 2 8 2 4 3" xfId="45923"/>
    <cellStyle name="Heading 2 2 8 2 4 3 2" xfId="45924"/>
    <cellStyle name="Heading 2 2 8 2 4 3 2 2" xfId="45925"/>
    <cellStyle name="Heading 2 2 8 2 4 3 3" xfId="45926"/>
    <cellStyle name="Heading 2 2 8 2 4 4" xfId="45927"/>
    <cellStyle name="Heading 2 2 8 2 4 4 2" xfId="45928"/>
    <cellStyle name="Heading 2 2 8 2 4 4 2 2" xfId="45929"/>
    <cellStyle name="Heading 2 2 8 2 4 4 3" xfId="45930"/>
    <cellStyle name="Heading 2 2 8 2 4 5" xfId="45931"/>
    <cellStyle name="Heading 2 2 8 2 4 5 2" xfId="45932"/>
    <cellStyle name="Heading 2 2 8 2 4 5 2 2" xfId="45933"/>
    <cellStyle name="Heading 2 2 8 2 4 5 3" xfId="45934"/>
    <cellStyle name="Heading 2 2 8 2 4 6" xfId="45935"/>
    <cellStyle name="Heading 2 2 8 2 4 6 2" xfId="45936"/>
    <cellStyle name="Heading 2 2 8 2 4 6 2 2" xfId="45937"/>
    <cellStyle name="Heading 2 2 8 2 4 6 3" xfId="45938"/>
    <cellStyle name="Heading 2 2 8 2 4 7" xfId="45939"/>
    <cellStyle name="Heading 2 2 8 2 4 7 2" xfId="45940"/>
    <cellStyle name="Heading 2 2 8 2 4 7 2 2" xfId="45941"/>
    <cellStyle name="Heading 2 2 8 2 4 7 3" xfId="45942"/>
    <cellStyle name="Heading 2 2 8 2 4 8" xfId="45943"/>
    <cellStyle name="Heading 2 2 8 2 4 8 2" xfId="45944"/>
    <cellStyle name="Heading 2 2 8 2 4 9" xfId="45945"/>
    <cellStyle name="Heading 2 2 8 2 5" xfId="45946"/>
    <cellStyle name="Heading 2 2 8 2 5 2" xfId="45947"/>
    <cellStyle name="Heading 2 2 8 2 5 2 2" xfId="45948"/>
    <cellStyle name="Heading 2 2 8 2 5 2 2 2" xfId="45949"/>
    <cellStyle name="Heading 2 2 8 2 5 2 3" xfId="45950"/>
    <cellStyle name="Heading 2 2 8 2 5 3" xfId="45951"/>
    <cellStyle name="Heading 2 2 8 2 5 3 2" xfId="45952"/>
    <cellStyle name="Heading 2 2 8 2 5 3 2 2" xfId="45953"/>
    <cellStyle name="Heading 2 2 8 2 5 3 3" xfId="45954"/>
    <cellStyle name="Heading 2 2 8 2 5 4" xfId="45955"/>
    <cellStyle name="Heading 2 2 8 2 5 4 2" xfId="45956"/>
    <cellStyle name="Heading 2 2 8 2 5 4 2 2" xfId="45957"/>
    <cellStyle name="Heading 2 2 8 2 5 4 3" xfId="45958"/>
    <cellStyle name="Heading 2 2 8 2 5 5" xfId="45959"/>
    <cellStyle name="Heading 2 2 8 2 5 5 2" xfId="45960"/>
    <cellStyle name="Heading 2 2 8 2 5 5 2 2" xfId="45961"/>
    <cellStyle name="Heading 2 2 8 2 5 5 3" xfId="45962"/>
    <cellStyle name="Heading 2 2 8 2 5 6" xfId="45963"/>
    <cellStyle name="Heading 2 2 8 2 5 6 2" xfId="45964"/>
    <cellStyle name="Heading 2 2 8 2 5 6 2 2" xfId="45965"/>
    <cellStyle name="Heading 2 2 8 2 5 6 3" xfId="45966"/>
    <cellStyle name="Heading 2 2 8 2 5 7" xfId="45967"/>
    <cellStyle name="Heading 2 2 8 2 5 7 2" xfId="45968"/>
    <cellStyle name="Heading 2 2 8 2 5 7 2 2" xfId="45969"/>
    <cellStyle name="Heading 2 2 8 2 5 7 3" xfId="45970"/>
    <cellStyle name="Heading 2 2 8 2 5 8" xfId="45971"/>
    <cellStyle name="Heading 2 2 8 2 5 8 2" xfId="45972"/>
    <cellStyle name="Heading 2 2 8 2 5 9" xfId="45973"/>
    <cellStyle name="Heading 2 2 8 2 6" xfId="45974"/>
    <cellStyle name="Heading 2 2 8 2 6 2" xfId="45975"/>
    <cellStyle name="Heading 2 2 8 2 6 2 2" xfId="45976"/>
    <cellStyle name="Heading 2 2 8 2 6 2 2 2" xfId="45977"/>
    <cellStyle name="Heading 2 2 8 2 6 2 3" xfId="45978"/>
    <cellStyle name="Heading 2 2 8 2 6 3" xfId="45979"/>
    <cellStyle name="Heading 2 2 8 2 6 3 2" xfId="45980"/>
    <cellStyle name="Heading 2 2 8 2 6 3 2 2" xfId="45981"/>
    <cellStyle name="Heading 2 2 8 2 6 3 3" xfId="45982"/>
    <cellStyle name="Heading 2 2 8 2 6 4" xfId="45983"/>
    <cellStyle name="Heading 2 2 8 2 6 4 2" xfId="45984"/>
    <cellStyle name="Heading 2 2 8 2 6 4 2 2" xfId="45985"/>
    <cellStyle name="Heading 2 2 8 2 6 4 3" xfId="45986"/>
    <cellStyle name="Heading 2 2 8 2 6 5" xfId="45987"/>
    <cellStyle name="Heading 2 2 8 2 6 5 2" xfId="45988"/>
    <cellStyle name="Heading 2 2 8 2 6 5 2 2" xfId="45989"/>
    <cellStyle name="Heading 2 2 8 2 6 5 3" xfId="45990"/>
    <cellStyle name="Heading 2 2 8 2 6 6" xfId="45991"/>
    <cellStyle name="Heading 2 2 8 2 6 6 2" xfId="45992"/>
    <cellStyle name="Heading 2 2 8 2 6 6 2 2" xfId="45993"/>
    <cellStyle name="Heading 2 2 8 2 6 6 3" xfId="45994"/>
    <cellStyle name="Heading 2 2 8 2 6 7" xfId="45995"/>
    <cellStyle name="Heading 2 2 8 2 6 7 2" xfId="45996"/>
    <cellStyle name="Heading 2 2 8 2 6 7 2 2" xfId="45997"/>
    <cellStyle name="Heading 2 2 8 2 6 7 3" xfId="45998"/>
    <cellStyle name="Heading 2 2 8 2 6 8" xfId="45999"/>
    <cellStyle name="Heading 2 2 8 2 6 8 2" xfId="46000"/>
    <cellStyle name="Heading 2 2 8 2 6 9" xfId="46001"/>
    <cellStyle name="Heading 2 2 8 2 7" xfId="46002"/>
    <cellStyle name="Heading 2 2 8 2 7 2" xfId="46003"/>
    <cellStyle name="Heading 2 2 8 2 7 2 2" xfId="46004"/>
    <cellStyle name="Heading 2 2 8 2 7 2 2 2" xfId="46005"/>
    <cellStyle name="Heading 2 2 8 2 7 2 3" xfId="46006"/>
    <cellStyle name="Heading 2 2 8 2 7 3" xfId="46007"/>
    <cellStyle name="Heading 2 2 8 2 7 3 2" xfId="46008"/>
    <cellStyle name="Heading 2 2 8 2 7 3 2 2" xfId="46009"/>
    <cellStyle name="Heading 2 2 8 2 7 3 3" xfId="46010"/>
    <cellStyle name="Heading 2 2 8 2 7 4" xfId="46011"/>
    <cellStyle name="Heading 2 2 8 2 7 4 2" xfId="46012"/>
    <cellStyle name="Heading 2 2 8 2 7 4 2 2" xfId="46013"/>
    <cellStyle name="Heading 2 2 8 2 7 4 3" xfId="46014"/>
    <cellStyle name="Heading 2 2 8 2 7 5" xfId="46015"/>
    <cellStyle name="Heading 2 2 8 2 7 5 2" xfId="46016"/>
    <cellStyle name="Heading 2 2 8 2 7 5 2 2" xfId="46017"/>
    <cellStyle name="Heading 2 2 8 2 7 5 3" xfId="46018"/>
    <cellStyle name="Heading 2 2 8 2 7 6" xfId="46019"/>
    <cellStyle name="Heading 2 2 8 2 7 6 2" xfId="46020"/>
    <cellStyle name="Heading 2 2 8 2 7 6 2 2" xfId="46021"/>
    <cellStyle name="Heading 2 2 8 2 7 6 3" xfId="46022"/>
    <cellStyle name="Heading 2 2 8 2 7 7" xfId="46023"/>
    <cellStyle name="Heading 2 2 8 2 7 7 2" xfId="46024"/>
    <cellStyle name="Heading 2 2 8 2 7 7 2 2" xfId="46025"/>
    <cellStyle name="Heading 2 2 8 2 7 7 3" xfId="46026"/>
    <cellStyle name="Heading 2 2 8 2 7 8" xfId="46027"/>
    <cellStyle name="Heading 2 2 8 2 7 8 2" xfId="46028"/>
    <cellStyle name="Heading 2 2 8 2 7 9" xfId="46029"/>
    <cellStyle name="Heading 2 2 8 2 8" xfId="46030"/>
    <cellStyle name="Heading 2 2 8 2 8 2" xfId="46031"/>
    <cellStyle name="Heading 2 2 8 2 8 2 2" xfId="46032"/>
    <cellStyle name="Heading 2 2 8 2 8 2 2 2" xfId="46033"/>
    <cellStyle name="Heading 2 2 8 2 8 2 3" xfId="46034"/>
    <cellStyle name="Heading 2 2 8 2 8 3" xfId="46035"/>
    <cellStyle name="Heading 2 2 8 2 8 3 2" xfId="46036"/>
    <cellStyle name="Heading 2 2 8 2 8 3 2 2" xfId="46037"/>
    <cellStyle name="Heading 2 2 8 2 8 3 3" xfId="46038"/>
    <cellStyle name="Heading 2 2 8 2 8 4" xfId="46039"/>
    <cellStyle name="Heading 2 2 8 2 8 4 2" xfId="46040"/>
    <cellStyle name="Heading 2 2 8 2 8 4 2 2" xfId="46041"/>
    <cellStyle name="Heading 2 2 8 2 8 4 3" xfId="46042"/>
    <cellStyle name="Heading 2 2 8 2 8 5" xfId="46043"/>
    <cellStyle name="Heading 2 2 8 2 8 5 2" xfId="46044"/>
    <cellStyle name="Heading 2 2 8 2 8 5 2 2" xfId="46045"/>
    <cellStyle name="Heading 2 2 8 2 8 5 3" xfId="46046"/>
    <cellStyle name="Heading 2 2 8 2 8 6" xfId="46047"/>
    <cellStyle name="Heading 2 2 8 2 8 6 2" xfId="46048"/>
    <cellStyle name="Heading 2 2 8 2 8 6 2 2" xfId="46049"/>
    <cellStyle name="Heading 2 2 8 2 8 6 3" xfId="46050"/>
    <cellStyle name="Heading 2 2 8 2 8 7" xfId="46051"/>
    <cellStyle name="Heading 2 2 8 2 8 7 2" xfId="46052"/>
    <cellStyle name="Heading 2 2 8 2 8 7 2 2" xfId="46053"/>
    <cellStyle name="Heading 2 2 8 2 8 7 3" xfId="46054"/>
    <cellStyle name="Heading 2 2 8 2 8 8" xfId="46055"/>
    <cellStyle name="Heading 2 2 8 2 8 8 2" xfId="46056"/>
    <cellStyle name="Heading 2 2 8 2 8 9" xfId="46057"/>
    <cellStyle name="Heading 2 2 8 2 9" xfId="46058"/>
    <cellStyle name="Heading 2 2 8 2 9 2" xfId="46059"/>
    <cellStyle name="Heading 2 2 8 2 9 2 2" xfId="46060"/>
    <cellStyle name="Heading 2 2 8 2 9 2 2 2" xfId="46061"/>
    <cellStyle name="Heading 2 2 8 2 9 2 3" xfId="46062"/>
    <cellStyle name="Heading 2 2 8 2 9 3" xfId="46063"/>
    <cellStyle name="Heading 2 2 8 2 9 3 2" xfId="46064"/>
    <cellStyle name="Heading 2 2 8 2 9 3 2 2" xfId="46065"/>
    <cellStyle name="Heading 2 2 8 2 9 3 3" xfId="46066"/>
    <cellStyle name="Heading 2 2 8 2 9 4" xfId="46067"/>
    <cellStyle name="Heading 2 2 8 2 9 4 2" xfId="46068"/>
    <cellStyle name="Heading 2 2 8 2 9 4 2 2" xfId="46069"/>
    <cellStyle name="Heading 2 2 8 2 9 4 3" xfId="46070"/>
    <cellStyle name="Heading 2 2 8 2 9 5" xfId="46071"/>
    <cellStyle name="Heading 2 2 8 2 9 5 2" xfId="46072"/>
    <cellStyle name="Heading 2 2 8 2 9 5 2 2" xfId="46073"/>
    <cellStyle name="Heading 2 2 8 2 9 5 3" xfId="46074"/>
    <cellStyle name="Heading 2 2 8 2 9 6" xfId="46075"/>
    <cellStyle name="Heading 2 2 8 2 9 6 2" xfId="46076"/>
    <cellStyle name="Heading 2 2 8 2 9 6 2 2" xfId="46077"/>
    <cellStyle name="Heading 2 2 8 2 9 6 3" xfId="46078"/>
    <cellStyle name="Heading 2 2 8 2 9 7" xfId="46079"/>
    <cellStyle name="Heading 2 2 8 2 9 7 2" xfId="46080"/>
    <cellStyle name="Heading 2 2 8 2 9 7 2 2" xfId="46081"/>
    <cellStyle name="Heading 2 2 8 2 9 7 3" xfId="46082"/>
    <cellStyle name="Heading 2 2 8 2 9 8" xfId="46083"/>
    <cellStyle name="Heading 2 2 8 2 9 8 2" xfId="46084"/>
    <cellStyle name="Heading 2 2 8 2 9 9" xfId="46085"/>
    <cellStyle name="Heading 2 2 8 3" xfId="46086"/>
    <cellStyle name="Heading 2 2 8 3 10" xfId="46087"/>
    <cellStyle name="Heading 2 2 8 3 10 2" xfId="46088"/>
    <cellStyle name="Heading 2 2 8 3 10 2 2" xfId="46089"/>
    <cellStyle name="Heading 2 2 8 3 10 3" xfId="46090"/>
    <cellStyle name="Heading 2 2 8 3 11" xfId="46091"/>
    <cellStyle name="Heading 2 2 8 3 11 2" xfId="46092"/>
    <cellStyle name="Heading 2 2 8 3 11 2 2" xfId="46093"/>
    <cellStyle name="Heading 2 2 8 3 11 3" xfId="46094"/>
    <cellStyle name="Heading 2 2 8 3 12" xfId="46095"/>
    <cellStyle name="Heading 2 2 8 3 12 2" xfId="46096"/>
    <cellStyle name="Heading 2 2 8 3 12 2 2" xfId="46097"/>
    <cellStyle name="Heading 2 2 8 3 12 3" xfId="46098"/>
    <cellStyle name="Heading 2 2 8 3 13" xfId="46099"/>
    <cellStyle name="Heading 2 2 8 3 13 2" xfId="46100"/>
    <cellStyle name="Heading 2 2 8 3 13 2 2" xfId="46101"/>
    <cellStyle name="Heading 2 2 8 3 13 3" xfId="46102"/>
    <cellStyle name="Heading 2 2 8 3 14" xfId="46103"/>
    <cellStyle name="Heading 2 2 8 3 14 2" xfId="46104"/>
    <cellStyle name="Heading 2 2 8 3 14 2 2" xfId="46105"/>
    <cellStyle name="Heading 2 2 8 3 14 3" xfId="46106"/>
    <cellStyle name="Heading 2 2 8 3 15" xfId="46107"/>
    <cellStyle name="Heading 2 2 8 3 15 2" xfId="46108"/>
    <cellStyle name="Heading 2 2 8 3 15 2 2" xfId="46109"/>
    <cellStyle name="Heading 2 2 8 3 15 3" xfId="46110"/>
    <cellStyle name="Heading 2 2 8 3 16" xfId="46111"/>
    <cellStyle name="Heading 2 2 8 3 16 2" xfId="46112"/>
    <cellStyle name="Heading 2 2 8 3 16 2 2" xfId="46113"/>
    <cellStyle name="Heading 2 2 8 3 16 3" xfId="46114"/>
    <cellStyle name="Heading 2 2 8 3 17" xfId="46115"/>
    <cellStyle name="Heading 2 2 8 3 17 2" xfId="46116"/>
    <cellStyle name="Heading 2 2 8 3 17 2 2" xfId="46117"/>
    <cellStyle name="Heading 2 2 8 3 17 3" xfId="46118"/>
    <cellStyle name="Heading 2 2 8 3 18" xfId="46119"/>
    <cellStyle name="Heading 2 2 8 3 18 2" xfId="46120"/>
    <cellStyle name="Heading 2 2 8 3 18 2 2" xfId="46121"/>
    <cellStyle name="Heading 2 2 8 3 18 3" xfId="46122"/>
    <cellStyle name="Heading 2 2 8 3 19" xfId="46123"/>
    <cellStyle name="Heading 2 2 8 3 19 2" xfId="46124"/>
    <cellStyle name="Heading 2 2 8 3 2" xfId="46125"/>
    <cellStyle name="Heading 2 2 8 3 2 2" xfId="46126"/>
    <cellStyle name="Heading 2 2 8 3 2 2 2" xfId="46127"/>
    <cellStyle name="Heading 2 2 8 3 2 2 2 2" xfId="46128"/>
    <cellStyle name="Heading 2 2 8 3 2 2 3" xfId="46129"/>
    <cellStyle name="Heading 2 2 8 3 2 3" xfId="46130"/>
    <cellStyle name="Heading 2 2 8 3 2 3 2" xfId="46131"/>
    <cellStyle name="Heading 2 2 8 3 2 3 2 2" xfId="46132"/>
    <cellStyle name="Heading 2 2 8 3 2 3 3" xfId="46133"/>
    <cellStyle name="Heading 2 2 8 3 2 4" xfId="46134"/>
    <cellStyle name="Heading 2 2 8 3 2 4 2" xfId="46135"/>
    <cellStyle name="Heading 2 2 8 3 2 4 2 2" xfId="46136"/>
    <cellStyle name="Heading 2 2 8 3 2 4 3" xfId="46137"/>
    <cellStyle name="Heading 2 2 8 3 2 5" xfId="46138"/>
    <cellStyle name="Heading 2 2 8 3 2 5 2" xfId="46139"/>
    <cellStyle name="Heading 2 2 8 3 2 5 2 2" xfId="46140"/>
    <cellStyle name="Heading 2 2 8 3 2 5 3" xfId="46141"/>
    <cellStyle name="Heading 2 2 8 3 2 6" xfId="46142"/>
    <cellStyle name="Heading 2 2 8 3 2 6 2" xfId="46143"/>
    <cellStyle name="Heading 2 2 8 3 2 6 2 2" xfId="46144"/>
    <cellStyle name="Heading 2 2 8 3 2 6 3" xfId="46145"/>
    <cellStyle name="Heading 2 2 8 3 2 7" xfId="46146"/>
    <cellStyle name="Heading 2 2 8 3 2 7 2" xfId="46147"/>
    <cellStyle name="Heading 2 2 8 3 2 7 2 2" xfId="46148"/>
    <cellStyle name="Heading 2 2 8 3 2 7 3" xfId="46149"/>
    <cellStyle name="Heading 2 2 8 3 2 8" xfId="46150"/>
    <cellStyle name="Heading 2 2 8 3 2 8 2" xfId="46151"/>
    <cellStyle name="Heading 2 2 8 3 2 9" xfId="46152"/>
    <cellStyle name="Heading 2 2 8 3 20" xfId="46153"/>
    <cellStyle name="Heading 2 2 8 3 20 2" xfId="46154"/>
    <cellStyle name="Heading 2 2 8 3 21" xfId="46155"/>
    <cellStyle name="Heading 2 2 8 3 21 2" xfId="46156"/>
    <cellStyle name="Heading 2 2 8 3 22" xfId="46157"/>
    <cellStyle name="Heading 2 2 8 3 3" xfId="46158"/>
    <cellStyle name="Heading 2 2 8 3 3 2" xfId="46159"/>
    <cellStyle name="Heading 2 2 8 3 3 2 2" xfId="46160"/>
    <cellStyle name="Heading 2 2 8 3 3 2 2 2" xfId="46161"/>
    <cellStyle name="Heading 2 2 8 3 3 2 3" xfId="46162"/>
    <cellStyle name="Heading 2 2 8 3 3 3" xfId="46163"/>
    <cellStyle name="Heading 2 2 8 3 3 3 2" xfId="46164"/>
    <cellStyle name="Heading 2 2 8 3 3 3 2 2" xfId="46165"/>
    <cellStyle name="Heading 2 2 8 3 3 3 3" xfId="46166"/>
    <cellStyle name="Heading 2 2 8 3 3 4" xfId="46167"/>
    <cellStyle name="Heading 2 2 8 3 3 4 2" xfId="46168"/>
    <cellStyle name="Heading 2 2 8 3 3 4 2 2" xfId="46169"/>
    <cellStyle name="Heading 2 2 8 3 3 4 3" xfId="46170"/>
    <cellStyle name="Heading 2 2 8 3 3 5" xfId="46171"/>
    <cellStyle name="Heading 2 2 8 3 3 5 2" xfId="46172"/>
    <cellStyle name="Heading 2 2 8 3 3 5 2 2" xfId="46173"/>
    <cellStyle name="Heading 2 2 8 3 3 5 3" xfId="46174"/>
    <cellStyle name="Heading 2 2 8 3 3 6" xfId="46175"/>
    <cellStyle name="Heading 2 2 8 3 3 6 2" xfId="46176"/>
    <cellStyle name="Heading 2 2 8 3 3 6 2 2" xfId="46177"/>
    <cellStyle name="Heading 2 2 8 3 3 6 3" xfId="46178"/>
    <cellStyle name="Heading 2 2 8 3 3 7" xfId="46179"/>
    <cellStyle name="Heading 2 2 8 3 3 7 2" xfId="46180"/>
    <cellStyle name="Heading 2 2 8 3 3 7 2 2" xfId="46181"/>
    <cellStyle name="Heading 2 2 8 3 3 7 3" xfId="46182"/>
    <cellStyle name="Heading 2 2 8 3 3 8" xfId="46183"/>
    <cellStyle name="Heading 2 2 8 3 3 8 2" xfId="46184"/>
    <cellStyle name="Heading 2 2 8 3 3 9" xfId="46185"/>
    <cellStyle name="Heading 2 2 8 3 4" xfId="46186"/>
    <cellStyle name="Heading 2 2 8 3 4 2" xfId="46187"/>
    <cellStyle name="Heading 2 2 8 3 4 2 2" xfId="46188"/>
    <cellStyle name="Heading 2 2 8 3 4 2 2 2" xfId="46189"/>
    <cellStyle name="Heading 2 2 8 3 4 2 3" xfId="46190"/>
    <cellStyle name="Heading 2 2 8 3 4 3" xfId="46191"/>
    <cellStyle name="Heading 2 2 8 3 4 3 2" xfId="46192"/>
    <cellStyle name="Heading 2 2 8 3 4 3 2 2" xfId="46193"/>
    <cellStyle name="Heading 2 2 8 3 4 3 3" xfId="46194"/>
    <cellStyle name="Heading 2 2 8 3 4 4" xfId="46195"/>
    <cellStyle name="Heading 2 2 8 3 4 4 2" xfId="46196"/>
    <cellStyle name="Heading 2 2 8 3 4 4 2 2" xfId="46197"/>
    <cellStyle name="Heading 2 2 8 3 4 4 3" xfId="46198"/>
    <cellStyle name="Heading 2 2 8 3 4 5" xfId="46199"/>
    <cellStyle name="Heading 2 2 8 3 4 5 2" xfId="46200"/>
    <cellStyle name="Heading 2 2 8 3 4 5 2 2" xfId="46201"/>
    <cellStyle name="Heading 2 2 8 3 4 5 3" xfId="46202"/>
    <cellStyle name="Heading 2 2 8 3 4 6" xfId="46203"/>
    <cellStyle name="Heading 2 2 8 3 4 6 2" xfId="46204"/>
    <cellStyle name="Heading 2 2 8 3 4 6 2 2" xfId="46205"/>
    <cellStyle name="Heading 2 2 8 3 4 6 3" xfId="46206"/>
    <cellStyle name="Heading 2 2 8 3 4 7" xfId="46207"/>
    <cellStyle name="Heading 2 2 8 3 4 7 2" xfId="46208"/>
    <cellStyle name="Heading 2 2 8 3 4 7 2 2" xfId="46209"/>
    <cellStyle name="Heading 2 2 8 3 4 7 3" xfId="46210"/>
    <cellStyle name="Heading 2 2 8 3 4 8" xfId="46211"/>
    <cellStyle name="Heading 2 2 8 3 4 8 2" xfId="46212"/>
    <cellStyle name="Heading 2 2 8 3 4 9" xfId="46213"/>
    <cellStyle name="Heading 2 2 8 3 5" xfId="46214"/>
    <cellStyle name="Heading 2 2 8 3 5 2" xfId="46215"/>
    <cellStyle name="Heading 2 2 8 3 5 2 2" xfId="46216"/>
    <cellStyle name="Heading 2 2 8 3 5 2 2 2" xfId="46217"/>
    <cellStyle name="Heading 2 2 8 3 5 2 3" xfId="46218"/>
    <cellStyle name="Heading 2 2 8 3 5 3" xfId="46219"/>
    <cellStyle name="Heading 2 2 8 3 5 3 2" xfId="46220"/>
    <cellStyle name="Heading 2 2 8 3 5 3 2 2" xfId="46221"/>
    <cellStyle name="Heading 2 2 8 3 5 3 3" xfId="46222"/>
    <cellStyle name="Heading 2 2 8 3 5 4" xfId="46223"/>
    <cellStyle name="Heading 2 2 8 3 5 4 2" xfId="46224"/>
    <cellStyle name="Heading 2 2 8 3 5 4 2 2" xfId="46225"/>
    <cellStyle name="Heading 2 2 8 3 5 4 3" xfId="46226"/>
    <cellStyle name="Heading 2 2 8 3 5 5" xfId="46227"/>
    <cellStyle name="Heading 2 2 8 3 5 5 2" xfId="46228"/>
    <cellStyle name="Heading 2 2 8 3 5 5 2 2" xfId="46229"/>
    <cellStyle name="Heading 2 2 8 3 5 5 3" xfId="46230"/>
    <cellStyle name="Heading 2 2 8 3 5 6" xfId="46231"/>
    <cellStyle name="Heading 2 2 8 3 5 6 2" xfId="46232"/>
    <cellStyle name="Heading 2 2 8 3 5 6 2 2" xfId="46233"/>
    <cellStyle name="Heading 2 2 8 3 5 6 3" xfId="46234"/>
    <cellStyle name="Heading 2 2 8 3 5 7" xfId="46235"/>
    <cellStyle name="Heading 2 2 8 3 5 7 2" xfId="46236"/>
    <cellStyle name="Heading 2 2 8 3 5 7 2 2" xfId="46237"/>
    <cellStyle name="Heading 2 2 8 3 5 7 3" xfId="46238"/>
    <cellStyle name="Heading 2 2 8 3 5 8" xfId="46239"/>
    <cellStyle name="Heading 2 2 8 3 5 8 2" xfId="46240"/>
    <cellStyle name="Heading 2 2 8 3 5 9" xfId="46241"/>
    <cellStyle name="Heading 2 2 8 3 6" xfId="46242"/>
    <cellStyle name="Heading 2 2 8 3 6 2" xfId="46243"/>
    <cellStyle name="Heading 2 2 8 3 6 2 2" xfId="46244"/>
    <cellStyle name="Heading 2 2 8 3 6 2 2 2" xfId="46245"/>
    <cellStyle name="Heading 2 2 8 3 6 2 3" xfId="46246"/>
    <cellStyle name="Heading 2 2 8 3 6 3" xfId="46247"/>
    <cellStyle name="Heading 2 2 8 3 6 3 2" xfId="46248"/>
    <cellStyle name="Heading 2 2 8 3 6 3 2 2" xfId="46249"/>
    <cellStyle name="Heading 2 2 8 3 6 3 3" xfId="46250"/>
    <cellStyle name="Heading 2 2 8 3 6 4" xfId="46251"/>
    <cellStyle name="Heading 2 2 8 3 6 4 2" xfId="46252"/>
    <cellStyle name="Heading 2 2 8 3 6 4 2 2" xfId="46253"/>
    <cellStyle name="Heading 2 2 8 3 6 4 3" xfId="46254"/>
    <cellStyle name="Heading 2 2 8 3 6 5" xfId="46255"/>
    <cellStyle name="Heading 2 2 8 3 6 5 2" xfId="46256"/>
    <cellStyle name="Heading 2 2 8 3 6 5 2 2" xfId="46257"/>
    <cellStyle name="Heading 2 2 8 3 6 5 3" xfId="46258"/>
    <cellStyle name="Heading 2 2 8 3 6 6" xfId="46259"/>
    <cellStyle name="Heading 2 2 8 3 6 6 2" xfId="46260"/>
    <cellStyle name="Heading 2 2 8 3 6 6 2 2" xfId="46261"/>
    <cellStyle name="Heading 2 2 8 3 6 6 3" xfId="46262"/>
    <cellStyle name="Heading 2 2 8 3 6 7" xfId="46263"/>
    <cellStyle name="Heading 2 2 8 3 6 7 2" xfId="46264"/>
    <cellStyle name="Heading 2 2 8 3 6 7 2 2" xfId="46265"/>
    <cellStyle name="Heading 2 2 8 3 6 7 3" xfId="46266"/>
    <cellStyle name="Heading 2 2 8 3 6 8" xfId="46267"/>
    <cellStyle name="Heading 2 2 8 3 6 8 2" xfId="46268"/>
    <cellStyle name="Heading 2 2 8 3 6 9" xfId="46269"/>
    <cellStyle name="Heading 2 2 8 3 7" xfId="46270"/>
    <cellStyle name="Heading 2 2 8 3 7 2" xfId="46271"/>
    <cellStyle name="Heading 2 2 8 3 7 2 2" xfId="46272"/>
    <cellStyle name="Heading 2 2 8 3 7 2 2 2" xfId="46273"/>
    <cellStyle name="Heading 2 2 8 3 7 2 3" xfId="46274"/>
    <cellStyle name="Heading 2 2 8 3 7 3" xfId="46275"/>
    <cellStyle name="Heading 2 2 8 3 7 3 2" xfId="46276"/>
    <cellStyle name="Heading 2 2 8 3 7 3 2 2" xfId="46277"/>
    <cellStyle name="Heading 2 2 8 3 7 3 3" xfId="46278"/>
    <cellStyle name="Heading 2 2 8 3 7 4" xfId="46279"/>
    <cellStyle name="Heading 2 2 8 3 7 4 2" xfId="46280"/>
    <cellStyle name="Heading 2 2 8 3 7 4 2 2" xfId="46281"/>
    <cellStyle name="Heading 2 2 8 3 7 4 3" xfId="46282"/>
    <cellStyle name="Heading 2 2 8 3 7 5" xfId="46283"/>
    <cellStyle name="Heading 2 2 8 3 7 5 2" xfId="46284"/>
    <cellStyle name="Heading 2 2 8 3 7 5 2 2" xfId="46285"/>
    <cellStyle name="Heading 2 2 8 3 7 5 3" xfId="46286"/>
    <cellStyle name="Heading 2 2 8 3 7 6" xfId="46287"/>
    <cellStyle name="Heading 2 2 8 3 7 6 2" xfId="46288"/>
    <cellStyle name="Heading 2 2 8 3 7 6 2 2" xfId="46289"/>
    <cellStyle name="Heading 2 2 8 3 7 6 3" xfId="46290"/>
    <cellStyle name="Heading 2 2 8 3 7 7" xfId="46291"/>
    <cellStyle name="Heading 2 2 8 3 7 7 2" xfId="46292"/>
    <cellStyle name="Heading 2 2 8 3 7 7 2 2" xfId="46293"/>
    <cellStyle name="Heading 2 2 8 3 7 7 3" xfId="46294"/>
    <cellStyle name="Heading 2 2 8 3 7 8" xfId="46295"/>
    <cellStyle name="Heading 2 2 8 3 7 8 2" xfId="46296"/>
    <cellStyle name="Heading 2 2 8 3 7 9" xfId="46297"/>
    <cellStyle name="Heading 2 2 8 3 8" xfId="46298"/>
    <cellStyle name="Heading 2 2 8 3 8 2" xfId="46299"/>
    <cellStyle name="Heading 2 2 8 3 8 2 2" xfId="46300"/>
    <cellStyle name="Heading 2 2 8 3 8 2 2 2" xfId="46301"/>
    <cellStyle name="Heading 2 2 8 3 8 2 3" xfId="46302"/>
    <cellStyle name="Heading 2 2 8 3 8 3" xfId="46303"/>
    <cellStyle name="Heading 2 2 8 3 8 3 2" xfId="46304"/>
    <cellStyle name="Heading 2 2 8 3 8 3 2 2" xfId="46305"/>
    <cellStyle name="Heading 2 2 8 3 8 3 3" xfId="46306"/>
    <cellStyle name="Heading 2 2 8 3 8 4" xfId="46307"/>
    <cellStyle name="Heading 2 2 8 3 8 4 2" xfId="46308"/>
    <cellStyle name="Heading 2 2 8 3 8 4 2 2" xfId="46309"/>
    <cellStyle name="Heading 2 2 8 3 8 4 3" xfId="46310"/>
    <cellStyle name="Heading 2 2 8 3 8 5" xfId="46311"/>
    <cellStyle name="Heading 2 2 8 3 8 5 2" xfId="46312"/>
    <cellStyle name="Heading 2 2 8 3 8 5 2 2" xfId="46313"/>
    <cellStyle name="Heading 2 2 8 3 8 5 3" xfId="46314"/>
    <cellStyle name="Heading 2 2 8 3 8 6" xfId="46315"/>
    <cellStyle name="Heading 2 2 8 3 8 6 2" xfId="46316"/>
    <cellStyle name="Heading 2 2 8 3 8 6 2 2" xfId="46317"/>
    <cellStyle name="Heading 2 2 8 3 8 6 3" xfId="46318"/>
    <cellStyle name="Heading 2 2 8 3 8 7" xfId="46319"/>
    <cellStyle name="Heading 2 2 8 3 8 7 2" xfId="46320"/>
    <cellStyle name="Heading 2 2 8 3 8 7 2 2" xfId="46321"/>
    <cellStyle name="Heading 2 2 8 3 8 7 3" xfId="46322"/>
    <cellStyle name="Heading 2 2 8 3 8 8" xfId="46323"/>
    <cellStyle name="Heading 2 2 8 3 8 8 2" xfId="46324"/>
    <cellStyle name="Heading 2 2 8 3 8 9" xfId="46325"/>
    <cellStyle name="Heading 2 2 8 3 9" xfId="46326"/>
    <cellStyle name="Heading 2 2 8 3 9 2" xfId="46327"/>
    <cellStyle name="Heading 2 2 8 3 9 2 2" xfId="46328"/>
    <cellStyle name="Heading 2 2 8 3 9 3" xfId="46329"/>
    <cellStyle name="Heading 2 2 8 4" xfId="46330"/>
    <cellStyle name="Heading 2 2 8 4 2" xfId="46331"/>
    <cellStyle name="Heading 2 2 8 4 2 2" xfId="46332"/>
    <cellStyle name="Heading 2 2 8 4 3" xfId="46333"/>
    <cellStyle name="Heading 2 2 8 5" xfId="46334"/>
    <cellStyle name="Heading 2 2 8 5 2" xfId="46335"/>
    <cellStyle name="Heading 2 2 8 6" xfId="46336"/>
    <cellStyle name="Heading 2 2 9" xfId="46337"/>
    <cellStyle name="Heading 2 2 9 2" xfId="46338"/>
    <cellStyle name="Heading 2 2 9 2 10" xfId="46339"/>
    <cellStyle name="Heading 2 2 9 2 10 2" xfId="46340"/>
    <cellStyle name="Heading 2 2 9 2 10 2 2" xfId="46341"/>
    <cellStyle name="Heading 2 2 9 2 10 3" xfId="46342"/>
    <cellStyle name="Heading 2 2 9 2 11" xfId="46343"/>
    <cellStyle name="Heading 2 2 9 2 11 2" xfId="46344"/>
    <cellStyle name="Heading 2 2 9 2 11 2 2" xfId="46345"/>
    <cellStyle name="Heading 2 2 9 2 11 3" xfId="46346"/>
    <cellStyle name="Heading 2 2 9 2 12" xfId="46347"/>
    <cellStyle name="Heading 2 2 9 2 12 2" xfId="46348"/>
    <cellStyle name="Heading 2 2 9 2 12 2 2" xfId="46349"/>
    <cellStyle name="Heading 2 2 9 2 12 3" xfId="46350"/>
    <cellStyle name="Heading 2 2 9 2 13" xfId="46351"/>
    <cellStyle name="Heading 2 2 9 2 13 2" xfId="46352"/>
    <cellStyle name="Heading 2 2 9 2 13 2 2" xfId="46353"/>
    <cellStyle name="Heading 2 2 9 2 13 3" xfId="46354"/>
    <cellStyle name="Heading 2 2 9 2 14" xfId="46355"/>
    <cellStyle name="Heading 2 2 9 2 14 2" xfId="46356"/>
    <cellStyle name="Heading 2 2 9 2 14 2 2" xfId="46357"/>
    <cellStyle name="Heading 2 2 9 2 14 3" xfId="46358"/>
    <cellStyle name="Heading 2 2 9 2 15" xfId="46359"/>
    <cellStyle name="Heading 2 2 9 2 15 2" xfId="46360"/>
    <cellStyle name="Heading 2 2 9 2 15 2 2" xfId="46361"/>
    <cellStyle name="Heading 2 2 9 2 15 3" xfId="46362"/>
    <cellStyle name="Heading 2 2 9 2 16" xfId="46363"/>
    <cellStyle name="Heading 2 2 9 2 16 2" xfId="46364"/>
    <cellStyle name="Heading 2 2 9 2 16 2 2" xfId="46365"/>
    <cellStyle name="Heading 2 2 9 2 16 3" xfId="46366"/>
    <cellStyle name="Heading 2 2 9 2 17" xfId="46367"/>
    <cellStyle name="Heading 2 2 9 2 17 2" xfId="46368"/>
    <cellStyle name="Heading 2 2 9 2 17 2 2" xfId="46369"/>
    <cellStyle name="Heading 2 2 9 2 17 3" xfId="46370"/>
    <cellStyle name="Heading 2 2 9 2 18" xfId="46371"/>
    <cellStyle name="Heading 2 2 9 2 18 2" xfId="46372"/>
    <cellStyle name="Heading 2 2 9 2 18 2 2" xfId="46373"/>
    <cellStyle name="Heading 2 2 9 2 18 3" xfId="46374"/>
    <cellStyle name="Heading 2 2 9 2 19" xfId="46375"/>
    <cellStyle name="Heading 2 2 9 2 19 2" xfId="46376"/>
    <cellStyle name="Heading 2 2 9 2 19 2 2" xfId="46377"/>
    <cellStyle name="Heading 2 2 9 2 19 3" xfId="46378"/>
    <cellStyle name="Heading 2 2 9 2 2" xfId="46379"/>
    <cellStyle name="Heading 2 2 9 2 2 10" xfId="46380"/>
    <cellStyle name="Heading 2 2 9 2 2 10 2" xfId="46381"/>
    <cellStyle name="Heading 2 2 9 2 2 10 2 2" xfId="46382"/>
    <cellStyle name="Heading 2 2 9 2 2 10 3" xfId="46383"/>
    <cellStyle name="Heading 2 2 9 2 2 11" xfId="46384"/>
    <cellStyle name="Heading 2 2 9 2 2 11 2" xfId="46385"/>
    <cellStyle name="Heading 2 2 9 2 2 11 2 2" xfId="46386"/>
    <cellStyle name="Heading 2 2 9 2 2 11 3" xfId="46387"/>
    <cellStyle name="Heading 2 2 9 2 2 12" xfId="46388"/>
    <cellStyle name="Heading 2 2 9 2 2 12 2" xfId="46389"/>
    <cellStyle name="Heading 2 2 9 2 2 12 2 2" xfId="46390"/>
    <cellStyle name="Heading 2 2 9 2 2 12 3" xfId="46391"/>
    <cellStyle name="Heading 2 2 9 2 2 13" xfId="46392"/>
    <cellStyle name="Heading 2 2 9 2 2 13 2" xfId="46393"/>
    <cellStyle name="Heading 2 2 9 2 2 13 2 2" xfId="46394"/>
    <cellStyle name="Heading 2 2 9 2 2 13 3" xfId="46395"/>
    <cellStyle name="Heading 2 2 9 2 2 14" xfId="46396"/>
    <cellStyle name="Heading 2 2 9 2 2 14 2" xfId="46397"/>
    <cellStyle name="Heading 2 2 9 2 2 14 2 2" xfId="46398"/>
    <cellStyle name="Heading 2 2 9 2 2 14 3" xfId="46399"/>
    <cellStyle name="Heading 2 2 9 2 2 15" xfId="46400"/>
    <cellStyle name="Heading 2 2 9 2 2 15 2" xfId="46401"/>
    <cellStyle name="Heading 2 2 9 2 2 15 2 2" xfId="46402"/>
    <cellStyle name="Heading 2 2 9 2 2 15 3" xfId="46403"/>
    <cellStyle name="Heading 2 2 9 2 2 16" xfId="46404"/>
    <cellStyle name="Heading 2 2 9 2 2 16 2" xfId="46405"/>
    <cellStyle name="Heading 2 2 9 2 2 16 2 2" xfId="46406"/>
    <cellStyle name="Heading 2 2 9 2 2 16 3" xfId="46407"/>
    <cellStyle name="Heading 2 2 9 2 2 17" xfId="46408"/>
    <cellStyle name="Heading 2 2 9 2 2 17 2" xfId="46409"/>
    <cellStyle name="Heading 2 2 9 2 2 17 2 2" xfId="46410"/>
    <cellStyle name="Heading 2 2 9 2 2 17 3" xfId="46411"/>
    <cellStyle name="Heading 2 2 9 2 2 18" xfId="46412"/>
    <cellStyle name="Heading 2 2 9 2 2 18 2" xfId="46413"/>
    <cellStyle name="Heading 2 2 9 2 2 18 2 2" xfId="46414"/>
    <cellStyle name="Heading 2 2 9 2 2 18 3" xfId="46415"/>
    <cellStyle name="Heading 2 2 9 2 2 19" xfId="46416"/>
    <cellStyle name="Heading 2 2 9 2 2 19 2" xfId="46417"/>
    <cellStyle name="Heading 2 2 9 2 2 2" xfId="46418"/>
    <cellStyle name="Heading 2 2 9 2 2 2 2" xfId="46419"/>
    <cellStyle name="Heading 2 2 9 2 2 2 2 2" xfId="46420"/>
    <cellStyle name="Heading 2 2 9 2 2 2 2 2 2" xfId="46421"/>
    <cellStyle name="Heading 2 2 9 2 2 2 2 3" xfId="46422"/>
    <cellStyle name="Heading 2 2 9 2 2 2 3" xfId="46423"/>
    <cellStyle name="Heading 2 2 9 2 2 2 3 2" xfId="46424"/>
    <cellStyle name="Heading 2 2 9 2 2 2 3 2 2" xfId="46425"/>
    <cellStyle name="Heading 2 2 9 2 2 2 3 3" xfId="46426"/>
    <cellStyle name="Heading 2 2 9 2 2 2 4" xfId="46427"/>
    <cellStyle name="Heading 2 2 9 2 2 2 4 2" xfId="46428"/>
    <cellStyle name="Heading 2 2 9 2 2 2 4 2 2" xfId="46429"/>
    <cellStyle name="Heading 2 2 9 2 2 2 4 3" xfId="46430"/>
    <cellStyle name="Heading 2 2 9 2 2 2 5" xfId="46431"/>
    <cellStyle name="Heading 2 2 9 2 2 2 5 2" xfId="46432"/>
    <cellStyle name="Heading 2 2 9 2 2 2 5 2 2" xfId="46433"/>
    <cellStyle name="Heading 2 2 9 2 2 2 5 3" xfId="46434"/>
    <cellStyle name="Heading 2 2 9 2 2 2 6" xfId="46435"/>
    <cellStyle name="Heading 2 2 9 2 2 2 6 2" xfId="46436"/>
    <cellStyle name="Heading 2 2 9 2 2 2 6 2 2" xfId="46437"/>
    <cellStyle name="Heading 2 2 9 2 2 2 6 3" xfId="46438"/>
    <cellStyle name="Heading 2 2 9 2 2 2 7" xfId="46439"/>
    <cellStyle name="Heading 2 2 9 2 2 2 7 2" xfId="46440"/>
    <cellStyle name="Heading 2 2 9 2 2 2 7 2 2" xfId="46441"/>
    <cellStyle name="Heading 2 2 9 2 2 2 7 3" xfId="46442"/>
    <cellStyle name="Heading 2 2 9 2 2 2 8" xfId="46443"/>
    <cellStyle name="Heading 2 2 9 2 2 2 8 2" xfId="46444"/>
    <cellStyle name="Heading 2 2 9 2 2 2 9" xfId="46445"/>
    <cellStyle name="Heading 2 2 9 2 2 20" xfId="46446"/>
    <cellStyle name="Heading 2 2 9 2 2 20 2" xfId="46447"/>
    <cellStyle name="Heading 2 2 9 2 2 21" xfId="46448"/>
    <cellStyle name="Heading 2 2 9 2 2 21 2" xfId="46449"/>
    <cellStyle name="Heading 2 2 9 2 2 22" xfId="46450"/>
    <cellStyle name="Heading 2 2 9 2 2 3" xfId="46451"/>
    <cellStyle name="Heading 2 2 9 2 2 3 2" xfId="46452"/>
    <cellStyle name="Heading 2 2 9 2 2 3 2 2" xfId="46453"/>
    <cellStyle name="Heading 2 2 9 2 2 3 2 2 2" xfId="46454"/>
    <cellStyle name="Heading 2 2 9 2 2 3 2 3" xfId="46455"/>
    <cellStyle name="Heading 2 2 9 2 2 3 3" xfId="46456"/>
    <cellStyle name="Heading 2 2 9 2 2 3 3 2" xfId="46457"/>
    <cellStyle name="Heading 2 2 9 2 2 3 3 2 2" xfId="46458"/>
    <cellStyle name="Heading 2 2 9 2 2 3 3 3" xfId="46459"/>
    <cellStyle name="Heading 2 2 9 2 2 3 4" xfId="46460"/>
    <cellStyle name="Heading 2 2 9 2 2 3 4 2" xfId="46461"/>
    <cellStyle name="Heading 2 2 9 2 2 3 4 2 2" xfId="46462"/>
    <cellStyle name="Heading 2 2 9 2 2 3 4 3" xfId="46463"/>
    <cellStyle name="Heading 2 2 9 2 2 3 5" xfId="46464"/>
    <cellStyle name="Heading 2 2 9 2 2 3 5 2" xfId="46465"/>
    <cellStyle name="Heading 2 2 9 2 2 3 5 2 2" xfId="46466"/>
    <cellStyle name="Heading 2 2 9 2 2 3 5 3" xfId="46467"/>
    <cellStyle name="Heading 2 2 9 2 2 3 6" xfId="46468"/>
    <cellStyle name="Heading 2 2 9 2 2 3 6 2" xfId="46469"/>
    <cellStyle name="Heading 2 2 9 2 2 3 6 2 2" xfId="46470"/>
    <cellStyle name="Heading 2 2 9 2 2 3 6 3" xfId="46471"/>
    <cellStyle name="Heading 2 2 9 2 2 3 7" xfId="46472"/>
    <cellStyle name="Heading 2 2 9 2 2 3 7 2" xfId="46473"/>
    <cellStyle name="Heading 2 2 9 2 2 3 7 2 2" xfId="46474"/>
    <cellStyle name="Heading 2 2 9 2 2 3 7 3" xfId="46475"/>
    <cellStyle name="Heading 2 2 9 2 2 3 8" xfId="46476"/>
    <cellStyle name="Heading 2 2 9 2 2 3 8 2" xfId="46477"/>
    <cellStyle name="Heading 2 2 9 2 2 3 9" xfId="46478"/>
    <cellStyle name="Heading 2 2 9 2 2 4" xfId="46479"/>
    <cellStyle name="Heading 2 2 9 2 2 4 2" xfId="46480"/>
    <cellStyle name="Heading 2 2 9 2 2 4 2 2" xfId="46481"/>
    <cellStyle name="Heading 2 2 9 2 2 4 2 2 2" xfId="46482"/>
    <cellStyle name="Heading 2 2 9 2 2 4 2 3" xfId="46483"/>
    <cellStyle name="Heading 2 2 9 2 2 4 3" xfId="46484"/>
    <cellStyle name="Heading 2 2 9 2 2 4 3 2" xfId="46485"/>
    <cellStyle name="Heading 2 2 9 2 2 4 3 2 2" xfId="46486"/>
    <cellStyle name="Heading 2 2 9 2 2 4 3 3" xfId="46487"/>
    <cellStyle name="Heading 2 2 9 2 2 4 4" xfId="46488"/>
    <cellStyle name="Heading 2 2 9 2 2 4 4 2" xfId="46489"/>
    <cellStyle name="Heading 2 2 9 2 2 4 4 2 2" xfId="46490"/>
    <cellStyle name="Heading 2 2 9 2 2 4 4 3" xfId="46491"/>
    <cellStyle name="Heading 2 2 9 2 2 4 5" xfId="46492"/>
    <cellStyle name="Heading 2 2 9 2 2 4 5 2" xfId="46493"/>
    <cellStyle name="Heading 2 2 9 2 2 4 5 2 2" xfId="46494"/>
    <cellStyle name="Heading 2 2 9 2 2 4 5 3" xfId="46495"/>
    <cellStyle name="Heading 2 2 9 2 2 4 6" xfId="46496"/>
    <cellStyle name="Heading 2 2 9 2 2 4 6 2" xfId="46497"/>
    <cellStyle name="Heading 2 2 9 2 2 4 6 2 2" xfId="46498"/>
    <cellStyle name="Heading 2 2 9 2 2 4 6 3" xfId="46499"/>
    <cellStyle name="Heading 2 2 9 2 2 4 7" xfId="46500"/>
    <cellStyle name="Heading 2 2 9 2 2 4 7 2" xfId="46501"/>
    <cellStyle name="Heading 2 2 9 2 2 4 7 2 2" xfId="46502"/>
    <cellStyle name="Heading 2 2 9 2 2 4 7 3" xfId="46503"/>
    <cellStyle name="Heading 2 2 9 2 2 4 8" xfId="46504"/>
    <cellStyle name="Heading 2 2 9 2 2 4 8 2" xfId="46505"/>
    <cellStyle name="Heading 2 2 9 2 2 4 9" xfId="46506"/>
    <cellStyle name="Heading 2 2 9 2 2 5" xfId="46507"/>
    <cellStyle name="Heading 2 2 9 2 2 5 2" xfId="46508"/>
    <cellStyle name="Heading 2 2 9 2 2 5 2 2" xfId="46509"/>
    <cellStyle name="Heading 2 2 9 2 2 5 2 2 2" xfId="46510"/>
    <cellStyle name="Heading 2 2 9 2 2 5 2 3" xfId="46511"/>
    <cellStyle name="Heading 2 2 9 2 2 5 3" xfId="46512"/>
    <cellStyle name="Heading 2 2 9 2 2 5 3 2" xfId="46513"/>
    <cellStyle name="Heading 2 2 9 2 2 5 3 2 2" xfId="46514"/>
    <cellStyle name="Heading 2 2 9 2 2 5 3 3" xfId="46515"/>
    <cellStyle name="Heading 2 2 9 2 2 5 4" xfId="46516"/>
    <cellStyle name="Heading 2 2 9 2 2 5 4 2" xfId="46517"/>
    <cellStyle name="Heading 2 2 9 2 2 5 4 2 2" xfId="46518"/>
    <cellStyle name="Heading 2 2 9 2 2 5 4 3" xfId="46519"/>
    <cellStyle name="Heading 2 2 9 2 2 5 5" xfId="46520"/>
    <cellStyle name="Heading 2 2 9 2 2 5 5 2" xfId="46521"/>
    <cellStyle name="Heading 2 2 9 2 2 5 5 2 2" xfId="46522"/>
    <cellStyle name="Heading 2 2 9 2 2 5 5 3" xfId="46523"/>
    <cellStyle name="Heading 2 2 9 2 2 5 6" xfId="46524"/>
    <cellStyle name="Heading 2 2 9 2 2 5 6 2" xfId="46525"/>
    <cellStyle name="Heading 2 2 9 2 2 5 6 2 2" xfId="46526"/>
    <cellStyle name="Heading 2 2 9 2 2 5 6 3" xfId="46527"/>
    <cellStyle name="Heading 2 2 9 2 2 5 7" xfId="46528"/>
    <cellStyle name="Heading 2 2 9 2 2 5 7 2" xfId="46529"/>
    <cellStyle name="Heading 2 2 9 2 2 5 7 2 2" xfId="46530"/>
    <cellStyle name="Heading 2 2 9 2 2 5 7 3" xfId="46531"/>
    <cellStyle name="Heading 2 2 9 2 2 5 8" xfId="46532"/>
    <cellStyle name="Heading 2 2 9 2 2 5 8 2" xfId="46533"/>
    <cellStyle name="Heading 2 2 9 2 2 5 9" xfId="46534"/>
    <cellStyle name="Heading 2 2 9 2 2 6" xfId="46535"/>
    <cellStyle name="Heading 2 2 9 2 2 6 2" xfId="46536"/>
    <cellStyle name="Heading 2 2 9 2 2 6 2 2" xfId="46537"/>
    <cellStyle name="Heading 2 2 9 2 2 6 2 2 2" xfId="46538"/>
    <cellStyle name="Heading 2 2 9 2 2 6 2 3" xfId="46539"/>
    <cellStyle name="Heading 2 2 9 2 2 6 3" xfId="46540"/>
    <cellStyle name="Heading 2 2 9 2 2 6 3 2" xfId="46541"/>
    <cellStyle name="Heading 2 2 9 2 2 6 3 2 2" xfId="46542"/>
    <cellStyle name="Heading 2 2 9 2 2 6 3 3" xfId="46543"/>
    <cellStyle name="Heading 2 2 9 2 2 6 4" xfId="46544"/>
    <cellStyle name="Heading 2 2 9 2 2 6 4 2" xfId="46545"/>
    <cellStyle name="Heading 2 2 9 2 2 6 4 2 2" xfId="46546"/>
    <cellStyle name="Heading 2 2 9 2 2 6 4 3" xfId="46547"/>
    <cellStyle name="Heading 2 2 9 2 2 6 5" xfId="46548"/>
    <cellStyle name="Heading 2 2 9 2 2 6 5 2" xfId="46549"/>
    <cellStyle name="Heading 2 2 9 2 2 6 5 2 2" xfId="46550"/>
    <cellStyle name="Heading 2 2 9 2 2 6 5 3" xfId="46551"/>
    <cellStyle name="Heading 2 2 9 2 2 6 6" xfId="46552"/>
    <cellStyle name="Heading 2 2 9 2 2 6 6 2" xfId="46553"/>
    <cellStyle name="Heading 2 2 9 2 2 6 6 2 2" xfId="46554"/>
    <cellStyle name="Heading 2 2 9 2 2 6 6 3" xfId="46555"/>
    <cellStyle name="Heading 2 2 9 2 2 6 7" xfId="46556"/>
    <cellStyle name="Heading 2 2 9 2 2 6 7 2" xfId="46557"/>
    <cellStyle name="Heading 2 2 9 2 2 6 7 2 2" xfId="46558"/>
    <cellStyle name="Heading 2 2 9 2 2 6 7 3" xfId="46559"/>
    <cellStyle name="Heading 2 2 9 2 2 6 8" xfId="46560"/>
    <cellStyle name="Heading 2 2 9 2 2 6 8 2" xfId="46561"/>
    <cellStyle name="Heading 2 2 9 2 2 6 9" xfId="46562"/>
    <cellStyle name="Heading 2 2 9 2 2 7" xfId="46563"/>
    <cellStyle name="Heading 2 2 9 2 2 7 2" xfId="46564"/>
    <cellStyle name="Heading 2 2 9 2 2 7 2 2" xfId="46565"/>
    <cellStyle name="Heading 2 2 9 2 2 7 2 2 2" xfId="46566"/>
    <cellStyle name="Heading 2 2 9 2 2 7 2 3" xfId="46567"/>
    <cellStyle name="Heading 2 2 9 2 2 7 3" xfId="46568"/>
    <cellStyle name="Heading 2 2 9 2 2 7 3 2" xfId="46569"/>
    <cellStyle name="Heading 2 2 9 2 2 7 3 2 2" xfId="46570"/>
    <cellStyle name="Heading 2 2 9 2 2 7 3 3" xfId="46571"/>
    <cellStyle name="Heading 2 2 9 2 2 7 4" xfId="46572"/>
    <cellStyle name="Heading 2 2 9 2 2 7 4 2" xfId="46573"/>
    <cellStyle name="Heading 2 2 9 2 2 7 4 2 2" xfId="46574"/>
    <cellStyle name="Heading 2 2 9 2 2 7 4 3" xfId="46575"/>
    <cellStyle name="Heading 2 2 9 2 2 7 5" xfId="46576"/>
    <cellStyle name="Heading 2 2 9 2 2 7 5 2" xfId="46577"/>
    <cellStyle name="Heading 2 2 9 2 2 7 5 2 2" xfId="46578"/>
    <cellStyle name="Heading 2 2 9 2 2 7 5 3" xfId="46579"/>
    <cellStyle name="Heading 2 2 9 2 2 7 6" xfId="46580"/>
    <cellStyle name="Heading 2 2 9 2 2 7 6 2" xfId="46581"/>
    <cellStyle name="Heading 2 2 9 2 2 7 6 2 2" xfId="46582"/>
    <cellStyle name="Heading 2 2 9 2 2 7 6 3" xfId="46583"/>
    <cellStyle name="Heading 2 2 9 2 2 7 7" xfId="46584"/>
    <cellStyle name="Heading 2 2 9 2 2 7 7 2" xfId="46585"/>
    <cellStyle name="Heading 2 2 9 2 2 7 7 2 2" xfId="46586"/>
    <cellStyle name="Heading 2 2 9 2 2 7 7 3" xfId="46587"/>
    <cellStyle name="Heading 2 2 9 2 2 7 8" xfId="46588"/>
    <cellStyle name="Heading 2 2 9 2 2 7 8 2" xfId="46589"/>
    <cellStyle name="Heading 2 2 9 2 2 7 9" xfId="46590"/>
    <cellStyle name="Heading 2 2 9 2 2 8" xfId="46591"/>
    <cellStyle name="Heading 2 2 9 2 2 8 2" xfId="46592"/>
    <cellStyle name="Heading 2 2 9 2 2 8 2 2" xfId="46593"/>
    <cellStyle name="Heading 2 2 9 2 2 8 2 2 2" xfId="46594"/>
    <cellStyle name="Heading 2 2 9 2 2 8 2 3" xfId="46595"/>
    <cellStyle name="Heading 2 2 9 2 2 8 3" xfId="46596"/>
    <cellStyle name="Heading 2 2 9 2 2 8 3 2" xfId="46597"/>
    <cellStyle name="Heading 2 2 9 2 2 8 3 2 2" xfId="46598"/>
    <cellStyle name="Heading 2 2 9 2 2 8 3 3" xfId="46599"/>
    <cellStyle name="Heading 2 2 9 2 2 8 4" xfId="46600"/>
    <cellStyle name="Heading 2 2 9 2 2 8 4 2" xfId="46601"/>
    <cellStyle name="Heading 2 2 9 2 2 8 4 2 2" xfId="46602"/>
    <cellStyle name="Heading 2 2 9 2 2 8 4 3" xfId="46603"/>
    <cellStyle name="Heading 2 2 9 2 2 8 5" xfId="46604"/>
    <cellStyle name="Heading 2 2 9 2 2 8 5 2" xfId="46605"/>
    <cellStyle name="Heading 2 2 9 2 2 8 5 2 2" xfId="46606"/>
    <cellStyle name="Heading 2 2 9 2 2 8 5 3" xfId="46607"/>
    <cellStyle name="Heading 2 2 9 2 2 8 6" xfId="46608"/>
    <cellStyle name="Heading 2 2 9 2 2 8 6 2" xfId="46609"/>
    <cellStyle name="Heading 2 2 9 2 2 8 6 2 2" xfId="46610"/>
    <cellStyle name="Heading 2 2 9 2 2 8 6 3" xfId="46611"/>
    <cellStyle name="Heading 2 2 9 2 2 8 7" xfId="46612"/>
    <cellStyle name="Heading 2 2 9 2 2 8 7 2" xfId="46613"/>
    <cellStyle name="Heading 2 2 9 2 2 8 7 2 2" xfId="46614"/>
    <cellStyle name="Heading 2 2 9 2 2 8 7 3" xfId="46615"/>
    <cellStyle name="Heading 2 2 9 2 2 8 8" xfId="46616"/>
    <cellStyle name="Heading 2 2 9 2 2 8 8 2" xfId="46617"/>
    <cellStyle name="Heading 2 2 9 2 2 8 9" xfId="46618"/>
    <cellStyle name="Heading 2 2 9 2 2 9" xfId="46619"/>
    <cellStyle name="Heading 2 2 9 2 2 9 2" xfId="46620"/>
    <cellStyle name="Heading 2 2 9 2 2 9 2 2" xfId="46621"/>
    <cellStyle name="Heading 2 2 9 2 2 9 3" xfId="46622"/>
    <cellStyle name="Heading 2 2 9 2 20" xfId="46623"/>
    <cellStyle name="Heading 2 2 9 2 20 2" xfId="46624"/>
    <cellStyle name="Heading 2 2 9 2 21" xfId="46625"/>
    <cellStyle name="Heading 2 2 9 2 21 2" xfId="46626"/>
    <cellStyle name="Heading 2 2 9 2 22" xfId="46627"/>
    <cellStyle name="Heading 2 2 9 2 22 2" xfId="46628"/>
    <cellStyle name="Heading 2 2 9 2 23" xfId="46629"/>
    <cellStyle name="Heading 2 2 9 2 3" xfId="46630"/>
    <cellStyle name="Heading 2 2 9 2 3 2" xfId="46631"/>
    <cellStyle name="Heading 2 2 9 2 3 2 2" xfId="46632"/>
    <cellStyle name="Heading 2 2 9 2 3 2 2 2" xfId="46633"/>
    <cellStyle name="Heading 2 2 9 2 3 2 3" xfId="46634"/>
    <cellStyle name="Heading 2 2 9 2 3 3" xfId="46635"/>
    <cellStyle name="Heading 2 2 9 2 3 3 2" xfId="46636"/>
    <cellStyle name="Heading 2 2 9 2 3 3 2 2" xfId="46637"/>
    <cellStyle name="Heading 2 2 9 2 3 3 3" xfId="46638"/>
    <cellStyle name="Heading 2 2 9 2 3 4" xfId="46639"/>
    <cellStyle name="Heading 2 2 9 2 3 4 2" xfId="46640"/>
    <cellStyle name="Heading 2 2 9 2 3 4 2 2" xfId="46641"/>
    <cellStyle name="Heading 2 2 9 2 3 4 3" xfId="46642"/>
    <cellStyle name="Heading 2 2 9 2 3 5" xfId="46643"/>
    <cellStyle name="Heading 2 2 9 2 3 5 2" xfId="46644"/>
    <cellStyle name="Heading 2 2 9 2 3 5 2 2" xfId="46645"/>
    <cellStyle name="Heading 2 2 9 2 3 5 3" xfId="46646"/>
    <cellStyle name="Heading 2 2 9 2 3 6" xfId="46647"/>
    <cellStyle name="Heading 2 2 9 2 3 6 2" xfId="46648"/>
    <cellStyle name="Heading 2 2 9 2 3 6 2 2" xfId="46649"/>
    <cellStyle name="Heading 2 2 9 2 3 6 3" xfId="46650"/>
    <cellStyle name="Heading 2 2 9 2 3 7" xfId="46651"/>
    <cellStyle name="Heading 2 2 9 2 3 7 2" xfId="46652"/>
    <cellStyle name="Heading 2 2 9 2 3 7 2 2" xfId="46653"/>
    <cellStyle name="Heading 2 2 9 2 3 7 3" xfId="46654"/>
    <cellStyle name="Heading 2 2 9 2 3 8" xfId="46655"/>
    <cellStyle name="Heading 2 2 9 2 3 8 2" xfId="46656"/>
    <cellStyle name="Heading 2 2 9 2 3 9" xfId="46657"/>
    <cellStyle name="Heading 2 2 9 2 4" xfId="46658"/>
    <cellStyle name="Heading 2 2 9 2 4 2" xfId="46659"/>
    <cellStyle name="Heading 2 2 9 2 4 2 2" xfId="46660"/>
    <cellStyle name="Heading 2 2 9 2 4 2 2 2" xfId="46661"/>
    <cellStyle name="Heading 2 2 9 2 4 2 3" xfId="46662"/>
    <cellStyle name="Heading 2 2 9 2 4 3" xfId="46663"/>
    <cellStyle name="Heading 2 2 9 2 4 3 2" xfId="46664"/>
    <cellStyle name="Heading 2 2 9 2 4 3 2 2" xfId="46665"/>
    <cellStyle name="Heading 2 2 9 2 4 3 3" xfId="46666"/>
    <cellStyle name="Heading 2 2 9 2 4 4" xfId="46667"/>
    <cellStyle name="Heading 2 2 9 2 4 4 2" xfId="46668"/>
    <cellStyle name="Heading 2 2 9 2 4 4 2 2" xfId="46669"/>
    <cellStyle name="Heading 2 2 9 2 4 4 3" xfId="46670"/>
    <cellStyle name="Heading 2 2 9 2 4 5" xfId="46671"/>
    <cellStyle name="Heading 2 2 9 2 4 5 2" xfId="46672"/>
    <cellStyle name="Heading 2 2 9 2 4 5 2 2" xfId="46673"/>
    <cellStyle name="Heading 2 2 9 2 4 5 3" xfId="46674"/>
    <cellStyle name="Heading 2 2 9 2 4 6" xfId="46675"/>
    <cellStyle name="Heading 2 2 9 2 4 6 2" xfId="46676"/>
    <cellStyle name="Heading 2 2 9 2 4 6 2 2" xfId="46677"/>
    <cellStyle name="Heading 2 2 9 2 4 6 3" xfId="46678"/>
    <cellStyle name="Heading 2 2 9 2 4 7" xfId="46679"/>
    <cellStyle name="Heading 2 2 9 2 4 7 2" xfId="46680"/>
    <cellStyle name="Heading 2 2 9 2 4 7 2 2" xfId="46681"/>
    <cellStyle name="Heading 2 2 9 2 4 7 3" xfId="46682"/>
    <cellStyle name="Heading 2 2 9 2 4 8" xfId="46683"/>
    <cellStyle name="Heading 2 2 9 2 4 8 2" xfId="46684"/>
    <cellStyle name="Heading 2 2 9 2 4 9" xfId="46685"/>
    <cellStyle name="Heading 2 2 9 2 5" xfId="46686"/>
    <cellStyle name="Heading 2 2 9 2 5 2" xfId="46687"/>
    <cellStyle name="Heading 2 2 9 2 5 2 2" xfId="46688"/>
    <cellStyle name="Heading 2 2 9 2 5 2 2 2" xfId="46689"/>
    <cellStyle name="Heading 2 2 9 2 5 2 3" xfId="46690"/>
    <cellStyle name="Heading 2 2 9 2 5 3" xfId="46691"/>
    <cellStyle name="Heading 2 2 9 2 5 3 2" xfId="46692"/>
    <cellStyle name="Heading 2 2 9 2 5 3 2 2" xfId="46693"/>
    <cellStyle name="Heading 2 2 9 2 5 3 3" xfId="46694"/>
    <cellStyle name="Heading 2 2 9 2 5 4" xfId="46695"/>
    <cellStyle name="Heading 2 2 9 2 5 4 2" xfId="46696"/>
    <cellStyle name="Heading 2 2 9 2 5 4 2 2" xfId="46697"/>
    <cellStyle name="Heading 2 2 9 2 5 4 3" xfId="46698"/>
    <cellStyle name="Heading 2 2 9 2 5 5" xfId="46699"/>
    <cellStyle name="Heading 2 2 9 2 5 5 2" xfId="46700"/>
    <cellStyle name="Heading 2 2 9 2 5 5 2 2" xfId="46701"/>
    <cellStyle name="Heading 2 2 9 2 5 5 3" xfId="46702"/>
    <cellStyle name="Heading 2 2 9 2 5 6" xfId="46703"/>
    <cellStyle name="Heading 2 2 9 2 5 6 2" xfId="46704"/>
    <cellStyle name="Heading 2 2 9 2 5 6 2 2" xfId="46705"/>
    <cellStyle name="Heading 2 2 9 2 5 6 3" xfId="46706"/>
    <cellStyle name="Heading 2 2 9 2 5 7" xfId="46707"/>
    <cellStyle name="Heading 2 2 9 2 5 7 2" xfId="46708"/>
    <cellStyle name="Heading 2 2 9 2 5 7 2 2" xfId="46709"/>
    <cellStyle name="Heading 2 2 9 2 5 7 3" xfId="46710"/>
    <cellStyle name="Heading 2 2 9 2 5 8" xfId="46711"/>
    <cellStyle name="Heading 2 2 9 2 5 8 2" xfId="46712"/>
    <cellStyle name="Heading 2 2 9 2 5 9" xfId="46713"/>
    <cellStyle name="Heading 2 2 9 2 6" xfId="46714"/>
    <cellStyle name="Heading 2 2 9 2 6 2" xfId="46715"/>
    <cellStyle name="Heading 2 2 9 2 6 2 2" xfId="46716"/>
    <cellStyle name="Heading 2 2 9 2 6 2 2 2" xfId="46717"/>
    <cellStyle name="Heading 2 2 9 2 6 2 3" xfId="46718"/>
    <cellStyle name="Heading 2 2 9 2 6 3" xfId="46719"/>
    <cellStyle name="Heading 2 2 9 2 6 3 2" xfId="46720"/>
    <cellStyle name="Heading 2 2 9 2 6 3 2 2" xfId="46721"/>
    <cellStyle name="Heading 2 2 9 2 6 3 3" xfId="46722"/>
    <cellStyle name="Heading 2 2 9 2 6 4" xfId="46723"/>
    <cellStyle name="Heading 2 2 9 2 6 4 2" xfId="46724"/>
    <cellStyle name="Heading 2 2 9 2 6 4 2 2" xfId="46725"/>
    <cellStyle name="Heading 2 2 9 2 6 4 3" xfId="46726"/>
    <cellStyle name="Heading 2 2 9 2 6 5" xfId="46727"/>
    <cellStyle name="Heading 2 2 9 2 6 5 2" xfId="46728"/>
    <cellStyle name="Heading 2 2 9 2 6 5 2 2" xfId="46729"/>
    <cellStyle name="Heading 2 2 9 2 6 5 3" xfId="46730"/>
    <cellStyle name="Heading 2 2 9 2 6 6" xfId="46731"/>
    <cellStyle name="Heading 2 2 9 2 6 6 2" xfId="46732"/>
    <cellStyle name="Heading 2 2 9 2 6 6 2 2" xfId="46733"/>
    <cellStyle name="Heading 2 2 9 2 6 6 3" xfId="46734"/>
    <cellStyle name="Heading 2 2 9 2 6 7" xfId="46735"/>
    <cellStyle name="Heading 2 2 9 2 6 7 2" xfId="46736"/>
    <cellStyle name="Heading 2 2 9 2 6 7 2 2" xfId="46737"/>
    <cellStyle name="Heading 2 2 9 2 6 7 3" xfId="46738"/>
    <cellStyle name="Heading 2 2 9 2 6 8" xfId="46739"/>
    <cellStyle name="Heading 2 2 9 2 6 8 2" xfId="46740"/>
    <cellStyle name="Heading 2 2 9 2 6 9" xfId="46741"/>
    <cellStyle name="Heading 2 2 9 2 7" xfId="46742"/>
    <cellStyle name="Heading 2 2 9 2 7 2" xfId="46743"/>
    <cellStyle name="Heading 2 2 9 2 7 2 2" xfId="46744"/>
    <cellStyle name="Heading 2 2 9 2 7 2 2 2" xfId="46745"/>
    <cellStyle name="Heading 2 2 9 2 7 2 3" xfId="46746"/>
    <cellStyle name="Heading 2 2 9 2 7 3" xfId="46747"/>
    <cellStyle name="Heading 2 2 9 2 7 3 2" xfId="46748"/>
    <cellStyle name="Heading 2 2 9 2 7 3 2 2" xfId="46749"/>
    <cellStyle name="Heading 2 2 9 2 7 3 3" xfId="46750"/>
    <cellStyle name="Heading 2 2 9 2 7 4" xfId="46751"/>
    <cellStyle name="Heading 2 2 9 2 7 4 2" xfId="46752"/>
    <cellStyle name="Heading 2 2 9 2 7 4 2 2" xfId="46753"/>
    <cellStyle name="Heading 2 2 9 2 7 4 3" xfId="46754"/>
    <cellStyle name="Heading 2 2 9 2 7 5" xfId="46755"/>
    <cellStyle name="Heading 2 2 9 2 7 5 2" xfId="46756"/>
    <cellStyle name="Heading 2 2 9 2 7 5 2 2" xfId="46757"/>
    <cellStyle name="Heading 2 2 9 2 7 5 3" xfId="46758"/>
    <cellStyle name="Heading 2 2 9 2 7 6" xfId="46759"/>
    <cellStyle name="Heading 2 2 9 2 7 6 2" xfId="46760"/>
    <cellStyle name="Heading 2 2 9 2 7 6 2 2" xfId="46761"/>
    <cellStyle name="Heading 2 2 9 2 7 6 3" xfId="46762"/>
    <cellStyle name="Heading 2 2 9 2 7 7" xfId="46763"/>
    <cellStyle name="Heading 2 2 9 2 7 7 2" xfId="46764"/>
    <cellStyle name="Heading 2 2 9 2 7 7 2 2" xfId="46765"/>
    <cellStyle name="Heading 2 2 9 2 7 7 3" xfId="46766"/>
    <cellStyle name="Heading 2 2 9 2 7 8" xfId="46767"/>
    <cellStyle name="Heading 2 2 9 2 7 8 2" xfId="46768"/>
    <cellStyle name="Heading 2 2 9 2 7 9" xfId="46769"/>
    <cellStyle name="Heading 2 2 9 2 8" xfId="46770"/>
    <cellStyle name="Heading 2 2 9 2 8 2" xfId="46771"/>
    <cellStyle name="Heading 2 2 9 2 8 2 2" xfId="46772"/>
    <cellStyle name="Heading 2 2 9 2 8 2 2 2" xfId="46773"/>
    <cellStyle name="Heading 2 2 9 2 8 2 3" xfId="46774"/>
    <cellStyle name="Heading 2 2 9 2 8 3" xfId="46775"/>
    <cellStyle name="Heading 2 2 9 2 8 3 2" xfId="46776"/>
    <cellStyle name="Heading 2 2 9 2 8 3 2 2" xfId="46777"/>
    <cellStyle name="Heading 2 2 9 2 8 3 3" xfId="46778"/>
    <cellStyle name="Heading 2 2 9 2 8 4" xfId="46779"/>
    <cellStyle name="Heading 2 2 9 2 8 4 2" xfId="46780"/>
    <cellStyle name="Heading 2 2 9 2 8 4 2 2" xfId="46781"/>
    <cellStyle name="Heading 2 2 9 2 8 4 3" xfId="46782"/>
    <cellStyle name="Heading 2 2 9 2 8 5" xfId="46783"/>
    <cellStyle name="Heading 2 2 9 2 8 5 2" xfId="46784"/>
    <cellStyle name="Heading 2 2 9 2 8 5 2 2" xfId="46785"/>
    <cellStyle name="Heading 2 2 9 2 8 5 3" xfId="46786"/>
    <cellStyle name="Heading 2 2 9 2 8 6" xfId="46787"/>
    <cellStyle name="Heading 2 2 9 2 8 6 2" xfId="46788"/>
    <cellStyle name="Heading 2 2 9 2 8 6 2 2" xfId="46789"/>
    <cellStyle name="Heading 2 2 9 2 8 6 3" xfId="46790"/>
    <cellStyle name="Heading 2 2 9 2 8 7" xfId="46791"/>
    <cellStyle name="Heading 2 2 9 2 8 7 2" xfId="46792"/>
    <cellStyle name="Heading 2 2 9 2 8 7 2 2" xfId="46793"/>
    <cellStyle name="Heading 2 2 9 2 8 7 3" xfId="46794"/>
    <cellStyle name="Heading 2 2 9 2 8 8" xfId="46795"/>
    <cellStyle name="Heading 2 2 9 2 8 8 2" xfId="46796"/>
    <cellStyle name="Heading 2 2 9 2 8 9" xfId="46797"/>
    <cellStyle name="Heading 2 2 9 2 9" xfId="46798"/>
    <cellStyle name="Heading 2 2 9 2 9 2" xfId="46799"/>
    <cellStyle name="Heading 2 2 9 2 9 2 2" xfId="46800"/>
    <cellStyle name="Heading 2 2 9 2 9 2 2 2" xfId="46801"/>
    <cellStyle name="Heading 2 2 9 2 9 2 3" xfId="46802"/>
    <cellStyle name="Heading 2 2 9 2 9 3" xfId="46803"/>
    <cellStyle name="Heading 2 2 9 2 9 3 2" xfId="46804"/>
    <cellStyle name="Heading 2 2 9 2 9 3 2 2" xfId="46805"/>
    <cellStyle name="Heading 2 2 9 2 9 3 3" xfId="46806"/>
    <cellStyle name="Heading 2 2 9 2 9 4" xfId="46807"/>
    <cellStyle name="Heading 2 2 9 2 9 4 2" xfId="46808"/>
    <cellStyle name="Heading 2 2 9 2 9 4 2 2" xfId="46809"/>
    <cellStyle name="Heading 2 2 9 2 9 4 3" xfId="46810"/>
    <cellStyle name="Heading 2 2 9 2 9 5" xfId="46811"/>
    <cellStyle name="Heading 2 2 9 2 9 5 2" xfId="46812"/>
    <cellStyle name="Heading 2 2 9 2 9 5 2 2" xfId="46813"/>
    <cellStyle name="Heading 2 2 9 2 9 5 3" xfId="46814"/>
    <cellStyle name="Heading 2 2 9 2 9 6" xfId="46815"/>
    <cellStyle name="Heading 2 2 9 2 9 6 2" xfId="46816"/>
    <cellStyle name="Heading 2 2 9 2 9 6 2 2" xfId="46817"/>
    <cellStyle name="Heading 2 2 9 2 9 6 3" xfId="46818"/>
    <cellStyle name="Heading 2 2 9 2 9 7" xfId="46819"/>
    <cellStyle name="Heading 2 2 9 2 9 7 2" xfId="46820"/>
    <cellStyle name="Heading 2 2 9 2 9 7 2 2" xfId="46821"/>
    <cellStyle name="Heading 2 2 9 2 9 7 3" xfId="46822"/>
    <cellStyle name="Heading 2 2 9 2 9 8" xfId="46823"/>
    <cellStyle name="Heading 2 2 9 2 9 8 2" xfId="46824"/>
    <cellStyle name="Heading 2 2 9 2 9 9" xfId="46825"/>
    <cellStyle name="Heading 2 2 9 3" xfId="46826"/>
    <cellStyle name="Heading 2 2 9 3 10" xfId="46827"/>
    <cellStyle name="Heading 2 2 9 3 10 2" xfId="46828"/>
    <cellStyle name="Heading 2 2 9 3 10 2 2" xfId="46829"/>
    <cellStyle name="Heading 2 2 9 3 10 3" xfId="46830"/>
    <cellStyle name="Heading 2 2 9 3 11" xfId="46831"/>
    <cellStyle name="Heading 2 2 9 3 11 2" xfId="46832"/>
    <cellStyle name="Heading 2 2 9 3 11 2 2" xfId="46833"/>
    <cellStyle name="Heading 2 2 9 3 11 3" xfId="46834"/>
    <cellStyle name="Heading 2 2 9 3 12" xfId="46835"/>
    <cellStyle name="Heading 2 2 9 3 12 2" xfId="46836"/>
    <cellStyle name="Heading 2 2 9 3 12 2 2" xfId="46837"/>
    <cellStyle name="Heading 2 2 9 3 12 3" xfId="46838"/>
    <cellStyle name="Heading 2 2 9 3 13" xfId="46839"/>
    <cellStyle name="Heading 2 2 9 3 13 2" xfId="46840"/>
    <cellStyle name="Heading 2 2 9 3 13 2 2" xfId="46841"/>
    <cellStyle name="Heading 2 2 9 3 13 3" xfId="46842"/>
    <cellStyle name="Heading 2 2 9 3 14" xfId="46843"/>
    <cellStyle name="Heading 2 2 9 3 14 2" xfId="46844"/>
    <cellStyle name="Heading 2 2 9 3 14 2 2" xfId="46845"/>
    <cellStyle name="Heading 2 2 9 3 14 3" xfId="46846"/>
    <cellStyle name="Heading 2 2 9 3 15" xfId="46847"/>
    <cellStyle name="Heading 2 2 9 3 15 2" xfId="46848"/>
    <cellStyle name="Heading 2 2 9 3 15 2 2" xfId="46849"/>
    <cellStyle name="Heading 2 2 9 3 15 3" xfId="46850"/>
    <cellStyle name="Heading 2 2 9 3 16" xfId="46851"/>
    <cellStyle name="Heading 2 2 9 3 16 2" xfId="46852"/>
    <cellStyle name="Heading 2 2 9 3 16 2 2" xfId="46853"/>
    <cellStyle name="Heading 2 2 9 3 16 3" xfId="46854"/>
    <cellStyle name="Heading 2 2 9 3 17" xfId="46855"/>
    <cellStyle name="Heading 2 2 9 3 17 2" xfId="46856"/>
    <cellStyle name="Heading 2 2 9 3 17 2 2" xfId="46857"/>
    <cellStyle name="Heading 2 2 9 3 17 3" xfId="46858"/>
    <cellStyle name="Heading 2 2 9 3 18" xfId="46859"/>
    <cellStyle name="Heading 2 2 9 3 18 2" xfId="46860"/>
    <cellStyle name="Heading 2 2 9 3 18 2 2" xfId="46861"/>
    <cellStyle name="Heading 2 2 9 3 18 3" xfId="46862"/>
    <cellStyle name="Heading 2 2 9 3 19" xfId="46863"/>
    <cellStyle name="Heading 2 2 9 3 19 2" xfId="46864"/>
    <cellStyle name="Heading 2 2 9 3 2" xfId="46865"/>
    <cellStyle name="Heading 2 2 9 3 2 2" xfId="46866"/>
    <cellStyle name="Heading 2 2 9 3 2 2 2" xfId="46867"/>
    <cellStyle name="Heading 2 2 9 3 2 2 2 2" xfId="46868"/>
    <cellStyle name="Heading 2 2 9 3 2 2 3" xfId="46869"/>
    <cellStyle name="Heading 2 2 9 3 2 3" xfId="46870"/>
    <cellStyle name="Heading 2 2 9 3 2 3 2" xfId="46871"/>
    <cellStyle name="Heading 2 2 9 3 2 3 2 2" xfId="46872"/>
    <cellStyle name="Heading 2 2 9 3 2 3 3" xfId="46873"/>
    <cellStyle name="Heading 2 2 9 3 2 4" xfId="46874"/>
    <cellStyle name="Heading 2 2 9 3 2 4 2" xfId="46875"/>
    <cellStyle name="Heading 2 2 9 3 2 4 2 2" xfId="46876"/>
    <cellStyle name="Heading 2 2 9 3 2 4 3" xfId="46877"/>
    <cellStyle name="Heading 2 2 9 3 2 5" xfId="46878"/>
    <cellStyle name="Heading 2 2 9 3 2 5 2" xfId="46879"/>
    <cellStyle name="Heading 2 2 9 3 2 5 2 2" xfId="46880"/>
    <cellStyle name="Heading 2 2 9 3 2 5 3" xfId="46881"/>
    <cellStyle name="Heading 2 2 9 3 2 6" xfId="46882"/>
    <cellStyle name="Heading 2 2 9 3 2 6 2" xfId="46883"/>
    <cellStyle name="Heading 2 2 9 3 2 6 2 2" xfId="46884"/>
    <cellStyle name="Heading 2 2 9 3 2 6 3" xfId="46885"/>
    <cellStyle name="Heading 2 2 9 3 2 7" xfId="46886"/>
    <cellStyle name="Heading 2 2 9 3 2 7 2" xfId="46887"/>
    <cellStyle name="Heading 2 2 9 3 2 7 2 2" xfId="46888"/>
    <cellStyle name="Heading 2 2 9 3 2 7 3" xfId="46889"/>
    <cellStyle name="Heading 2 2 9 3 2 8" xfId="46890"/>
    <cellStyle name="Heading 2 2 9 3 2 8 2" xfId="46891"/>
    <cellStyle name="Heading 2 2 9 3 2 9" xfId="46892"/>
    <cellStyle name="Heading 2 2 9 3 20" xfId="46893"/>
    <cellStyle name="Heading 2 2 9 3 20 2" xfId="46894"/>
    <cellStyle name="Heading 2 2 9 3 21" xfId="46895"/>
    <cellStyle name="Heading 2 2 9 3 21 2" xfId="46896"/>
    <cellStyle name="Heading 2 2 9 3 22" xfId="46897"/>
    <cellStyle name="Heading 2 2 9 3 3" xfId="46898"/>
    <cellStyle name="Heading 2 2 9 3 3 2" xfId="46899"/>
    <cellStyle name="Heading 2 2 9 3 3 2 2" xfId="46900"/>
    <cellStyle name="Heading 2 2 9 3 3 2 2 2" xfId="46901"/>
    <cellStyle name="Heading 2 2 9 3 3 2 3" xfId="46902"/>
    <cellStyle name="Heading 2 2 9 3 3 3" xfId="46903"/>
    <cellStyle name="Heading 2 2 9 3 3 3 2" xfId="46904"/>
    <cellStyle name="Heading 2 2 9 3 3 3 2 2" xfId="46905"/>
    <cellStyle name="Heading 2 2 9 3 3 3 3" xfId="46906"/>
    <cellStyle name="Heading 2 2 9 3 3 4" xfId="46907"/>
    <cellStyle name="Heading 2 2 9 3 3 4 2" xfId="46908"/>
    <cellStyle name="Heading 2 2 9 3 3 4 2 2" xfId="46909"/>
    <cellStyle name="Heading 2 2 9 3 3 4 3" xfId="46910"/>
    <cellStyle name="Heading 2 2 9 3 3 5" xfId="46911"/>
    <cellStyle name="Heading 2 2 9 3 3 5 2" xfId="46912"/>
    <cellStyle name="Heading 2 2 9 3 3 5 2 2" xfId="46913"/>
    <cellStyle name="Heading 2 2 9 3 3 5 3" xfId="46914"/>
    <cellStyle name="Heading 2 2 9 3 3 6" xfId="46915"/>
    <cellStyle name="Heading 2 2 9 3 3 6 2" xfId="46916"/>
    <cellStyle name="Heading 2 2 9 3 3 6 2 2" xfId="46917"/>
    <cellStyle name="Heading 2 2 9 3 3 6 3" xfId="46918"/>
    <cellStyle name="Heading 2 2 9 3 3 7" xfId="46919"/>
    <cellStyle name="Heading 2 2 9 3 3 7 2" xfId="46920"/>
    <cellStyle name="Heading 2 2 9 3 3 7 2 2" xfId="46921"/>
    <cellStyle name="Heading 2 2 9 3 3 7 3" xfId="46922"/>
    <cellStyle name="Heading 2 2 9 3 3 8" xfId="46923"/>
    <cellStyle name="Heading 2 2 9 3 3 8 2" xfId="46924"/>
    <cellStyle name="Heading 2 2 9 3 3 9" xfId="46925"/>
    <cellStyle name="Heading 2 2 9 3 4" xfId="46926"/>
    <cellStyle name="Heading 2 2 9 3 4 2" xfId="46927"/>
    <cellStyle name="Heading 2 2 9 3 4 2 2" xfId="46928"/>
    <cellStyle name="Heading 2 2 9 3 4 2 2 2" xfId="46929"/>
    <cellStyle name="Heading 2 2 9 3 4 2 3" xfId="46930"/>
    <cellStyle name="Heading 2 2 9 3 4 3" xfId="46931"/>
    <cellStyle name="Heading 2 2 9 3 4 3 2" xfId="46932"/>
    <cellStyle name="Heading 2 2 9 3 4 3 2 2" xfId="46933"/>
    <cellStyle name="Heading 2 2 9 3 4 3 3" xfId="46934"/>
    <cellStyle name="Heading 2 2 9 3 4 4" xfId="46935"/>
    <cellStyle name="Heading 2 2 9 3 4 4 2" xfId="46936"/>
    <cellStyle name="Heading 2 2 9 3 4 4 2 2" xfId="46937"/>
    <cellStyle name="Heading 2 2 9 3 4 4 3" xfId="46938"/>
    <cellStyle name="Heading 2 2 9 3 4 5" xfId="46939"/>
    <cellStyle name="Heading 2 2 9 3 4 5 2" xfId="46940"/>
    <cellStyle name="Heading 2 2 9 3 4 5 2 2" xfId="46941"/>
    <cellStyle name="Heading 2 2 9 3 4 5 3" xfId="46942"/>
    <cellStyle name="Heading 2 2 9 3 4 6" xfId="46943"/>
    <cellStyle name="Heading 2 2 9 3 4 6 2" xfId="46944"/>
    <cellStyle name="Heading 2 2 9 3 4 6 2 2" xfId="46945"/>
    <cellStyle name="Heading 2 2 9 3 4 6 3" xfId="46946"/>
    <cellStyle name="Heading 2 2 9 3 4 7" xfId="46947"/>
    <cellStyle name="Heading 2 2 9 3 4 7 2" xfId="46948"/>
    <cellStyle name="Heading 2 2 9 3 4 7 2 2" xfId="46949"/>
    <cellStyle name="Heading 2 2 9 3 4 7 3" xfId="46950"/>
    <cellStyle name="Heading 2 2 9 3 4 8" xfId="46951"/>
    <cellStyle name="Heading 2 2 9 3 4 8 2" xfId="46952"/>
    <cellStyle name="Heading 2 2 9 3 4 9" xfId="46953"/>
    <cellStyle name="Heading 2 2 9 3 5" xfId="46954"/>
    <cellStyle name="Heading 2 2 9 3 5 2" xfId="46955"/>
    <cellStyle name="Heading 2 2 9 3 5 2 2" xfId="46956"/>
    <cellStyle name="Heading 2 2 9 3 5 2 2 2" xfId="46957"/>
    <cellStyle name="Heading 2 2 9 3 5 2 3" xfId="46958"/>
    <cellStyle name="Heading 2 2 9 3 5 3" xfId="46959"/>
    <cellStyle name="Heading 2 2 9 3 5 3 2" xfId="46960"/>
    <cellStyle name="Heading 2 2 9 3 5 3 2 2" xfId="46961"/>
    <cellStyle name="Heading 2 2 9 3 5 3 3" xfId="46962"/>
    <cellStyle name="Heading 2 2 9 3 5 4" xfId="46963"/>
    <cellStyle name="Heading 2 2 9 3 5 4 2" xfId="46964"/>
    <cellStyle name="Heading 2 2 9 3 5 4 2 2" xfId="46965"/>
    <cellStyle name="Heading 2 2 9 3 5 4 3" xfId="46966"/>
    <cellStyle name="Heading 2 2 9 3 5 5" xfId="46967"/>
    <cellStyle name="Heading 2 2 9 3 5 5 2" xfId="46968"/>
    <cellStyle name="Heading 2 2 9 3 5 5 2 2" xfId="46969"/>
    <cellStyle name="Heading 2 2 9 3 5 5 3" xfId="46970"/>
    <cellStyle name="Heading 2 2 9 3 5 6" xfId="46971"/>
    <cellStyle name="Heading 2 2 9 3 5 6 2" xfId="46972"/>
    <cellStyle name="Heading 2 2 9 3 5 6 2 2" xfId="46973"/>
    <cellStyle name="Heading 2 2 9 3 5 6 3" xfId="46974"/>
    <cellStyle name="Heading 2 2 9 3 5 7" xfId="46975"/>
    <cellStyle name="Heading 2 2 9 3 5 7 2" xfId="46976"/>
    <cellStyle name="Heading 2 2 9 3 5 7 2 2" xfId="46977"/>
    <cellStyle name="Heading 2 2 9 3 5 7 3" xfId="46978"/>
    <cellStyle name="Heading 2 2 9 3 5 8" xfId="46979"/>
    <cellStyle name="Heading 2 2 9 3 5 8 2" xfId="46980"/>
    <cellStyle name="Heading 2 2 9 3 5 9" xfId="46981"/>
    <cellStyle name="Heading 2 2 9 3 6" xfId="46982"/>
    <cellStyle name="Heading 2 2 9 3 6 2" xfId="46983"/>
    <cellStyle name="Heading 2 2 9 3 6 2 2" xfId="46984"/>
    <cellStyle name="Heading 2 2 9 3 6 2 2 2" xfId="46985"/>
    <cellStyle name="Heading 2 2 9 3 6 2 3" xfId="46986"/>
    <cellStyle name="Heading 2 2 9 3 6 3" xfId="46987"/>
    <cellStyle name="Heading 2 2 9 3 6 3 2" xfId="46988"/>
    <cellStyle name="Heading 2 2 9 3 6 3 2 2" xfId="46989"/>
    <cellStyle name="Heading 2 2 9 3 6 3 3" xfId="46990"/>
    <cellStyle name="Heading 2 2 9 3 6 4" xfId="46991"/>
    <cellStyle name="Heading 2 2 9 3 6 4 2" xfId="46992"/>
    <cellStyle name="Heading 2 2 9 3 6 4 2 2" xfId="46993"/>
    <cellStyle name="Heading 2 2 9 3 6 4 3" xfId="46994"/>
    <cellStyle name="Heading 2 2 9 3 6 5" xfId="46995"/>
    <cellStyle name="Heading 2 2 9 3 6 5 2" xfId="46996"/>
    <cellStyle name="Heading 2 2 9 3 6 5 2 2" xfId="46997"/>
    <cellStyle name="Heading 2 2 9 3 6 5 3" xfId="46998"/>
    <cellStyle name="Heading 2 2 9 3 6 6" xfId="46999"/>
    <cellStyle name="Heading 2 2 9 3 6 6 2" xfId="47000"/>
    <cellStyle name="Heading 2 2 9 3 6 6 2 2" xfId="47001"/>
    <cellStyle name="Heading 2 2 9 3 6 6 3" xfId="47002"/>
    <cellStyle name="Heading 2 2 9 3 6 7" xfId="47003"/>
    <cellStyle name="Heading 2 2 9 3 6 7 2" xfId="47004"/>
    <cellStyle name="Heading 2 2 9 3 6 7 2 2" xfId="47005"/>
    <cellStyle name="Heading 2 2 9 3 6 7 3" xfId="47006"/>
    <cellStyle name="Heading 2 2 9 3 6 8" xfId="47007"/>
    <cellStyle name="Heading 2 2 9 3 6 8 2" xfId="47008"/>
    <cellStyle name="Heading 2 2 9 3 6 9" xfId="47009"/>
    <cellStyle name="Heading 2 2 9 3 7" xfId="47010"/>
    <cellStyle name="Heading 2 2 9 3 7 2" xfId="47011"/>
    <cellStyle name="Heading 2 2 9 3 7 2 2" xfId="47012"/>
    <cellStyle name="Heading 2 2 9 3 7 2 2 2" xfId="47013"/>
    <cellStyle name="Heading 2 2 9 3 7 2 3" xfId="47014"/>
    <cellStyle name="Heading 2 2 9 3 7 3" xfId="47015"/>
    <cellStyle name="Heading 2 2 9 3 7 3 2" xfId="47016"/>
    <cellStyle name="Heading 2 2 9 3 7 3 2 2" xfId="47017"/>
    <cellStyle name="Heading 2 2 9 3 7 3 3" xfId="47018"/>
    <cellStyle name="Heading 2 2 9 3 7 4" xfId="47019"/>
    <cellStyle name="Heading 2 2 9 3 7 4 2" xfId="47020"/>
    <cellStyle name="Heading 2 2 9 3 7 4 2 2" xfId="47021"/>
    <cellStyle name="Heading 2 2 9 3 7 4 3" xfId="47022"/>
    <cellStyle name="Heading 2 2 9 3 7 5" xfId="47023"/>
    <cellStyle name="Heading 2 2 9 3 7 5 2" xfId="47024"/>
    <cellStyle name="Heading 2 2 9 3 7 5 2 2" xfId="47025"/>
    <cellStyle name="Heading 2 2 9 3 7 5 3" xfId="47026"/>
    <cellStyle name="Heading 2 2 9 3 7 6" xfId="47027"/>
    <cellStyle name="Heading 2 2 9 3 7 6 2" xfId="47028"/>
    <cellStyle name="Heading 2 2 9 3 7 6 2 2" xfId="47029"/>
    <cellStyle name="Heading 2 2 9 3 7 6 3" xfId="47030"/>
    <cellStyle name="Heading 2 2 9 3 7 7" xfId="47031"/>
    <cellStyle name="Heading 2 2 9 3 7 7 2" xfId="47032"/>
    <cellStyle name="Heading 2 2 9 3 7 7 2 2" xfId="47033"/>
    <cellStyle name="Heading 2 2 9 3 7 7 3" xfId="47034"/>
    <cellStyle name="Heading 2 2 9 3 7 8" xfId="47035"/>
    <cellStyle name="Heading 2 2 9 3 7 8 2" xfId="47036"/>
    <cellStyle name="Heading 2 2 9 3 7 9" xfId="47037"/>
    <cellStyle name="Heading 2 2 9 3 8" xfId="47038"/>
    <cellStyle name="Heading 2 2 9 3 8 2" xfId="47039"/>
    <cellStyle name="Heading 2 2 9 3 8 2 2" xfId="47040"/>
    <cellStyle name="Heading 2 2 9 3 8 2 2 2" xfId="47041"/>
    <cellStyle name="Heading 2 2 9 3 8 2 3" xfId="47042"/>
    <cellStyle name="Heading 2 2 9 3 8 3" xfId="47043"/>
    <cellStyle name="Heading 2 2 9 3 8 3 2" xfId="47044"/>
    <cellStyle name="Heading 2 2 9 3 8 3 2 2" xfId="47045"/>
    <cellStyle name="Heading 2 2 9 3 8 3 3" xfId="47046"/>
    <cellStyle name="Heading 2 2 9 3 8 4" xfId="47047"/>
    <cellStyle name="Heading 2 2 9 3 8 4 2" xfId="47048"/>
    <cellStyle name="Heading 2 2 9 3 8 4 2 2" xfId="47049"/>
    <cellStyle name="Heading 2 2 9 3 8 4 3" xfId="47050"/>
    <cellStyle name="Heading 2 2 9 3 8 5" xfId="47051"/>
    <cellStyle name="Heading 2 2 9 3 8 5 2" xfId="47052"/>
    <cellStyle name="Heading 2 2 9 3 8 5 2 2" xfId="47053"/>
    <cellStyle name="Heading 2 2 9 3 8 5 3" xfId="47054"/>
    <cellStyle name="Heading 2 2 9 3 8 6" xfId="47055"/>
    <cellStyle name="Heading 2 2 9 3 8 6 2" xfId="47056"/>
    <cellStyle name="Heading 2 2 9 3 8 6 2 2" xfId="47057"/>
    <cellStyle name="Heading 2 2 9 3 8 6 3" xfId="47058"/>
    <cellStyle name="Heading 2 2 9 3 8 7" xfId="47059"/>
    <cellStyle name="Heading 2 2 9 3 8 7 2" xfId="47060"/>
    <cellStyle name="Heading 2 2 9 3 8 7 2 2" xfId="47061"/>
    <cellStyle name="Heading 2 2 9 3 8 7 3" xfId="47062"/>
    <cellStyle name="Heading 2 2 9 3 8 8" xfId="47063"/>
    <cellStyle name="Heading 2 2 9 3 8 8 2" xfId="47064"/>
    <cellStyle name="Heading 2 2 9 3 8 9" xfId="47065"/>
    <cellStyle name="Heading 2 2 9 3 9" xfId="47066"/>
    <cellStyle name="Heading 2 2 9 3 9 2" xfId="47067"/>
    <cellStyle name="Heading 2 2 9 3 9 2 2" xfId="47068"/>
    <cellStyle name="Heading 2 2 9 3 9 3" xfId="47069"/>
    <cellStyle name="Heading 2 2 9 4" xfId="47070"/>
    <cellStyle name="Heading 2 2 9 4 2" xfId="47071"/>
    <cellStyle name="Heading 2 2 9 4 2 2" xfId="47072"/>
    <cellStyle name="Heading 2 2 9 4 3" xfId="47073"/>
    <cellStyle name="Heading 2 2 9 5" xfId="47074"/>
    <cellStyle name="Heading 2 2 9 5 2" xfId="47075"/>
    <cellStyle name="Heading 2 2 9 6" xfId="47076"/>
    <cellStyle name="Heading 2 3" xfId="47077"/>
    <cellStyle name="Heading 2 3 2" xfId="47078"/>
    <cellStyle name="Heading 2 3 2 10" xfId="47079"/>
    <cellStyle name="Heading 2 3 2 10 2" xfId="47080"/>
    <cellStyle name="Heading 2 3 2 10 2 2" xfId="47081"/>
    <cellStyle name="Heading 2 3 2 10 3" xfId="47082"/>
    <cellStyle name="Heading 2 3 2 11" xfId="47083"/>
    <cellStyle name="Heading 2 3 2 11 2" xfId="47084"/>
    <cellStyle name="Heading 2 3 2 11 2 2" xfId="47085"/>
    <cellStyle name="Heading 2 3 2 11 3" xfId="47086"/>
    <cellStyle name="Heading 2 3 2 12" xfId="47087"/>
    <cellStyle name="Heading 2 3 2 12 2" xfId="47088"/>
    <cellStyle name="Heading 2 3 2 12 2 2" xfId="47089"/>
    <cellStyle name="Heading 2 3 2 12 3" xfId="47090"/>
    <cellStyle name="Heading 2 3 2 13" xfId="47091"/>
    <cellStyle name="Heading 2 3 2 13 2" xfId="47092"/>
    <cellStyle name="Heading 2 3 2 13 2 2" xfId="47093"/>
    <cellStyle name="Heading 2 3 2 13 3" xfId="47094"/>
    <cellStyle name="Heading 2 3 2 14" xfId="47095"/>
    <cellStyle name="Heading 2 3 2 14 2" xfId="47096"/>
    <cellStyle name="Heading 2 3 2 14 2 2" xfId="47097"/>
    <cellStyle name="Heading 2 3 2 14 3" xfId="47098"/>
    <cellStyle name="Heading 2 3 2 15" xfId="47099"/>
    <cellStyle name="Heading 2 3 2 15 2" xfId="47100"/>
    <cellStyle name="Heading 2 3 2 15 2 2" xfId="47101"/>
    <cellStyle name="Heading 2 3 2 15 3" xfId="47102"/>
    <cellStyle name="Heading 2 3 2 16" xfId="47103"/>
    <cellStyle name="Heading 2 3 2 16 2" xfId="47104"/>
    <cellStyle name="Heading 2 3 2 16 2 2" xfId="47105"/>
    <cellStyle name="Heading 2 3 2 16 3" xfId="47106"/>
    <cellStyle name="Heading 2 3 2 17" xfId="47107"/>
    <cellStyle name="Heading 2 3 2 17 2" xfId="47108"/>
    <cellStyle name="Heading 2 3 2 17 2 2" xfId="47109"/>
    <cellStyle name="Heading 2 3 2 17 3" xfId="47110"/>
    <cellStyle name="Heading 2 3 2 18" xfId="47111"/>
    <cellStyle name="Heading 2 3 2 18 2" xfId="47112"/>
    <cellStyle name="Heading 2 3 2 18 2 2" xfId="47113"/>
    <cellStyle name="Heading 2 3 2 18 3" xfId="47114"/>
    <cellStyle name="Heading 2 3 2 19" xfId="47115"/>
    <cellStyle name="Heading 2 3 2 19 2" xfId="47116"/>
    <cellStyle name="Heading 2 3 2 19 2 2" xfId="47117"/>
    <cellStyle name="Heading 2 3 2 19 3" xfId="47118"/>
    <cellStyle name="Heading 2 3 2 2" xfId="47119"/>
    <cellStyle name="Heading 2 3 2 2 10" xfId="47120"/>
    <cellStyle name="Heading 2 3 2 2 10 2" xfId="47121"/>
    <cellStyle name="Heading 2 3 2 2 10 2 2" xfId="47122"/>
    <cellStyle name="Heading 2 3 2 2 10 3" xfId="47123"/>
    <cellStyle name="Heading 2 3 2 2 11" xfId="47124"/>
    <cellStyle name="Heading 2 3 2 2 11 2" xfId="47125"/>
    <cellStyle name="Heading 2 3 2 2 11 2 2" xfId="47126"/>
    <cellStyle name="Heading 2 3 2 2 11 3" xfId="47127"/>
    <cellStyle name="Heading 2 3 2 2 12" xfId="47128"/>
    <cellStyle name="Heading 2 3 2 2 12 2" xfId="47129"/>
    <cellStyle name="Heading 2 3 2 2 12 2 2" xfId="47130"/>
    <cellStyle name="Heading 2 3 2 2 12 3" xfId="47131"/>
    <cellStyle name="Heading 2 3 2 2 13" xfId="47132"/>
    <cellStyle name="Heading 2 3 2 2 13 2" xfId="47133"/>
    <cellStyle name="Heading 2 3 2 2 13 2 2" xfId="47134"/>
    <cellStyle name="Heading 2 3 2 2 13 3" xfId="47135"/>
    <cellStyle name="Heading 2 3 2 2 14" xfId="47136"/>
    <cellStyle name="Heading 2 3 2 2 14 2" xfId="47137"/>
    <cellStyle name="Heading 2 3 2 2 14 2 2" xfId="47138"/>
    <cellStyle name="Heading 2 3 2 2 14 3" xfId="47139"/>
    <cellStyle name="Heading 2 3 2 2 15" xfId="47140"/>
    <cellStyle name="Heading 2 3 2 2 15 2" xfId="47141"/>
    <cellStyle name="Heading 2 3 2 2 15 2 2" xfId="47142"/>
    <cellStyle name="Heading 2 3 2 2 15 3" xfId="47143"/>
    <cellStyle name="Heading 2 3 2 2 16" xfId="47144"/>
    <cellStyle name="Heading 2 3 2 2 16 2" xfId="47145"/>
    <cellStyle name="Heading 2 3 2 2 16 2 2" xfId="47146"/>
    <cellStyle name="Heading 2 3 2 2 16 3" xfId="47147"/>
    <cellStyle name="Heading 2 3 2 2 17" xfId="47148"/>
    <cellStyle name="Heading 2 3 2 2 17 2" xfId="47149"/>
    <cellStyle name="Heading 2 3 2 2 17 2 2" xfId="47150"/>
    <cellStyle name="Heading 2 3 2 2 17 3" xfId="47151"/>
    <cellStyle name="Heading 2 3 2 2 18" xfId="47152"/>
    <cellStyle name="Heading 2 3 2 2 18 2" xfId="47153"/>
    <cellStyle name="Heading 2 3 2 2 18 2 2" xfId="47154"/>
    <cellStyle name="Heading 2 3 2 2 18 3" xfId="47155"/>
    <cellStyle name="Heading 2 3 2 2 19" xfId="47156"/>
    <cellStyle name="Heading 2 3 2 2 19 2" xfId="47157"/>
    <cellStyle name="Heading 2 3 2 2 2" xfId="47158"/>
    <cellStyle name="Heading 2 3 2 2 2 2" xfId="47159"/>
    <cellStyle name="Heading 2 3 2 2 2 2 2" xfId="47160"/>
    <cellStyle name="Heading 2 3 2 2 2 2 2 2" xfId="47161"/>
    <cellStyle name="Heading 2 3 2 2 2 2 3" xfId="47162"/>
    <cellStyle name="Heading 2 3 2 2 2 3" xfId="47163"/>
    <cellStyle name="Heading 2 3 2 2 2 3 2" xfId="47164"/>
    <cellStyle name="Heading 2 3 2 2 2 3 2 2" xfId="47165"/>
    <cellStyle name="Heading 2 3 2 2 2 3 3" xfId="47166"/>
    <cellStyle name="Heading 2 3 2 2 2 4" xfId="47167"/>
    <cellStyle name="Heading 2 3 2 2 2 4 2" xfId="47168"/>
    <cellStyle name="Heading 2 3 2 2 2 4 2 2" xfId="47169"/>
    <cellStyle name="Heading 2 3 2 2 2 4 3" xfId="47170"/>
    <cellStyle name="Heading 2 3 2 2 2 5" xfId="47171"/>
    <cellStyle name="Heading 2 3 2 2 2 5 2" xfId="47172"/>
    <cellStyle name="Heading 2 3 2 2 2 5 2 2" xfId="47173"/>
    <cellStyle name="Heading 2 3 2 2 2 5 3" xfId="47174"/>
    <cellStyle name="Heading 2 3 2 2 2 6" xfId="47175"/>
    <cellStyle name="Heading 2 3 2 2 2 6 2" xfId="47176"/>
    <cellStyle name="Heading 2 3 2 2 2 6 2 2" xfId="47177"/>
    <cellStyle name="Heading 2 3 2 2 2 6 3" xfId="47178"/>
    <cellStyle name="Heading 2 3 2 2 2 7" xfId="47179"/>
    <cellStyle name="Heading 2 3 2 2 2 7 2" xfId="47180"/>
    <cellStyle name="Heading 2 3 2 2 2 7 2 2" xfId="47181"/>
    <cellStyle name="Heading 2 3 2 2 2 7 3" xfId="47182"/>
    <cellStyle name="Heading 2 3 2 2 2 8" xfId="47183"/>
    <cellStyle name="Heading 2 3 2 2 2 8 2" xfId="47184"/>
    <cellStyle name="Heading 2 3 2 2 2 9" xfId="47185"/>
    <cellStyle name="Heading 2 3 2 2 20" xfId="47186"/>
    <cellStyle name="Heading 2 3 2 2 20 2" xfId="47187"/>
    <cellStyle name="Heading 2 3 2 2 21" xfId="47188"/>
    <cellStyle name="Heading 2 3 2 2 21 2" xfId="47189"/>
    <cellStyle name="Heading 2 3 2 2 22" xfId="47190"/>
    <cellStyle name="Heading 2 3 2 2 3" xfId="47191"/>
    <cellStyle name="Heading 2 3 2 2 3 2" xfId="47192"/>
    <cellStyle name="Heading 2 3 2 2 3 2 2" xfId="47193"/>
    <cellStyle name="Heading 2 3 2 2 3 2 2 2" xfId="47194"/>
    <cellStyle name="Heading 2 3 2 2 3 2 3" xfId="47195"/>
    <cellStyle name="Heading 2 3 2 2 3 3" xfId="47196"/>
    <cellStyle name="Heading 2 3 2 2 3 3 2" xfId="47197"/>
    <cellStyle name="Heading 2 3 2 2 3 3 2 2" xfId="47198"/>
    <cellStyle name="Heading 2 3 2 2 3 3 3" xfId="47199"/>
    <cellStyle name="Heading 2 3 2 2 3 4" xfId="47200"/>
    <cellStyle name="Heading 2 3 2 2 3 4 2" xfId="47201"/>
    <cellStyle name="Heading 2 3 2 2 3 4 2 2" xfId="47202"/>
    <cellStyle name="Heading 2 3 2 2 3 4 3" xfId="47203"/>
    <cellStyle name="Heading 2 3 2 2 3 5" xfId="47204"/>
    <cellStyle name="Heading 2 3 2 2 3 5 2" xfId="47205"/>
    <cellStyle name="Heading 2 3 2 2 3 5 2 2" xfId="47206"/>
    <cellStyle name="Heading 2 3 2 2 3 5 3" xfId="47207"/>
    <cellStyle name="Heading 2 3 2 2 3 6" xfId="47208"/>
    <cellStyle name="Heading 2 3 2 2 3 6 2" xfId="47209"/>
    <cellStyle name="Heading 2 3 2 2 3 6 2 2" xfId="47210"/>
    <cellStyle name="Heading 2 3 2 2 3 6 3" xfId="47211"/>
    <cellStyle name="Heading 2 3 2 2 3 7" xfId="47212"/>
    <cellStyle name="Heading 2 3 2 2 3 7 2" xfId="47213"/>
    <cellStyle name="Heading 2 3 2 2 3 7 2 2" xfId="47214"/>
    <cellStyle name="Heading 2 3 2 2 3 7 3" xfId="47215"/>
    <cellStyle name="Heading 2 3 2 2 3 8" xfId="47216"/>
    <cellStyle name="Heading 2 3 2 2 3 8 2" xfId="47217"/>
    <cellStyle name="Heading 2 3 2 2 3 9" xfId="47218"/>
    <cellStyle name="Heading 2 3 2 2 4" xfId="47219"/>
    <cellStyle name="Heading 2 3 2 2 4 2" xfId="47220"/>
    <cellStyle name="Heading 2 3 2 2 4 2 2" xfId="47221"/>
    <cellStyle name="Heading 2 3 2 2 4 2 2 2" xfId="47222"/>
    <cellStyle name="Heading 2 3 2 2 4 2 3" xfId="47223"/>
    <cellStyle name="Heading 2 3 2 2 4 3" xfId="47224"/>
    <cellStyle name="Heading 2 3 2 2 4 3 2" xfId="47225"/>
    <cellStyle name="Heading 2 3 2 2 4 3 2 2" xfId="47226"/>
    <cellStyle name="Heading 2 3 2 2 4 3 3" xfId="47227"/>
    <cellStyle name="Heading 2 3 2 2 4 4" xfId="47228"/>
    <cellStyle name="Heading 2 3 2 2 4 4 2" xfId="47229"/>
    <cellStyle name="Heading 2 3 2 2 4 4 2 2" xfId="47230"/>
    <cellStyle name="Heading 2 3 2 2 4 4 3" xfId="47231"/>
    <cellStyle name="Heading 2 3 2 2 4 5" xfId="47232"/>
    <cellStyle name="Heading 2 3 2 2 4 5 2" xfId="47233"/>
    <cellStyle name="Heading 2 3 2 2 4 5 2 2" xfId="47234"/>
    <cellStyle name="Heading 2 3 2 2 4 5 3" xfId="47235"/>
    <cellStyle name="Heading 2 3 2 2 4 6" xfId="47236"/>
    <cellStyle name="Heading 2 3 2 2 4 6 2" xfId="47237"/>
    <cellStyle name="Heading 2 3 2 2 4 6 2 2" xfId="47238"/>
    <cellStyle name="Heading 2 3 2 2 4 6 3" xfId="47239"/>
    <cellStyle name="Heading 2 3 2 2 4 7" xfId="47240"/>
    <cellStyle name="Heading 2 3 2 2 4 7 2" xfId="47241"/>
    <cellStyle name="Heading 2 3 2 2 4 7 2 2" xfId="47242"/>
    <cellStyle name="Heading 2 3 2 2 4 7 3" xfId="47243"/>
    <cellStyle name="Heading 2 3 2 2 4 8" xfId="47244"/>
    <cellStyle name="Heading 2 3 2 2 4 8 2" xfId="47245"/>
    <cellStyle name="Heading 2 3 2 2 4 9" xfId="47246"/>
    <cellStyle name="Heading 2 3 2 2 5" xfId="47247"/>
    <cellStyle name="Heading 2 3 2 2 5 2" xfId="47248"/>
    <cellStyle name="Heading 2 3 2 2 5 2 2" xfId="47249"/>
    <cellStyle name="Heading 2 3 2 2 5 2 2 2" xfId="47250"/>
    <cellStyle name="Heading 2 3 2 2 5 2 3" xfId="47251"/>
    <cellStyle name="Heading 2 3 2 2 5 3" xfId="47252"/>
    <cellStyle name="Heading 2 3 2 2 5 3 2" xfId="47253"/>
    <cellStyle name="Heading 2 3 2 2 5 3 2 2" xfId="47254"/>
    <cellStyle name="Heading 2 3 2 2 5 3 3" xfId="47255"/>
    <cellStyle name="Heading 2 3 2 2 5 4" xfId="47256"/>
    <cellStyle name="Heading 2 3 2 2 5 4 2" xfId="47257"/>
    <cellStyle name="Heading 2 3 2 2 5 4 2 2" xfId="47258"/>
    <cellStyle name="Heading 2 3 2 2 5 4 3" xfId="47259"/>
    <cellStyle name="Heading 2 3 2 2 5 5" xfId="47260"/>
    <cellStyle name="Heading 2 3 2 2 5 5 2" xfId="47261"/>
    <cellStyle name="Heading 2 3 2 2 5 5 2 2" xfId="47262"/>
    <cellStyle name="Heading 2 3 2 2 5 5 3" xfId="47263"/>
    <cellStyle name="Heading 2 3 2 2 5 6" xfId="47264"/>
    <cellStyle name="Heading 2 3 2 2 5 6 2" xfId="47265"/>
    <cellStyle name="Heading 2 3 2 2 5 6 2 2" xfId="47266"/>
    <cellStyle name="Heading 2 3 2 2 5 6 3" xfId="47267"/>
    <cellStyle name="Heading 2 3 2 2 5 7" xfId="47268"/>
    <cellStyle name="Heading 2 3 2 2 5 7 2" xfId="47269"/>
    <cellStyle name="Heading 2 3 2 2 5 7 2 2" xfId="47270"/>
    <cellStyle name="Heading 2 3 2 2 5 7 3" xfId="47271"/>
    <cellStyle name="Heading 2 3 2 2 5 8" xfId="47272"/>
    <cellStyle name="Heading 2 3 2 2 5 8 2" xfId="47273"/>
    <cellStyle name="Heading 2 3 2 2 5 9" xfId="47274"/>
    <cellStyle name="Heading 2 3 2 2 6" xfId="47275"/>
    <cellStyle name="Heading 2 3 2 2 6 2" xfId="47276"/>
    <cellStyle name="Heading 2 3 2 2 6 2 2" xfId="47277"/>
    <cellStyle name="Heading 2 3 2 2 6 2 2 2" xfId="47278"/>
    <cellStyle name="Heading 2 3 2 2 6 2 3" xfId="47279"/>
    <cellStyle name="Heading 2 3 2 2 6 3" xfId="47280"/>
    <cellStyle name="Heading 2 3 2 2 6 3 2" xfId="47281"/>
    <cellStyle name="Heading 2 3 2 2 6 3 2 2" xfId="47282"/>
    <cellStyle name="Heading 2 3 2 2 6 3 3" xfId="47283"/>
    <cellStyle name="Heading 2 3 2 2 6 4" xfId="47284"/>
    <cellStyle name="Heading 2 3 2 2 6 4 2" xfId="47285"/>
    <cellStyle name="Heading 2 3 2 2 6 4 2 2" xfId="47286"/>
    <cellStyle name="Heading 2 3 2 2 6 4 3" xfId="47287"/>
    <cellStyle name="Heading 2 3 2 2 6 5" xfId="47288"/>
    <cellStyle name="Heading 2 3 2 2 6 5 2" xfId="47289"/>
    <cellStyle name="Heading 2 3 2 2 6 5 2 2" xfId="47290"/>
    <cellStyle name="Heading 2 3 2 2 6 5 3" xfId="47291"/>
    <cellStyle name="Heading 2 3 2 2 6 6" xfId="47292"/>
    <cellStyle name="Heading 2 3 2 2 6 6 2" xfId="47293"/>
    <cellStyle name="Heading 2 3 2 2 6 6 2 2" xfId="47294"/>
    <cellStyle name="Heading 2 3 2 2 6 6 3" xfId="47295"/>
    <cellStyle name="Heading 2 3 2 2 6 7" xfId="47296"/>
    <cellStyle name="Heading 2 3 2 2 6 7 2" xfId="47297"/>
    <cellStyle name="Heading 2 3 2 2 6 7 2 2" xfId="47298"/>
    <cellStyle name="Heading 2 3 2 2 6 7 3" xfId="47299"/>
    <cellStyle name="Heading 2 3 2 2 6 8" xfId="47300"/>
    <cellStyle name="Heading 2 3 2 2 6 8 2" xfId="47301"/>
    <cellStyle name="Heading 2 3 2 2 6 9" xfId="47302"/>
    <cellStyle name="Heading 2 3 2 2 7" xfId="47303"/>
    <cellStyle name="Heading 2 3 2 2 7 2" xfId="47304"/>
    <cellStyle name="Heading 2 3 2 2 7 2 2" xfId="47305"/>
    <cellStyle name="Heading 2 3 2 2 7 2 2 2" xfId="47306"/>
    <cellStyle name="Heading 2 3 2 2 7 2 3" xfId="47307"/>
    <cellStyle name="Heading 2 3 2 2 7 3" xfId="47308"/>
    <cellStyle name="Heading 2 3 2 2 7 3 2" xfId="47309"/>
    <cellStyle name="Heading 2 3 2 2 7 3 2 2" xfId="47310"/>
    <cellStyle name="Heading 2 3 2 2 7 3 3" xfId="47311"/>
    <cellStyle name="Heading 2 3 2 2 7 4" xfId="47312"/>
    <cellStyle name="Heading 2 3 2 2 7 4 2" xfId="47313"/>
    <cellStyle name="Heading 2 3 2 2 7 4 2 2" xfId="47314"/>
    <cellStyle name="Heading 2 3 2 2 7 4 3" xfId="47315"/>
    <cellStyle name="Heading 2 3 2 2 7 5" xfId="47316"/>
    <cellStyle name="Heading 2 3 2 2 7 5 2" xfId="47317"/>
    <cellStyle name="Heading 2 3 2 2 7 5 2 2" xfId="47318"/>
    <cellStyle name="Heading 2 3 2 2 7 5 3" xfId="47319"/>
    <cellStyle name="Heading 2 3 2 2 7 6" xfId="47320"/>
    <cellStyle name="Heading 2 3 2 2 7 6 2" xfId="47321"/>
    <cellStyle name="Heading 2 3 2 2 7 6 2 2" xfId="47322"/>
    <cellStyle name="Heading 2 3 2 2 7 6 3" xfId="47323"/>
    <cellStyle name="Heading 2 3 2 2 7 7" xfId="47324"/>
    <cellStyle name="Heading 2 3 2 2 7 7 2" xfId="47325"/>
    <cellStyle name="Heading 2 3 2 2 7 7 2 2" xfId="47326"/>
    <cellStyle name="Heading 2 3 2 2 7 7 3" xfId="47327"/>
    <cellStyle name="Heading 2 3 2 2 7 8" xfId="47328"/>
    <cellStyle name="Heading 2 3 2 2 7 8 2" xfId="47329"/>
    <cellStyle name="Heading 2 3 2 2 7 9" xfId="47330"/>
    <cellStyle name="Heading 2 3 2 2 8" xfId="47331"/>
    <cellStyle name="Heading 2 3 2 2 8 2" xfId="47332"/>
    <cellStyle name="Heading 2 3 2 2 8 2 2" xfId="47333"/>
    <cellStyle name="Heading 2 3 2 2 8 2 2 2" xfId="47334"/>
    <cellStyle name="Heading 2 3 2 2 8 2 3" xfId="47335"/>
    <cellStyle name="Heading 2 3 2 2 8 3" xfId="47336"/>
    <cellStyle name="Heading 2 3 2 2 8 3 2" xfId="47337"/>
    <cellStyle name="Heading 2 3 2 2 8 3 2 2" xfId="47338"/>
    <cellStyle name="Heading 2 3 2 2 8 3 3" xfId="47339"/>
    <cellStyle name="Heading 2 3 2 2 8 4" xfId="47340"/>
    <cellStyle name="Heading 2 3 2 2 8 4 2" xfId="47341"/>
    <cellStyle name="Heading 2 3 2 2 8 4 2 2" xfId="47342"/>
    <cellStyle name="Heading 2 3 2 2 8 4 3" xfId="47343"/>
    <cellStyle name="Heading 2 3 2 2 8 5" xfId="47344"/>
    <cellStyle name="Heading 2 3 2 2 8 5 2" xfId="47345"/>
    <cellStyle name="Heading 2 3 2 2 8 5 2 2" xfId="47346"/>
    <cellStyle name="Heading 2 3 2 2 8 5 3" xfId="47347"/>
    <cellStyle name="Heading 2 3 2 2 8 6" xfId="47348"/>
    <cellStyle name="Heading 2 3 2 2 8 6 2" xfId="47349"/>
    <cellStyle name="Heading 2 3 2 2 8 6 2 2" xfId="47350"/>
    <cellStyle name="Heading 2 3 2 2 8 6 3" xfId="47351"/>
    <cellStyle name="Heading 2 3 2 2 8 7" xfId="47352"/>
    <cellStyle name="Heading 2 3 2 2 8 7 2" xfId="47353"/>
    <cellStyle name="Heading 2 3 2 2 8 7 2 2" xfId="47354"/>
    <cellStyle name="Heading 2 3 2 2 8 7 3" xfId="47355"/>
    <cellStyle name="Heading 2 3 2 2 8 8" xfId="47356"/>
    <cellStyle name="Heading 2 3 2 2 8 8 2" xfId="47357"/>
    <cellStyle name="Heading 2 3 2 2 8 9" xfId="47358"/>
    <cellStyle name="Heading 2 3 2 2 9" xfId="47359"/>
    <cellStyle name="Heading 2 3 2 2 9 2" xfId="47360"/>
    <cellStyle name="Heading 2 3 2 2 9 2 2" xfId="47361"/>
    <cellStyle name="Heading 2 3 2 2 9 3" xfId="47362"/>
    <cellStyle name="Heading 2 3 2 20" xfId="47363"/>
    <cellStyle name="Heading 2 3 2 20 2" xfId="47364"/>
    <cellStyle name="Heading 2 3 2 21" xfId="47365"/>
    <cellStyle name="Heading 2 3 2 21 2" xfId="47366"/>
    <cellStyle name="Heading 2 3 2 22" xfId="47367"/>
    <cellStyle name="Heading 2 3 2 22 2" xfId="47368"/>
    <cellStyle name="Heading 2 3 2 23" xfId="47369"/>
    <cellStyle name="Heading 2 3 2 3" xfId="47370"/>
    <cellStyle name="Heading 2 3 2 3 2" xfId="47371"/>
    <cellStyle name="Heading 2 3 2 3 2 2" xfId="47372"/>
    <cellStyle name="Heading 2 3 2 3 2 2 2" xfId="47373"/>
    <cellStyle name="Heading 2 3 2 3 2 3" xfId="47374"/>
    <cellStyle name="Heading 2 3 2 3 3" xfId="47375"/>
    <cellStyle name="Heading 2 3 2 3 3 2" xfId="47376"/>
    <cellStyle name="Heading 2 3 2 3 3 2 2" xfId="47377"/>
    <cellStyle name="Heading 2 3 2 3 3 3" xfId="47378"/>
    <cellStyle name="Heading 2 3 2 3 4" xfId="47379"/>
    <cellStyle name="Heading 2 3 2 3 4 2" xfId="47380"/>
    <cellStyle name="Heading 2 3 2 3 4 2 2" xfId="47381"/>
    <cellStyle name="Heading 2 3 2 3 4 3" xfId="47382"/>
    <cellStyle name="Heading 2 3 2 3 5" xfId="47383"/>
    <cellStyle name="Heading 2 3 2 3 5 2" xfId="47384"/>
    <cellStyle name="Heading 2 3 2 3 5 2 2" xfId="47385"/>
    <cellStyle name="Heading 2 3 2 3 5 3" xfId="47386"/>
    <cellStyle name="Heading 2 3 2 3 6" xfId="47387"/>
    <cellStyle name="Heading 2 3 2 3 6 2" xfId="47388"/>
    <cellStyle name="Heading 2 3 2 3 6 2 2" xfId="47389"/>
    <cellStyle name="Heading 2 3 2 3 6 3" xfId="47390"/>
    <cellStyle name="Heading 2 3 2 3 7" xfId="47391"/>
    <cellStyle name="Heading 2 3 2 3 7 2" xfId="47392"/>
    <cellStyle name="Heading 2 3 2 3 7 2 2" xfId="47393"/>
    <cellStyle name="Heading 2 3 2 3 7 3" xfId="47394"/>
    <cellStyle name="Heading 2 3 2 3 8" xfId="47395"/>
    <cellStyle name="Heading 2 3 2 3 8 2" xfId="47396"/>
    <cellStyle name="Heading 2 3 2 3 9" xfId="47397"/>
    <cellStyle name="Heading 2 3 2 4" xfId="47398"/>
    <cellStyle name="Heading 2 3 2 4 2" xfId="47399"/>
    <cellStyle name="Heading 2 3 2 4 2 2" xfId="47400"/>
    <cellStyle name="Heading 2 3 2 4 2 2 2" xfId="47401"/>
    <cellStyle name="Heading 2 3 2 4 2 3" xfId="47402"/>
    <cellStyle name="Heading 2 3 2 4 3" xfId="47403"/>
    <cellStyle name="Heading 2 3 2 4 3 2" xfId="47404"/>
    <cellStyle name="Heading 2 3 2 4 3 2 2" xfId="47405"/>
    <cellStyle name="Heading 2 3 2 4 3 3" xfId="47406"/>
    <cellStyle name="Heading 2 3 2 4 4" xfId="47407"/>
    <cellStyle name="Heading 2 3 2 4 4 2" xfId="47408"/>
    <cellStyle name="Heading 2 3 2 4 4 2 2" xfId="47409"/>
    <cellStyle name="Heading 2 3 2 4 4 3" xfId="47410"/>
    <cellStyle name="Heading 2 3 2 4 5" xfId="47411"/>
    <cellStyle name="Heading 2 3 2 4 5 2" xfId="47412"/>
    <cellStyle name="Heading 2 3 2 4 5 2 2" xfId="47413"/>
    <cellStyle name="Heading 2 3 2 4 5 3" xfId="47414"/>
    <cellStyle name="Heading 2 3 2 4 6" xfId="47415"/>
    <cellStyle name="Heading 2 3 2 4 6 2" xfId="47416"/>
    <cellStyle name="Heading 2 3 2 4 6 2 2" xfId="47417"/>
    <cellStyle name="Heading 2 3 2 4 6 3" xfId="47418"/>
    <cellStyle name="Heading 2 3 2 4 7" xfId="47419"/>
    <cellStyle name="Heading 2 3 2 4 7 2" xfId="47420"/>
    <cellStyle name="Heading 2 3 2 4 7 2 2" xfId="47421"/>
    <cellStyle name="Heading 2 3 2 4 7 3" xfId="47422"/>
    <cellStyle name="Heading 2 3 2 4 8" xfId="47423"/>
    <cellStyle name="Heading 2 3 2 4 8 2" xfId="47424"/>
    <cellStyle name="Heading 2 3 2 4 9" xfId="47425"/>
    <cellStyle name="Heading 2 3 2 5" xfId="47426"/>
    <cellStyle name="Heading 2 3 2 5 2" xfId="47427"/>
    <cellStyle name="Heading 2 3 2 5 2 2" xfId="47428"/>
    <cellStyle name="Heading 2 3 2 5 2 2 2" xfId="47429"/>
    <cellStyle name="Heading 2 3 2 5 2 3" xfId="47430"/>
    <cellStyle name="Heading 2 3 2 5 3" xfId="47431"/>
    <cellStyle name="Heading 2 3 2 5 3 2" xfId="47432"/>
    <cellStyle name="Heading 2 3 2 5 3 2 2" xfId="47433"/>
    <cellStyle name="Heading 2 3 2 5 3 3" xfId="47434"/>
    <cellStyle name="Heading 2 3 2 5 4" xfId="47435"/>
    <cellStyle name="Heading 2 3 2 5 4 2" xfId="47436"/>
    <cellStyle name="Heading 2 3 2 5 4 2 2" xfId="47437"/>
    <cellStyle name="Heading 2 3 2 5 4 3" xfId="47438"/>
    <cellStyle name="Heading 2 3 2 5 5" xfId="47439"/>
    <cellStyle name="Heading 2 3 2 5 5 2" xfId="47440"/>
    <cellStyle name="Heading 2 3 2 5 5 2 2" xfId="47441"/>
    <cellStyle name="Heading 2 3 2 5 5 3" xfId="47442"/>
    <cellStyle name="Heading 2 3 2 5 6" xfId="47443"/>
    <cellStyle name="Heading 2 3 2 5 6 2" xfId="47444"/>
    <cellStyle name="Heading 2 3 2 5 6 2 2" xfId="47445"/>
    <cellStyle name="Heading 2 3 2 5 6 3" xfId="47446"/>
    <cellStyle name="Heading 2 3 2 5 7" xfId="47447"/>
    <cellStyle name="Heading 2 3 2 5 7 2" xfId="47448"/>
    <cellStyle name="Heading 2 3 2 5 7 2 2" xfId="47449"/>
    <cellStyle name="Heading 2 3 2 5 7 3" xfId="47450"/>
    <cellStyle name="Heading 2 3 2 5 8" xfId="47451"/>
    <cellStyle name="Heading 2 3 2 5 8 2" xfId="47452"/>
    <cellStyle name="Heading 2 3 2 5 9" xfId="47453"/>
    <cellStyle name="Heading 2 3 2 6" xfId="47454"/>
    <cellStyle name="Heading 2 3 2 6 2" xfId="47455"/>
    <cellStyle name="Heading 2 3 2 6 2 2" xfId="47456"/>
    <cellStyle name="Heading 2 3 2 6 2 2 2" xfId="47457"/>
    <cellStyle name="Heading 2 3 2 6 2 3" xfId="47458"/>
    <cellStyle name="Heading 2 3 2 6 3" xfId="47459"/>
    <cellStyle name="Heading 2 3 2 6 3 2" xfId="47460"/>
    <cellStyle name="Heading 2 3 2 6 3 2 2" xfId="47461"/>
    <cellStyle name="Heading 2 3 2 6 3 3" xfId="47462"/>
    <cellStyle name="Heading 2 3 2 6 4" xfId="47463"/>
    <cellStyle name="Heading 2 3 2 6 4 2" xfId="47464"/>
    <cellStyle name="Heading 2 3 2 6 4 2 2" xfId="47465"/>
    <cellStyle name="Heading 2 3 2 6 4 3" xfId="47466"/>
    <cellStyle name="Heading 2 3 2 6 5" xfId="47467"/>
    <cellStyle name="Heading 2 3 2 6 5 2" xfId="47468"/>
    <cellStyle name="Heading 2 3 2 6 5 2 2" xfId="47469"/>
    <cellStyle name="Heading 2 3 2 6 5 3" xfId="47470"/>
    <cellStyle name="Heading 2 3 2 6 6" xfId="47471"/>
    <cellStyle name="Heading 2 3 2 6 6 2" xfId="47472"/>
    <cellStyle name="Heading 2 3 2 6 6 2 2" xfId="47473"/>
    <cellStyle name="Heading 2 3 2 6 6 3" xfId="47474"/>
    <cellStyle name="Heading 2 3 2 6 7" xfId="47475"/>
    <cellStyle name="Heading 2 3 2 6 7 2" xfId="47476"/>
    <cellStyle name="Heading 2 3 2 6 7 2 2" xfId="47477"/>
    <cellStyle name="Heading 2 3 2 6 7 3" xfId="47478"/>
    <cellStyle name="Heading 2 3 2 6 8" xfId="47479"/>
    <cellStyle name="Heading 2 3 2 6 8 2" xfId="47480"/>
    <cellStyle name="Heading 2 3 2 6 9" xfId="47481"/>
    <cellStyle name="Heading 2 3 2 7" xfId="47482"/>
    <cellStyle name="Heading 2 3 2 7 2" xfId="47483"/>
    <cellStyle name="Heading 2 3 2 7 2 2" xfId="47484"/>
    <cellStyle name="Heading 2 3 2 7 2 2 2" xfId="47485"/>
    <cellStyle name="Heading 2 3 2 7 2 3" xfId="47486"/>
    <cellStyle name="Heading 2 3 2 7 3" xfId="47487"/>
    <cellStyle name="Heading 2 3 2 7 3 2" xfId="47488"/>
    <cellStyle name="Heading 2 3 2 7 3 2 2" xfId="47489"/>
    <cellStyle name="Heading 2 3 2 7 3 3" xfId="47490"/>
    <cellStyle name="Heading 2 3 2 7 4" xfId="47491"/>
    <cellStyle name="Heading 2 3 2 7 4 2" xfId="47492"/>
    <cellStyle name="Heading 2 3 2 7 4 2 2" xfId="47493"/>
    <cellStyle name="Heading 2 3 2 7 4 3" xfId="47494"/>
    <cellStyle name="Heading 2 3 2 7 5" xfId="47495"/>
    <cellStyle name="Heading 2 3 2 7 5 2" xfId="47496"/>
    <cellStyle name="Heading 2 3 2 7 5 2 2" xfId="47497"/>
    <cellStyle name="Heading 2 3 2 7 5 3" xfId="47498"/>
    <cellStyle name="Heading 2 3 2 7 6" xfId="47499"/>
    <cellStyle name="Heading 2 3 2 7 6 2" xfId="47500"/>
    <cellStyle name="Heading 2 3 2 7 6 2 2" xfId="47501"/>
    <cellStyle name="Heading 2 3 2 7 6 3" xfId="47502"/>
    <cellStyle name="Heading 2 3 2 7 7" xfId="47503"/>
    <cellStyle name="Heading 2 3 2 7 7 2" xfId="47504"/>
    <cellStyle name="Heading 2 3 2 7 7 2 2" xfId="47505"/>
    <cellStyle name="Heading 2 3 2 7 7 3" xfId="47506"/>
    <cellStyle name="Heading 2 3 2 7 8" xfId="47507"/>
    <cellStyle name="Heading 2 3 2 7 8 2" xfId="47508"/>
    <cellStyle name="Heading 2 3 2 7 9" xfId="47509"/>
    <cellStyle name="Heading 2 3 2 8" xfId="47510"/>
    <cellStyle name="Heading 2 3 2 8 2" xfId="47511"/>
    <cellStyle name="Heading 2 3 2 8 2 2" xfId="47512"/>
    <cellStyle name="Heading 2 3 2 8 2 2 2" xfId="47513"/>
    <cellStyle name="Heading 2 3 2 8 2 3" xfId="47514"/>
    <cellStyle name="Heading 2 3 2 8 3" xfId="47515"/>
    <cellStyle name="Heading 2 3 2 8 3 2" xfId="47516"/>
    <cellStyle name="Heading 2 3 2 8 3 2 2" xfId="47517"/>
    <cellStyle name="Heading 2 3 2 8 3 3" xfId="47518"/>
    <cellStyle name="Heading 2 3 2 8 4" xfId="47519"/>
    <cellStyle name="Heading 2 3 2 8 4 2" xfId="47520"/>
    <cellStyle name="Heading 2 3 2 8 4 2 2" xfId="47521"/>
    <cellStyle name="Heading 2 3 2 8 4 3" xfId="47522"/>
    <cellStyle name="Heading 2 3 2 8 5" xfId="47523"/>
    <cellStyle name="Heading 2 3 2 8 5 2" xfId="47524"/>
    <cellStyle name="Heading 2 3 2 8 5 2 2" xfId="47525"/>
    <cellStyle name="Heading 2 3 2 8 5 3" xfId="47526"/>
    <cellStyle name="Heading 2 3 2 8 6" xfId="47527"/>
    <cellStyle name="Heading 2 3 2 8 6 2" xfId="47528"/>
    <cellStyle name="Heading 2 3 2 8 6 2 2" xfId="47529"/>
    <cellStyle name="Heading 2 3 2 8 6 3" xfId="47530"/>
    <cellStyle name="Heading 2 3 2 8 7" xfId="47531"/>
    <cellStyle name="Heading 2 3 2 8 7 2" xfId="47532"/>
    <cellStyle name="Heading 2 3 2 8 7 2 2" xfId="47533"/>
    <cellStyle name="Heading 2 3 2 8 7 3" xfId="47534"/>
    <cellStyle name="Heading 2 3 2 8 8" xfId="47535"/>
    <cellStyle name="Heading 2 3 2 8 8 2" xfId="47536"/>
    <cellStyle name="Heading 2 3 2 8 9" xfId="47537"/>
    <cellStyle name="Heading 2 3 2 9" xfId="47538"/>
    <cellStyle name="Heading 2 3 2 9 2" xfId="47539"/>
    <cellStyle name="Heading 2 3 2 9 2 2" xfId="47540"/>
    <cellStyle name="Heading 2 3 2 9 2 2 2" xfId="47541"/>
    <cellStyle name="Heading 2 3 2 9 2 3" xfId="47542"/>
    <cellStyle name="Heading 2 3 2 9 3" xfId="47543"/>
    <cellStyle name="Heading 2 3 2 9 3 2" xfId="47544"/>
    <cellStyle name="Heading 2 3 2 9 3 2 2" xfId="47545"/>
    <cellStyle name="Heading 2 3 2 9 3 3" xfId="47546"/>
    <cellStyle name="Heading 2 3 2 9 4" xfId="47547"/>
    <cellStyle name="Heading 2 3 2 9 4 2" xfId="47548"/>
    <cellStyle name="Heading 2 3 2 9 4 2 2" xfId="47549"/>
    <cellStyle name="Heading 2 3 2 9 4 3" xfId="47550"/>
    <cellStyle name="Heading 2 3 2 9 5" xfId="47551"/>
    <cellStyle name="Heading 2 3 2 9 5 2" xfId="47552"/>
    <cellStyle name="Heading 2 3 2 9 5 2 2" xfId="47553"/>
    <cellStyle name="Heading 2 3 2 9 5 3" xfId="47554"/>
    <cellStyle name="Heading 2 3 2 9 6" xfId="47555"/>
    <cellStyle name="Heading 2 3 2 9 6 2" xfId="47556"/>
    <cellStyle name="Heading 2 3 2 9 6 2 2" xfId="47557"/>
    <cellStyle name="Heading 2 3 2 9 6 3" xfId="47558"/>
    <cellStyle name="Heading 2 3 2 9 7" xfId="47559"/>
    <cellStyle name="Heading 2 3 2 9 7 2" xfId="47560"/>
    <cellStyle name="Heading 2 3 2 9 7 2 2" xfId="47561"/>
    <cellStyle name="Heading 2 3 2 9 7 3" xfId="47562"/>
    <cellStyle name="Heading 2 3 2 9 8" xfId="47563"/>
    <cellStyle name="Heading 2 3 2 9 8 2" xfId="47564"/>
    <cellStyle name="Heading 2 3 2 9 9" xfId="47565"/>
    <cellStyle name="Heading 2 3 3" xfId="47566"/>
    <cellStyle name="Heading 2 3 4" xfId="47567"/>
    <cellStyle name="Heading 2 4" xfId="47568"/>
    <cellStyle name="Heading 2 4 2" xfId="47569"/>
    <cellStyle name="Heading 2 5" xfId="47570"/>
    <cellStyle name="Heading 2 6" xfId="47571"/>
    <cellStyle name="Heading 2 6 2" xfId="47572"/>
    <cellStyle name="Heading 2 7" xfId="47573"/>
    <cellStyle name="Heading 2 8" xfId="47574"/>
    <cellStyle name="Heading 2 9" xfId="47575"/>
    <cellStyle name="Heading 3 10" xfId="47576"/>
    <cellStyle name="Heading 3 2" xfId="47577"/>
    <cellStyle name="Heading 3 2 2" xfId="47578"/>
    <cellStyle name="Heading 3 2 2 2" xfId="47579"/>
    <cellStyle name="Heading 3 2 2 3" xfId="47580"/>
    <cellStyle name="Heading 3 2 3" xfId="47581"/>
    <cellStyle name="Heading 3 2 4" xfId="47582"/>
    <cellStyle name="Heading 3 3" xfId="47583"/>
    <cellStyle name="Heading 3 3 2" xfId="47584"/>
    <cellStyle name="Heading 3 3 3" xfId="47585"/>
    <cellStyle name="Heading 3 4" xfId="47586"/>
    <cellStyle name="Heading 3 4 2" xfId="47587"/>
    <cellStyle name="Heading 3 5" xfId="47588"/>
    <cellStyle name="Heading 3 6" xfId="47589"/>
    <cellStyle name="Heading 3 6 2" xfId="47590"/>
    <cellStyle name="Heading 3 7" xfId="47591"/>
    <cellStyle name="Heading 3 8" xfId="47592"/>
    <cellStyle name="Heading 3 9" xfId="47593"/>
    <cellStyle name="Heading 4 10" xfId="47594"/>
    <cellStyle name="Heading 4 2" xfId="47595"/>
    <cellStyle name="Heading 4 2 2" xfId="47596"/>
    <cellStyle name="Heading 4 2 2 2" xfId="47597"/>
    <cellStyle name="Heading 4 2 2 3" xfId="47598"/>
    <cellStyle name="Heading 4 2 3" xfId="47599"/>
    <cellStyle name="Heading 4 2 4" xfId="47600"/>
    <cellStyle name="Heading 4 3" xfId="47601"/>
    <cellStyle name="Heading 4 3 2" xfId="47602"/>
    <cellStyle name="Heading 4 3 3" xfId="47603"/>
    <cellStyle name="Heading 4 4" xfId="47604"/>
    <cellStyle name="Heading 4 4 2" xfId="47605"/>
    <cellStyle name="Heading 4 5" xfId="47606"/>
    <cellStyle name="Heading 4 6" xfId="47607"/>
    <cellStyle name="Heading 4 6 2" xfId="47608"/>
    <cellStyle name="Heading 4 7" xfId="47609"/>
    <cellStyle name="Heading 4 8" xfId="47610"/>
    <cellStyle name="Heading 4 9" xfId="47611"/>
    <cellStyle name="Heading1" xfId="47612"/>
    <cellStyle name="Heading2" xfId="47613"/>
    <cellStyle name="HELV 9 - CTR" xfId="47614"/>
    <cellStyle name="HELV 9 - CTR 2" xfId="47615"/>
    <cellStyle name="HELV 9 - CTR 3" xfId="47616"/>
    <cellStyle name="Helvitica 10 ctr" xfId="47617"/>
    <cellStyle name="Helvitica 10 ctr 2" xfId="47618"/>
    <cellStyle name="Helvitica 10 ctr 3" xfId="47619"/>
    <cellStyle name="hrs" xfId="47620"/>
    <cellStyle name="Hyperlink" xfId="59025" builtinId="8"/>
    <cellStyle name="Hyperlink 2" xfId="47621"/>
    <cellStyle name="Hyperlink 2 2" xfId="47622"/>
    <cellStyle name="Hyperlink 2 2 2" xfId="47623"/>
    <cellStyle name="Hyperlink 2 2 3" xfId="47624"/>
    <cellStyle name="Hyperlink 2 3" xfId="47625"/>
    <cellStyle name="Hyperlink 2 4" xfId="47626"/>
    <cellStyle name="Hyperlink 2 5" xfId="47627"/>
    <cellStyle name="Hyperlink 3" xfId="47628"/>
    <cellStyle name="Hyperlink 3 2" xfId="47629"/>
    <cellStyle name="Hyperlink 3 3" xfId="47630"/>
    <cellStyle name="Input 10" xfId="47631"/>
    <cellStyle name="Input 2" xfId="47632"/>
    <cellStyle name="Input 2 10" xfId="47633"/>
    <cellStyle name="Input 2 2" xfId="47634"/>
    <cellStyle name="Input 2 2 2" xfId="47635"/>
    <cellStyle name="Input 2 2 2 2" xfId="47636"/>
    <cellStyle name="Input 2 2 3" xfId="47637"/>
    <cellStyle name="Input 2 2 3 2" xfId="47638"/>
    <cellStyle name="Input 2 2 4" xfId="47639"/>
    <cellStyle name="Input 2 2 4 2" xfId="47640"/>
    <cellStyle name="Input 2 2 5" xfId="47641"/>
    <cellStyle name="Input 2 2 5 2" xfId="47642"/>
    <cellStyle name="Input 2 2 6" xfId="47643"/>
    <cellStyle name="Input 2 2 6 2" xfId="47644"/>
    <cellStyle name="Input 2 2 7" xfId="47645"/>
    <cellStyle name="Input 2 2 7 2" xfId="47646"/>
    <cellStyle name="Input 2 2 8" xfId="47647"/>
    <cellStyle name="Input 2 2 8 2" xfId="47648"/>
    <cellStyle name="Input 2 2 9" xfId="47649"/>
    <cellStyle name="Input 2 3" xfId="47650"/>
    <cellStyle name="Input 2 3 2" xfId="47651"/>
    <cellStyle name="Input 2 4" xfId="47652"/>
    <cellStyle name="Input 2 4 2" xfId="47653"/>
    <cellStyle name="Input 2 5" xfId="47654"/>
    <cellStyle name="Input 2 5 2" xfId="47655"/>
    <cellStyle name="Input 2 6" xfId="47656"/>
    <cellStyle name="Input 2 6 2" xfId="47657"/>
    <cellStyle name="Input 2 7" xfId="47658"/>
    <cellStyle name="Input 2 7 2" xfId="47659"/>
    <cellStyle name="Input 2 8" xfId="47660"/>
    <cellStyle name="Input 2 8 2" xfId="47661"/>
    <cellStyle name="Input 2 9" xfId="47662"/>
    <cellStyle name="Input 2 9 2" xfId="47663"/>
    <cellStyle name="Input 3" xfId="47664"/>
    <cellStyle name="Input 3 10" xfId="47665"/>
    <cellStyle name="Input 3 2" xfId="47666"/>
    <cellStyle name="Input 3 2 2" xfId="47667"/>
    <cellStyle name="Input 3 2 2 2" xfId="47668"/>
    <cellStyle name="Input 3 2 2 3" xfId="47669"/>
    <cellStyle name="Input 3 2 2 4" xfId="47670"/>
    <cellStyle name="Input 3 2 3" xfId="47671"/>
    <cellStyle name="Input 3 2 3 2" xfId="47672"/>
    <cellStyle name="Input 3 2 4" xfId="47673"/>
    <cellStyle name="Input 3 2 4 2" xfId="47674"/>
    <cellStyle name="Input 3 2 5" xfId="47675"/>
    <cellStyle name="Input 3 3" xfId="47676"/>
    <cellStyle name="Input 3 3 2" xfId="47677"/>
    <cellStyle name="Input 3 3 2 2" xfId="47678"/>
    <cellStyle name="Input 3 3 2 3" xfId="47679"/>
    <cellStyle name="Input 3 3 2 4" xfId="47680"/>
    <cellStyle name="Input 3 3 3" xfId="47681"/>
    <cellStyle name="Input 3 3 3 2" xfId="47682"/>
    <cellStyle name="Input 3 3 4" xfId="47683"/>
    <cellStyle name="Input 3 3 4 2" xfId="47684"/>
    <cellStyle name="Input 3 3 5" xfId="47685"/>
    <cellStyle name="Input 3 4" xfId="47686"/>
    <cellStyle name="Input 3 4 2" xfId="47687"/>
    <cellStyle name="Input 3 4 2 2" xfId="47688"/>
    <cellStyle name="Input 3 4 2 3" xfId="47689"/>
    <cellStyle name="Input 3 4 2 4" xfId="47690"/>
    <cellStyle name="Input 3 4 3" xfId="47691"/>
    <cellStyle name="Input 3 4 3 2" xfId="47692"/>
    <cellStyle name="Input 3 4 4" xfId="47693"/>
    <cellStyle name="Input 3 4 4 2" xfId="47694"/>
    <cellStyle name="Input 3 4 5" xfId="47695"/>
    <cellStyle name="Input 3 5" xfId="47696"/>
    <cellStyle name="Input 3 5 2" xfId="47697"/>
    <cellStyle name="Input 3 5 2 2" xfId="47698"/>
    <cellStyle name="Input 3 5 2 3" xfId="47699"/>
    <cellStyle name="Input 3 5 2 4" xfId="47700"/>
    <cellStyle name="Input 3 5 3" xfId="47701"/>
    <cellStyle name="Input 3 5 3 2" xfId="47702"/>
    <cellStyle name="Input 3 5 4" xfId="47703"/>
    <cellStyle name="Input 3 5 4 2" xfId="47704"/>
    <cellStyle name="Input 3 5 5" xfId="47705"/>
    <cellStyle name="Input 3 6" xfId="47706"/>
    <cellStyle name="Input 3 6 2" xfId="47707"/>
    <cellStyle name="Input 3 6 2 2" xfId="47708"/>
    <cellStyle name="Input 3 6 2 3" xfId="47709"/>
    <cellStyle name="Input 3 6 2 4" xfId="47710"/>
    <cellStyle name="Input 3 6 3" xfId="47711"/>
    <cellStyle name="Input 3 6 3 2" xfId="47712"/>
    <cellStyle name="Input 3 6 4" xfId="47713"/>
    <cellStyle name="Input 3 6 4 2" xfId="47714"/>
    <cellStyle name="Input 3 6 5" xfId="47715"/>
    <cellStyle name="Input 3 7" xfId="47716"/>
    <cellStyle name="Input 3 7 2" xfId="47717"/>
    <cellStyle name="Input 3 7 3" xfId="47718"/>
    <cellStyle name="Input 3 7 4" xfId="47719"/>
    <cellStyle name="Input 3 8" xfId="47720"/>
    <cellStyle name="Input 3 8 2" xfId="47721"/>
    <cellStyle name="Input 3 9" xfId="47722"/>
    <cellStyle name="Input 3 9 2" xfId="47723"/>
    <cellStyle name="Input 4" xfId="47724"/>
    <cellStyle name="Input 4 2" xfId="47725"/>
    <cellStyle name="Input 4 2 2" xfId="47726"/>
    <cellStyle name="Input 4 2 3" xfId="47727"/>
    <cellStyle name="Input 4 2 4" xfId="47728"/>
    <cellStyle name="Input 4 3" xfId="47729"/>
    <cellStyle name="Input 4 3 2" xfId="47730"/>
    <cellStyle name="Input 4 4" xfId="47731"/>
    <cellStyle name="Input 4 4 2" xfId="47732"/>
    <cellStyle name="Input 4 5" xfId="47733"/>
    <cellStyle name="Input 5" xfId="47734"/>
    <cellStyle name="Input 5 2" xfId="47735"/>
    <cellStyle name="Input 5 3" xfId="47736"/>
    <cellStyle name="Input 6" xfId="47737"/>
    <cellStyle name="Input 7" xfId="47738"/>
    <cellStyle name="Input 7 2" xfId="47739"/>
    <cellStyle name="Input 7 3" xfId="47740"/>
    <cellStyle name="Input 8" xfId="47741"/>
    <cellStyle name="Input 8 2" xfId="47742"/>
    <cellStyle name="Input 9" xfId="47743"/>
    <cellStyle name="is file was generated by INIMAN version 5.5 _x000d__x000a_; C:\WINDOWS\WIN.INI created 09/30/97 at 1:52am_x000d__x000a_;_x000d__x000a__x000d__x000a_[win" xfId="47744"/>
    <cellStyle name="Link Currency (0)" xfId="47745"/>
    <cellStyle name="Link Currency (2)" xfId="47746"/>
    <cellStyle name="Link Units (0)" xfId="47747"/>
    <cellStyle name="Link Units (1)" xfId="47748"/>
    <cellStyle name="Link Units (2)" xfId="47749"/>
    <cellStyle name="Linked Cell 10" xfId="47750"/>
    <cellStyle name="Linked Cell 2" xfId="47751"/>
    <cellStyle name="Linked Cell 2 2" xfId="47752"/>
    <cellStyle name="Linked Cell 2 2 2" xfId="47753"/>
    <cellStyle name="Linked Cell 2 2 3" xfId="47754"/>
    <cellStyle name="Linked Cell 2 3" xfId="47755"/>
    <cellStyle name="Linked Cell 2 4" xfId="47756"/>
    <cellStyle name="Linked Cell 3" xfId="47757"/>
    <cellStyle name="Linked Cell 3 2" xfId="47758"/>
    <cellStyle name="Linked Cell 3 3" xfId="47759"/>
    <cellStyle name="Linked Cell 4" xfId="47760"/>
    <cellStyle name="Linked Cell 4 2" xfId="47761"/>
    <cellStyle name="Linked Cell 5" xfId="47762"/>
    <cellStyle name="Linked Cell 6" xfId="47763"/>
    <cellStyle name="Linked Cell 6 2" xfId="47764"/>
    <cellStyle name="Linked Cell 7" xfId="47765"/>
    <cellStyle name="Linked Cell 8" xfId="47766"/>
    <cellStyle name="Linked Cell 9" xfId="47767"/>
    <cellStyle name="miltime" xfId="47768"/>
    <cellStyle name="Muller preference" xfId="47769"/>
    <cellStyle name="Neutral 10" xfId="47770"/>
    <cellStyle name="Neutral 2" xfId="47771"/>
    <cellStyle name="Neutral 2 2" xfId="47772"/>
    <cellStyle name="Neutral 2 2 2" xfId="47773"/>
    <cellStyle name="Neutral 2 2 3" xfId="47774"/>
    <cellStyle name="Neutral 2 3" xfId="47775"/>
    <cellStyle name="Neutral 2 4" xfId="47776"/>
    <cellStyle name="Neutral 3" xfId="47777"/>
    <cellStyle name="Neutral 3 2" xfId="47778"/>
    <cellStyle name="Neutral 3 3" xfId="47779"/>
    <cellStyle name="Neutral 4" xfId="47780"/>
    <cellStyle name="Neutral 4 2" xfId="47781"/>
    <cellStyle name="Neutral 5" xfId="47782"/>
    <cellStyle name="Neutral 6" xfId="47783"/>
    <cellStyle name="Neutral 6 2" xfId="47784"/>
    <cellStyle name="Neutral 7" xfId="47785"/>
    <cellStyle name="Neutral 8" xfId="47786"/>
    <cellStyle name="Neutral 9" xfId="47787"/>
    <cellStyle name="Nor" xfId="47788"/>
    <cellStyle name="Normal" xfId="0" builtinId="0"/>
    <cellStyle name="Normal - Style1" xfId="47789"/>
    <cellStyle name="Normal - Style5" xfId="47790"/>
    <cellStyle name="Normal - Style5 2" xfId="47791"/>
    <cellStyle name="Normal - Style5 2 2" xfId="47792"/>
    <cellStyle name="Normal - Style5 2 3" xfId="47793"/>
    <cellStyle name="Normal - Style5 3" xfId="47794"/>
    <cellStyle name="Normal - Style5 4" xfId="47795"/>
    <cellStyle name="Normal 10" xfId="47796"/>
    <cellStyle name="Normal 10 10" xfId="47797"/>
    <cellStyle name="Normal 10 11" xfId="47798"/>
    <cellStyle name="Normal 10 12" xfId="47799"/>
    <cellStyle name="Normal 10 2" xfId="47800"/>
    <cellStyle name="Normal 10 2 10" xfId="47801"/>
    <cellStyle name="Normal 10 2 2" xfId="47802"/>
    <cellStyle name="Normal 10 2 2 2" xfId="47803"/>
    <cellStyle name="Normal 10 2 2 2 2" xfId="47804"/>
    <cellStyle name="Normal 10 2 2 2 2 2" xfId="47805"/>
    <cellStyle name="Normal 10 2 2 2 2 2 2" xfId="47806"/>
    <cellStyle name="Normal 10 2 2 2 2 2 2 2" xfId="47807"/>
    <cellStyle name="Normal 10 2 2 2 2 2 2 2 2" xfId="47808"/>
    <cellStyle name="Normal 10 2 2 2 2 2 2 3" xfId="47809"/>
    <cellStyle name="Normal 10 2 2 2 2 2 3" xfId="47810"/>
    <cellStyle name="Normal 10 2 2 2 2 2 3 2" xfId="47811"/>
    <cellStyle name="Normal 10 2 2 2 2 2 3 2 2" xfId="47812"/>
    <cellStyle name="Normal 10 2 2 2 2 2 3 3" xfId="47813"/>
    <cellStyle name="Normal 10 2 2 2 2 2 4" xfId="47814"/>
    <cellStyle name="Normal 10 2 2 2 2 2 4 2" xfId="47815"/>
    <cellStyle name="Normal 10 2 2 2 2 2 5" xfId="47816"/>
    <cellStyle name="Normal 10 2 2 2 2 3" xfId="47817"/>
    <cellStyle name="Normal 10 2 2 2 2 3 2" xfId="47818"/>
    <cellStyle name="Normal 10 2 2 2 2 3 2 2" xfId="47819"/>
    <cellStyle name="Normal 10 2 2 2 2 3 2 2 2" xfId="47820"/>
    <cellStyle name="Normal 10 2 2 2 2 3 2 3" xfId="47821"/>
    <cellStyle name="Normal 10 2 2 2 2 3 3" xfId="47822"/>
    <cellStyle name="Normal 10 2 2 2 2 3 3 2" xfId="47823"/>
    <cellStyle name="Normal 10 2 2 2 2 3 3 2 2" xfId="47824"/>
    <cellStyle name="Normal 10 2 2 2 2 3 3 3" xfId="47825"/>
    <cellStyle name="Normal 10 2 2 2 2 3 4" xfId="47826"/>
    <cellStyle name="Normal 10 2 2 2 2 3 4 2" xfId="47827"/>
    <cellStyle name="Normal 10 2 2 2 2 3 5" xfId="47828"/>
    <cellStyle name="Normal 10 2 2 2 2 4" xfId="47829"/>
    <cellStyle name="Normal 10 2 2 2 2 4 2" xfId="47830"/>
    <cellStyle name="Normal 10 2 2 2 2 4 2 2" xfId="47831"/>
    <cellStyle name="Normal 10 2 2 2 2 4 3" xfId="47832"/>
    <cellStyle name="Normal 10 2 2 2 2 5" xfId="47833"/>
    <cellStyle name="Normal 10 2 2 2 2 5 2" xfId="47834"/>
    <cellStyle name="Normal 10 2 2 2 2 5 2 2" xfId="47835"/>
    <cellStyle name="Normal 10 2 2 2 2 5 3" xfId="47836"/>
    <cellStyle name="Normal 10 2 2 2 2 6" xfId="47837"/>
    <cellStyle name="Normal 10 2 2 2 2 6 2" xfId="47838"/>
    <cellStyle name="Normal 10 2 2 2 2 7" xfId="47839"/>
    <cellStyle name="Normal 10 2 2 2 3" xfId="47840"/>
    <cellStyle name="Normal 10 2 2 2 3 2" xfId="47841"/>
    <cellStyle name="Normal 10 2 2 2 3 2 2" xfId="47842"/>
    <cellStyle name="Normal 10 2 2 2 3 3" xfId="47843"/>
    <cellStyle name="Normal 10 2 2 2 4" xfId="47844"/>
    <cellStyle name="Normal 10 2 2 2 4 2" xfId="47845"/>
    <cellStyle name="Normal 10 2 2 2 4 2 2" xfId="47846"/>
    <cellStyle name="Normal 10 2 2 2 4 3" xfId="47847"/>
    <cellStyle name="Normal 10 2 2 2 5" xfId="47848"/>
    <cellStyle name="Normal 10 2 2 2 5 2" xfId="47849"/>
    <cellStyle name="Normal 10 2 2 2 6" xfId="47850"/>
    <cellStyle name="Normal 10 2 2 3" xfId="47851"/>
    <cellStyle name="Normal 10 2 2 3 2" xfId="47852"/>
    <cellStyle name="Normal 10 2 2 3 2 2" xfId="47853"/>
    <cellStyle name="Normal 10 2 2 3 2 2 2" xfId="47854"/>
    <cellStyle name="Normal 10 2 2 3 2 2 3" xfId="47855"/>
    <cellStyle name="Normal 10 2 2 3 2 3" xfId="47856"/>
    <cellStyle name="Normal 10 2 2 3 2 4" xfId="47857"/>
    <cellStyle name="Normal 10 2 2 3 3" xfId="47858"/>
    <cellStyle name="Normal 10 2 2 3 3 2" xfId="47859"/>
    <cellStyle name="Normal 10 2 2 3 3 3" xfId="47860"/>
    <cellStyle name="Normal 10 2 2 3 4" xfId="47861"/>
    <cellStyle name="Normal 10 2 2 3 4 2" xfId="47862"/>
    <cellStyle name="Normal 10 2 2 3 4 3" xfId="47863"/>
    <cellStyle name="Normal 10 2 2 3 5" xfId="47864"/>
    <cellStyle name="Normal 10 2 2 3 6" xfId="47865"/>
    <cellStyle name="Normal 10 2 2 4" xfId="47866"/>
    <cellStyle name="Normal 10 2 2 4 2" xfId="47867"/>
    <cellStyle name="Normal 10 2 2 4 2 2" xfId="47868"/>
    <cellStyle name="Normal 10 2 2 4 2 3" xfId="47869"/>
    <cellStyle name="Normal 10 2 2 4 3" xfId="47870"/>
    <cellStyle name="Normal 10 2 2 4 4" xfId="47871"/>
    <cellStyle name="Normal 10 2 2 5" xfId="47872"/>
    <cellStyle name="Normal 10 2 2 5 2" xfId="47873"/>
    <cellStyle name="Normal 10 2 2 5 3" xfId="47874"/>
    <cellStyle name="Normal 10 2 2 6" xfId="47875"/>
    <cellStyle name="Normal 10 2 2 6 2" xfId="47876"/>
    <cellStyle name="Normal 10 2 2 6 3" xfId="47877"/>
    <cellStyle name="Normal 10 2 2 7" xfId="47878"/>
    <cellStyle name="Normal 10 2 2 8" xfId="47879"/>
    <cellStyle name="Normal 10 2 3" xfId="47880"/>
    <cellStyle name="Normal 10 2 3 2" xfId="47881"/>
    <cellStyle name="Normal 10 2 3 2 2" xfId="47882"/>
    <cellStyle name="Normal 10 2 3 2 2 2" xfId="47883"/>
    <cellStyle name="Normal 10 2 3 2 2 2 2" xfId="47884"/>
    <cellStyle name="Normal 10 2 3 2 2 2 2 2" xfId="47885"/>
    <cellStyle name="Normal 10 2 3 2 2 2 2 2 2" xfId="47886"/>
    <cellStyle name="Normal 10 2 3 2 2 2 2 3" xfId="47887"/>
    <cellStyle name="Normal 10 2 3 2 2 2 3" xfId="47888"/>
    <cellStyle name="Normal 10 2 3 2 2 2 3 2" xfId="47889"/>
    <cellStyle name="Normal 10 2 3 2 2 2 3 2 2" xfId="47890"/>
    <cellStyle name="Normal 10 2 3 2 2 2 3 3" xfId="47891"/>
    <cellStyle name="Normal 10 2 3 2 2 2 4" xfId="47892"/>
    <cellStyle name="Normal 10 2 3 2 2 2 4 2" xfId="47893"/>
    <cellStyle name="Normal 10 2 3 2 2 2 5" xfId="47894"/>
    <cellStyle name="Normal 10 2 3 2 2 3" xfId="47895"/>
    <cellStyle name="Normal 10 2 3 2 2 3 2" xfId="47896"/>
    <cellStyle name="Normal 10 2 3 2 2 3 2 2" xfId="47897"/>
    <cellStyle name="Normal 10 2 3 2 2 3 3" xfId="47898"/>
    <cellStyle name="Normal 10 2 3 2 2 4" xfId="47899"/>
    <cellStyle name="Normal 10 2 3 2 2 4 2" xfId="47900"/>
    <cellStyle name="Normal 10 2 3 2 2 4 2 2" xfId="47901"/>
    <cellStyle name="Normal 10 2 3 2 2 4 3" xfId="47902"/>
    <cellStyle name="Normal 10 2 3 2 2 5" xfId="47903"/>
    <cellStyle name="Normal 10 2 3 2 2 5 2" xfId="47904"/>
    <cellStyle name="Normal 10 2 3 2 2 6" xfId="47905"/>
    <cellStyle name="Normal 10 2 3 2 3" xfId="47906"/>
    <cellStyle name="Normal 10 2 3 2 3 2" xfId="47907"/>
    <cellStyle name="Normal 10 2 3 2 3 2 2" xfId="47908"/>
    <cellStyle name="Normal 10 2 3 2 3 3" xfId="47909"/>
    <cellStyle name="Normal 10 2 3 2 4" xfId="47910"/>
    <cellStyle name="Normal 10 2 3 2 4 2" xfId="47911"/>
    <cellStyle name="Normal 10 2 3 2 4 2 2" xfId="47912"/>
    <cellStyle name="Normal 10 2 3 2 4 3" xfId="47913"/>
    <cellStyle name="Normal 10 2 3 2 5" xfId="47914"/>
    <cellStyle name="Normal 10 2 3 2 5 2" xfId="47915"/>
    <cellStyle name="Normal 10 2 3 2 6" xfId="47916"/>
    <cellStyle name="Normal 10 2 3 3" xfId="47917"/>
    <cellStyle name="Normal 10 2 3 3 2" xfId="47918"/>
    <cellStyle name="Normal 10 2 3 3 2 2" xfId="47919"/>
    <cellStyle name="Normal 10 2 3 3 3" xfId="47920"/>
    <cellStyle name="Normal 10 2 3 4" xfId="47921"/>
    <cellStyle name="Normal 10 2 3 4 2" xfId="47922"/>
    <cellStyle name="Normal 10 2 3 4 2 2" xfId="47923"/>
    <cellStyle name="Normal 10 2 3 4 3" xfId="47924"/>
    <cellStyle name="Normal 10 2 3 5" xfId="47925"/>
    <cellStyle name="Normal 10 2 3 5 2" xfId="47926"/>
    <cellStyle name="Normal 10 2 3 6" xfId="47927"/>
    <cellStyle name="Normal 10 2 4" xfId="47928"/>
    <cellStyle name="Normal 10 2 4 2" xfId="47929"/>
    <cellStyle name="Normal 10 2 4 2 2" xfId="47930"/>
    <cellStyle name="Normal 10 2 4 2 2 2" xfId="47931"/>
    <cellStyle name="Normal 10 2 4 2 2 3" xfId="47932"/>
    <cellStyle name="Normal 10 2 4 2 3" xfId="47933"/>
    <cellStyle name="Normal 10 2 4 2 4" xfId="47934"/>
    <cellStyle name="Normal 10 2 4 3" xfId="47935"/>
    <cellStyle name="Normal 10 2 4 3 2" xfId="47936"/>
    <cellStyle name="Normal 10 2 4 3 3" xfId="47937"/>
    <cellStyle name="Normal 10 2 4 4" xfId="47938"/>
    <cellStyle name="Normal 10 2 4 4 2" xfId="47939"/>
    <cellStyle name="Normal 10 2 4 4 3" xfId="47940"/>
    <cellStyle name="Normal 10 2 4 5" xfId="47941"/>
    <cellStyle name="Normal 10 2 4 6" xfId="47942"/>
    <cellStyle name="Normal 10 2 5" xfId="47943"/>
    <cellStyle name="Normal 10 2 5 2" xfId="47944"/>
    <cellStyle name="Normal 10 2 5 2 2" xfId="47945"/>
    <cellStyle name="Normal 10 2 5 2 3" xfId="47946"/>
    <cellStyle name="Normal 10 2 5 3" xfId="47947"/>
    <cellStyle name="Normal 10 2 5 4" xfId="47948"/>
    <cellStyle name="Normal 10 2 6" xfId="47949"/>
    <cellStyle name="Normal 10 2 6 2" xfId="47950"/>
    <cellStyle name="Normal 10 2 6 2 2" xfId="47951"/>
    <cellStyle name="Normal 10 2 6 2 3" xfId="47952"/>
    <cellStyle name="Normal 10 2 6 3" xfId="47953"/>
    <cellStyle name="Normal 10 2 6 4" xfId="47954"/>
    <cellStyle name="Normal 10 2 7" xfId="47955"/>
    <cellStyle name="Normal 10 2 7 2" xfId="47956"/>
    <cellStyle name="Normal 10 2 7 3" xfId="47957"/>
    <cellStyle name="Normal 10 2 8" xfId="47958"/>
    <cellStyle name="Normal 10 2 8 2" xfId="47959"/>
    <cellStyle name="Normal 10 2 8 3" xfId="47960"/>
    <cellStyle name="Normal 10 2 9" xfId="47961"/>
    <cellStyle name="Normal 10 3" xfId="47962"/>
    <cellStyle name="Normal 10 3 2" xfId="47963"/>
    <cellStyle name="Normal 10 3 2 2" xfId="47964"/>
    <cellStyle name="Normal 10 3 2 2 2" xfId="47965"/>
    <cellStyle name="Normal 10 3 2 2 2 2" xfId="47966"/>
    <cellStyle name="Normal 10 3 2 2 2 3" xfId="47967"/>
    <cellStyle name="Normal 10 3 2 2 3" xfId="47968"/>
    <cellStyle name="Normal 10 3 2 2 4" xfId="47969"/>
    <cellStyle name="Normal 10 3 2 3" xfId="47970"/>
    <cellStyle name="Normal 10 3 2 3 2" xfId="47971"/>
    <cellStyle name="Normal 10 3 2 3 3" xfId="47972"/>
    <cellStyle name="Normal 10 3 2 4" xfId="47973"/>
    <cellStyle name="Normal 10 3 2 4 2" xfId="47974"/>
    <cellStyle name="Normal 10 3 2 4 3" xfId="47975"/>
    <cellStyle name="Normal 10 3 2 5" xfId="47976"/>
    <cellStyle name="Normal 10 3 2 6" xfId="47977"/>
    <cellStyle name="Normal 10 3 3" xfId="47978"/>
    <cellStyle name="Normal 10 3 3 2" xfId="47979"/>
    <cellStyle name="Normal 10 3 3 2 2" xfId="47980"/>
    <cellStyle name="Normal 10 3 3 2 2 2" xfId="47981"/>
    <cellStyle name="Normal 10 3 3 2 2 3" xfId="47982"/>
    <cellStyle name="Normal 10 3 3 2 3" xfId="47983"/>
    <cellStyle name="Normal 10 3 3 2 4" xfId="47984"/>
    <cellStyle name="Normal 10 3 3 3" xfId="47985"/>
    <cellStyle name="Normal 10 3 3 3 2" xfId="47986"/>
    <cellStyle name="Normal 10 3 3 3 3" xfId="47987"/>
    <cellStyle name="Normal 10 3 3 4" xfId="47988"/>
    <cellStyle name="Normal 10 3 3 4 2" xfId="47989"/>
    <cellStyle name="Normal 10 3 3 4 3" xfId="47990"/>
    <cellStyle name="Normal 10 3 3 5" xfId="47991"/>
    <cellStyle name="Normal 10 3 3 6" xfId="47992"/>
    <cellStyle name="Normal 10 3 4" xfId="47993"/>
    <cellStyle name="Normal 10 3 4 2" xfId="47994"/>
    <cellStyle name="Normal 10 3 4 2 2" xfId="47995"/>
    <cellStyle name="Normal 10 3 4 2 3" xfId="47996"/>
    <cellStyle name="Normal 10 3 4 3" xfId="47997"/>
    <cellStyle name="Normal 10 3 4 4" xfId="47998"/>
    <cellStyle name="Normal 10 3 5" xfId="47999"/>
    <cellStyle name="Normal 10 3 5 2" xfId="48000"/>
    <cellStyle name="Normal 10 3 5 3" xfId="48001"/>
    <cellStyle name="Normal 10 3 6" xfId="48002"/>
    <cellStyle name="Normal 10 3 6 2" xfId="48003"/>
    <cellStyle name="Normal 10 3 6 3" xfId="48004"/>
    <cellStyle name="Normal 10 3 7" xfId="48005"/>
    <cellStyle name="Normal 10 3 8" xfId="48006"/>
    <cellStyle name="Normal 10 4" xfId="48007"/>
    <cellStyle name="Normal 10 4 2" xfId="48008"/>
    <cellStyle name="Normal 10 4 2 2" xfId="48009"/>
    <cellStyle name="Normal 10 4 2 2 2" xfId="48010"/>
    <cellStyle name="Normal 10 4 2 2 3" xfId="48011"/>
    <cellStyle name="Normal 10 4 2 3" xfId="48012"/>
    <cellStyle name="Normal 10 4 2 4" xfId="48013"/>
    <cellStyle name="Normal 10 4 3" xfId="48014"/>
    <cellStyle name="Normal 10 4 3 2" xfId="48015"/>
    <cellStyle name="Normal 10 4 3 3" xfId="48016"/>
    <cellStyle name="Normal 10 4 4" xfId="48017"/>
    <cellStyle name="Normal 10 4 4 2" xfId="48018"/>
    <cellStyle name="Normal 10 4 4 3" xfId="48019"/>
    <cellStyle name="Normal 10 4 5" xfId="48020"/>
    <cellStyle name="Normal 10 4 6" xfId="48021"/>
    <cellStyle name="Normal 10 5" xfId="48022"/>
    <cellStyle name="Normal 10 5 2" xfId="48023"/>
    <cellStyle name="Normal 10 5 2 2" xfId="48024"/>
    <cellStyle name="Normal 10 5 2 2 2" xfId="48025"/>
    <cellStyle name="Normal 10 5 2 2 3" xfId="48026"/>
    <cellStyle name="Normal 10 5 2 3" xfId="48027"/>
    <cellStyle name="Normal 10 5 2 4" xfId="48028"/>
    <cellStyle name="Normal 10 5 3" xfId="48029"/>
    <cellStyle name="Normal 10 5 3 2" xfId="48030"/>
    <cellStyle name="Normal 10 5 3 3" xfId="48031"/>
    <cellStyle name="Normal 10 5 4" xfId="48032"/>
    <cellStyle name="Normal 10 5 4 2" xfId="48033"/>
    <cellStyle name="Normal 10 5 4 3" xfId="48034"/>
    <cellStyle name="Normal 10 5 5" xfId="48035"/>
    <cellStyle name="Normal 10 5 6" xfId="48036"/>
    <cellStyle name="Normal 10 6" xfId="48037"/>
    <cellStyle name="Normal 10 6 2" xfId="48038"/>
    <cellStyle name="Normal 10 6 2 2" xfId="48039"/>
    <cellStyle name="Normal 10 6 2 3" xfId="48040"/>
    <cellStyle name="Normal 10 6 3" xfId="48041"/>
    <cellStyle name="Normal 10 6 4" xfId="48042"/>
    <cellStyle name="Normal 10 7" xfId="48043"/>
    <cellStyle name="Normal 10 7 2" xfId="48044"/>
    <cellStyle name="Normal 10 7 2 2" xfId="48045"/>
    <cellStyle name="Normal 10 7 2 3" xfId="48046"/>
    <cellStyle name="Normal 10 7 3" xfId="48047"/>
    <cellStyle name="Normal 10 7 4" xfId="48048"/>
    <cellStyle name="Normal 10 8" xfId="48049"/>
    <cellStyle name="Normal 10 8 2" xfId="48050"/>
    <cellStyle name="Normal 10 8 3" xfId="48051"/>
    <cellStyle name="Normal 10 9" xfId="48052"/>
    <cellStyle name="Normal 10 9 2" xfId="48053"/>
    <cellStyle name="Normal 10 9 3" xfId="48054"/>
    <cellStyle name="Normal 10_EDFCS Status Monster" xfId="48055"/>
    <cellStyle name="Normal 100" xfId="48056"/>
    <cellStyle name="Normal 100 2" xfId="48057"/>
    <cellStyle name="Normal 100 2 2" xfId="48058"/>
    <cellStyle name="Normal 100 2 3" xfId="48059"/>
    <cellStyle name="Normal 100 2 4" xfId="48060"/>
    <cellStyle name="Normal 100 2 5" xfId="48061"/>
    <cellStyle name="Normal 100 3" xfId="48062"/>
    <cellStyle name="Normal 100 3 2" xfId="48063"/>
    <cellStyle name="Normal 100 3 3" xfId="48064"/>
    <cellStyle name="Normal 100 4" xfId="48065"/>
    <cellStyle name="Normal 100 5" xfId="48066"/>
    <cellStyle name="Normal 101" xfId="48067"/>
    <cellStyle name="Normal 101 2" xfId="48068"/>
    <cellStyle name="Normal 101 2 2" xfId="48069"/>
    <cellStyle name="Normal 101 2 3" xfId="48070"/>
    <cellStyle name="Normal 101 3" xfId="48071"/>
    <cellStyle name="Normal 101 3 2" xfId="48072"/>
    <cellStyle name="Normal 101 3 3" xfId="48073"/>
    <cellStyle name="Normal 101 4" xfId="48074"/>
    <cellStyle name="Normal 101 5" xfId="48075"/>
    <cellStyle name="Normal 102" xfId="48076"/>
    <cellStyle name="Normal 102 2" xfId="48077"/>
    <cellStyle name="Normal 102 2 2" xfId="48078"/>
    <cellStyle name="Normal 102 2 3" xfId="48079"/>
    <cellStyle name="Normal 102 3" xfId="48080"/>
    <cellStyle name="Normal 102 3 2" xfId="48081"/>
    <cellStyle name="Normal 102 3 3" xfId="48082"/>
    <cellStyle name="Normal 102 4" xfId="48083"/>
    <cellStyle name="Normal 102 5" xfId="48084"/>
    <cellStyle name="Normal 103" xfId="48085"/>
    <cellStyle name="Normal 103 2" xfId="48086"/>
    <cellStyle name="Normal 103 2 2" xfId="48087"/>
    <cellStyle name="Normal 103 2 3" xfId="48088"/>
    <cellStyle name="Normal 103 3" xfId="48089"/>
    <cellStyle name="Normal 103 3 2" xfId="48090"/>
    <cellStyle name="Normal 103 3 3" xfId="48091"/>
    <cellStyle name="Normal 103 4" xfId="48092"/>
    <cellStyle name="Normal 103 5" xfId="48093"/>
    <cellStyle name="Normal 104" xfId="48094"/>
    <cellStyle name="Normal 104 2" xfId="48095"/>
    <cellStyle name="Normal 104 2 2" xfId="48096"/>
    <cellStyle name="Normal 104 2 3" xfId="48097"/>
    <cellStyle name="Normal 104 3" xfId="48098"/>
    <cellStyle name="Normal 104 3 2" xfId="48099"/>
    <cellStyle name="Normal 104 3 3" xfId="48100"/>
    <cellStyle name="Normal 104 4" xfId="48101"/>
    <cellStyle name="Normal 104 5" xfId="48102"/>
    <cellStyle name="Normal 105" xfId="48103"/>
    <cellStyle name="Normal 105 2" xfId="48104"/>
    <cellStyle name="Normal 105 2 2" xfId="48105"/>
    <cellStyle name="Normal 105 2 3" xfId="48106"/>
    <cellStyle name="Normal 105 3" xfId="48107"/>
    <cellStyle name="Normal 105 3 2" xfId="48108"/>
    <cellStyle name="Normal 105 3 3" xfId="48109"/>
    <cellStyle name="Normal 105 4" xfId="48110"/>
    <cellStyle name="Normal 105 5" xfId="48111"/>
    <cellStyle name="Normal 106" xfId="48112"/>
    <cellStyle name="Normal 106 2" xfId="48113"/>
    <cellStyle name="Normal 106 2 2" xfId="48114"/>
    <cellStyle name="Normal 106 2 3" xfId="48115"/>
    <cellStyle name="Normal 106 3" xfId="48116"/>
    <cellStyle name="Normal 106 3 2" xfId="48117"/>
    <cellStyle name="Normal 106 3 3" xfId="48118"/>
    <cellStyle name="Normal 106 4" xfId="48119"/>
    <cellStyle name="Normal 106 5" xfId="48120"/>
    <cellStyle name="Normal 107" xfId="48121"/>
    <cellStyle name="Normal 107 2" xfId="48122"/>
    <cellStyle name="Normal 107 2 2" xfId="48123"/>
    <cellStyle name="Normal 107 2 3" xfId="48124"/>
    <cellStyle name="Normal 107 3" xfId="48125"/>
    <cellStyle name="Normal 107 3 2" xfId="48126"/>
    <cellStyle name="Normal 107 3 3" xfId="48127"/>
    <cellStyle name="Normal 107 4" xfId="48128"/>
    <cellStyle name="Normal 107 5" xfId="48129"/>
    <cellStyle name="Normal 108" xfId="48130"/>
    <cellStyle name="Normal 108 2" xfId="48131"/>
    <cellStyle name="Normal 108 2 2" xfId="48132"/>
    <cellStyle name="Normal 108 2 3" xfId="48133"/>
    <cellStyle name="Normal 108 3" xfId="48134"/>
    <cellStyle name="Normal 108 3 2" xfId="48135"/>
    <cellStyle name="Normal 108 3 3" xfId="48136"/>
    <cellStyle name="Normal 108 4" xfId="48137"/>
    <cellStyle name="Normal 108 5" xfId="48138"/>
    <cellStyle name="Normal 109" xfId="48139"/>
    <cellStyle name="Normal 109 2" xfId="48140"/>
    <cellStyle name="Normal 109 2 2" xfId="48141"/>
    <cellStyle name="Normal 109 2 3" xfId="48142"/>
    <cellStyle name="Normal 109 3" xfId="48143"/>
    <cellStyle name="Normal 109 3 2" xfId="48144"/>
    <cellStyle name="Normal 109 3 3" xfId="48145"/>
    <cellStyle name="Normal 109 4" xfId="48146"/>
    <cellStyle name="Normal 109 5" xfId="48147"/>
    <cellStyle name="Normal 109 6" xfId="48148"/>
    <cellStyle name="Normal 11" xfId="48149"/>
    <cellStyle name="Normal 11 10" xfId="48150"/>
    <cellStyle name="Normal 11 10 2" xfId="48151"/>
    <cellStyle name="Normal 11 10 3" xfId="48152"/>
    <cellStyle name="Normal 11 11" xfId="48153"/>
    <cellStyle name="Normal 11 12" xfId="48154"/>
    <cellStyle name="Normal 11 2" xfId="48155"/>
    <cellStyle name="Normal 11 2 10" xfId="48156"/>
    <cellStyle name="Normal 11 2 2" xfId="48157"/>
    <cellStyle name="Normal 11 2 2 2" xfId="48158"/>
    <cellStyle name="Normal 11 2 2 2 2" xfId="48159"/>
    <cellStyle name="Normal 11 2 2 2 2 2" xfId="48160"/>
    <cellStyle name="Normal 11 2 2 2 2 2 2" xfId="48161"/>
    <cellStyle name="Normal 11 2 2 2 2 2 3" xfId="48162"/>
    <cellStyle name="Normal 11 2 2 2 2 3" xfId="48163"/>
    <cellStyle name="Normal 11 2 2 2 2 4" xfId="48164"/>
    <cellStyle name="Normal 11 2 2 2 3" xfId="48165"/>
    <cellStyle name="Normal 11 2 2 2 3 2" xfId="48166"/>
    <cellStyle name="Normal 11 2 2 2 3 3" xfId="48167"/>
    <cellStyle name="Normal 11 2 2 2 4" xfId="48168"/>
    <cellStyle name="Normal 11 2 2 2 4 2" xfId="48169"/>
    <cellStyle name="Normal 11 2 2 2 4 3" xfId="48170"/>
    <cellStyle name="Normal 11 2 2 2 5" xfId="48171"/>
    <cellStyle name="Normal 11 2 2 2 6" xfId="48172"/>
    <cellStyle name="Normal 11 2 2 3" xfId="48173"/>
    <cellStyle name="Normal 11 2 2 3 2" xfId="48174"/>
    <cellStyle name="Normal 11 2 2 3 2 2" xfId="48175"/>
    <cellStyle name="Normal 11 2 2 3 2 2 2" xfId="48176"/>
    <cellStyle name="Normal 11 2 2 3 2 2 3" xfId="48177"/>
    <cellStyle name="Normal 11 2 2 3 2 3" xfId="48178"/>
    <cellStyle name="Normal 11 2 2 3 2 4" xfId="48179"/>
    <cellStyle name="Normal 11 2 2 3 3" xfId="48180"/>
    <cellStyle name="Normal 11 2 2 3 3 2" xfId="48181"/>
    <cellStyle name="Normal 11 2 2 3 3 3" xfId="48182"/>
    <cellStyle name="Normal 11 2 2 3 4" xfId="48183"/>
    <cellStyle name="Normal 11 2 2 3 4 2" xfId="48184"/>
    <cellStyle name="Normal 11 2 2 3 4 3" xfId="48185"/>
    <cellStyle name="Normal 11 2 2 3 5" xfId="48186"/>
    <cellStyle name="Normal 11 2 2 3 6" xfId="48187"/>
    <cellStyle name="Normal 11 2 2 4" xfId="48188"/>
    <cellStyle name="Normal 11 2 2 4 2" xfId="48189"/>
    <cellStyle name="Normal 11 2 2 4 2 2" xfId="48190"/>
    <cellStyle name="Normal 11 2 2 4 2 3" xfId="48191"/>
    <cellStyle name="Normal 11 2 2 4 3" xfId="48192"/>
    <cellStyle name="Normal 11 2 2 4 4" xfId="48193"/>
    <cellStyle name="Normal 11 2 2 5" xfId="48194"/>
    <cellStyle name="Normal 11 2 2 5 2" xfId="48195"/>
    <cellStyle name="Normal 11 2 2 5 3" xfId="48196"/>
    <cellStyle name="Normal 11 2 2 6" xfId="48197"/>
    <cellStyle name="Normal 11 2 2 6 2" xfId="48198"/>
    <cellStyle name="Normal 11 2 2 6 3" xfId="48199"/>
    <cellStyle name="Normal 11 2 2 7" xfId="48200"/>
    <cellStyle name="Normal 11 2 2 8" xfId="48201"/>
    <cellStyle name="Normal 11 2 3" xfId="48202"/>
    <cellStyle name="Normal 11 2 3 2" xfId="48203"/>
    <cellStyle name="Normal 11 2 3 2 2" xfId="48204"/>
    <cellStyle name="Normal 11 2 3 2 2 2" xfId="48205"/>
    <cellStyle name="Normal 11 2 3 2 2 3" xfId="48206"/>
    <cellStyle name="Normal 11 2 3 2 3" xfId="48207"/>
    <cellStyle name="Normal 11 2 3 2 4" xfId="48208"/>
    <cellStyle name="Normal 11 2 3 3" xfId="48209"/>
    <cellStyle name="Normal 11 2 3 3 2" xfId="48210"/>
    <cellStyle name="Normal 11 2 3 3 3" xfId="48211"/>
    <cellStyle name="Normal 11 2 3 4" xfId="48212"/>
    <cellStyle name="Normal 11 2 3 4 2" xfId="48213"/>
    <cellStyle name="Normal 11 2 3 4 3" xfId="48214"/>
    <cellStyle name="Normal 11 2 3 5" xfId="48215"/>
    <cellStyle name="Normal 11 2 3 6" xfId="48216"/>
    <cellStyle name="Normal 11 2 4" xfId="48217"/>
    <cellStyle name="Normal 11 2 4 2" xfId="48218"/>
    <cellStyle name="Normal 11 2 4 2 2" xfId="48219"/>
    <cellStyle name="Normal 11 2 4 2 2 2" xfId="48220"/>
    <cellStyle name="Normal 11 2 4 2 2 3" xfId="48221"/>
    <cellStyle name="Normal 11 2 4 2 3" xfId="48222"/>
    <cellStyle name="Normal 11 2 4 2 4" xfId="48223"/>
    <cellStyle name="Normal 11 2 4 3" xfId="48224"/>
    <cellStyle name="Normal 11 2 4 3 2" xfId="48225"/>
    <cellStyle name="Normal 11 2 4 3 3" xfId="48226"/>
    <cellStyle name="Normal 11 2 4 4" xfId="48227"/>
    <cellStyle name="Normal 11 2 4 4 2" xfId="48228"/>
    <cellStyle name="Normal 11 2 4 4 3" xfId="48229"/>
    <cellStyle name="Normal 11 2 4 5" xfId="48230"/>
    <cellStyle name="Normal 11 2 4 6" xfId="48231"/>
    <cellStyle name="Normal 11 2 5" xfId="48232"/>
    <cellStyle name="Normal 11 2 5 2" xfId="48233"/>
    <cellStyle name="Normal 11 2 5 2 2" xfId="48234"/>
    <cellStyle name="Normal 11 2 5 2 3" xfId="48235"/>
    <cellStyle name="Normal 11 2 5 3" xfId="48236"/>
    <cellStyle name="Normal 11 2 5 4" xfId="48237"/>
    <cellStyle name="Normal 11 2 6" xfId="48238"/>
    <cellStyle name="Normal 11 2 6 2" xfId="48239"/>
    <cellStyle name="Normal 11 2 6 2 2" xfId="48240"/>
    <cellStyle name="Normal 11 2 6 2 3" xfId="48241"/>
    <cellStyle name="Normal 11 2 6 3" xfId="48242"/>
    <cellStyle name="Normal 11 2 6 4" xfId="48243"/>
    <cellStyle name="Normal 11 2 7" xfId="48244"/>
    <cellStyle name="Normal 11 2 7 2" xfId="48245"/>
    <cellStyle name="Normal 11 2 7 3" xfId="48246"/>
    <cellStyle name="Normal 11 2 8" xfId="48247"/>
    <cellStyle name="Normal 11 2 8 2" xfId="48248"/>
    <cellStyle name="Normal 11 2 8 3" xfId="48249"/>
    <cellStyle name="Normal 11 2 9" xfId="48250"/>
    <cellStyle name="Normal 11 3" xfId="48251"/>
    <cellStyle name="Normal 11 3 2" xfId="48252"/>
    <cellStyle name="Normal 11 3 2 2" xfId="48253"/>
    <cellStyle name="Normal 11 3 2 2 2" xfId="48254"/>
    <cellStyle name="Normal 11 3 2 2 2 2" xfId="48255"/>
    <cellStyle name="Normal 11 3 2 2 2 3" xfId="48256"/>
    <cellStyle name="Normal 11 3 2 2 3" xfId="48257"/>
    <cellStyle name="Normal 11 3 2 2 4" xfId="48258"/>
    <cellStyle name="Normal 11 3 2 3" xfId="48259"/>
    <cellStyle name="Normal 11 3 2 3 2" xfId="48260"/>
    <cellStyle name="Normal 11 3 2 3 3" xfId="48261"/>
    <cellStyle name="Normal 11 3 2 4" xfId="48262"/>
    <cellStyle name="Normal 11 3 2 4 2" xfId="48263"/>
    <cellStyle name="Normal 11 3 2 4 3" xfId="48264"/>
    <cellStyle name="Normal 11 3 2 5" xfId="48265"/>
    <cellStyle name="Normal 11 3 2 6" xfId="48266"/>
    <cellStyle name="Normal 11 3 3" xfId="48267"/>
    <cellStyle name="Normal 11 3 3 2" xfId="48268"/>
    <cellStyle name="Normal 11 3 3 2 2" xfId="48269"/>
    <cellStyle name="Normal 11 3 3 2 2 2" xfId="48270"/>
    <cellStyle name="Normal 11 3 3 2 2 3" xfId="48271"/>
    <cellStyle name="Normal 11 3 3 2 3" xfId="48272"/>
    <cellStyle name="Normal 11 3 3 2 4" xfId="48273"/>
    <cellStyle name="Normal 11 3 3 3" xfId="48274"/>
    <cellStyle name="Normal 11 3 3 3 2" xfId="48275"/>
    <cellStyle name="Normal 11 3 3 3 3" xfId="48276"/>
    <cellStyle name="Normal 11 3 3 4" xfId="48277"/>
    <cellStyle name="Normal 11 3 3 4 2" xfId="48278"/>
    <cellStyle name="Normal 11 3 3 4 3" xfId="48279"/>
    <cellStyle name="Normal 11 3 3 5" xfId="48280"/>
    <cellStyle name="Normal 11 3 3 6" xfId="48281"/>
    <cellStyle name="Normal 11 3 4" xfId="48282"/>
    <cellStyle name="Normal 11 3 4 2" xfId="48283"/>
    <cellStyle name="Normal 11 3 4 2 2" xfId="48284"/>
    <cellStyle name="Normal 11 3 4 2 3" xfId="48285"/>
    <cellStyle name="Normal 11 3 4 3" xfId="48286"/>
    <cellStyle name="Normal 11 3 4 4" xfId="48287"/>
    <cellStyle name="Normal 11 3 5" xfId="48288"/>
    <cellStyle name="Normal 11 3 5 2" xfId="48289"/>
    <cellStyle name="Normal 11 3 5 3" xfId="48290"/>
    <cellStyle name="Normal 11 3 6" xfId="48291"/>
    <cellStyle name="Normal 11 3 6 2" xfId="48292"/>
    <cellStyle name="Normal 11 3 6 3" xfId="48293"/>
    <cellStyle name="Normal 11 3 7" xfId="48294"/>
    <cellStyle name="Normal 11 3 8" xfId="48295"/>
    <cellStyle name="Normal 11 4" xfId="48296"/>
    <cellStyle name="Normal 11 4 2" xfId="48297"/>
    <cellStyle name="Normal 11 4 2 2" xfId="48298"/>
    <cellStyle name="Normal 11 4 2 2 2" xfId="48299"/>
    <cellStyle name="Normal 11 4 2 2 3" xfId="48300"/>
    <cellStyle name="Normal 11 4 2 3" xfId="48301"/>
    <cellStyle name="Normal 11 4 2 4" xfId="48302"/>
    <cellStyle name="Normal 11 4 3" xfId="48303"/>
    <cellStyle name="Normal 11 4 3 2" xfId="48304"/>
    <cellStyle name="Normal 11 4 3 3" xfId="48305"/>
    <cellStyle name="Normal 11 4 4" xfId="48306"/>
    <cellStyle name="Normal 11 4 4 2" xfId="48307"/>
    <cellStyle name="Normal 11 4 4 3" xfId="48308"/>
    <cellStyle name="Normal 11 4 5" xfId="48309"/>
    <cellStyle name="Normal 11 4 6" xfId="48310"/>
    <cellStyle name="Normal 11 5" xfId="48311"/>
    <cellStyle name="Normal 11 5 2" xfId="48312"/>
    <cellStyle name="Normal 11 5 2 2" xfId="48313"/>
    <cellStyle name="Normal 11 5 2 2 2" xfId="48314"/>
    <cellStyle name="Normal 11 5 2 2 3" xfId="48315"/>
    <cellStyle name="Normal 11 5 2 3" xfId="48316"/>
    <cellStyle name="Normal 11 5 2 4" xfId="48317"/>
    <cellStyle name="Normal 11 5 3" xfId="48318"/>
    <cellStyle name="Normal 11 5 3 2" xfId="48319"/>
    <cellStyle name="Normal 11 5 3 3" xfId="48320"/>
    <cellStyle name="Normal 11 5 4" xfId="48321"/>
    <cellStyle name="Normal 11 5 4 2" xfId="48322"/>
    <cellStyle name="Normal 11 5 4 3" xfId="48323"/>
    <cellStyle name="Normal 11 5 5" xfId="48324"/>
    <cellStyle name="Normal 11 5 6" xfId="48325"/>
    <cellStyle name="Normal 11 6" xfId="48326"/>
    <cellStyle name="Normal 11 6 2" xfId="48327"/>
    <cellStyle name="Normal 11 6 2 2" xfId="48328"/>
    <cellStyle name="Normal 11 6 2 3" xfId="48329"/>
    <cellStyle name="Normal 11 6 3" xfId="48330"/>
    <cellStyle name="Normal 11 6 4" xfId="48331"/>
    <cellStyle name="Normal 11 6 5" xfId="48332"/>
    <cellStyle name="Normal 11 6 6" xfId="48333"/>
    <cellStyle name="Normal 11 7" xfId="48334"/>
    <cellStyle name="Normal 11 7 2" xfId="48335"/>
    <cellStyle name="Normal 11 7 2 2" xfId="48336"/>
    <cellStyle name="Normal 11 7 2 3" xfId="48337"/>
    <cellStyle name="Normal 11 7 3" xfId="48338"/>
    <cellStyle name="Normal 11 7 4" xfId="48339"/>
    <cellStyle name="Normal 11 8" xfId="48340"/>
    <cellStyle name="Normal 11 8 2" xfId="48341"/>
    <cellStyle name="Normal 11 8 3" xfId="48342"/>
    <cellStyle name="Normal 11 9" xfId="48343"/>
    <cellStyle name="Normal 11 9 2" xfId="48344"/>
    <cellStyle name="Normal 11 9 3" xfId="48345"/>
    <cellStyle name="Normal 11_T1_TP_MASTER_032112_Rev A" xfId="48346"/>
    <cellStyle name="Normal 110" xfId="48347"/>
    <cellStyle name="Normal 110 2" xfId="48348"/>
    <cellStyle name="Normal 110 2 2" xfId="48349"/>
    <cellStyle name="Normal 110 2 3" xfId="48350"/>
    <cellStyle name="Normal 110 3" xfId="48351"/>
    <cellStyle name="Normal 110 3 2" xfId="48352"/>
    <cellStyle name="Normal 110 3 3" xfId="48353"/>
    <cellStyle name="Normal 110 4" xfId="48354"/>
    <cellStyle name="Normal 110 5" xfId="48355"/>
    <cellStyle name="Normal 111" xfId="48356"/>
    <cellStyle name="Normal 111 2" xfId="48357"/>
    <cellStyle name="Normal 111 2 2" xfId="48358"/>
    <cellStyle name="Normal 111 2 3" xfId="48359"/>
    <cellStyle name="Normal 111 3" xfId="48360"/>
    <cellStyle name="Normal 111 3 2" xfId="48361"/>
    <cellStyle name="Normal 111 3 3" xfId="48362"/>
    <cellStyle name="Normal 111 4" xfId="48363"/>
    <cellStyle name="Normal 111 5" xfId="48364"/>
    <cellStyle name="Normal 112" xfId="48365"/>
    <cellStyle name="Normal 112 2" xfId="48366"/>
    <cellStyle name="Normal 112 2 2" xfId="48367"/>
    <cellStyle name="Normal 112 2 3" xfId="48368"/>
    <cellStyle name="Normal 112 3" xfId="48369"/>
    <cellStyle name="Normal 112 3 2" xfId="48370"/>
    <cellStyle name="Normal 112 3 3" xfId="48371"/>
    <cellStyle name="Normal 112 4" xfId="48372"/>
    <cellStyle name="Normal 112 5" xfId="48373"/>
    <cellStyle name="Normal 113" xfId="48374"/>
    <cellStyle name="Normal 113 2" xfId="48375"/>
    <cellStyle name="Normal 113 2 2" xfId="48376"/>
    <cellStyle name="Normal 113 2 3" xfId="48377"/>
    <cellStyle name="Normal 113 3" xfId="48378"/>
    <cellStyle name="Normal 113 3 2" xfId="48379"/>
    <cellStyle name="Normal 113 3 3" xfId="48380"/>
    <cellStyle name="Normal 113 4" xfId="48381"/>
    <cellStyle name="Normal 113 5" xfId="48382"/>
    <cellStyle name="Normal 114" xfId="48383"/>
    <cellStyle name="Normal 114 2" xfId="48384"/>
    <cellStyle name="Normal 114 2 2" xfId="48385"/>
    <cellStyle name="Normal 114 2 3" xfId="48386"/>
    <cellStyle name="Normal 114 3" xfId="48387"/>
    <cellStyle name="Normal 114 3 2" xfId="48388"/>
    <cellStyle name="Normal 114 3 3" xfId="48389"/>
    <cellStyle name="Normal 114 4" xfId="48390"/>
    <cellStyle name="Normal 114 5" xfId="48391"/>
    <cellStyle name="Normal 115" xfId="48392"/>
    <cellStyle name="Normal 115 2" xfId="48393"/>
    <cellStyle name="Normal 115 2 2" xfId="48394"/>
    <cellStyle name="Normal 115 2 3" xfId="48395"/>
    <cellStyle name="Normal 115 3" xfId="48396"/>
    <cellStyle name="Normal 115 3 2" xfId="48397"/>
    <cellStyle name="Normal 115 3 3" xfId="48398"/>
    <cellStyle name="Normal 115 4" xfId="48399"/>
    <cellStyle name="Normal 115 5" xfId="48400"/>
    <cellStyle name="Normal 116" xfId="48401"/>
    <cellStyle name="Normal 116 2" xfId="48402"/>
    <cellStyle name="Normal 116 2 2" xfId="48403"/>
    <cellStyle name="Normal 116 2 3" xfId="48404"/>
    <cellStyle name="Normal 116 3" xfId="48405"/>
    <cellStyle name="Normal 116 3 2" xfId="48406"/>
    <cellStyle name="Normal 116 3 3" xfId="48407"/>
    <cellStyle name="Normal 116 4" xfId="48408"/>
    <cellStyle name="Normal 116 5" xfId="48409"/>
    <cellStyle name="Normal 117" xfId="48410"/>
    <cellStyle name="Normal 117 2" xfId="48411"/>
    <cellStyle name="Normal 117 2 2" xfId="48412"/>
    <cellStyle name="Normal 117 2 3" xfId="48413"/>
    <cellStyle name="Normal 117 3" xfId="48414"/>
    <cellStyle name="Normal 117 3 2" xfId="48415"/>
    <cellStyle name="Normal 117 3 3" xfId="48416"/>
    <cellStyle name="Normal 117 4" xfId="48417"/>
    <cellStyle name="Normal 117 5" xfId="48418"/>
    <cellStyle name="Normal 118" xfId="48419"/>
    <cellStyle name="Normal 118 2" xfId="48420"/>
    <cellStyle name="Normal 118 2 2" xfId="48421"/>
    <cellStyle name="Normal 118 2 3" xfId="48422"/>
    <cellStyle name="Normal 118 3" xfId="48423"/>
    <cellStyle name="Normal 118 3 2" xfId="48424"/>
    <cellStyle name="Normal 118 3 3" xfId="48425"/>
    <cellStyle name="Normal 118 4" xfId="48426"/>
    <cellStyle name="Normal 118 5" xfId="48427"/>
    <cellStyle name="Normal 119" xfId="48428"/>
    <cellStyle name="Normal 119 2" xfId="48429"/>
    <cellStyle name="Normal 119 2 2" xfId="48430"/>
    <cellStyle name="Normal 119 2 3" xfId="48431"/>
    <cellStyle name="Normal 119 3" xfId="48432"/>
    <cellStyle name="Normal 119 3 2" xfId="48433"/>
    <cellStyle name="Normal 119 3 3" xfId="48434"/>
    <cellStyle name="Normal 119 4" xfId="48435"/>
    <cellStyle name="Normal 119 5" xfId="48436"/>
    <cellStyle name="Normal 12" xfId="48437"/>
    <cellStyle name="Normal 12 10" xfId="48438"/>
    <cellStyle name="Normal 12 11" xfId="48439"/>
    <cellStyle name="Normal 12 12" xfId="48440"/>
    <cellStyle name="Normal 12 2" xfId="48441"/>
    <cellStyle name="Normal 12 2 10" xfId="48442"/>
    <cellStyle name="Normal 12 2 2" xfId="48443"/>
    <cellStyle name="Normal 12 2 2 2" xfId="48444"/>
    <cellStyle name="Normal 12 2 2 2 2" xfId="48445"/>
    <cellStyle name="Normal 12 2 2 2 2 2" xfId="48446"/>
    <cellStyle name="Normal 12 2 2 2 2 2 2" xfId="48447"/>
    <cellStyle name="Normal 12 2 2 2 2 2 2 2" xfId="48448"/>
    <cellStyle name="Normal 12 2 2 2 2 2 3" xfId="48449"/>
    <cellStyle name="Normal 12 2 2 2 2 3" xfId="48450"/>
    <cellStyle name="Normal 12 2 2 2 2 3 2" xfId="48451"/>
    <cellStyle name="Normal 12 2 2 2 2 3 2 2" xfId="48452"/>
    <cellStyle name="Normal 12 2 2 2 2 3 3" xfId="48453"/>
    <cellStyle name="Normal 12 2 2 2 2 4" xfId="48454"/>
    <cellStyle name="Normal 12 2 2 2 2 4 2" xfId="48455"/>
    <cellStyle name="Normal 12 2 2 2 2 5" xfId="48456"/>
    <cellStyle name="Normal 12 2 2 2 3" xfId="48457"/>
    <cellStyle name="Normal 12 2 2 2 3 2" xfId="48458"/>
    <cellStyle name="Normal 12 2 2 2 3 2 2" xfId="48459"/>
    <cellStyle name="Normal 12 2 2 2 3 3" xfId="48460"/>
    <cellStyle name="Normal 12 2 2 2 4" xfId="48461"/>
    <cellStyle name="Normal 12 2 2 2 4 2" xfId="48462"/>
    <cellStyle name="Normal 12 2 2 2 4 2 2" xfId="48463"/>
    <cellStyle name="Normal 12 2 2 2 4 3" xfId="48464"/>
    <cellStyle name="Normal 12 2 2 2 5" xfId="48465"/>
    <cellStyle name="Normal 12 2 2 2 5 2" xfId="48466"/>
    <cellStyle name="Normal 12 2 2 2 6" xfId="48467"/>
    <cellStyle name="Normal 12 2 2 3" xfId="48468"/>
    <cellStyle name="Normal 12 2 2 3 2" xfId="48469"/>
    <cellStyle name="Normal 12 2 2 3 2 2" xfId="48470"/>
    <cellStyle name="Normal 12 2 2 3 2 2 2" xfId="48471"/>
    <cellStyle name="Normal 12 2 2 3 2 2 3" xfId="48472"/>
    <cellStyle name="Normal 12 2 2 3 2 3" xfId="48473"/>
    <cellStyle name="Normal 12 2 2 3 2 4" xfId="48474"/>
    <cellStyle name="Normal 12 2 2 3 3" xfId="48475"/>
    <cellStyle name="Normal 12 2 2 3 3 2" xfId="48476"/>
    <cellStyle name="Normal 12 2 2 3 3 3" xfId="48477"/>
    <cellStyle name="Normal 12 2 2 3 4" xfId="48478"/>
    <cellStyle name="Normal 12 2 2 3 4 2" xfId="48479"/>
    <cellStyle name="Normal 12 2 2 3 4 3" xfId="48480"/>
    <cellStyle name="Normal 12 2 2 3 5" xfId="48481"/>
    <cellStyle name="Normal 12 2 2 3 6" xfId="48482"/>
    <cellStyle name="Normal 12 2 2 4" xfId="48483"/>
    <cellStyle name="Normal 12 2 2 4 2" xfId="48484"/>
    <cellStyle name="Normal 12 2 2 4 2 2" xfId="48485"/>
    <cellStyle name="Normal 12 2 2 4 2 3" xfId="48486"/>
    <cellStyle name="Normal 12 2 2 4 3" xfId="48487"/>
    <cellStyle name="Normal 12 2 2 4 4" xfId="48488"/>
    <cellStyle name="Normal 12 2 2 5" xfId="48489"/>
    <cellStyle name="Normal 12 2 2 5 2" xfId="48490"/>
    <cellStyle name="Normal 12 2 2 5 3" xfId="48491"/>
    <cellStyle name="Normal 12 2 2 6" xfId="48492"/>
    <cellStyle name="Normal 12 2 2 6 2" xfId="48493"/>
    <cellStyle name="Normal 12 2 2 6 3" xfId="48494"/>
    <cellStyle name="Normal 12 2 2 7" xfId="48495"/>
    <cellStyle name="Normal 12 2 2 8" xfId="48496"/>
    <cellStyle name="Normal 12 2 3" xfId="48497"/>
    <cellStyle name="Normal 12 2 3 2" xfId="48498"/>
    <cellStyle name="Normal 12 2 3 2 2" xfId="48499"/>
    <cellStyle name="Normal 12 2 3 2 2 2" xfId="48500"/>
    <cellStyle name="Normal 12 2 3 2 2 3" xfId="48501"/>
    <cellStyle name="Normal 12 2 3 2 3" xfId="48502"/>
    <cellStyle name="Normal 12 2 3 2 4" xfId="48503"/>
    <cellStyle name="Normal 12 2 3 3" xfId="48504"/>
    <cellStyle name="Normal 12 2 3 3 2" xfId="48505"/>
    <cellStyle name="Normal 12 2 3 3 3" xfId="48506"/>
    <cellStyle name="Normal 12 2 3 4" xfId="48507"/>
    <cellStyle name="Normal 12 2 3 4 2" xfId="48508"/>
    <cellStyle name="Normal 12 2 3 4 3" xfId="48509"/>
    <cellStyle name="Normal 12 2 3 5" xfId="48510"/>
    <cellStyle name="Normal 12 2 3 6" xfId="48511"/>
    <cellStyle name="Normal 12 2 4" xfId="48512"/>
    <cellStyle name="Normal 12 2 4 2" xfId="48513"/>
    <cellStyle name="Normal 12 2 4 2 2" xfId="48514"/>
    <cellStyle name="Normal 12 2 4 2 2 2" xfId="48515"/>
    <cellStyle name="Normal 12 2 4 2 2 3" xfId="48516"/>
    <cellStyle name="Normal 12 2 4 2 3" xfId="48517"/>
    <cellStyle name="Normal 12 2 4 2 4" xfId="48518"/>
    <cellStyle name="Normal 12 2 4 3" xfId="48519"/>
    <cellStyle name="Normal 12 2 4 3 2" xfId="48520"/>
    <cellStyle name="Normal 12 2 4 3 3" xfId="48521"/>
    <cellStyle name="Normal 12 2 4 4" xfId="48522"/>
    <cellStyle name="Normal 12 2 4 4 2" xfId="48523"/>
    <cellStyle name="Normal 12 2 4 4 3" xfId="48524"/>
    <cellStyle name="Normal 12 2 4 5" xfId="48525"/>
    <cellStyle name="Normal 12 2 4 6" xfId="48526"/>
    <cellStyle name="Normal 12 2 5" xfId="48527"/>
    <cellStyle name="Normal 12 2 5 2" xfId="48528"/>
    <cellStyle name="Normal 12 2 5 2 2" xfId="48529"/>
    <cellStyle name="Normal 12 2 5 2 3" xfId="48530"/>
    <cellStyle name="Normal 12 2 5 3" xfId="48531"/>
    <cellStyle name="Normal 12 2 5 4" xfId="48532"/>
    <cellStyle name="Normal 12 2 6" xfId="48533"/>
    <cellStyle name="Normal 12 2 6 2" xfId="48534"/>
    <cellStyle name="Normal 12 2 6 2 2" xfId="48535"/>
    <cellStyle name="Normal 12 2 6 2 3" xfId="48536"/>
    <cellStyle name="Normal 12 2 6 3" xfId="48537"/>
    <cellStyle name="Normal 12 2 6 4" xfId="48538"/>
    <cellStyle name="Normal 12 2 7" xfId="48539"/>
    <cellStyle name="Normal 12 2 7 2" xfId="48540"/>
    <cellStyle name="Normal 12 2 7 3" xfId="48541"/>
    <cellStyle name="Normal 12 2 8" xfId="48542"/>
    <cellStyle name="Normal 12 2 8 2" xfId="48543"/>
    <cellStyle name="Normal 12 2 8 3" xfId="48544"/>
    <cellStyle name="Normal 12 2 9" xfId="48545"/>
    <cellStyle name="Normal 12 3" xfId="48546"/>
    <cellStyle name="Normal 12 3 2" xfId="48547"/>
    <cellStyle name="Normal 12 3 2 2" xfId="48548"/>
    <cellStyle name="Normal 12 3 2 2 2" xfId="48549"/>
    <cellStyle name="Normal 12 3 2 2 2 2" xfId="48550"/>
    <cellStyle name="Normal 12 3 2 2 2 3" xfId="48551"/>
    <cellStyle name="Normal 12 3 2 2 3" xfId="48552"/>
    <cellStyle name="Normal 12 3 2 2 4" xfId="48553"/>
    <cellStyle name="Normal 12 3 2 3" xfId="48554"/>
    <cellStyle name="Normal 12 3 2 3 2" xfId="48555"/>
    <cellStyle name="Normal 12 3 2 3 3" xfId="48556"/>
    <cellStyle name="Normal 12 3 2 4" xfId="48557"/>
    <cellStyle name="Normal 12 3 2 4 2" xfId="48558"/>
    <cellStyle name="Normal 12 3 2 4 3" xfId="48559"/>
    <cellStyle name="Normal 12 3 2 5" xfId="48560"/>
    <cellStyle name="Normal 12 3 2 6" xfId="48561"/>
    <cellStyle name="Normal 12 3 3" xfId="48562"/>
    <cellStyle name="Normal 12 3 3 2" xfId="48563"/>
    <cellStyle name="Normal 12 3 3 2 2" xfId="48564"/>
    <cellStyle name="Normal 12 3 3 2 2 2" xfId="48565"/>
    <cellStyle name="Normal 12 3 3 2 2 3" xfId="48566"/>
    <cellStyle name="Normal 12 3 3 2 3" xfId="48567"/>
    <cellStyle name="Normal 12 3 3 2 4" xfId="48568"/>
    <cellStyle name="Normal 12 3 3 3" xfId="48569"/>
    <cellStyle name="Normal 12 3 3 3 2" xfId="48570"/>
    <cellStyle name="Normal 12 3 3 3 3" xfId="48571"/>
    <cellStyle name="Normal 12 3 3 4" xfId="48572"/>
    <cellStyle name="Normal 12 3 3 4 2" xfId="48573"/>
    <cellStyle name="Normal 12 3 3 4 3" xfId="48574"/>
    <cellStyle name="Normal 12 3 3 5" xfId="48575"/>
    <cellStyle name="Normal 12 3 3 6" xfId="48576"/>
    <cellStyle name="Normal 12 3 4" xfId="48577"/>
    <cellStyle name="Normal 12 3 4 2" xfId="48578"/>
    <cellStyle name="Normal 12 3 4 2 2" xfId="48579"/>
    <cellStyle name="Normal 12 3 4 2 3" xfId="48580"/>
    <cellStyle name="Normal 12 3 4 3" xfId="48581"/>
    <cellStyle name="Normal 12 3 4 4" xfId="48582"/>
    <cellStyle name="Normal 12 3 5" xfId="48583"/>
    <cellStyle name="Normal 12 3 5 2" xfId="48584"/>
    <cellStyle name="Normal 12 3 5 3" xfId="48585"/>
    <cellStyle name="Normal 12 3 6" xfId="48586"/>
    <cellStyle name="Normal 12 3 6 2" xfId="48587"/>
    <cellStyle name="Normal 12 3 6 3" xfId="48588"/>
    <cellStyle name="Normal 12 3 7" xfId="48589"/>
    <cellStyle name="Normal 12 3 8" xfId="48590"/>
    <cellStyle name="Normal 12 4" xfId="48591"/>
    <cellStyle name="Normal 12 4 2" xfId="48592"/>
    <cellStyle name="Normal 12 4 2 2" xfId="48593"/>
    <cellStyle name="Normal 12 4 2 2 2" xfId="48594"/>
    <cellStyle name="Normal 12 4 2 2 3" xfId="48595"/>
    <cellStyle name="Normal 12 4 2 3" xfId="48596"/>
    <cellStyle name="Normal 12 4 2 4" xfId="48597"/>
    <cellStyle name="Normal 12 4 3" xfId="48598"/>
    <cellStyle name="Normal 12 4 3 2" xfId="48599"/>
    <cellStyle name="Normal 12 4 3 3" xfId="48600"/>
    <cellStyle name="Normal 12 4 4" xfId="48601"/>
    <cellStyle name="Normal 12 4 4 2" xfId="48602"/>
    <cellStyle name="Normal 12 4 4 3" xfId="48603"/>
    <cellStyle name="Normal 12 4 5" xfId="48604"/>
    <cellStyle name="Normal 12 4 6" xfId="48605"/>
    <cellStyle name="Normal 12 5" xfId="48606"/>
    <cellStyle name="Normal 12 5 2" xfId="48607"/>
    <cellStyle name="Normal 12 5 2 2" xfId="48608"/>
    <cellStyle name="Normal 12 5 2 2 2" xfId="48609"/>
    <cellStyle name="Normal 12 5 2 2 3" xfId="48610"/>
    <cellStyle name="Normal 12 5 2 3" xfId="48611"/>
    <cellStyle name="Normal 12 5 2 4" xfId="48612"/>
    <cellStyle name="Normal 12 5 3" xfId="48613"/>
    <cellStyle name="Normal 12 5 3 2" xfId="48614"/>
    <cellStyle name="Normal 12 5 3 3" xfId="48615"/>
    <cellStyle name="Normal 12 5 4" xfId="48616"/>
    <cellStyle name="Normal 12 5 4 2" xfId="48617"/>
    <cellStyle name="Normal 12 5 4 3" xfId="48618"/>
    <cellStyle name="Normal 12 5 5" xfId="48619"/>
    <cellStyle name="Normal 12 5 6" xfId="48620"/>
    <cellStyle name="Normal 12 6" xfId="48621"/>
    <cellStyle name="Normal 12 6 2" xfId="48622"/>
    <cellStyle name="Normal 12 6 2 2" xfId="48623"/>
    <cellStyle name="Normal 12 6 2 3" xfId="48624"/>
    <cellStyle name="Normal 12 6 3" xfId="48625"/>
    <cellStyle name="Normal 12 6 4" xfId="48626"/>
    <cellStyle name="Normal 12 7" xfId="48627"/>
    <cellStyle name="Normal 12 7 2" xfId="48628"/>
    <cellStyle name="Normal 12 7 2 2" xfId="48629"/>
    <cellStyle name="Normal 12 7 2 3" xfId="48630"/>
    <cellStyle name="Normal 12 7 3" xfId="48631"/>
    <cellStyle name="Normal 12 7 4" xfId="48632"/>
    <cellStyle name="Normal 12 8" xfId="48633"/>
    <cellStyle name="Normal 12 8 2" xfId="48634"/>
    <cellStyle name="Normal 12 8 3" xfId="48635"/>
    <cellStyle name="Normal 12 9" xfId="48636"/>
    <cellStyle name="Normal 12 9 2" xfId="48637"/>
    <cellStyle name="Normal 12 9 3" xfId="48638"/>
    <cellStyle name="Normal 12_T1_TP_MASTER_032112_Rev A" xfId="48639"/>
    <cellStyle name="Normal 120" xfId="48640"/>
    <cellStyle name="Normal 120 2" xfId="48641"/>
    <cellStyle name="Normal 120 2 2" xfId="48642"/>
    <cellStyle name="Normal 120 2 3" xfId="48643"/>
    <cellStyle name="Normal 120 3" xfId="48644"/>
    <cellStyle name="Normal 120 3 2" xfId="48645"/>
    <cellStyle name="Normal 120 3 3" xfId="48646"/>
    <cellStyle name="Normal 120 4" xfId="48647"/>
    <cellStyle name="Normal 120 5" xfId="48648"/>
    <cellStyle name="Normal 121" xfId="48649"/>
    <cellStyle name="Normal 121 2" xfId="48650"/>
    <cellStyle name="Normal 121 2 2" xfId="48651"/>
    <cellStyle name="Normal 121 2 3" xfId="48652"/>
    <cellStyle name="Normal 121 3" xfId="48653"/>
    <cellStyle name="Normal 121 3 2" xfId="48654"/>
    <cellStyle name="Normal 121 3 3" xfId="48655"/>
    <cellStyle name="Normal 121 4" xfId="48656"/>
    <cellStyle name="Normal 121 5" xfId="48657"/>
    <cellStyle name="Normal 122" xfId="48658"/>
    <cellStyle name="Normal 122 2" xfId="48659"/>
    <cellStyle name="Normal 122 2 2" xfId="48660"/>
    <cellStyle name="Normal 122 2 3" xfId="48661"/>
    <cellStyle name="Normal 122 3" xfId="48662"/>
    <cellStyle name="Normal 122 3 2" xfId="48663"/>
    <cellStyle name="Normal 122 3 3" xfId="48664"/>
    <cellStyle name="Normal 122 4" xfId="48665"/>
    <cellStyle name="Normal 122 5" xfId="48666"/>
    <cellStyle name="Normal 123" xfId="48667"/>
    <cellStyle name="Normal 123 2" xfId="48668"/>
    <cellStyle name="Normal 123 2 2" xfId="48669"/>
    <cellStyle name="Normal 123 2 3" xfId="48670"/>
    <cellStyle name="Normal 123 3" xfId="48671"/>
    <cellStyle name="Normal 123 3 2" xfId="48672"/>
    <cellStyle name="Normal 123 3 3" xfId="48673"/>
    <cellStyle name="Normal 123 4" xfId="48674"/>
    <cellStyle name="Normal 123 5" xfId="48675"/>
    <cellStyle name="Normal 124" xfId="48676"/>
    <cellStyle name="Normal 124 2" xfId="48677"/>
    <cellStyle name="Normal 124 2 2" xfId="48678"/>
    <cellStyle name="Normal 124 2 3" xfId="48679"/>
    <cellStyle name="Normal 124 3" xfId="48680"/>
    <cellStyle name="Normal 124 3 2" xfId="48681"/>
    <cellStyle name="Normal 124 3 3" xfId="48682"/>
    <cellStyle name="Normal 124 4" xfId="48683"/>
    <cellStyle name="Normal 124 5" xfId="48684"/>
    <cellStyle name="Normal 125" xfId="48685"/>
    <cellStyle name="Normal 125 2" xfId="48686"/>
    <cellStyle name="Normal 125 2 2" xfId="48687"/>
    <cellStyle name="Normal 125 2 3" xfId="48688"/>
    <cellStyle name="Normal 125 3" xfId="48689"/>
    <cellStyle name="Normal 125 3 2" xfId="48690"/>
    <cellStyle name="Normal 125 3 3" xfId="48691"/>
    <cellStyle name="Normal 125 4" xfId="48692"/>
    <cellStyle name="Normal 125 5" xfId="48693"/>
    <cellStyle name="Normal 126" xfId="48694"/>
    <cellStyle name="Normal 126 2" xfId="48695"/>
    <cellStyle name="Normal 126 2 2" xfId="48696"/>
    <cellStyle name="Normal 126 2 3" xfId="48697"/>
    <cellStyle name="Normal 126 3" xfId="48698"/>
    <cellStyle name="Normal 126 3 2" xfId="48699"/>
    <cellStyle name="Normal 126 3 3" xfId="48700"/>
    <cellStyle name="Normal 126 4" xfId="48701"/>
    <cellStyle name="Normal 126 5" xfId="48702"/>
    <cellStyle name="Normal 127" xfId="48703"/>
    <cellStyle name="Normal 127 2" xfId="48704"/>
    <cellStyle name="Normal 127 2 2" xfId="48705"/>
    <cellStyle name="Normal 127 2 3" xfId="48706"/>
    <cellStyle name="Normal 127 3" xfId="48707"/>
    <cellStyle name="Normal 127 3 2" xfId="48708"/>
    <cellStyle name="Normal 127 3 3" xfId="48709"/>
    <cellStyle name="Normal 127 4" xfId="48710"/>
    <cellStyle name="Normal 127 5" xfId="48711"/>
    <cellStyle name="Normal 128" xfId="48712"/>
    <cellStyle name="Normal 128 2" xfId="48713"/>
    <cellStyle name="Normal 128 2 2" xfId="48714"/>
    <cellStyle name="Normal 128 2 3" xfId="48715"/>
    <cellStyle name="Normal 128 3" xfId="48716"/>
    <cellStyle name="Normal 128 3 2" xfId="48717"/>
    <cellStyle name="Normal 128 3 3" xfId="48718"/>
    <cellStyle name="Normal 128 4" xfId="48719"/>
    <cellStyle name="Normal 128 5" xfId="48720"/>
    <cellStyle name="Normal 129" xfId="48721"/>
    <cellStyle name="Normal 129 2" xfId="48722"/>
    <cellStyle name="Normal 129 2 2" xfId="48723"/>
    <cellStyle name="Normal 129 2 3" xfId="48724"/>
    <cellStyle name="Normal 129 3" xfId="48725"/>
    <cellStyle name="Normal 129 3 2" xfId="48726"/>
    <cellStyle name="Normal 129 3 3" xfId="48727"/>
    <cellStyle name="Normal 129 4" xfId="48728"/>
    <cellStyle name="Normal 129 5" xfId="48729"/>
    <cellStyle name="Normal 13" xfId="48730"/>
    <cellStyle name="Normal 13 10" xfId="48731"/>
    <cellStyle name="Normal 13 11" xfId="48732"/>
    <cellStyle name="Normal 13 12" xfId="48733"/>
    <cellStyle name="Normal 13 2" xfId="48734"/>
    <cellStyle name="Normal 13 2 10" xfId="48735"/>
    <cellStyle name="Normal 13 2 2" xfId="48736"/>
    <cellStyle name="Normal 13 2 2 2" xfId="48737"/>
    <cellStyle name="Normal 13 2 2 2 2" xfId="48738"/>
    <cellStyle name="Normal 13 2 2 2 2 2" xfId="48739"/>
    <cellStyle name="Normal 13 2 2 2 2 2 2" xfId="48740"/>
    <cellStyle name="Normal 13 2 2 2 2 2 3" xfId="48741"/>
    <cellStyle name="Normal 13 2 2 2 2 3" xfId="48742"/>
    <cellStyle name="Normal 13 2 2 2 2 4" xfId="48743"/>
    <cellStyle name="Normal 13 2 2 2 3" xfId="48744"/>
    <cellStyle name="Normal 13 2 2 2 3 2" xfId="48745"/>
    <cellStyle name="Normal 13 2 2 2 3 3" xfId="48746"/>
    <cellStyle name="Normal 13 2 2 2 4" xfId="48747"/>
    <cellStyle name="Normal 13 2 2 2 4 2" xfId="48748"/>
    <cellStyle name="Normal 13 2 2 2 4 3" xfId="48749"/>
    <cellStyle name="Normal 13 2 2 2 5" xfId="48750"/>
    <cellStyle name="Normal 13 2 2 2 6" xfId="48751"/>
    <cellStyle name="Normal 13 2 2 3" xfId="48752"/>
    <cellStyle name="Normal 13 2 2 3 2" xfId="48753"/>
    <cellStyle name="Normal 13 2 2 3 2 2" xfId="48754"/>
    <cellStyle name="Normal 13 2 2 3 2 2 2" xfId="48755"/>
    <cellStyle name="Normal 13 2 2 3 2 2 3" xfId="48756"/>
    <cellStyle name="Normal 13 2 2 3 2 3" xfId="48757"/>
    <cellStyle name="Normal 13 2 2 3 2 4" xfId="48758"/>
    <cellStyle name="Normal 13 2 2 3 3" xfId="48759"/>
    <cellStyle name="Normal 13 2 2 3 3 2" xfId="48760"/>
    <cellStyle name="Normal 13 2 2 3 3 3" xfId="48761"/>
    <cellStyle name="Normal 13 2 2 3 4" xfId="48762"/>
    <cellStyle name="Normal 13 2 2 3 4 2" xfId="48763"/>
    <cellStyle name="Normal 13 2 2 3 4 3" xfId="48764"/>
    <cellStyle name="Normal 13 2 2 3 5" xfId="48765"/>
    <cellStyle name="Normal 13 2 2 3 6" xfId="48766"/>
    <cellStyle name="Normal 13 2 2 4" xfId="48767"/>
    <cellStyle name="Normal 13 2 2 4 2" xfId="48768"/>
    <cellStyle name="Normal 13 2 2 4 2 2" xfId="48769"/>
    <cellStyle name="Normal 13 2 2 4 2 3" xfId="48770"/>
    <cellStyle name="Normal 13 2 2 4 3" xfId="48771"/>
    <cellStyle name="Normal 13 2 2 4 4" xfId="48772"/>
    <cellStyle name="Normal 13 2 2 5" xfId="48773"/>
    <cellStyle name="Normal 13 2 2 5 2" xfId="48774"/>
    <cellStyle name="Normal 13 2 2 5 3" xfId="48775"/>
    <cellStyle name="Normal 13 2 2 6" xfId="48776"/>
    <cellStyle name="Normal 13 2 2 6 2" xfId="48777"/>
    <cellStyle name="Normal 13 2 2 6 3" xfId="48778"/>
    <cellStyle name="Normal 13 2 2 7" xfId="48779"/>
    <cellStyle name="Normal 13 2 2 8" xfId="48780"/>
    <cellStyle name="Normal 13 2 3" xfId="48781"/>
    <cellStyle name="Normal 13 2 3 2" xfId="48782"/>
    <cellStyle name="Normal 13 2 3 2 2" xfId="48783"/>
    <cellStyle name="Normal 13 2 3 2 2 2" xfId="48784"/>
    <cellStyle name="Normal 13 2 3 2 2 3" xfId="48785"/>
    <cellStyle name="Normal 13 2 3 2 3" xfId="48786"/>
    <cellStyle name="Normal 13 2 3 2 4" xfId="48787"/>
    <cellStyle name="Normal 13 2 3 3" xfId="48788"/>
    <cellStyle name="Normal 13 2 3 3 2" xfId="48789"/>
    <cellStyle name="Normal 13 2 3 3 3" xfId="48790"/>
    <cellStyle name="Normal 13 2 3 4" xfId="48791"/>
    <cellStyle name="Normal 13 2 3 4 2" xfId="48792"/>
    <cellStyle name="Normal 13 2 3 4 3" xfId="48793"/>
    <cellStyle name="Normal 13 2 3 5" xfId="48794"/>
    <cellStyle name="Normal 13 2 3 6" xfId="48795"/>
    <cellStyle name="Normal 13 2 4" xfId="48796"/>
    <cellStyle name="Normal 13 2 4 2" xfId="48797"/>
    <cellStyle name="Normal 13 2 4 2 2" xfId="48798"/>
    <cellStyle name="Normal 13 2 4 2 2 2" xfId="48799"/>
    <cellStyle name="Normal 13 2 4 2 2 3" xfId="48800"/>
    <cellStyle name="Normal 13 2 4 2 3" xfId="48801"/>
    <cellStyle name="Normal 13 2 4 2 4" xfId="48802"/>
    <cellStyle name="Normal 13 2 4 3" xfId="48803"/>
    <cellStyle name="Normal 13 2 4 3 2" xfId="48804"/>
    <cellStyle name="Normal 13 2 4 3 3" xfId="48805"/>
    <cellStyle name="Normal 13 2 4 4" xfId="48806"/>
    <cellStyle name="Normal 13 2 4 4 2" xfId="48807"/>
    <cellStyle name="Normal 13 2 4 4 3" xfId="48808"/>
    <cellStyle name="Normal 13 2 4 5" xfId="48809"/>
    <cellStyle name="Normal 13 2 4 6" xfId="48810"/>
    <cellStyle name="Normal 13 2 5" xfId="48811"/>
    <cellStyle name="Normal 13 2 5 2" xfId="48812"/>
    <cellStyle name="Normal 13 2 5 2 2" xfId="48813"/>
    <cellStyle name="Normal 13 2 5 2 3" xfId="48814"/>
    <cellStyle name="Normal 13 2 5 3" xfId="48815"/>
    <cellStyle name="Normal 13 2 5 4" xfId="48816"/>
    <cellStyle name="Normal 13 2 6" xfId="48817"/>
    <cellStyle name="Normal 13 2 6 2" xfId="48818"/>
    <cellStyle name="Normal 13 2 6 2 2" xfId="48819"/>
    <cellStyle name="Normal 13 2 6 2 3" xfId="48820"/>
    <cellStyle name="Normal 13 2 6 3" xfId="48821"/>
    <cellStyle name="Normal 13 2 6 4" xfId="48822"/>
    <cellStyle name="Normal 13 2 7" xfId="48823"/>
    <cellStyle name="Normal 13 2 7 2" xfId="48824"/>
    <cellStyle name="Normal 13 2 7 3" xfId="48825"/>
    <cellStyle name="Normal 13 2 8" xfId="48826"/>
    <cellStyle name="Normal 13 2 8 2" xfId="48827"/>
    <cellStyle name="Normal 13 2 8 3" xfId="48828"/>
    <cellStyle name="Normal 13 2 9" xfId="48829"/>
    <cellStyle name="Normal 13 3" xfId="48830"/>
    <cellStyle name="Normal 13 3 2" xfId="48831"/>
    <cellStyle name="Normal 13 3 2 2" xfId="48832"/>
    <cellStyle name="Normal 13 3 2 2 2" xfId="48833"/>
    <cellStyle name="Normal 13 3 2 2 2 2" xfId="48834"/>
    <cellStyle name="Normal 13 3 2 2 2 2 2" xfId="48835"/>
    <cellStyle name="Normal 13 3 2 2 2 3" xfId="48836"/>
    <cellStyle name="Normal 13 3 2 2 3" xfId="48837"/>
    <cellStyle name="Normal 13 3 2 2 3 2" xfId="48838"/>
    <cellStyle name="Normal 13 3 2 2 3 2 2" xfId="48839"/>
    <cellStyle name="Normal 13 3 2 2 3 3" xfId="48840"/>
    <cellStyle name="Normal 13 3 2 2 4" xfId="48841"/>
    <cellStyle name="Normal 13 3 2 2 4 2" xfId="48842"/>
    <cellStyle name="Normal 13 3 2 2 5" xfId="48843"/>
    <cellStyle name="Normal 13 3 2 3" xfId="48844"/>
    <cellStyle name="Normal 13 3 2 3 2" xfId="48845"/>
    <cellStyle name="Normal 13 3 2 3 2 2" xfId="48846"/>
    <cellStyle name="Normal 13 3 2 3 3" xfId="48847"/>
    <cellStyle name="Normal 13 3 2 4" xfId="48848"/>
    <cellStyle name="Normal 13 3 2 4 2" xfId="48849"/>
    <cellStyle name="Normal 13 3 2 4 2 2" xfId="48850"/>
    <cellStyle name="Normal 13 3 2 4 3" xfId="48851"/>
    <cellStyle name="Normal 13 3 2 5" xfId="48852"/>
    <cellStyle name="Normal 13 3 2 5 2" xfId="48853"/>
    <cellStyle name="Normal 13 3 2 6" xfId="48854"/>
    <cellStyle name="Normal 13 3 3" xfId="48855"/>
    <cellStyle name="Normal 13 3 3 2" xfId="48856"/>
    <cellStyle name="Normal 13 3 3 2 2" xfId="48857"/>
    <cellStyle name="Normal 13 3 3 2 2 2" xfId="48858"/>
    <cellStyle name="Normal 13 3 3 2 2 3" xfId="48859"/>
    <cellStyle name="Normal 13 3 3 2 3" xfId="48860"/>
    <cellStyle name="Normal 13 3 3 2 4" xfId="48861"/>
    <cellStyle name="Normal 13 3 3 3" xfId="48862"/>
    <cellStyle name="Normal 13 3 3 3 2" xfId="48863"/>
    <cellStyle name="Normal 13 3 3 3 3" xfId="48864"/>
    <cellStyle name="Normal 13 3 3 4" xfId="48865"/>
    <cellStyle name="Normal 13 3 3 4 2" xfId="48866"/>
    <cellStyle name="Normal 13 3 3 4 3" xfId="48867"/>
    <cellStyle name="Normal 13 3 3 5" xfId="48868"/>
    <cellStyle name="Normal 13 3 3 6" xfId="48869"/>
    <cellStyle name="Normal 13 3 4" xfId="48870"/>
    <cellStyle name="Normal 13 3 4 2" xfId="48871"/>
    <cellStyle name="Normal 13 3 4 2 2" xfId="48872"/>
    <cellStyle name="Normal 13 3 4 2 3" xfId="48873"/>
    <cellStyle name="Normal 13 3 4 3" xfId="48874"/>
    <cellStyle name="Normal 13 3 4 4" xfId="48875"/>
    <cellStyle name="Normal 13 3 5" xfId="48876"/>
    <cellStyle name="Normal 13 3 5 2" xfId="48877"/>
    <cellStyle name="Normal 13 3 5 3" xfId="48878"/>
    <cellStyle name="Normal 13 3 6" xfId="48879"/>
    <cellStyle name="Normal 13 3 6 2" xfId="48880"/>
    <cellStyle name="Normal 13 3 6 3" xfId="48881"/>
    <cellStyle name="Normal 13 3 7" xfId="48882"/>
    <cellStyle name="Normal 13 3 8" xfId="48883"/>
    <cellStyle name="Normal 13 4" xfId="48884"/>
    <cellStyle name="Normal 13 4 2" xfId="48885"/>
    <cellStyle name="Normal 13 4 2 2" xfId="48886"/>
    <cellStyle name="Normal 13 4 2 2 2" xfId="48887"/>
    <cellStyle name="Normal 13 4 2 2 3" xfId="48888"/>
    <cellStyle name="Normal 13 4 2 3" xfId="48889"/>
    <cellStyle name="Normal 13 4 2 4" xfId="48890"/>
    <cellStyle name="Normal 13 4 3" xfId="48891"/>
    <cellStyle name="Normal 13 4 3 2" xfId="48892"/>
    <cellStyle name="Normal 13 4 3 3" xfId="48893"/>
    <cellStyle name="Normal 13 4 4" xfId="48894"/>
    <cellStyle name="Normal 13 4 4 2" xfId="48895"/>
    <cellStyle name="Normal 13 4 4 3" xfId="48896"/>
    <cellStyle name="Normal 13 4 5" xfId="48897"/>
    <cellStyle name="Normal 13 4 6" xfId="48898"/>
    <cellStyle name="Normal 13 5" xfId="48899"/>
    <cellStyle name="Normal 13 5 2" xfId="48900"/>
    <cellStyle name="Normal 13 5 2 2" xfId="48901"/>
    <cellStyle name="Normal 13 5 2 2 2" xfId="48902"/>
    <cellStyle name="Normal 13 5 2 2 3" xfId="48903"/>
    <cellStyle name="Normal 13 5 2 3" xfId="48904"/>
    <cellStyle name="Normal 13 5 2 4" xfId="48905"/>
    <cellStyle name="Normal 13 5 3" xfId="48906"/>
    <cellStyle name="Normal 13 5 3 2" xfId="48907"/>
    <cellStyle name="Normal 13 5 3 3" xfId="48908"/>
    <cellStyle name="Normal 13 5 4" xfId="48909"/>
    <cellStyle name="Normal 13 5 4 2" xfId="48910"/>
    <cellStyle name="Normal 13 5 4 3" xfId="48911"/>
    <cellStyle name="Normal 13 5 5" xfId="48912"/>
    <cellStyle name="Normal 13 5 6" xfId="48913"/>
    <cellStyle name="Normal 13 6" xfId="48914"/>
    <cellStyle name="Normal 13 6 2" xfId="48915"/>
    <cellStyle name="Normal 13 6 2 2" xfId="48916"/>
    <cellStyle name="Normal 13 6 2 3" xfId="48917"/>
    <cellStyle name="Normal 13 6 3" xfId="48918"/>
    <cellStyle name="Normal 13 6 4" xfId="48919"/>
    <cellStyle name="Normal 13 7" xfId="48920"/>
    <cellStyle name="Normal 13 7 2" xfId="48921"/>
    <cellStyle name="Normal 13 7 2 2" xfId="48922"/>
    <cellStyle name="Normal 13 7 2 3" xfId="48923"/>
    <cellStyle name="Normal 13 7 3" xfId="48924"/>
    <cellStyle name="Normal 13 7 4" xfId="48925"/>
    <cellStyle name="Normal 13 8" xfId="48926"/>
    <cellStyle name="Normal 13 8 2" xfId="48927"/>
    <cellStyle name="Normal 13 8 3" xfId="48928"/>
    <cellStyle name="Normal 13 9" xfId="48929"/>
    <cellStyle name="Normal 13 9 2" xfId="48930"/>
    <cellStyle name="Normal 13 9 3" xfId="48931"/>
    <cellStyle name="Normal 130" xfId="48932"/>
    <cellStyle name="Normal 130 2" xfId="48933"/>
    <cellStyle name="Normal 130 2 2" xfId="48934"/>
    <cellStyle name="Normal 130 2 3" xfId="48935"/>
    <cellStyle name="Normal 130 3" xfId="48936"/>
    <cellStyle name="Normal 130 3 2" xfId="48937"/>
    <cellStyle name="Normal 130 3 3" xfId="48938"/>
    <cellStyle name="Normal 130 4" xfId="48939"/>
    <cellStyle name="Normal 130 5" xfId="48940"/>
    <cellStyle name="Normal 131" xfId="48941"/>
    <cellStyle name="Normal 131 2" xfId="48942"/>
    <cellStyle name="Normal 131 2 2" xfId="48943"/>
    <cellStyle name="Normal 131 2 3" xfId="48944"/>
    <cellStyle name="Normal 131 3" xfId="48945"/>
    <cellStyle name="Normal 131 3 2" xfId="48946"/>
    <cellStyle name="Normal 131 3 3" xfId="48947"/>
    <cellStyle name="Normal 131 4" xfId="48948"/>
    <cellStyle name="Normal 131 5" xfId="48949"/>
    <cellStyle name="Normal 132" xfId="48950"/>
    <cellStyle name="Normal 132 2" xfId="48951"/>
    <cellStyle name="Normal 132 2 2" xfId="48952"/>
    <cellStyle name="Normal 132 2 3" xfId="48953"/>
    <cellStyle name="Normal 132 3" xfId="48954"/>
    <cellStyle name="Normal 132 3 2" xfId="48955"/>
    <cellStyle name="Normal 132 3 3" xfId="48956"/>
    <cellStyle name="Normal 132 4" xfId="48957"/>
    <cellStyle name="Normal 132 5" xfId="48958"/>
    <cellStyle name="Normal 133" xfId="48959"/>
    <cellStyle name="Normal 133 2" xfId="48960"/>
    <cellStyle name="Normal 133 2 2" xfId="48961"/>
    <cellStyle name="Normal 133 2 3" xfId="48962"/>
    <cellStyle name="Normal 133 3" xfId="48963"/>
    <cellStyle name="Normal 133 3 2" xfId="48964"/>
    <cellStyle name="Normal 133 3 3" xfId="48965"/>
    <cellStyle name="Normal 133 4" xfId="48966"/>
    <cellStyle name="Normal 133 5" xfId="48967"/>
    <cellStyle name="Normal 133 6" xfId="48968"/>
    <cellStyle name="Normal 134" xfId="48969"/>
    <cellStyle name="Normal 134 2" xfId="48970"/>
    <cellStyle name="Normal 134 2 2" xfId="48971"/>
    <cellStyle name="Normal 134 2 3" xfId="48972"/>
    <cellStyle name="Normal 134 3" xfId="48973"/>
    <cellStyle name="Normal 134 3 2" xfId="48974"/>
    <cellStyle name="Normal 134 3 3" xfId="48975"/>
    <cellStyle name="Normal 134 4" xfId="48976"/>
    <cellStyle name="Normal 134 5" xfId="48977"/>
    <cellStyle name="Normal 135" xfId="48978"/>
    <cellStyle name="Normal 135 2" xfId="48979"/>
    <cellStyle name="Normal 135 2 2" xfId="48980"/>
    <cellStyle name="Normal 135 2 3" xfId="48981"/>
    <cellStyle name="Normal 135 3" xfId="48982"/>
    <cellStyle name="Normal 135 3 2" xfId="48983"/>
    <cellStyle name="Normal 135 3 3" xfId="48984"/>
    <cellStyle name="Normal 135 4" xfId="48985"/>
    <cellStyle name="Normal 135 5" xfId="48986"/>
    <cellStyle name="Normal 136" xfId="48987"/>
    <cellStyle name="Normal 136 2" xfId="48988"/>
    <cellStyle name="Normal 136 2 2" xfId="48989"/>
    <cellStyle name="Normal 136 2 3" xfId="48990"/>
    <cellStyle name="Normal 136 3" xfId="48991"/>
    <cellStyle name="Normal 136 3 2" xfId="48992"/>
    <cellStyle name="Normal 136 3 3" xfId="48993"/>
    <cellStyle name="Normal 136 4" xfId="48994"/>
    <cellStyle name="Normal 136 5" xfId="48995"/>
    <cellStyle name="Normal 137" xfId="48996"/>
    <cellStyle name="Normal 137 2" xfId="48997"/>
    <cellStyle name="Normal 137 2 2" xfId="48998"/>
    <cellStyle name="Normal 137 2 3" xfId="48999"/>
    <cellStyle name="Normal 137 3" xfId="49000"/>
    <cellStyle name="Normal 137 3 2" xfId="49001"/>
    <cellStyle name="Normal 137 3 3" xfId="49002"/>
    <cellStyle name="Normal 137 4" xfId="49003"/>
    <cellStyle name="Normal 137 5" xfId="49004"/>
    <cellStyle name="Normal 138" xfId="49005"/>
    <cellStyle name="Normal 138 2" xfId="49006"/>
    <cellStyle name="Normal 138 2 2" xfId="49007"/>
    <cellStyle name="Normal 138 2 3" xfId="49008"/>
    <cellStyle name="Normal 138 3" xfId="49009"/>
    <cellStyle name="Normal 138 3 2" xfId="49010"/>
    <cellStyle name="Normal 138 3 3" xfId="49011"/>
    <cellStyle name="Normal 138 4" xfId="49012"/>
    <cellStyle name="Normal 138 5" xfId="49013"/>
    <cellStyle name="Normal 139" xfId="49014"/>
    <cellStyle name="Normal 139 2" xfId="49015"/>
    <cellStyle name="Normal 139 2 2" xfId="49016"/>
    <cellStyle name="Normal 139 2 3" xfId="49017"/>
    <cellStyle name="Normal 139 3" xfId="49018"/>
    <cellStyle name="Normal 139 3 2" xfId="49019"/>
    <cellStyle name="Normal 139 3 3" xfId="49020"/>
    <cellStyle name="Normal 139 4" xfId="49021"/>
    <cellStyle name="Normal 139 5" xfId="49022"/>
    <cellStyle name="Normal 14" xfId="49023"/>
    <cellStyle name="Normal 14 10" xfId="49024"/>
    <cellStyle name="Normal 14 11" xfId="49025"/>
    <cellStyle name="Normal 14 2" xfId="49026"/>
    <cellStyle name="Normal 14 2 10" xfId="49027"/>
    <cellStyle name="Normal 14 2 2" xfId="49028"/>
    <cellStyle name="Normal 14 2 2 2" xfId="49029"/>
    <cellStyle name="Normal 14 2 2 2 2" xfId="49030"/>
    <cellStyle name="Normal 14 2 2 2 2 2" xfId="49031"/>
    <cellStyle name="Normal 14 2 2 2 2 2 2" xfId="49032"/>
    <cellStyle name="Normal 14 2 2 2 2 2 3" xfId="49033"/>
    <cellStyle name="Normal 14 2 2 2 2 3" xfId="49034"/>
    <cellStyle name="Normal 14 2 2 2 2 4" xfId="49035"/>
    <cellStyle name="Normal 14 2 2 2 3" xfId="49036"/>
    <cellStyle name="Normal 14 2 2 2 3 2" xfId="49037"/>
    <cellStyle name="Normal 14 2 2 2 3 3" xfId="49038"/>
    <cellStyle name="Normal 14 2 2 2 4" xfId="49039"/>
    <cellStyle name="Normal 14 2 2 2 4 2" xfId="49040"/>
    <cellStyle name="Normal 14 2 2 2 4 3" xfId="49041"/>
    <cellStyle name="Normal 14 2 2 2 5" xfId="49042"/>
    <cellStyle name="Normal 14 2 2 2 6" xfId="49043"/>
    <cellStyle name="Normal 14 2 2 3" xfId="49044"/>
    <cellStyle name="Normal 14 2 2 3 2" xfId="49045"/>
    <cellStyle name="Normal 14 2 2 3 2 2" xfId="49046"/>
    <cellStyle name="Normal 14 2 2 3 2 2 2" xfId="49047"/>
    <cellStyle name="Normal 14 2 2 3 2 2 3" xfId="49048"/>
    <cellStyle name="Normal 14 2 2 3 2 3" xfId="49049"/>
    <cellStyle name="Normal 14 2 2 3 2 4" xfId="49050"/>
    <cellStyle name="Normal 14 2 2 3 3" xfId="49051"/>
    <cellStyle name="Normal 14 2 2 3 3 2" xfId="49052"/>
    <cellStyle name="Normal 14 2 2 3 3 3" xfId="49053"/>
    <cellStyle name="Normal 14 2 2 3 4" xfId="49054"/>
    <cellStyle name="Normal 14 2 2 3 4 2" xfId="49055"/>
    <cellStyle name="Normal 14 2 2 3 4 3" xfId="49056"/>
    <cellStyle name="Normal 14 2 2 3 5" xfId="49057"/>
    <cellStyle name="Normal 14 2 2 3 6" xfId="49058"/>
    <cellStyle name="Normal 14 2 2 4" xfId="49059"/>
    <cellStyle name="Normal 14 2 2 4 2" xfId="49060"/>
    <cellStyle name="Normal 14 2 2 4 2 2" xfId="49061"/>
    <cellStyle name="Normal 14 2 2 4 2 3" xfId="49062"/>
    <cellStyle name="Normal 14 2 2 4 3" xfId="49063"/>
    <cellStyle name="Normal 14 2 2 4 4" xfId="49064"/>
    <cellStyle name="Normal 14 2 2 5" xfId="49065"/>
    <cellStyle name="Normal 14 2 2 5 2" xfId="49066"/>
    <cellStyle name="Normal 14 2 2 5 3" xfId="49067"/>
    <cellStyle name="Normal 14 2 2 6" xfId="49068"/>
    <cellStyle name="Normal 14 2 2 6 2" xfId="49069"/>
    <cellStyle name="Normal 14 2 2 6 3" xfId="49070"/>
    <cellStyle name="Normal 14 2 2 7" xfId="49071"/>
    <cellStyle name="Normal 14 2 2 8" xfId="49072"/>
    <cellStyle name="Normal 14 2 3" xfId="49073"/>
    <cellStyle name="Normal 14 2 3 2" xfId="49074"/>
    <cellStyle name="Normal 14 2 3 2 2" xfId="49075"/>
    <cellStyle name="Normal 14 2 3 2 2 2" xfId="49076"/>
    <cellStyle name="Normal 14 2 3 2 2 3" xfId="49077"/>
    <cellStyle name="Normal 14 2 3 2 3" xfId="49078"/>
    <cellStyle name="Normal 14 2 3 2 4" xfId="49079"/>
    <cellStyle name="Normal 14 2 3 3" xfId="49080"/>
    <cellStyle name="Normal 14 2 3 3 2" xfId="49081"/>
    <cellStyle name="Normal 14 2 3 3 3" xfId="49082"/>
    <cellStyle name="Normal 14 2 3 4" xfId="49083"/>
    <cellStyle name="Normal 14 2 3 4 2" xfId="49084"/>
    <cellStyle name="Normal 14 2 3 4 3" xfId="49085"/>
    <cellStyle name="Normal 14 2 3 5" xfId="49086"/>
    <cellStyle name="Normal 14 2 3 6" xfId="49087"/>
    <cellStyle name="Normal 14 2 4" xfId="49088"/>
    <cellStyle name="Normal 14 2 4 2" xfId="49089"/>
    <cellStyle name="Normal 14 2 4 2 2" xfId="49090"/>
    <cellStyle name="Normal 14 2 4 2 2 2" xfId="49091"/>
    <cellStyle name="Normal 14 2 4 2 2 3" xfId="49092"/>
    <cellStyle name="Normal 14 2 4 2 3" xfId="49093"/>
    <cellStyle name="Normal 14 2 4 2 4" xfId="49094"/>
    <cellStyle name="Normal 14 2 4 3" xfId="49095"/>
    <cellStyle name="Normal 14 2 4 3 2" xfId="49096"/>
    <cellStyle name="Normal 14 2 4 3 3" xfId="49097"/>
    <cellStyle name="Normal 14 2 4 4" xfId="49098"/>
    <cellStyle name="Normal 14 2 4 4 2" xfId="49099"/>
    <cellStyle name="Normal 14 2 4 4 3" xfId="49100"/>
    <cellStyle name="Normal 14 2 4 5" xfId="49101"/>
    <cellStyle name="Normal 14 2 4 6" xfId="49102"/>
    <cellStyle name="Normal 14 2 5" xfId="49103"/>
    <cellStyle name="Normal 14 2 5 2" xfId="49104"/>
    <cellStyle name="Normal 14 2 5 2 2" xfId="49105"/>
    <cellStyle name="Normal 14 2 5 2 3" xfId="49106"/>
    <cellStyle name="Normal 14 2 5 3" xfId="49107"/>
    <cellStyle name="Normal 14 2 5 4" xfId="49108"/>
    <cellStyle name="Normal 14 2 6" xfId="49109"/>
    <cellStyle name="Normal 14 2 6 2" xfId="49110"/>
    <cellStyle name="Normal 14 2 6 2 2" xfId="49111"/>
    <cellStyle name="Normal 14 2 6 2 3" xfId="49112"/>
    <cellStyle name="Normal 14 2 6 3" xfId="49113"/>
    <cellStyle name="Normal 14 2 6 4" xfId="49114"/>
    <cellStyle name="Normal 14 2 7" xfId="49115"/>
    <cellStyle name="Normal 14 2 7 2" xfId="49116"/>
    <cellStyle name="Normal 14 2 7 3" xfId="49117"/>
    <cellStyle name="Normal 14 2 8" xfId="49118"/>
    <cellStyle name="Normal 14 2 8 2" xfId="49119"/>
    <cellStyle name="Normal 14 2 8 3" xfId="49120"/>
    <cellStyle name="Normal 14 2 9" xfId="49121"/>
    <cellStyle name="Normal 14 3" xfId="49122"/>
    <cellStyle name="Normal 14 3 2" xfId="49123"/>
    <cellStyle name="Normal 14 3 2 2" xfId="49124"/>
    <cellStyle name="Normal 14 3 2 2 2" xfId="49125"/>
    <cellStyle name="Normal 14 3 2 2 2 2" xfId="49126"/>
    <cellStyle name="Normal 14 3 2 2 2 3" xfId="49127"/>
    <cellStyle name="Normal 14 3 2 2 3" xfId="49128"/>
    <cellStyle name="Normal 14 3 2 2 4" xfId="49129"/>
    <cellStyle name="Normal 14 3 2 3" xfId="49130"/>
    <cellStyle name="Normal 14 3 2 3 2" xfId="49131"/>
    <cellStyle name="Normal 14 3 2 3 3" xfId="49132"/>
    <cellStyle name="Normal 14 3 2 4" xfId="49133"/>
    <cellStyle name="Normal 14 3 2 4 2" xfId="49134"/>
    <cellStyle name="Normal 14 3 2 4 3" xfId="49135"/>
    <cellStyle name="Normal 14 3 2 5" xfId="49136"/>
    <cellStyle name="Normal 14 3 2 6" xfId="49137"/>
    <cellStyle name="Normal 14 3 3" xfId="49138"/>
    <cellStyle name="Normal 14 3 3 2" xfId="49139"/>
    <cellStyle name="Normal 14 3 3 2 2" xfId="49140"/>
    <cellStyle name="Normal 14 3 3 2 2 2" xfId="49141"/>
    <cellStyle name="Normal 14 3 3 2 2 3" xfId="49142"/>
    <cellStyle name="Normal 14 3 3 2 3" xfId="49143"/>
    <cellStyle name="Normal 14 3 3 2 4" xfId="49144"/>
    <cellStyle name="Normal 14 3 3 3" xfId="49145"/>
    <cellStyle name="Normal 14 3 3 3 2" xfId="49146"/>
    <cellStyle name="Normal 14 3 3 3 3" xfId="49147"/>
    <cellStyle name="Normal 14 3 3 4" xfId="49148"/>
    <cellStyle name="Normal 14 3 3 4 2" xfId="49149"/>
    <cellStyle name="Normal 14 3 3 4 3" xfId="49150"/>
    <cellStyle name="Normal 14 3 3 5" xfId="49151"/>
    <cellStyle name="Normal 14 3 3 6" xfId="49152"/>
    <cellStyle name="Normal 14 3 4" xfId="49153"/>
    <cellStyle name="Normal 14 3 4 2" xfId="49154"/>
    <cellStyle name="Normal 14 3 4 2 2" xfId="49155"/>
    <cellStyle name="Normal 14 3 4 2 3" xfId="49156"/>
    <cellStyle name="Normal 14 3 4 3" xfId="49157"/>
    <cellStyle name="Normal 14 3 4 4" xfId="49158"/>
    <cellStyle name="Normal 14 3 5" xfId="49159"/>
    <cellStyle name="Normal 14 3 5 2" xfId="49160"/>
    <cellStyle name="Normal 14 3 5 3" xfId="49161"/>
    <cellStyle name="Normal 14 3 6" xfId="49162"/>
    <cellStyle name="Normal 14 3 6 2" xfId="49163"/>
    <cellStyle name="Normal 14 3 6 3" xfId="49164"/>
    <cellStyle name="Normal 14 3 7" xfId="49165"/>
    <cellStyle name="Normal 14 3 8" xfId="49166"/>
    <cellStyle name="Normal 14 4" xfId="49167"/>
    <cellStyle name="Normal 14 4 2" xfId="49168"/>
    <cellStyle name="Normal 14 4 2 2" xfId="49169"/>
    <cellStyle name="Normal 14 4 2 2 2" xfId="49170"/>
    <cellStyle name="Normal 14 4 2 2 3" xfId="49171"/>
    <cellStyle name="Normal 14 4 2 3" xfId="49172"/>
    <cellStyle name="Normal 14 4 2 4" xfId="49173"/>
    <cellStyle name="Normal 14 4 3" xfId="49174"/>
    <cellStyle name="Normal 14 4 3 2" xfId="49175"/>
    <cellStyle name="Normal 14 4 3 3" xfId="49176"/>
    <cellStyle name="Normal 14 4 4" xfId="49177"/>
    <cellStyle name="Normal 14 4 4 2" xfId="49178"/>
    <cellStyle name="Normal 14 4 4 3" xfId="49179"/>
    <cellStyle name="Normal 14 4 5" xfId="49180"/>
    <cellStyle name="Normal 14 4 6" xfId="49181"/>
    <cellStyle name="Normal 14 5" xfId="49182"/>
    <cellStyle name="Normal 14 5 2" xfId="49183"/>
    <cellStyle name="Normal 14 5 2 2" xfId="49184"/>
    <cellStyle name="Normal 14 5 2 2 2" xfId="49185"/>
    <cellStyle name="Normal 14 5 2 2 3" xfId="49186"/>
    <cellStyle name="Normal 14 5 2 3" xfId="49187"/>
    <cellStyle name="Normal 14 5 2 4" xfId="49188"/>
    <cellStyle name="Normal 14 5 3" xfId="49189"/>
    <cellStyle name="Normal 14 5 3 2" xfId="49190"/>
    <cellStyle name="Normal 14 5 3 3" xfId="49191"/>
    <cellStyle name="Normal 14 5 4" xfId="49192"/>
    <cellStyle name="Normal 14 5 4 2" xfId="49193"/>
    <cellStyle name="Normal 14 5 4 3" xfId="49194"/>
    <cellStyle name="Normal 14 5 5" xfId="49195"/>
    <cellStyle name="Normal 14 5 6" xfId="49196"/>
    <cellStyle name="Normal 14 6" xfId="49197"/>
    <cellStyle name="Normal 14 6 2" xfId="49198"/>
    <cellStyle name="Normal 14 6 2 2" xfId="49199"/>
    <cellStyle name="Normal 14 6 2 3" xfId="49200"/>
    <cellStyle name="Normal 14 6 3" xfId="49201"/>
    <cellStyle name="Normal 14 6 4" xfId="49202"/>
    <cellStyle name="Normal 14 7" xfId="49203"/>
    <cellStyle name="Normal 14 7 2" xfId="49204"/>
    <cellStyle name="Normal 14 7 2 2" xfId="49205"/>
    <cellStyle name="Normal 14 7 2 3" xfId="49206"/>
    <cellStyle name="Normal 14 7 3" xfId="49207"/>
    <cellStyle name="Normal 14 7 4" xfId="49208"/>
    <cellStyle name="Normal 14 8" xfId="49209"/>
    <cellStyle name="Normal 14 8 2" xfId="49210"/>
    <cellStyle name="Normal 14 8 3" xfId="49211"/>
    <cellStyle name="Normal 14 9" xfId="49212"/>
    <cellStyle name="Normal 14 9 2" xfId="49213"/>
    <cellStyle name="Normal 14 9 3" xfId="49214"/>
    <cellStyle name="Normal 140" xfId="49215"/>
    <cellStyle name="Normal 140 2" xfId="49216"/>
    <cellStyle name="Normal 140 2 2" xfId="49217"/>
    <cellStyle name="Normal 140 2 3" xfId="49218"/>
    <cellStyle name="Normal 140 3" xfId="49219"/>
    <cellStyle name="Normal 140 3 2" xfId="49220"/>
    <cellStyle name="Normal 140 3 3" xfId="49221"/>
    <cellStyle name="Normal 140 4" xfId="49222"/>
    <cellStyle name="Normal 140 5" xfId="49223"/>
    <cellStyle name="Normal 141" xfId="49224"/>
    <cellStyle name="Normal 141 2" xfId="49225"/>
    <cellStyle name="Normal 141 2 2" xfId="49226"/>
    <cellStyle name="Normal 141 2 3" xfId="49227"/>
    <cellStyle name="Normal 141 3" xfId="49228"/>
    <cellStyle name="Normal 141 3 2" xfId="49229"/>
    <cellStyle name="Normal 141 3 3" xfId="49230"/>
    <cellStyle name="Normal 141 4" xfId="49231"/>
    <cellStyle name="Normal 141 5" xfId="49232"/>
    <cellStyle name="Normal 142" xfId="49233"/>
    <cellStyle name="Normal 142 2" xfId="49234"/>
    <cellStyle name="Normal 142 2 2" xfId="49235"/>
    <cellStyle name="Normal 142 2 3" xfId="49236"/>
    <cellStyle name="Normal 142 3" xfId="49237"/>
    <cellStyle name="Normal 142 3 2" xfId="49238"/>
    <cellStyle name="Normal 142 3 3" xfId="49239"/>
    <cellStyle name="Normal 142 4" xfId="49240"/>
    <cellStyle name="Normal 142 5" xfId="49241"/>
    <cellStyle name="Normal 143" xfId="49242"/>
    <cellStyle name="Normal 143 2" xfId="49243"/>
    <cellStyle name="Normal 143 2 2" xfId="49244"/>
    <cellStyle name="Normal 143 2 3" xfId="49245"/>
    <cellStyle name="Normal 143 3" xfId="49246"/>
    <cellStyle name="Normal 143 3 2" xfId="49247"/>
    <cellStyle name="Normal 143 3 3" xfId="49248"/>
    <cellStyle name="Normal 143 4" xfId="49249"/>
    <cellStyle name="Normal 143 4 2" xfId="49250"/>
    <cellStyle name="Normal 143 4 3" xfId="49251"/>
    <cellStyle name="Normal 143 5" xfId="49252"/>
    <cellStyle name="Normal 144" xfId="49253"/>
    <cellStyle name="Normal 144 2" xfId="49254"/>
    <cellStyle name="Normal 144 2 2" xfId="49255"/>
    <cellStyle name="Normal 144 2 3" xfId="49256"/>
    <cellStyle name="Normal 144 3" xfId="49257"/>
    <cellStyle name="Normal 144 3 2" xfId="49258"/>
    <cellStyle name="Normal 144 3 3" xfId="49259"/>
    <cellStyle name="Normal 144 4" xfId="49260"/>
    <cellStyle name="Normal 144 5" xfId="49261"/>
    <cellStyle name="Normal 145" xfId="49262"/>
    <cellStyle name="Normal 145 2" xfId="49263"/>
    <cellStyle name="Normal 145 2 2" xfId="49264"/>
    <cellStyle name="Normal 145 2 3" xfId="49265"/>
    <cellStyle name="Normal 145 3" xfId="49266"/>
    <cellStyle name="Normal 145 3 2" xfId="49267"/>
    <cellStyle name="Normal 145 3 3" xfId="49268"/>
    <cellStyle name="Normal 145 4" xfId="49269"/>
    <cellStyle name="Normal 145 5" xfId="49270"/>
    <cellStyle name="Normal 146" xfId="49271"/>
    <cellStyle name="Normal 146 2" xfId="49272"/>
    <cellStyle name="Normal 146 2 2" xfId="49273"/>
    <cellStyle name="Normal 146 2 3" xfId="49274"/>
    <cellStyle name="Normal 146 3" xfId="49275"/>
    <cellStyle name="Normal 146 3 2" xfId="49276"/>
    <cellStyle name="Normal 146 3 3" xfId="49277"/>
    <cellStyle name="Normal 146 4" xfId="49278"/>
    <cellStyle name="Normal 146 5" xfId="49279"/>
    <cellStyle name="Normal 147" xfId="49280"/>
    <cellStyle name="Normal 147 2" xfId="49281"/>
    <cellStyle name="Normal 147 2 2" xfId="49282"/>
    <cellStyle name="Normal 147 2 3" xfId="49283"/>
    <cellStyle name="Normal 147 3" xfId="49284"/>
    <cellStyle name="Normal 147 3 2" xfId="49285"/>
    <cellStyle name="Normal 147 3 3" xfId="49286"/>
    <cellStyle name="Normal 147 4" xfId="49287"/>
    <cellStyle name="Normal 147 5" xfId="49288"/>
    <cellStyle name="Normal 148" xfId="49289"/>
    <cellStyle name="Normal 148 2" xfId="49290"/>
    <cellStyle name="Normal 148 2 2" xfId="49291"/>
    <cellStyle name="Normal 148 2 3" xfId="49292"/>
    <cellStyle name="Normal 148 3" xfId="49293"/>
    <cellStyle name="Normal 148 3 2" xfId="49294"/>
    <cellStyle name="Normal 148 3 3" xfId="49295"/>
    <cellStyle name="Normal 148 4" xfId="49296"/>
    <cellStyle name="Normal 148 5" xfId="49297"/>
    <cellStyle name="Normal 149" xfId="49298"/>
    <cellStyle name="Normal 149 2" xfId="49299"/>
    <cellStyle name="Normal 149 2 2" xfId="49300"/>
    <cellStyle name="Normal 149 2 3" xfId="49301"/>
    <cellStyle name="Normal 149 3" xfId="49302"/>
    <cellStyle name="Normal 149 3 2" xfId="49303"/>
    <cellStyle name="Normal 149 3 3" xfId="49304"/>
    <cellStyle name="Normal 149 4" xfId="49305"/>
    <cellStyle name="Normal 149 5" xfId="49306"/>
    <cellStyle name="Normal 15" xfId="49307"/>
    <cellStyle name="Normal 15 10" xfId="49308"/>
    <cellStyle name="Normal 15 11" xfId="49309"/>
    <cellStyle name="Normal 15 12" xfId="49310"/>
    <cellStyle name="Normal 15 2" xfId="49311"/>
    <cellStyle name="Normal 15 2 10" xfId="49312"/>
    <cellStyle name="Normal 15 2 2" xfId="49313"/>
    <cellStyle name="Normal 15 2 2 2" xfId="49314"/>
    <cellStyle name="Normal 15 2 2 2 2" xfId="49315"/>
    <cellStyle name="Normal 15 2 2 2 2 2" xfId="49316"/>
    <cellStyle name="Normal 15 2 2 2 2 2 2" xfId="49317"/>
    <cellStyle name="Normal 15 2 2 2 2 2 3" xfId="49318"/>
    <cellStyle name="Normal 15 2 2 2 2 3" xfId="49319"/>
    <cellStyle name="Normal 15 2 2 2 2 4" xfId="49320"/>
    <cellStyle name="Normal 15 2 2 2 3" xfId="49321"/>
    <cellStyle name="Normal 15 2 2 2 3 2" xfId="49322"/>
    <cellStyle name="Normal 15 2 2 2 3 3" xfId="49323"/>
    <cellStyle name="Normal 15 2 2 2 4" xfId="49324"/>
    <cellStyle name="Normal 15 2 2 2 4 2" xfId="49325"/>
    <cellStyle name="Normal 15 2 2 2 4 3" xfId="49326"/>
    <cellStyle name="Normal 15 2 2 2 5" xfId="49327"/>
    <cellStyle name="Normal 15 2 2 2 6" xfId="49328"/>
    <cellStyle name="Normal 15 2 2 3" xfId="49329"/>
    <cellStyle name="Normal 15 2 2 3 2" xfId="49330"/>
    <cellStyle name="Normal 15 2 2 3 2 2" xfId="49331"/>
    <cellStyle name="Normal 15 2 2 3 2 2 2" xfId="49332"/>
    <cellStyle name="Normal 15 2 2 3 2 2 3" xfId="49333"/>
    <cellStyle name="Normal 15 2 2 3 2 3" xfId="49334"/>
    <cellStyle name="Normal 15 2 2 3 2 4" xfId="49335"/>
    <cellStyle name="Normal 15 2 2 3 3" xfId="49336"/>
    <cellStyle name="Normal 15 2 2 3 3 2" xfId="49337"/>
    <cellStyle name="Normal 15 2 2 3 3 3" xfId="49338"/>
    <cellStyle name="Normal 15 2 2 3 4" xfId="49339"/>
    <cellStyle name="Normal 15 2 2 3 4 2" xfId="49340"/>
    <cellStyle name="Normal 15 2 2 3 4 3" xfId="49341"/>
    <cellStyle name="Normal 15 2 2 3 5" xfId="49342"/>
    <cellStyle name="Normal 15 2 2 3 6" xfId="49343"/>
    <cellStyle name="Normal 15 2 2 4" xfId="49344"/>
    <cellStyle name="Normal 15 2 2 4 2" xfId="49345"/>
    <cellStyle name="Normal 15 2 2 4 2 2" xfId="49346"/>
    <cellStyle name="Normal 15 2 2 4 2 3" xfId="49347"/>
    <cellStyle name="Normal 15 2 2 4 3" xfId="49348"/>
    <cellStyle name="Normal 15 2 2 4 4" xfId="49349"/>
    <cellStyle name="Normal 15 2 2 5" xfId="49350"/>
    <cellStyle name="Normal 15 2 2 5 2" xfId="49351"/>
    <cellStyle name="Normal 15 2 2 5 3" xfId="49352"/>
    <cellStyle name="Normal 15 2 2 6" xfId="49353"/>
    <cellStyle name="Normal 15 2 2 6 2" xfId="49354"/>
    <cellStyle name="Normal 15 2 2 6 3" xfId="49355"/>
    <cellStyle name="Normal 15 2 2 7" xfId="49356"/>
    <cellStyle name="Normal 15 2 2 8" xfId="49357"/>
    <cellStyle name="Normal 15 2 3" xfId="49358"/>
    <cellStyle name="Normal 15 2 3 2" xfId="49359"/>
    <cellStyle name="Normal 15 2 3 2 2" xfId="49360"/>
    <cellStyle name="Normal 15 2 3 2 2 2" xfId="49361"/>
    <cellStyle name="Normal 15 2 3 2 2 3" xfId="49362"/>
    <cellStyle name="Normal 15 2 3 2 3" xfId="49363"/>
    <cellStyle name="Normal 15 2 3 2 4" xfId="49364"/>
    <cellStyle name="Normal 15 2 3 3" xfId="49365"/>
    <cellStyle name="Normal 15 2 3 3 2" xfId="49366"/>
    <cellStyle name="Normal 15 2 3 3 3" xfId="49367"/>
    <cellStyle name="Normal 15 2 3 4" xfId="49368"/>
    <cellStyle name="Normal 15 2 3 4 2" xfId="49369"/>
    <cellStyle name="Normal 15 2 3 4 3" xfId="49370"/>
    <cellStyle name="Normal 15 2 3 5" xfId="49371"/>
    <cellStyle name="Normal 15 2 3 6" xfId="49372"/>
    <cellStyle name="Normal 15 2 4" xfId="49373"/>
    <cellStyle name="Normal 15 2 4 2" xfId="49374"/>
    <cellStyle name="Normal 15 2 4 2 2" xfId="49375"/>
    <cellStyle name="Normal 15 2 4 2 2 2" xfId="49376"/>
    <cellStyle name="Normal 15 2 4 2 2 3" xfId="49377"/>
    <cellStyle name="Normal 15 2 4 2 3" xfId="49378"/>
    <cellStyle name="Normal 15 2 4 2 4" xfId="49379"/>
    <cellStyle name="Normal 15 2 4 3" xfId="49380"/>
    <cellStyle name="Normal 15 2 4 3 2" xfId="49381"/>
    <cellStyle name="Normal 15 2 4 3 3" xfId="49382"/>
    <cellStyle name="Normal 15 2 4 4" xfId="49383"/>
    <cellStyle name="Normal 15 2 4 4 2" xfId="49384"/>
    <cellStyle name="Normal 15 2 4 4 3" xfId="49385"/>
    <cellStyle name="Normal 15 2 4 5" xfId="49386"/>
    <cellStyle name="Normal 15 2 4 6" xfId="49387"/>
    <cellStyle name="Normal 15 2 5" xfId="49388"/>
    <cellStyle name="Normal 15 2 5 2" xfId="49389"/>
    <cellStyle name="Normal 15 2 5 2 2" xfId="49390"/>
    <cellStyle name="Normal 15 2 5 2 3" xfId="49391"/>
    <cellStyle name="Normal 15 2 5 3" xfId="49392"/>
    <cellStyle name="Normal 15 2 5 4" xfId="49393"/>
    <cellStyle name="Normal 15 2 6" xfId="49394"/>
    <cellStyle name="Normal 15 2 6 2" xfId="49395"/>
    <cellStyle name="Normal 15 2 6 2 2" xfId="49396"/>
    <cellStyle name="Normal 15 2 6 2 3" xfId="49397"/>
    <cellStyle name="Normal 15 2 6 3" xfId="49398"/>
    <cellStyle name="Normal 15 2 6 4" xfId="49399"/>
    <cellStyle name="Normal 15 2 7" xfId="49400"/>
    <cellStyle name="Normal 15 2 7 2" xfId="49401"/>
    <cellStyle name="Normal 15 2 7 3" xfId="49402"/>
    <cellStyle name="Normal 15 2 8" xfId="49403"/>
    <cellStyle name="Normal 15 2 8 2" xfId="49404"/>
    <cellStyle name="Normal 15 2 8 3" xfId="49405"/>
    <cellStyle name="Normal 15 2 9" xfId="49406"/>
    <cellStyle name="Normal 15 3" xfId="49407"/>
    <cellStyle name="Normal 15 3 2" xfId="49408"/>
    <cellStyle name="Normal 15 3 2 2" xfId="49409"/>
    <cellStyle name="Normal 15 3 2 2 2" xfId="49410"/>
    <cellStyle name="Normal 15 3 2 2 2 2" xfId="49411"/>
    <cellStyle name="Normal 15 3 2 2 2 3" xfId="49412"/>
    <cellStyle name="Normal 15 3 2 2 3" xfId="49413"/>
    <cellStyle name="Normal 15 3 2 2 4" xfId="49414"/>
    <cellStyle name="Normal 15 3 2 3" xfId="49415"/>
    <cellStyle name="Normal 15 3 2 3 2" xfId="49416"/>
    <cellStyle name="Normal 15 3 2 3 3" xfId="49417"/>
    <cellStyle name="Normal 15 3 2 4" xfId="49418"/>
    <cellStyle name="Normal 15 3 2 4 2" xfId="49419"/>
    <cellStyle name="Normal 15 3 2 4 3" xfId="49420"/>
    <cellStyle name="Normal 15 3 2 5" xfId="49421"/>
    <cellStyle name="Normal 15 3 2 6" xfId="49422"/>
    <cellStyle name="Normal 15 3 3" xfId="49423"/>
    <cellStyle name="Normal 15 3 3 2" xfId="49424"/>
    <cellStyle name="Normal 15 3 3 2 2" xfId="49425"/>
    <cellStyle name="Normal 15 3 3 2 2 2" xfId="49426"/>
    <cellStyle name="Normal 15 3 3 2 2 3" xfId="49427"/>
    <cellStyle name="Normal 15 3 3 2 3" xfId="49428"/>
    <cellStyle name="Normal 15 3 3 2 4" xfId="49429"/>
    <cellStyle name="Normal 15 3 3 3" xfId="49430"/>
    <cellStyle name="Normal 15 3 3 3 2" xfId="49431"/>
    <cellStyle name="Normal 15 3 3 3 3" xfId="49432"/>
    <cellStyle name="Normal 15 3 3 4" xfId="49433"/>
    <cellStyle name="Normal 15 3 3 4 2" xfId="49434"/>
    <cellStyle name="Normal 15 3 3 4 3" xfId="49435"/>
    <cellStyle name="Normal 15 3 3 5" xfId="49436"/>
    <cellStyle name="Normal 15 3 3 6" xfId="49437"/>
    <cellStyle name="Normal 15 3 4" xfId="49438"/>
    <cellStyle name="Normal 15 3 4 2" xfId="49439"/>
    <cellStyle name="Normal 15 3 4 2 2" xfId="49440"/>
    <cellStyle name="Normal 15 3 4 2 3" xfId="49441"/>
    <cellStyle name="Normal 15 3 4 3" xfId="49442"/>
    <cellStyle name="Normal 15 3 4 4" xfId="49443"/>
    <cellStyle name="Normal 15 3 5" xfId="49444"/>
    <cellStyle name="Normal 15 3 5 2" xfId="49445"/>
    <cellStyle name="Normal 15 3 5 3" xfId="49446"/>
    <cellStyle name="Normal 15 3 6" xfId="49447"/>
    <cellStyle name="Normal 15 3 6 2" xfId="49448"/>
    <cellStyle name="Normal 15 3 6 3" xfId="49449"/>
    <cellStyle name="Normal 15 3 7" xfId="49450"/>
    <cellStyle name="Normal 15 3 8" xfId="49451"/>
    <cellStyle name="Normal 15 4" xfId="49452"/>
    <cellStyle name="Normal 15 4 2" xfId="49453"/>
    <cellStyle name="Normal 15 4 2 2" xfId="49454"/>
    <cellStyle name="Normal 15 4 2 2 2" xfId="49455"/>
    <cellStyle name="Normal 15 4 2 2 3" xfId="49456"/>
    <cellStyle name="Normal 15 4 2 3" xfId="49457"/>
    <cellStyle name="Normal 15 4 2 4" xfId="49458"/>
    <cellStyle name="Normal 15 4 3" xfId="49459"/>
    <cellStyle name="Normal 15 4 3 2" xfId="49460"/>
    <cellStyle name="Normal 15 4 3 3" xfId="49461"/>
    <cellStyle name="Normal 15 4 4" xfId="49462"/>
    <cellStyle name="Normal 15 4 4 2" xfId="49463"/>
    <cellStyle name="Normal 15 4 4 3" xfId="49464"/>
    <cellStyle name="Normal 15 4 5" xfId="49465"/>
    <cellStyle name="Normal 15 4 6" xfId="49466"/>
    <cellStyle name="Normal 15 5" xfId="49467"/>
    <cellStyle name="Normal 15 5 2" xfId="49468"/>
    <cellStyle name="Normal 15 5 2 2" xfId="49469"/>
    <cellStyle name="Normal 15 5 2 2 2" xfId="49470"/>
    <cellStyle name="Normal 15 5 2 2 3" xfId="49471"/>
    <cellStyle name="Normal 15 5 2 3" xfId="49472"/>
    <cellStyle name="Normal 15 5 2 4" xfId="49473"/>
    <cellStyle name="Normal 15 5 3" xfId="49474"/>
    <cellStyle name="Normal 15 5 3 2" xfId="49475"/>
    <cellStyle name="Normal 15 5 3 3" xfId="49476"/>
    <cellStyle name="Normal 15 5 4" xfId="49477"/>
    <cellStyle name="Normal 15 5 4 2" xfId="49478"/>
    <cellStyle name="Normal 15 5 4 3" xfId="49479"/>
    <cellStyle name="Normal 15 5 5" xfId="49480"/>
    <cellStyle name="Normal 15 5 6" xfId="49481"/>
    <cellStyle name="Normal 15 6" xfId="49482"/>
    <cellStyle name="Normal 15 6 2" xfId="49483"/>
    <cellStyle name="Normal 15 6 2 2" xfId="49484"/>
    <cellStyle name="Normal 15 6 2 3" xfId="49485"/>
    <cellStyle name="Normal 15 6 3" xfId="49486"/>
    <cellStyle name="Normal 15 6 4" xfId="49487"/>
    <cellStyle name="Normal 15 7" xfId="49488"/>
    <cellStyle name="Normal 15 7 2" xfId="49489"/>
    <cellStyle name="Normal 15 7 2 2" xfId="49490"/>
    <cellStyle name="Normal 15 7 2 3" xfId="49491"/>
    <cellStyle name="Normal 15 7 3" xfId="49492"/>
    <cellStyle name="Normal 15 7 4" xfId="49493"/>
    <cellStyle name="Normal 15 8" xfId="49494"/>
    <cellStyle name="Normal 15 8 2" xfId="49495"/>
    <cellStyle name="Normal 15 8 3" xfId="49496"/>
    <cellStyle name="Normal 15 9" xfId="49497"/>
    <cellStyle name="Normal 15 9 2" xfId="49498"/>
    <cellStyle name="Normal 15 9 3" xfId="49499"/>
    <cellStyle name="Normal 150" xfId="49500"/>
    <cellStyle name="Normal 150 2" xfId="49501"/>
    <cellStyle name="Normal 150 2 2" xfId="49502"/>
    <cellStyle name="Normal 150 2 3" xfId="49503"/>
    <cellStyle name="Normal 150 3" xfId="49504"/>
    <cellStyle name="Normal 150 3 2" xfId="49505"/>
    <cellStyle name="Normal 150 3 3" xfId="49506"/>
    <cellStyle name="Normal 150 4" xfId="49507"/>
    <cellStyle name="Normal 150 5" xfId="49508"/>
    <cellStyle name="Normal 151" xfId="49509"/>
    <cellStyle name="Normal 151 2" xfId="49510"/>
    <cellStyle name="Normal 151 2 2" xfId="49511"/>
    <cellStyle name="Normal 151 2 3" xfId="49512"/>
    <cellStyle name="Normal 151 3" xfId="49513"/>
    <cellStyle name="Normal 151 3 2" xfId="49514"/>
    <cellStyle name="Normal 151 3 3" xfId="49515"/>
    <cellStyle name="Normal 151 4" xfId="49516"/>
    <cellStyle name="Normal 151 5" xfId="49517"/>
    <cellStyle name="Normal 152" xfId="49518"/>
    <cellStyle name="Normal 152 2" xfId="49519"/>
    <cellStyle name="Normal 152 2 2" xfId="49520"/>
    <cellStyle name="Normal 152 2 3" xfId="49521"/>
    <cellStyle name="Normal 152 3" xfId="49522"/>
    <cellStyle name="Normal 152 3 2" xfId="49523"/>
    <cellStyle name="Normal 152 3 3" xfId="49524"/>
    <cellStyle name="Normal 152 4" xfId="49525"/>
    <cellStyle name="Normal 152 5" xfId="49526"/>
    <cellStyle name="Normal 153" xfId="49527"/>
    <cellStyle name="Normal 153 2" xfId="49528"/>
    <cellStyle name="Normal 153 2 2" xfId="49529"/>
    <cellStyle name="Normal 153 2 3" xfId="49530"/>
    <cellStyle name="Normal 153 3" xfId="49531"/>
    <cellStyle name="Normal 153 3 2" xfId="49532"/>
    <cellStyle name="Normal 153 3 3" xfId="49533"/>
    <cellStyle name="Normal 153 4" xfId="49534"/>
    <cellStyle name="Normal 153 5" xfId="49535"/>
    <cellStyle name="Normal 154" xfId="49536"/>
    <cellStyle name="Normal 154 2" xfId="49537"/>
    <cellStyle name="Normal 154 2 2" xfId="49538"/>
    <cellStyle name="Normal 154 2 3" xfId="49539"/>
    <cellStyle name="Normal 154 3" xfId="49540"/>
    <cellStyle name="Normal 154 3 2" xfId="49541"/>
    <cellStyle name="Normal 154 3 3" xfId="49542"/>
    <cellStyle name="Normal 154 4" xfId="49543"/>
    <cellStyle name="Normal 154 5" xfId="49544"/>
    <cellStyle name="Normal 155" xfId="49545"/>
    <cellStyle name="Normal 155 2" xfId="49546"/>
    <cellStyle name="Normal 155 2 2" xfId="49547"/>
    <cellStyle name="Normal 155 2 3" xfId="49548"/>
    <cellStyle name="Normal 155 3" xfId="49549"/>
    <cellStyle name="Normal 155 3 2" xfId="49550"/>
    <cellStyle name="Normal 155 3 3" xfId="49551"/>
    <cellStyle name="Normal 155 4" xfId="49552"/>
    <cellStyle name="Normal 155 5" xfId="49553"/>
    <cellStyle name="Normal 156" xfId="49554"/>
    <cellStyle name="Normal 156 2" xfId="49555"/>
    <cellStyle name="Normal 156 2 2" xfId="49556"/>
    <cellStyle name="Normal 156 2 3" xfId="49557"/>
    <cellStyle name="Normal 156 3" xfId="49558"/>
    <cellStyle name="Normal 156 3 2" xfId="49559"/>
    <cellStyle name="Normal 156 3 3" xfId="49560"/>
    <cellStyle name="Normal 156 4" xfId="49561"/>
    <cellStyle name="Normal 156 5" xfId="49562"/>
    <cellStyle name="Normal 157" xfId="49563"/>
    <cellStyle name="Normal 157 2" xfId="49564"/>
    <cellStyle name="Normal 157 2 2" xfId="49565"/>
    <cellStyle name="Normal 157 2 3" xfId="49566"/>
    <cellStyle name="Normal 157 3" xfId="49567"/>
    <cellStyle name="Normal 157 3 2" xfId="49568"/>
    <cellStyle name="Normal 157 3 3" xfId="49569"/>
    <cellStyle name="Normal 157 4" xfId="49570"/>
    <cellStyle name="Normal 157 5" xfId="49571"/>
    <cellStyle name="Normal 158" xfId="49572"/>
    <cellStyle name="Normal 158 2" xfId="49573"/>
    <cellStyle name="Normal 158 2 2" xfId="49574"/>
    <cellStyle name="Normal 158 2 3" xfId="49575"/>
    <cellStyle name="Normal 158 3" xfId="49576"/>
    <cellStyle name="Normal 158 3 2" xfId="49577"/>
    <cellStyle name="Normal 158 3 3" xfId="49578"/>
    <cellStyle name="Normal 158 4" xfId="49579"/>
    <cellStyle name="Normal 158 4 2" xfId="49580"/>
    <cellStyle name="Normal 158 4 3" xfId="49581"/>
    <cellStyle name="Normal 158 5" xfId="49582"/>
    <cellStyle name="Normal 158 6" xfId="49583"/>
    <cellStyle name="Normal 159" xfId="49584"/>
    <cellStyle name="Normal 159 2" xfId="49585"/>
    <cellStyle name="Normal 159 2 2" xfId="49586"/>
    <cellStyle name="Normal 159 2 3" xfId="49587"/>
    <cellStyle name="Normal 159 3" xfId="49588"/>
    <cellStyle name="Normal 159 3 2" xfId="49589"/>
    <cellStyle name="Normal 159 3 3" xfId="49590"/>
    <cellStyle name="Normal 159 4" xfId="49591"/>
    <cellStyle name="Normal 159 4 2" xfId="49592"/>
    <cellStyle name="Normal 159 4 3" xfId="49593"/>
    <cellStyle name="Normal 159 5" xfId="49594"/>
    <cellStyle name="Normal 159 6" xfId="49595"/>
    <cellStyle name="Normal 16" xfId="49596"/>
    <cellStyle name="Normal 16 10" xfId="49597"/>
    <cellStyle name="Normal 16 11" xfId="49598"/>
    <cellStyle name="Normal 16 2" xfId="49599"/>
    <cellStyle name="Normal 16 2 10" xfId="49600"/>
    <cellStyle name="Normal 16 2 2" xfId="49601"/>
    <cellStyle name="Normal 16 2 2 2" xfId="49602"/>
    <cellStyle name="Normal 16 2 2 2 2" xfId="49603"/>
    <cellStyle name="Normal 16 2 2 2 2 2" xfId="49604"/>
    <cellStyle name="Normal 16 2 2 2 2 2 2" xfId="49605"/>
    <cellStyle name="Normal 16 2 2 2 2 2 3" xfId="49606"/>
    <cellStyle name="Normal 16 2 2 2 2 3" xfId="49607"/>
    <cellStyle name="Normal 16 2 2 2 2 4" xfId="49608"/>
    <cellStyle name="Normal 16 2 2 2 3" xfId="49609"/>
    <cellStyle name="Normal 16 2 2 2 3 2" xfId="49610"/>
    <cellStyle name="Normal 16 2 2 2 3 3" xfId="49611"/>
    <cellStyle name="Normal 16 2 2 2 4" xfId="49612"/>
    <cellStyle name="Normal 16 2 2 2 4 2" xfId="49613"/>
    <cellStyle name="Normal 16 2 2 2 4 3" xfId="49614"/>
    <cellStyle name="Normal 16 2 2 2 5" xfId="49615"/>
    <cellStyle name="Normal 16 2 2 2 6" xfId="49616"/>
    <cellStyle name="Normal 16 2 2 3" xfId="49617"/>
    <cellStyle name="Normal 16 2 2 3 2" xfId="49618"/>
    <cellStyle name="Normal 16 2 2 3 2 2" xfId="49619"/>
    <cellStyle name="Normal 16 2 2 3 2 2 2" xfId="49620"/>
    <cellStyle name="Normal 16 2 2 3 2 2 3" xfId="49621"/>
    <cellStyle name="Normal 16 2 2 3 2 3" xfId="49622"/>
    <cellStyle name="Normal 16 2 2 3 2 4" xfId="49623"/>
    <cellStyle name="Normal 16 2 2 3 3" xfId="49624"/>
    <cellStyle name="Normal 16 2 2 3 3 2" xfId="49625"/>
    <cellStyle name="Normal 16 2 2 3 3 3" xfId="49626"/>
    <cellStyle name="Normal 16 2 2 3 4" xfId="49627"/>
    <cellStyle name="Normal 16 2 2 3 4 2" xfId="49628"/>
    <cellStyle name="Normal 16 2 2 3 4 3" xfId="49629"/>
    <cellStyle name="Normal 16 2 2 3 5" xfId="49630"/>
    <cellStyle name="Normal 16 2 2 3 6" xfId="49631"/>
    <cellStyle name="Normal 16 2 2 4" xfId="49632"/>
    <cellStyle name="Normal 16 2 2 4 2" xfId="49633"/>
    <cellStyle name="Normal 16 2 2 4 2 2" xfId="49634"/>
    <cellStyle name="Normal 16 2 2 4 2 3" xfId="49635"/>
    <cellStyle name="Normal 16 2 2 4 3" xfId="49636"/>
    <cellStyle name="Normal 16 2 2 4 4" xfId="49637"/>
    <cellStyle name="Normal 16 2 2 5" xfId="49638"/>
    <cellStyle name="Normal 16 2 2 5 2" xfId="49639"/>
    <cellStyle name="Normal 16 2 2 5 3" xfId="49640"/>
    <cellStyle name="Normal 16 2 2 6" xfId="49641"/>
    <cellStyle name="Normal 16 2 2 6 2" xfId="49642"/>
    <cellStyle name="Normal 16 2 2 6 3" xfId="49643"/>
    <cellStyle name="Normal 16 2 2 7" xfId="49644"/>
    <cellStyle name="Normal 16 2 2 8" xfId="49645"/>
    <cellStyle name="Normal 16 2 3" xfId="49646"/>
    <cellStyle name="Normal 16 2 3 2" xfId="49647"/>
    <cellStyle name="Normal 16 2 3 2 2" xfId="49648"/>
    <cellStyle name="Normal 16 2 3 2 2 2" xfId="49649"/>
    <cellStyle name="Normal 16 2 3 2 2 3" xfId="49650"/>
    <cellStyle name="Normal 16 2 3 2 3" xfId="49651"/>
    <cellStyle name="Normal 16 2 3 2 4" xfId="49652"/>
    <cellStyle name="Normal 16 2 3 3" xfId="49653"/>
    <cellStyle name="Normal 16 2 3 3 2" xfId="49654"/>
    <cellStyle name="Normal 16 2 3 3 3" xfId="49655"/>
    <cellStyle name="Normal 16 2 3 4" xfId="49656"/>
    <cellStyle name="Normal 16 2 3 4 2" xfId="49657"/>
    <cellStyle name="Normal 16 2 3 4 3" xfId="49658"/>
    <cellStyle name="Normal 16 2 3 5" xfId="49659"/>
    <cellStyle name="Normal 16 2 3 6" xfId="49660"/>
    <cellStyle name="Normal 16 2 4" xfId="49661"/>
    <cellStyle name="Normal 16 2 4 2" xfId="49662"/>
    <cellStyle name="Normal 16 2 4 2 2" xfId="49663"/>
    <cellStyle name="Normal 16 2 4 2 2 2" xfId="49664"/>
    <cellStyle name="Normal 16 2 4 2 2 3" xfId="49665"/>
    <cellStyle name="Normal 16 2 4 2 3" xfId="49666"/>
    <cellStyle name="Normal 16 2 4 2 4" xfId="49667"/>
    <cellStyle name="Normal 16 2 4 3" xfId="49668"/>
    <cellStyle name="Normal 16 2 4 3 2" xfId="49669"/>
    <cellStyle name="Normal 16 2 4 3 3" xfId="49670"/>
    <cellStyle name="Normal 16 2 4 4" xfId="49671"/>
    <cellStyle name="Normal 16 2 4 4 2" xfId="49672"/>
    <cellStyle name="Normal 16 2 4 4 3" xfId="49673"/>
    <cellStyle name="Normal 16 2 4 5" xfId="49674"/>
    <cellStyle name="Normal 16 2 4 6" xfId="49675"/>
    <cellStyle name="Normal 16 2 5" xfId="49676"/>
    <cellStyle name="Normal 16 2 5 2" xfId="49677"/>
    <cellStyle name="Normal 16 2 5 2 2" xfId="49678"/>
    <cellStyle name="Normal 16 2 5 2 3" xfId="49679"/>
    <cellStyle name="Normal 16 2 5 3" xfId="49680"/>
    <cellStyle name="Normal 16 2 5 4" xfId="49681"/>
    <cellStyle name="Normal 16 2 6" xfId="49682"/>
    <cellStyle name="Normal 16 2 6 2" xfId="49683"/>
    <cellStyle name="Normal 16 2 6 2 2" xfId="49684"/>
    <cellStyle name="Normal 16 2 6 2 3" xfId="49685"/>
    <cellStyle name="Normal 16 2 6 3" xfId="49686"/>
    <cellStyle name="Normal 16 2 6 4" xfId="49687"/>
    <cellStyle name="Normal 16 2 7" xfId="49688"/>
    <cellStyle name="Normal 16 2 7 2" xfId="49689"/>
    <cellStyle name="Normal 16 2 7 3" xfId="49690"/>
    <cellStyle name="Normal 16 2 8" xfId="49691"/>
    <cellStyle name="Normal 16 2 8 2" xfId="49692"/>
    <cellStyle name="Normal 16 2 8 3" xfId="49693"/>
    <cellStyle name="Normal 16 2 9" xfId="49694"/>
    <cellStyle name="Normal 16 3" xfId="49695"/>
    <cellStyle name="Normal 16 3 2" xfId="49696"/>
    <cellStyle name="Normal 16 3 2 2" xfId="49697"/>
    <cellStyle name="Normal 16 3 2 2 2" xfId="49698"/>
    <cellStyle name="Normal 16 3 2 2 2 2" xfId="49699"/>
    <cellStyle name="Normal 16 3 2 2 2 3" xfId="49700"/>
    <cellStyle name="Normal 16 3 2 2 3" xfId="49701"/>
    <cellStyle name="Normal 16 3 2 2 4" xfId="49702"/>
    <cellStyle name="Normal 16 3 2 3" xfId="49703"/>
    <cellStyle name="Normal 16 3 2 3 2" xfId="49704"/>
    <cellStyle name="Normal 16 3 2 3 3" xfId="49705"/>
    <cellStyle name="Normal 16 3 2 4" xfId="49706"/>
    <cellStyle name="Normal 16 3 2 4 2" xfId="49707"/>
    <cellStyle name="Normal 16 3 2 4 3" xfId="49708"/>
    <cellStyle name="Normal 16 3 2 5" xfId="49709"/>
    <cellStyle name="Normal 16 3 2 6" xfId="49710"/>
    <cellStyle name="Normal 16 3 3" xfId="49711"/>
    <cellStyle name="Normal 16 3 3 2" xfId="49712"/>
    <cellStyle name="Normal 16 3 3 2 2" xfId="49713"/>
    <cellStyle name="Normal 16 3 3 2 2 2" xfId="49714"/>
    <cellStyle name="Normal 16 3 3 2 2 3" xfId="49715"/>
    <cellStyle name="Normal 16 3 3 2 3" xfId="49716"/>
    <cellStyle name="Normal 16 3 3 2 4" xfId="49717"/>
    <cellStyle name="Normal 16 3 3 3" xfId="49718"/>
    <cellStyle name="Normal 16 3 3 3 2" xfId="49719"/>
    <cellStyle name="Normal 16 3 3 3 3" xfId="49720"/>
    <cellStyle name="Normal 16 3 3 4" xfId="49721"/>
    <cellStyle name="Normal 16 3 3 4 2" xfId="49722"/>
    <cellStyle name="Normal 16 3 3 4 3" xfId="49723"/>
    <cellStyle name="Normal 16 3 3 5" xfId="49724"/>
    <cellStyle name="Normal 16 3 3 6" xfId="49725"/>
    <cellStyle name="Normal 16 3 4" xfId="49726"/>
    <cellStyle name="Normal 16 3 4 2" xfId="49727"/>
    <cellStyle name="Normal 16 3 4 2 2" xfId="49728"/>
    <cellStyle name="Normal 16 3 4 2 3" xfId="49729"/>
    <cellStyle name="Normal 16 3 4 3" xfId="49730"/>
    <cellStyle name="Normal 16 3 4 4" xfId="49731"/>
    <cellStyle name="Normal 16 3 5" xfId="49732"/>
    <cellStyle name="Normal 16 3 5 2" xfId="49733"/>
    <cellStyle name="Normal 16 3 5 3" xfId="49734"/>
    <cellStyle name="Normal 16 3 6" xfId="49735"/>
    <cellStyle name="Normal 16 3 6 2" xfId="49736"/>
    <cellStyle name="Normal 16 3 6 3" xfId="49737"/>
    <cellStyle name="Normal 16 3 7" xfId="49738"/>
    <cellStyle name="Normal 16 3 8" xfId="49739"/>
    <cellStyle name="Normal 16 4" xfId="49740"/>
    <cellStyle name="Normal 16 4 2" xfId="49741"/>
    <cellStyle name="Normal 16 4 2 2" xfId="49742"/>
    <cellStyle name="Normal 16 4 2 2 2" xfId="49743"/>
    <cellStyle name="Normal 16 4 2 2 3" xfId="49744"/>
    <cellStyle name="Normal 16 4 2 3" xfId="49745"/>
    <cellStyle name="Normal 16 4 2 4" xfId="49746"/>
    <cellStyle name="Normal 16 4 3" xfId="49747"/>
    <cellStyle name="Normal 16 4 3 2" xfId="49748"/>
    <cellStyle name="Normal 16 4 3 3" xfId="49749"/>
    <cellStyle name="Normal 16 4 4" xfId="49750"/>
    <cellStyle name="Normal 16 4 4 2" xfId="49751"/>
    <cellStyle name="Normal 16 4 4 3" xfId="49752"/>
    <cellStyle name="Normal 16 4 5" xfId="49753"/>
    <cellStyle name="Normal 16 4 6" xfId="49754"/>
    <cellStyle name="Normal 16 5" xfId="49755"/>
    <cellStyle name="Normal 16 5 2" xfId="49756"/>
    <cellStyle name="Normal 16 5 2 2" xfId="49757"/>
    <cellStyle name="Normal 16 5 2 2 2" xfId="49758"/>
    <cellStyle name="Normal 16 5 2 2 3" xfId="49759"/>
    <cellStyle name="Normal 16 5 2 3" xfId="49760"/>
    <cellStyle name="Normal 16 5 2 4" xfId="49761"/>
    <cellStyle name="Normal 16 5 3" xfId="49762"/>
    <cellStyle name="Normal 16 5 3 2" xfId="49763"/>
    <cellStyle name="Normal 16 5 3 3" xfId="49764"/>
    <cellStyle name="Normal 16 5 4" xfId="49765"/>
    <cellStyle name="Normal 16 5 4 2" xfId="49766"/>
    <cellStyle name="Normal 16 5 4 3" xfId="49767"/>
    <cellStyle name="Normal 16 5 5" xfId="49768"/>
    <cellStyle name="Normal 16 5 6" xfId="49769"/>
    <cellStyle name="Normal 16 6" xfId="49770"/>
    <cellStyle name="Normal 16 6 2" xfId="49771"/>
    <cellStyle name="Normal 16 6 2 2" xfId="49772"/>
    <cellStyle name="Normal 16 6 2 3" xfId="49773"/>
    <cellStyle name="Normal 16 6 3" xfId="49774"/>
    <cellStyle name="Normal 16 6 4" xfId="49775"/>
    <cellStyle name="Normal 16 7" xfId="49776"/>
    <cellStyle name="Normal 16 7 2" xfId="49777"/>
    <cellStyle name="Normal 16 7 2 2" xfId="49778"/>
    <cellStyle name="Normal 16 7 2 3" xfId="49779"/>
    <cellStyle name="Normal 16 7 3" xfId="49780"/>
    <cellStyle name="Normal 16 7 4" xfId="49781"/>
    <cellStyle name="Normal 16 8" xfId="49782"/>
    <cellStyle name="Normal 16 8 2" xfId="49783"/>
    <cellStyle name="Normal 16 8 3" xfId="49784"/>
    <cellStyle name="Normal 16 9" xfId="49785"/>
    <cellStyle name="Normal 16 9 2" xfId="49786"/>
    <cellStyle name="Normal 16 9 3" xfId="49787"/>
    <cellStyle name="Normal 160" xfId="49788"/>
    <cellStyle name="Normal 160 2" xfId="49789"/>
    <cellStyle name="Normal 160 2 2" xfId="49790"/>
    <cellStyle name="Normal 160 2 3" xfId="49791"/>
    <cellStyle name="Normal 160 3" xfId="49792"/>
    <cellStyle name="Normal 160 3 2" xfId="49793"/>
    <cellStyle name="Normal 160 3 3" xfId="49794"/>
    <cellStyle name="Normal 160 4" xfId="49795"/>
    <cellStyle name="Normal 160 4 2" xfId="49796"/>
    <cellStyle name="Normal 160 4 3" xfId="49797"/>
    <cellStyle name="Normal 160 5" xfId="49798"/>
    <cellStyle name="Normal 160 6" xfId="49799"/>
    <cellStyle name="Normal 161" xfId="49800"/>
    <cellStyle name="Normal 161 2" xfId="49801"/>
    <cellStyle name="Normal 161 2 2" xfId="49802"/>
    <cellStyle name="Normal 161 2 3" xfId="49803"/>
    <cellStyle name="Normal 161 3" xfId="49804"/>
    <cellStyle name="Normal 161 3 2" xfId="49805"/>
    <cellStyle name="Normal 161 3 3" xfId="49806"/>
    <cellStyle name="Normal 161 4" xfId="49807"/>
    <cellStyle name="Normal 161 4 2" xfId="49808"/>
    <cellStyle name="Normal 161 4 3" xfId="49809"/>
    <cellStyle name="Normal 161 5" xfId="49810"/>
    <cellStyle name="Normal 161 6" xfId="49811"/>
    <cellStyle name="Normal 162" xfId="49812"/>
    <cellStyle name="Normal 162 2" xfId="49813"/>
    <cellStyle name="Normal 162 2 2" xfId="49814"/>
    <cellStyle name="Normal 162 2 3" xfId="49815"/>
    <cellStyle name="Normal 162 3" xfId="49816"/>
    <cellStyle name="Normal 162 3 2" xfId="49817"/>
    <cellStyle name="Normal 162 3 3" xfId="49818"/>
    <cellStyle name="Normal 162 4" xfId="49819"/>
    <cellStyle name="Normal 162 4 2" xfId="49820"/>
    <cellStyle name="Normal 162 4 3" xfId="49821"/>
    <cellStyle name="Normal 162 5" xfId="49822"/>
    <cellStyle name="Normal 162 6" xfId="49823"/>
    <cellStyle name="Normal 163" xfId="49824"/>
    <cellStyle name="Normal 163 2" xfId="49825"/>
    <cellStyle name="Normal 163 2 2" xfId="49826"/>
    <cellStyle name="Normal 163 2 3" xfId="49827"/>
    <cellStyle name="Normal 163 3" xfId="49828"/>
    <cellStyle name="Normal 163 3 2" xfId="49829"/>
    <cellStyle name="Normal 163 3 3" xfId="49830"/>
    <cellStyle name="Normal 163 4" xfId="49831"/>
    <cellStyle name="Normal 163 4 2" xfId="49832"/>
    <cellStyle name="Normal 163 4 3" xfId="49833"/>
    <cellStyle name="Normal 163 5" xfId="49834"/>
    <cellStyle name="Normal 163 6" xfId="49835"/>
    <cellStyle name="Normal 164" xfId="49836"/>
    <cellStyle name="Normal 164 2" xfId="49837"/>
    <cellStyle name="Normal 164 2 2" xfId="49838"/>
    <cellStyle name="Normal 164 2 2 2" xfId="49839"/>
    <cellStyle name="Normal 164 2 2 3" xfId="49840"/>
    <cellStyle name="Normal 164 2 3" xfId="49841"/>
    <cellStyle name="Normal 164 2 4" xfId="49842"/>
    <cellStyle name="Normal 164 3" xfId="49843"/>
    <cellStyle name="Normal 164 4" xfId="49844"/>
    <cellStyle name="Normal 165" xfId="49845"/>
    <cellStyle name="Normal 165 2" xfId="49846"/>
    <cellStyle name="Normal 165 2 2" xfId="49847"/>
    <cellStyle name="Normal 165 2 2 2" xfId="49848"/>
    <cellStyle name="Normal 165 2 2 3" xfId="49849"/>
    <cellStyle name="Normal 165 2 3" xfId="49850"/>
    <cellStyle name="Normal 165 2 4" xfId="49851"/>
    <cellStyle name="Normal 165 3" xfId="49852"/>
    <cellStyle name="Normal 165 4" xfId="49853"/>
    <cellStyle name="Normal 166" xfId="49854"/>
    <cellStyle name="Normal 166 2" xfId="49855"/>
    <cellStyle name="Normal 166 3" xfId="49856"/>
    <cellStyle name="Normal 167" xfId="49857"/>
    <cellStyle name="Normal 167 2" xfId="49858"/>
    <cellStyle name="Normal 167 2 2" xfId="49859"/>
    <cellStyle name="Normal 167 2 3" xfId="49860"/>
    <cellStyle name="Normal 167 3" xfId="49861"/>
    <cellStyle name="Normal 167 4" xfId="49862"/>
    <cellStyle name="Normal 168" xfId="49863"/>
    <cellStyle name="Normal 168 2" xfId="49864"/>
    <cellStyle name="Normal 168 2 2" xfId="49865"/>
    <cellStyle name="Normal 168 2 2 2" xfId="49866"/>
    <cellStyle name="Normal 168 2 2 3" xfId="49867"/>
    <cellStyle name="Normal 168 2 3" xfId="49868"/>
    <cellStyle name="Normal 168 2 3 2" xfId="49869"/>
    <cellStyle name="Normal 168 2 3 3" xfId="49870"/>
    <cellStyle name="Normal 168 2 4" xfId="49871"/>
    <cellStyle name="Normal 168 2 6" xfId="49872"/>
    <cellStyle name="Normal 168 3" xfId="49873"/>
    <cellStyle name="Normal 168 3 2" xfId="49874"/>
    <cellStyle name="Normal 168 3 3" xfId="49875"/>
    <cellStyle name="Normal 168 4" xfId="49876"/>
    <cellStyle name="Normal 168 5" xfId="49877"/>
    <cellStyle name="Normal 169" xfId="49878"/>
    <cellStyle name="Normal 169 2" xfId="49879"/>
    <cellStyle name="Normal 169 2 2" xfId="49880"/>
    <cellStyle name="Normal 169 2 2 2" xfId="49881"/>
    <cellStyle name="Normal 169 2 2 2 2" xfId="49882"/>
    <cellStyle name="Normal 169 2 2 2 3" xfId="49883"/>
    <cellStyle name="Normal 169 2 2 3" xfId="49884"/>
    <cellStyle name="Normal 169 2 2 4" xfId="49885"/>
    <cellStyle name="Normal 169 2 3" xfId="49886"/>
    <cellStyle name="Normal 169 2 3 2" xfId="49887"/>
    <cellStyle name="Normal 169 2 3 3" xfId="49888"/>
    <cellStyle name="Normal 169 2 4" xfId="49889"/>
    <cellStyle name="Normal 169 2 4 2" xfId="49890"/>
    <cellStyle name="Normal 169 2 4 3" xfId="49891"/>
    <cellStyle name="Normal 169 2 5" xfId="49892"/>
    <cellStyle name="Normal 169 2 6" xfId="49893"/>
    <cellStyle name="Normal 169 3" xfId="49894"/>
    <cellStyle name="Normal 169 3 2" xfId="49895"/>
    <cellStyle name="Normal 169 3 2 2" xfId="49896"/>
    <cellStyle name="Normal 169 3 2 2 2" xfId="49897"/>
    <cellStyle name="Normal 169 3 2 2 3" xfId="49898"/>
    <cellStyle name="Normal 169 3 2 3" xfId="49899"/>
    <cellStyle name="Normal 169 3 2 4" xfId="49900"/>
    <cellStyle name="Normal 169 3 3" xfId="49901"/>
    <cellStyle name="Normal 169 3 3 2" xfId="49902"/>
    <cellStyle name="Normal 169 3 3 3" xfId="49903"/>
    <cellStyle name="Normal 169 3 4" xfId="49904"/>
    <cellStyle name="Normal 169 3 4 2" xfId="49905"/>
    <cellStyle name="Normal 169 3 4 3" xfId="49906"/>
    <cellStyle name="Normal 169 3 5" xfId="49907"/>
    <cellStyle name="Normal 169 3 6" xfId="49908"/>
    <cellStyle name="Normal 169 4" xfId="49909"/>
    <cellStyle name="Normal 169 4 2" xfId="49910"/>
    <cellStyle name="Normal 169 4 2 2" xfId="49911"/>
    <cellStyle name="Normal 169 4 2 3" xfId="49912"/>
    <cellStyle name="Normal 169 4 3" xfId="49913"/>
    <cellStyle name="Normal 169 4 4" xfId="49914"/>
    <cellStyle name="Normal 169 5" xfId="49915"/>
    <cellStyle name="Normal 169 5 2" xfId="49916"/>
    <cellStyle name="Normal 169 5 3" xfId="49917"/>
    <cellStyle name="Normal 169 6" xfId="49918"/>
    <cellStyle name="Normal 169 6 2" xfId="49919"/>
    <cellStyle name="Normal 169 6 3" xfId="49920"/>
    <cellStyle name="Normal 169 7" xfId="49921"/>
    <cellStyle name="Normal 169 8" xfId="49922"/>
    <cellStyle name="Normal 17" xfId="49923"/>
    <cellStyle name="Normal 17 10" xfId="49924"/>
    <cellStyle name="Normal 17 11" xfId="49925"/>
    <cellStyle name="Normal 17 12" xfId="49926"/>
    <cellStyle name="Normal 17 2" xfId="49927"/>
    <cellStyle name="Normal 17 2 10" xfId="49928"/>
    <cellStyle name="Normal 17 2 2" xfId="49929"/>
    <cellStyle name="Normal 17 2 2 2" xfId="49930"/>
    <cellStyle name="Normal 17 2 2 2 2" xfId="49931"/>
    <cellStyle name="Normal 17 2 2 2 2 2" xfId="49932"/>
    <cellStyle name="Normal 17 2 2 2 2 2 2" xfId="49933"/>
    <cellStyle name="Normal 17 2 2 2 2 2 3" xfId="49934"/>
    <cellStyle name="Normal 17 2 2 2 2 3" xfId="49935"/>
    <cellStyle name="Normal 17 2 2 2 2 4" xfId="49936"/>
    <cellStyle name="Normal 17 2 2 2 3" xfId="49937"/>
    <cellStyle name="Normal 17 2 2 2 3 2" xfId="49938"/>
    <cellStyle name="Normal 17 2 2 2 3 3" xfId="49939"/>
    <cellStyle name="Normal 17 2 2 2 4" xfId="49940"/>
    <cellStyle name="Normal 17 2 2 2 4 2" xfId="49941"/>
    <cellStyle name="Normal 17 2 2 2 4 3" xfId="49942"/>
    <cellStyle name="Normal 17 2 2 2 5" xfId="49943"/>
    <cellStyle name="Normal 17 2 2 2 6" xfId="49944"/>
    <cellStyle name="Normal 17 2 2 3" xfId="49945"/>
    <cellStyle name="Normal 17 2 2 3 2" xfId="49946"/>
    <cellStyle name="Normal 17 2 2 3 2 2" xfId="49947"/>
    <cellStyle name="Normal 17 2 2 3 2 2 2" xfId="49948"/>
    <cellStyle name="Normal 17 2 2 3 2 2 3" xfId="49949"/>
    <cellStyle name="Normal 17 2 2 3 2 3" xfId="49950"/>
    <cellStyle name="Normal 17 2 2 3 2 4" xfId="49951"/>
    <cellStyle name="Normal 17 2 2 3 3" xfId="49952"/>
    <cellStyle name="Normal 17 2 2 3 3 2" xfId="49953"/>
    <cellStyle name="Normal 17 2 2 3 3 3" xfId="49954"/>
    <cellStyle name="Normal 17 2 2 3 4" xfId="49955"/>
    <cellStyle name="Normal 17 2 2 3 4 2" xfId="49956"/>
    <cellStyle name="Normal 17 2 2 3 4 3" xfId="49957"/>
    <cellStyle name="Normal 17 2 2 3 5" xfId="49958"/>
    <cellStyle name="Normal 17 2 2 3 6" xfId="49959"/>
    <cellStyle name="Normal 17 2 2 4" xfId="49960"/>
    <cellStyle name="Normal 17 2 2 4 2" xfId="49961"/>
    <cellStyle name="Normal 17 2 2 4 2 2" xfId="49962"/>
    <cellStyle name="Normal 17 2 2 4 2 3" xfId="49963"/>
    <cellStyle name="Normal 17 2 2 4 3" xfId="49964"/>
    <cellStyle name="Normal 17 2 2 4 4" xfId="49965"/>
    <cellStyle name="Normal 17 2 2 5" xfId="49966"/>
    <cellStyle name="Normal 17 2 2 5 2" xfId="49967"/>
    <cellStyle name="Normal 17 2 2 5 3" xfId="49968"/>
    <cellStyle name="Normal 17 2 2 6" xfId="49969"/>
    <cellStyle name="Normal 17 2 2 6 2" xfId="49970"/>
    <cellStyle name="Normal 17 2 2 6 3" xfId="49971"/>
    <cellStyle name="Normal 17 2 2 7" xfId="49972"/>
    <cellStyle name="Normal 17 2 2 8" xfId="49973"/>
    <cellStyle name="Normal 17 2 3" xfId="49974"/>
    <cellStyle name="Normal 17 2 3 2" xfId="49975"/>
    <cellStyle name="Normal 17 2 3 2 2" xfId="49976"/>
    <cellStyle name="Normal 17 2 3 2 2 2" xfId="49977"/>
    <cellStyle name="Normal 17 2 3 2 2 3" xfId="49978"/>
    <cellStyle name="Normal 17 2 3 2 3" xfId="49979"/>
    <cellStyle name="Normal 17 2 3 2 4" xfId="49980"/>
    <cellStyle name="Normal 17 2 3 3" xfId="49981"/>
    <cellStyle name="Normal 17 2 3 3 2" xfId="49982"/>
    <cellStyle name="Normal 17 2 3 3 3" xfId="49983"/>
    <cellStyle name="Normal 17 2 3 4" xfId="49984"/>
    <cellStyle name="Normal 17 2 3 4 2" xfId="49985"/>
    <cellStyle name="Normal 17 2 3 4 3" xfId="49986"/>
    <cellStyle name="Normal 17 2 3 5" xfId="49987"/>
    <cellStyle name="Normal 17 2 3 6" xfId="49988"/>
    <cellStyle name="Normal 17 2 4" xfId="49989"/>
    <cellStyle name="Normal 17 2 4 2" xfId="49990"/>
    <cellStyle name="Normal 17 2 4 2 2" xfId="49991"/>
    <cellStyle name="Normal 17 2 4 2 2 2" xfId="49992"/>
    <cellStyle name="Normal 17 2 4 2 2 3" xfId="49993"/>
    <cellStyle name="Normal 17 2 4 2 3" xfId="49994"/>
    <cellStyle name="Normal 17 2 4 2 4" xfId="49995"/>
    <cellStyle name="Normal 17 2 4 3" xfId="49996"/>
    <cellStyle name="Normal 17 2 4 3 2" xfId="49997"/>
    <cellStyle name="Normal 17 2 4 3 3" xfId="49998"/>
    <cellStyle name="Normal 17 2 4 4" xfId="49999"/>
    <cellStyle name="Normal 17 2 4 4 2" xfId="50000"/>
    <cellStyle name="Normal 17 2 4 4 3" xfId="50001"/>
    <cellStyle name="Normal 17 2 4 5" xfId="50002"/>
    <cellStyle name="Normal 17 2 4 6" xfId="50003"/>
    <cellStyle name="Normal 17 2 5" xfId="50004"/>
    <cellStyle name="Normal 17 2 5 2" xfId="50005"/>
    <cellStyle name="Normal 17 2 5 2 2" xfId="50006"/>
    <cellStyle name="Normal 17 2 5 2 3" xfId="50007"/>
    <cellStyle name="Normal 17 2 5 3" xfId="50008"/>
    <cellStyle name="Normal 17 2 5 4" xfId="50009"/>
    <cellStyle name="Normal 17 2 6" xfId="50010"/>
    <cellStyle name="Normal 17 2 6 2" xfId="50011"/>
    <cellStyle name="Normal 17 2 6 2 2" xfId="50012"/>
    <cellStyle name="Normal 17 2 6 2 3" xfId="50013"/>
    <cellStyle name="Normal 17 2 6 3" xfId="50014"/>
    <cellStyle name="Normal 17 2 6 4" xfId="50015"/>
    <cellStyle name="Normal 17 2 7" xfId="50016"/>
    <cellStyle name="Normal 17 2 7 2" xfId="50017"/>
    <cellStyle name="Normal 17 2 7 3" xfId="50018"/>
    <cellStyle name="Normal 17 2 8" xfId="50019"/>
    <cellStyle name="Normal 17 2 8 2" xfId="50020"/>
    <cellStyle name="Normal 17 2 8 3" xfId="50021"/>
    <cellStyle name="Normal 17 2 9" xfId="50022"/>
    <cellStyle name="Normal 17 3" xfId="50023"/>
    <cellStyle name="Normal 17 3 2" xfId="50024"/>
    <cellStyle name="Normal 17 3 2 2" xfId="50025"/>
    <cellStyle name="Normal 17 3 2 2 2" xfId="50026"/>
    <cellStyle name="Normal 17 3 2 2 2 2" xfId="50027"/>
    <cellStyle name="Normal 17 3 2 2 2 3" xfId="50028"/>
    <cellStyle name="Normal 17 3 2 2 3" xfId="50029"/>
    <cellStyle name="Normal 17 3 2 2 4" xfId="50030"/>
    <cellStyle name="Normal 17 3 2 3" xfId="50031"/>
    <cellStyle name="Normal 17 3 2 3 2" xfId="50032"/>
    <cellStyle name="Normal 17 3 2 3 3" xfId="50033"/>
    <cellStyle name="Normal 17 3 2 4" xfId="50034"/>
    <cellStyle name="Normal 17 3 2 4 2" xfId="50035"/>
    <cellStyle name="Normal 17 3 2 4 3" xfId="50036"/>
    <cellStyle name="Normal 17 3 2 5" xfId="50037"/>
    <cellStyle name="Normal 17 3 2 6" xfId="50038"/>
    <cellStyle name="Normal 17 3 3" xfId="50039"/>
    <cellStyle name="Normal 17 3 3 2" xfId="50040"/>
    <cellStyle name="Normal 17 3 3 2 2" xfId="50041"/>
    <cellStyle name="Normal 17 3 3 2 2 2" xfId="50042"/>
    <cellStyle name="Normal 17 3 3 2 2 3" xfId="50043"/>
    <cellStyle name="Normal 17 3 3 2 3" xfId="50044"/>
    <cellStyle name="Normal 17 3 3 2 4" xfId="50045"/>
    <cellStyle name="Normal 17 3 3 3" xfId="50046"/>
    <cellStyle name="Normal 17 3 3 3 2" xfId="50047"/>
    <cellStyle name="Normal 17 3 3 3 3" xfId="50048"/>
    <cellStyle name="Normal 17 3 3 4" xfId="50049"/>
    <cellStyle name="Normal 17 3 3 4 2" xfId="50050"/>
    <cellStyle name="Normal 17 3 3 4 3" xfId="50051"/>
    <cellStyle name="Normal 17 3 3 5" xfId="50052"/>
    <cellStyle name="Normal 17 3 3 6" xfId="50053"/>
    <cellStyle name="Normal 17 3 4" xfId="50054"/>
    <cellStyle name="Normal 17 3 4 2" xfId="50055"/>
    <cellStyle name="Normal 17 3 4 2 2" xfId="50056"/>
    <cellStyle name="Normal 17 3 4 2 3" xfId="50057"/>
    <cellStyle name="Normal 17 3 4 3" xfId="50058"/>
    <cellStyle name="Normal 17 3 4 4" xfId="50059"/>
    <cellStyle name="Normal 17 3 5" xfId="50060"/>
    <cellStyle name="Normal 17 3 5 2" xfId="50061"/>
    <cellStyle name="Normal 17 3 5 3" xfId="50062"/>
    <cellStyle name="Normal 17 3 6" xfId="50063"/>
    <cellStyle name="Normal 17 3 6 2" xfId="50064"/>
    <cellStyle name="Normal 17 3 6 3" xfId="50065"/>
    <cellStyle name="Normal 17 3 7" xfId="50066"/>
    <cellStyle name="Normal 17 3 8" xfId="50067"/>
    <cellStyle name="Normal 17 4" xfId="50068"/>
    <cellStyle name="Normal 17 4 2" xfId="50069"/>
    <cellStyle name="Normal 17 4 2 2" xfId="50070"/>
    <cellStyle name="Normal 17 4 2 2 2" xfId="50071"/>
    <cellStyle name="Normal 17 4 2 2 3" xfId="50072"/>
    <cellStyle name="Normal 17 4 2 3" xfId="50073"/>
    <cellStyle name="Normal 17 4 2 4" xfId="50074"/>
    <cellStyle name="Normal 17 4 3" xfId="50075"/>
    <cellStyle name="Normal 17 4 3 2" xfId="50076"/>
    <cellStyle name="Normal 17 4 3 3" xfId="50077"/>
    <cellStyle name="Normal 17 4 4" xfId="50078"/>
    <cellStyle name="Normal 17 4 4 2" xfId="50079"/>
    <cellStyle name="Normal 17 4 4 3" xfId="50080"/>
    <cellStyle name="Normal 17 4 5" xfId="50081"/>
    <cellStyle name="Normal 17 4 6" xfId="50082"/>
    <cellStyle name="Normal 17 5" xfId="50083"/>
    <cellStyle name="Normal 17 5 2" xfId="50084"/>
    <cellStyle name="Normal 17 5 2 2" xfId="50085"/>
    <cellStyle name="Normal 17 5 2 2 2" xfId="50086"/>
    <cellStyle name="Normal 17 5 2 2 3" xfId="50087"/>
    <cellStyle name="Normal 17 5 2 3" xfId="50088"/>
    <cellStyle name="Normal 17 5 2 4" xfId="50089"/>
    <cellStyle name="Normal 17 5 3" xfId="50090"/>
    <cellStyle name="Normal 17 5 3 2" xfId="50091"/>
    <cellStyle name="Normal 17 5 3 3" xfId="50092"/>
    <cellStyle name="Normal 17 5 4" xfId="50093"/>
    <cellStyle name="Normal 17 5 4 2" xfId="50094"/>
    <cellStyle name="Normal 17 5 4 3" xfId="50095"/>
    <cellStyle name="Normal 17 5 5" xfId="50096"/>
    <cellStyle name="Normal 17 5 6" xfId="50097"/>
    <cellStyle name="Normal 17 6" xfId="50098"/>
    <cellStyle name="Normal 17 6 2" xfId="50099"/>
    <cellStyle name="Normal 17 6 2 2" xfId="50100"/>
    <cellStyle name="Normal 17 6 2 3" xfId="50101"/>
    <cellStyle name="Normal 17 6 3" xfId="50102"/>
    <cellStyle name="Normal 17 6 4" xfId="50103"/>
    <cellStyle name="Normal 17 7" xfId="50104"/>
    <cellStyle name="Normal 17 7 2" xfId="50105"/>
    <cellStyle name="Normal 17 7 2 2" xfId="50106"/>
    <cellStyle name="Normal 17 7 2 3" xfId="50107"/>
    <cellStyle name="Normal 17 7 3" xfId="50108"/>
    <cellStyle name="Normal 17 7 4" xfId="50109"/>
    <cellStyle name="Normal 17 8" xfId="50110"/>
    <cellStyle name="Normal 17 8 2" xfId="50111"/>
    <cellStyle name="Normal 17 8 3" xfId="50112"/>
    <cellStyle name="Normal 17 9" xfId="50113"/>
    <cellStyle name="Normal 17 9 2" xfId="50114"/>
    <cellStyle name="Normal 17 9 3" xfId="50115"/>
    <cellStyle name="Normal 170" xfId="50116"/>
    <cellStyle name="Normal 170 2" xfId="50117"/>
    <cellStyle name="Normal 170 2 2" xfId="50118"/>
    <cellStyle name="Normal 170 2 2 2" xfId="50119"/>
    <cellStyle name="Normal 170 2 2 2 2" xfId="50120"/>
    <cellStyle name="Normal 170 2 2 2 3" xfId="50121"/>
    <cellStyle name="Normal 170 2 2 3" xfId="50122"/>
    <cellStyle name="Normal 170 2 2 4" xfId="50123"/>
    <cellStyle name="Normal 170 2 3" xfId="50124"/>
    <cellStyle name="Normal 170 2 3 2" xfId="50125"/>
    <cellStyle name="Normal 170 2 3 3" xfId="50126"/>
    <cellStyle name="Normal 170 2 4" xfId="50127"/>
    <cellStyle name="Normal 170 2 4 2" xfId="50128"/>
    <cellStyle name="Normal 170 2 4 3" xfId="50129"/>
    <cellStyle name="Normal 170 2 5" xfId="50130"/>
    <cellStyle name="Normal 170 2 6" xfId="50131"/>
    <cellStyle name="Normal 170 3" xfId="50132"/>
    <cellStyle name="Normal 170 3 2" xfId="50133"/>
    <cellStyle name="Normal 170 3 2 2" xfId="50134"/>
    <cellStyle name="Normal 170 3 2 2 2" xfId="50135"/>
    <cellStyle name="Normal 170 3 2 2 3" xfId="50136"/>
    <cellStyle name="Normal 170 3 2 3" xfId="50137"/>
    <cellStyle name="Normal 170 3 2 4" xfId="50138"/>
    <cellStyle name="Normal 170 3 3" xfId="50139"/>
    <cellStyle name="Normal 170 3 3 2" xfId="50140"/>
    <cellStyle name="Normal 170 3 3 3" xfId="50141"/>
    <cellStyle name="Normal 170 3 4" xfId="50142"/>
    <cellStyle name="Normal 170 3 4 2" xfId="50143"/>
    <cellStyle name="Normal 170 3 4 3" xfId="50144"/>
    <cellStyle name="Normal 170 3 5" xfId="50145"/>
    <cellStyle name="Normal 170 3 6" xfId="50146"/>
    <cellStyle name="Normal 170 4" xfId="50147"/>
    <cellStyle name="Normal 170 4 2" xfId="50148"/>
    <cellStyle name="Normal 170 4 2 2" xfId="50149"/>
    <cellStyle name="Normal 170 4 2 3" xfId="50150"/>
    <cellStyle name="Normal 170 4 3" xfId="50151"/>
    <cellStyle name="Normal 170 4 4" xfId="50152"/>
    <cellStyle name="Normal 170 5" xfId="50153"/>
    <cellStyle name="Normal 170 5 2" xfId="50154"/>
    <cellStyle name="Normal 170 5 3" xfId="50155"/>
    <cellStyle name="Normal 170 6" xfId="50156"/>
    <cellStyle name="Normal 170 6 2" xfId="50157"/>
    <cellStyle name="Normal 170 6 3" xfId="50158"/>
    <cellStyle name="Normal 170 7" xfId="50159"/>
    <cellStyle name="Normal 170 8" xfId="50160"/>
    <cellStyle name="Normal 171" xfId="50161"/>
    <cellStyle name="Normal 171 2" xfId="50162"/>
    <cellStyle name="Normal 171 2 2" xfId="50163"/>
    <cellStyle name="Normal 171 2 2 2" xfId="50164"/>
    <cellStyle name="Normal 171 2 2 2 2" xfId="50165"/>
    <cellStyle name="Normal 171 2 2 2 3" xfId="50166"/>
    <cellStyle name="Normal 171 2 2 3" xfId="50167"/>
    <cellStyle name="Normal 171 2 2 4" xfId="50168"/>
    <cellStyle name="Normal 171 2 3" xfId="50169"/>
    <cellStyle name="Normal 171 2 3 2" xfId="50170"/>
    <cellStyle name="Normal 171 2 3 3" xfId="50171"/>
    <cellStyle name="Normal 171 2 4" xfId="50172"/>
    <cellStyle name="Normal 171 2 4 2" xfId="50173"/>
    <cellStyle name="Normal 171 2 4 3" xfId="50174"/>
    <cellStyle name="Normal 171 2 5" xfId="50175"/>
    <cellStyle name="Normal 171 2 6" xfId="50176"/>
    <cellStyle name="Normal 171 3" xfId="50177"/>
    <cellStyle name="Normal 171 3 2" xfId="50178"/>
    <cellStyle name="Normal 171 3 2 2" xfId="50179"/>
    <cellStyle name="Normal 171 3 2 2 2" xfId="50180"/>
    <cellStyle name="Normal 171 3 2 2 3" xfId="50181"/>
    <cellStyle name="Normal 171 3 2 3" xfId="50182"/>
    <cellStyle name="Normal 171 3 2 4" xfId="50183"/>
    <cellStyle name="Normal 171 3 3" xfId="50184"/>
    <cellStyle name="Normal 171 3 3 2" xfId="50185"/>
    <cellStyle name="Normal 171 3 3 3" xfId="50186"/>
    <cellStyle name="Normal 171 3 4" xfId="50187"/>
    <cellStyle name="Normal 171 3 4 2" xfId="50188"/>
    <cellStyle name="Normal 171 3 4 3" xfId="50189"/>
    <cellStyle name="Normal 171 3 5" xfId="50190"/>
    <cellStyle name="Normal 171 3 6" xfId="50191"/>
    <cellStyle name="Normal 171 4" xfId="50192"/>
    <cellStyle name="Normal 171 4 2" xfId="50193"/>
    <cellStyle name="Normal 171 4 2 2" xfId="50194"/>
    <cellStyle name="Normal 171 4 2 3" xfId="50195"/>
    <cellStyle name="Normal 171 4 3" xfId="50196"/>
    <cellStyle name="Normal 171 4 4" xfId="50197"/>
    <cellStyle name="Normal 171 5" xfId="50198"/>
    <cellStyle name="Normal 171 5 2" xfId="50199"/>
    <cellStyle name="Normal 171 5 3" xfId="50200"/>
    <cellStyle name="Normal 171 6" xfId="50201"/>
    <cellStyle name="Normal 171 6 2" xfId="50202"/>
    <cellStyle name="Normal 171 6 3" xfId="50203"/>
    <cellStyle name="Normal 171 7" xfId="50204"/>
    <cellStyle name="Normal 171 8" xfId="50205"/>
    <cellStyle name="Normal 172" xfId="50206"/>
    <cellStyle name="Normal 172 2" xfId="50207"/>
    <cellStyle name="Normal 172 2 2" xfId="50208"/>
    <cellStyle name="Normal 172 2 2 2" xfId="50209"/>
    <cellStyle name="Normal 172 2 2 2 2" xfId="50210"/>
    <cellStyle name="Normal 172 2 2 2 3" xfId="50211"/>
    <cellStyle name="Normal 172 2 2 3" xfId="50212"/>
    <cellStyle name="Normal 172 2 2 4" xfId="50213"/>
    <cellStyle name="Normal 172 2 3" xfId="50214"/>
    <cellStyle name="Normal 172 2 3 2" xfId="50215"/>
    <cellStyle name="Normal 172 2 3 3" xfId="50216"/>
    <cellStyle name="Normal 172 2 4" xfId="50217"/>
    <cellStyle name="Normal 172 2 4 2" xfId="50218"/>
    <cellStyle name="Normal 172 2 4 3" xfId="50219"/>
    <cellStyle name="Normal 172 2 5" xfId="50220"/>
    <cellStyle name="Normal 172 2 6" xfId="50221"/>
    <cellStyle name="Normal 172 3" xfId="50222"/>
    <cellStyle name="Normal 172 3 2" xfId="50223"/>
    <cellStyle name="Normal 172 3 2 2" xfId="50224"/>
    <cellStyle name="Normal 172 3 2 2 2" xfId="50225"/>
    <cellStyle name="Normal 172 3 2 2 3" xfId="50226"/>
    <cellStyle name="Normal 172 3 2 3" xfId="50227"/>
    <cellStyle name="Normal 172 3 2 4" xfId="50228"/>
    <cellStyle name="Normal 172 3 3" xfId="50229"/>
    <cellStyle name="Normal 172 3 3 2" xfId="50230"/>
    <cellStyle name="Normal 172 3 3 3" xfId="50231"/>
    <cellStyle name="Normal 172 3 4" xfId="50232"/>
    <cellStyle name="Normal 172 3 4 2" xfId="50233"/>
    <cellStyle name="Normal 172 3 4 3" xfId="50234"/>
    <cellStyle name="Normal 172 3 5" xfId="50235"/>
    <cellStyle name="Normal 172 3 6" xfId="50236"/>
    <cellStyle name="Normal 172 4" xfId="50237"/>
    <cellStyle name="Normal 172 4 2" xfId="50238"/>
    <cellStyle name="Normal 172 4 2 2" xfId="50239"/>
    <cellStyle name="Normal 172 4 2 3" xfId="50240"/>
    <cellStyle name="Normal 172 4 3" xfId="50241"/>
    <cellStyle name="Normal 172 4 4" xfId="50242"/>
    <cellStyle name="Normal 172 5" xfId="50243"/>
    <cellStyle name="Normal 172 5 2" xfId="50244"/>
    <cellStyle name="Normal 172 5 3" xfId="50245"/>
    <cellStyle name="Normal 172 6" xfId="50246"/>
    <cellStyle name="Normal 172 6 2" xfId="50247"/>
    <cellStyle name="Normal 172 6 3" xfId="50248"/>
    <cellStyle name="Normal 172 7" xfId="50249"/>
    <cellStyle name="Normal 172 8" xfId="50250"/>
    <cellStyle name="Normal 173" xfId="50251"/>
    <cellStyle name="Normal 173 2" xfId="50252"/>
    <cellStyle name="Normal 173 2 2" xfId="50253"/>
    <cellStyle name="Normal 173 2 2 2" xfId="50254"/>
    <cellStyle name="Normal 173 2 2 2 2" xfId="50255"/>
    <cellStyle name="Normal 173 2 2 2 3" xfId="50256"/>
    <cellStyle name="Normal 173 2 2 3" xfId="50257"/>
    <cellStyle name="Normal 173 2 2 4" xfId="50258"/>
    <cellStyle name="Normal 173 2 3" xfId="50259"/>
    <cellStyle name="Normal 173 2 3 2" xfId="50260"/>
    <cellStyle name="Normal 173 2 3 3" xfId="50261"/>
    <cellStyle name="Normal 173 2 4" xfId="50262"/>
    <cellStyle name="Normal 173 2 4 2" xfId="50263"/>
    <cellStyle name="Normal 173 2 4 3" xfId="50264"/>
    <cellStyle name="Normal 173 2 5" xfId="50265"/>
    <cellStyle name="Normal 173 2 6" xfId="50266"/>
    <cellStyle name="Normal 173 3" xfId="50267"/>
    <cellStyle name="Normal 173 3 2" xfId="50268"/>
    <cellStyle name="Normal 173 3 2 2" xfId="50269"/>
    <cellStyle name="Normal 173 3 2 2 2" xfId="50270"/>
    <cellStyle name="Normal 173 3 2 2 3" xfId="50271"/>
    <cellStyle name="Normal 173 3 2 3" xfId="50272"/>
    <cellStyle name="Normal 173 3 2 4" xfId="50273"/>
    <cellStyle name="Normal 173 3 3" xfId="50274"/>
    <cellStyle name="Normal 173 3 3 2" xfId="50275"/>
    <cellStyle name="Normal 173 3 3 3" xfId="50276"/>
    <cellStyle name="Normal 173 3 4" xfId="50277"/>
    <cellStyle name="Normal 173 3 4 2" xfId="50278"/>
    <cellStyle name="Normal 173 3 4 3" xfId="50279"/>
    <cellStyle name="Normal 173 3 5" xfId="50280"/>
    <cellStyle name="Normal 173 3 6" xfId="50281"/>
    <cellStyle name="Normal 173 4" xfId="50282"/>
    <cellStyle name="Normal 173 4 2" xfId="50283"/>
    <cellStyle name="Normal 173 4 2 2" xfId="50284"/>
    <cellStyle name="Normal 173 4 2 3" xfId="50285"/>
    <cellStyle name="Normal 173 4 3" xfId="50286"/>
    <cellStyle name="Normal 173 4 4" xfId="50287"/>
    <cellStyle name="Normal 173 5" xfId="50288"/>
    <cellStyle name="Normal 173 5 2" xfId="50289"/>
    <cellStyle name="Normal 173 5 3" xfId="50290"/>
    <cellStyle name="Normal 173 6" xfId="50291"/>
    <cellStyle name="Normal 173 6 2" xfId="50292"/>
    <cellStyle name="Normal 173 6 3" xfId="50293"/>
    <cellStyle name="Normal 173 7" xfId="50294"/>
    <cellStyle name="Normal 173 8" xfId="50295"/>
    <cellStyle name="Normal 174" xfId="50296"/>
    <cellStyle name="Normal 174 2" xfId="50297"/>
    <cellStyle name="Normal 174 3" xfId="50298"/>
    <cellStyle name="Normal 175" xfId="50299"/>
    <cellStyle name="Normal 175 2" xfId="50300"/>
    <cellStyle name="Normal 175 2 2" xfId="50301"/>
    <cellStyle name="Normal 175 2 2 2" xfId="50302"/>
    <cellStyle name="Normal 175 2 2 2 2" xfId="50303"/>
    <cellStyle name="Normal 175 2 2 2 3" xfId="50304"/>
    <cellStyle name="Normal 175 2 2 3" xfId="50305"/>
    <cellStyle name="Normal 175 2 2 4" xfId="50306"/>
    <cellStyle name="Normal 175 2 3" xfId="50307"/>
    <cellStyle name="Normal 175 2 3 2" xfId="50308"/>
    <cellStyle name="Normal 175 2 3 3" xfId="50309"/>
    <cellStyle name="Normal 175 2 4" xfId="50310"/>
    <cellStyle name="Normal 175 2 4 2" xfId="50311"/>
    <cellStyle name="Normal 175 2 4 3" xfId="50312"/>
    <cellStyle name="Normal 175 2 5" xfId="50313"/>
    <cellStyle name="Normal 175 2 6" xfId="50314"/>
    <cellStyle name="Normal 175 3" xfId="50315"/>
    <cellStyle name="Normal 175 3 2" xfId="50316"/>
    <cellStyle name="Normal 175 3 2 2" xfId="50317"/>
    <cellStyle name="Normal 175 3 2 2 2" xfId="50318"/>
    <cellStyle name="Normal 175 3 2 2 3" xfId="50319"/>
    <cellStyle name="Normal 175 3 2 3" xfId="50320"/>
    <cellStyle name="Normal 175 3 2 4" xfId="50321"/>
    <cellStyle name="Normal 175 3 3" xfId="50322"/>
    <cellStyle name="Normal 175 3 3 2" xfId="50323"/>
    <cellStyle name="Normal 175 3 3 3" xfId="50324"/>
    <cellStyle name="Normal 175 3 4" xfId="50325"/>
    <cellStyle name="Normal 175 3 4 2" xfId="50326"/>
    <cellStyle name="Normal 175 3 4 3" xfId="50327"/>
    <cellStyle name="Normal 175 3 5" xfId="50328"/>
    <cellStyle name="Normal 175 3 6" xfId="50329"/>
    <cellStyle name="Normal 175 4" xfId="50330"/>
    <cellStyle name="Normal 175 4 2" xfId="50331"/>
    <cellStyle name="Normal 175 4 2 2" xfId="50332"/>
    <cellStyle name="Normal 175 4 2 3" xfId="50333"/>
    <cellStyle name="Normal 175 4 3" xfId="50334"/>
    <cellStyle name="Normal 175 4 4" xfId="50335"/>
    <cellStyle name="Normal 175 5" xfId="50336"/>
    <cellStyle name="Normal 175 5 2" xfId="50337"/>
    <cellStyle name="Normal 175 5 3" xfId="50338"/>
    <cellStyle name="Normal 175 6" xfId="50339"/>
    <cellStyle name="Normal 175 6 2" xfId="50340"/>
    <cellStyle name="Normal 175 6 3" xfId="50341"/>
    <cellStyle name="Normal 175 7" xfId="50342"/>
    <cellStyle name="Normal 175 8" xfId="50343"/>
    <cellStyle name="Normal 176" xfId="50344"/>
    <cellStyle name="Normal 176 2" xfId="50345"/>
    <cellStyle name="Normal 176 2 2" xfId="50346"/>
    <cellStyle name="Normal 176 2 2 2" xfId="50347"/>
    <cellStyle name="Normal 176 2 2 2 2" xfId="50348"/>
    <cellStyle name="Normal 176 2 2 2 3" xfId="50349"/>
    <cellStyle name="Normal 176 2 2 3" xfId="50350"/>
    <cellStyle name="Normal 176 2 2 4" xfId="50351"/>
    <cellStyle name="Normal 176 2 3" xfId="50352"/>
    <cellStyle name="Normal 176 2 3 2" xfId="50353"/>
    <cellStyle name="Normal 176 2 3 3" xfId="50354"/>
    <cellStyle name="Normal 176 2 4" xfId="50355"/>
    <cellStyle name="Normal 176 2 4 2" xfId="50356"/>
    <cellStyle name="Normal 176 2 4 3" xfId="50357"/>
    <cellStyle name="Normal 176 2 5" xfId="50358"/>
    <cellStyle name="Normal 176 2 6" xfId="50359"/>
    <cellStyle name="Normal 176 3" xfId="50360"/>
    <cellStyle name="Normal 176 3 2" xfId="50361"/>
    <cellStyle name="Normal 176 3 2 2" xfId="50362"/>
    <cellStyle name="Normal 176 3 2 2 2" xfId="50363"/>
    <cellStyle name="Normal 176 3 2 2 3" xfId="50364"/>
    <cellStyle name="Normal 176 3 2 3" xfId="50365"/>
    <cellStyle name="Normal 176 3 2 4" xfId="50366"/>
    <cellStyle name="Normal 176 3 3" xfId="50367"/>
    <cellStyle name="Normal 176 3 3 2" xfId="50368"/>
    <cellStyle name="Normal 176 3 3 3" xfId="50369"/>
    <cellStyle name="Normal 176 3 4" xfId="50370"/>
    <cellStyle name="Normal 176 3 4 2" xfId="50371"/>
    <cellStyle name="Normal 176 3 4 3" xfId="50372"/>
    <cellStyle name="Normal 176 3 5" xfId="50373"/>
    <cellStyle name="Normal 176 3 6" xfId="50374"/>
    <cellStyle name="Normal 176 4" xfId="50375"/>
    <cellStyle name="Normal 176 4 2" xfId="50376"/>
    <cellStyle name="Normal 176 4 2 2" xfId="50377"/>
    <cellStyle name="Normal 176 4 2 3" xfId="50378"/>
    <cellStyle name="Normal 176 4 3" xfId="50379"/>
    <cellStyle name="Normal 176 4 4" xfId="50380"/>
    <cellStyle name="Normal 176 5" xfId="50381"/>
    <cellStyle name="Normal 176 5 2" xfId="50382"/>
    <cellStyle name="Normal 176 5 3" xfId="50383"/>
    <cellStyle name="Normal 176 6" xfId="50384"/>
    <cellStyle name="Normal 176 6 2" xfId="50385"/>
    <cellStyle name="Normal 176 6 3" xfId="50386"/>
    <cellStyle name="Normal 176 7" xfId="50387"/>
    <cellStyle name="Normal 176 8" xfId="50388"/>
    <cellStyle name="Normal 177" xfId="50389"/>
    <cellStyle name="Normal 177 2" xfId="50390"/>
    <cellStyle name="Normal 177 3" xfId="50391"/>
    <cellStyle name="Normal 178" xfId="50392"/>
    <cellStyle name="Normal 178 2" xfId="50393"/>
    <cellStyle name="Normal 178 3" xfId="50394"/>
    <cellStyle name="Normal 179" xfId="50395"/>
    <cellStyle name="Normal 179 2" xfId="50396"/>
    <cellStyle name="Normal 179 3" xfId="50397"/>
    <cellStyle name="Normal 18" xfId="50398"/>
    <cellStyle name="Normal 18 10" xfId="50399"/>
    <cellStyle name="Normal 18 11" xfId="50400"/>
    <cellStyle name="Normal 18 12" xfId="50401"/>
    <cellStyle name="Normal 18 2" xfId="50402"/>
    <cellStyle name="Normal 18 2 10" xfId="50403"/>
    <cellStyle name="Normal 18 2 2" xfId="50404"/>
    <cellStyle name="Normal 18 2 2 2" xfId="50405"/>
    <cellStyle name="Normal 18 2 2 2 2" xfId="50406"/>
    <cellStyle name="Normal 18 2 2 2 2 2" xfId="50407"/>
    <cellStyle name="Normal 18 2 2 2 2 2 2" xfId="50408"/>
    <cellStyle name="Normal 18 2 2 2 2 2 3" xfId="50409"/>
    <cellStyle name="Normal 18 2 2 2 2 3" xfId="50410"/>
    <cellStyle name="Normal 18 2 2 2 2 4" xfId="50411"/>
    <cellStyle name="Normal 18 2 2 2 3" xfId="50412"/>
    <cellStyle name="Normal 18 2 2 2 3 2" xfId="50413"/>
    <cellStyle name="Normal 18 2 2 2 3 3" xfId="50414"/>
    <cellStyle name="Normal 18 2 2 2 4" xfId="50415"/>
    <cellStyle name="Normal 18 2 2 2 4 2" xfId="50416"/>
    <cellStyle name="Normal 18 2 2 2 4 3" xfId="50417"/>
    <cellStyle name="Normal 18 2 2 2 5" xfId="50418"/>
    <cellStyle name="Normal 18 2 2 2 6" xfId="50419"/>
    <cellStyle name="Normal 18 2 2 3" xfId="50420"/>
    <cellStyle name="Normal 18 2 2 3 2" xfId="50421"/>
    <cellStyle name="Normal 18 2 2 3 2 2" xfId="50422"/>
    <cellStyle name="Normal 18 2 2 3 2 2 2" xfId="50423"/>
    <cellStyle name="Normal 18 2 2 3 2 2 3" xfId="50424"/>
    <cellStyle name="Normal 18 2 2 3 2 3" xfId="50425"/>
    <cellStyle name="Normal 18 2 2 3 2 4" xfId="50426"/>
    <cellStyle name="Normal 18 2 2 3 3" xfId="50427"/>
    <cellStyle name="Normal 18 2 2 3 3 2" xfId="50428"/>
    <cellStyle name="Normal 18 2 2 3 3 3" xfId="50429"/>
    <cellStyle name="Normal 18 2 2 3 4" xfId="50430"/>
    <cellStyle name="Normal 18 2 2 3 4 2" xfId="50431"/>
    <cellStyle name="Normal 18 2 2 3 4 3" xfId="50432"/>
    <cellStyle name="Normal 18 2 2 3 5" xfId="50433"/>
    <cellStyle name="Normal 18 2 2 3 6" xfId="50434"/>
    <cellStyle name="Normal 18 2 2 4" xfId="50435"/>
    <cellStyle name="Normal 18 2 2 4 2" xfId="50436"/>
    <cellStyle name="Normal 18 2 2 4 2 2" xfId="50437"/>
    <cellStyle name="Normal 18 2 2 4 2 3" xfId="50438"/>
    <cellStyle name="Normal 18 2 2 4 3" xfId="50439"/>
    <cellStyle name="Normal 18 2 2 4 4" xfId="50440"/>
    <cellStyle name="Normal 18 2 2 5" xfId="50441"/>
    <cellStyle name="Normal 18 2 2 5 2" xfId="50442"/>
    <cellStyle name="Normal 18 2 2 5 3" xfId="50443"/>
    <cellStyle name="Normal 18 2 2 6" xfId="50444"/>
    <cellStyle name="Normal 18 2 2 6 2" xfId="50445"/>
    <cellStyle name="Normal 18 2 2 6 3" xfId="50446"/>
    <cellStyle name="Normal 18 2 2 7" xfId="50447"/>
    <cellStyle name="Normal 18 2 2 8" xfId="50448"/>
    <cellStyle name="Normal 18 2 3" xfId="50449"/>
    <cellStyle name="Normal 18 2 3 2" xfId="50450"/>
    <cellStyle name="Normal 18 2 3 2 2" xfId="50451"/>
    <cellStyle name="Normal 18 2 3 2 2 2" xfId="50452"/>
    <cellStyle name="Normal 18 2 3 2 2 3" xfId="50453"/>
    <cellStyle name="Normal 18 2 3 2 3" xfId="50454"/>
    <cellStyle name="Normal 18 2 3 2 4" xfId="50455"/>
    <cellStyle name="Normal 18 2 3 3" xfId="50456"/>
    <cellStyle name="Normal 18 2 3 3 2" xfId="50457"/>
    <cellStyle name="Normal 18 2 3 3 3" xfId="50458"/>
    <cellStyle name="Normal 18 2 3 4" xfId="50459"/>
    <cellStyle name="Normal 18 2 3 4 2" xfId="50460"/>
    <cellStyle name="Normal 18 2 3 4 3" xfId="50461"/>
    <cellStyle name="Normal 18 2 3 5" xfId="50462"/>
    <cellStyle name="Normal 18 2 3 6" xfId="50463"/>
    <cellStyle name="Normal 18 2 4" xfId="50464"/>
    <cellStyle name="Normal 18 2 4 2" xfId="50465"/>
    <cellStyle name="Normal 18 2 4 2 2" xfId="50466"/>
    <cellStyle name="Normal 18 2 4 2 2 2" xfId="50467"/>
    <cellStyle name="Normal 18 2 4 2 2 3" xfId="50468"/>
    <cellStyle name="Normal 18 2 4 2 3" xfId="50469"/>
    <cellStyle name="Normal 18 2 4 2 4" xfId="50470"/>
    <cellStyle name="Normal 18 2 4 3" xfId="50471"/>
    <cellStyle name="Normal 18 2 4 3 2" xfId="50472"/>
    <cellStyle name="Normal 18 2 4 3 3" xfId="50473"/>
    <cellStyle name="Normal 18 2 4 4" xfId="50474"/>
    <cellStyle name="Normal 18 2 4 4 2" xfId="50475"/>
    <cellStyle name="Normal 18 2 4 4 3" xfId="50476"/>
    <cellStyle name="Normal 18 2 4 5" xfId="50477"/>
    <cellStyle name="Normal 18 2 4 6" xfId="50478"/>
    <cellStyle name="Normal 18 2 5" xfId="50479"/>
    <cellStyle name="Normal 18 2 5 2" xfId="50480"/>
    <cellStyle name="Normal 18 2 5 2 2" xfId="50481"/>
    <cellStyle name="Normal 18 2 5 2 3" xfId="50482"/>
    <cellStyle name="Normal 18 2 5 3" xfId="50483"/>
    <cellStyle name="Normal 18 2 5 4" xfId="50484"/>
    <cellStyle name="Normal 18 2 6" xfId="50485"/>
    <cellStyle name="Normal 18 2 6 2" xfId="50486"/>
    <cellStyle name="Normal 18 2 6 2 2" xfId="50487"/>
    <cellStyle name="Normal 18 2 6 2 3" xfId="50488"/>
    <cellStyle name="Normal 18 2 6 3" xfId="50489"/>
    <cellStyle name="Normal 18 2 6 4" xfId="50490"/>
    <cellStyle name="Normal 18 2 7" xfId="50491"/>
    <cellStyle name="Normal 18 2 7 2" xfId="50492"/>
    <cellStyle name="Normal 18 2 7 3" xfId="50493"/>
    <cellStyle name="Normal 18 2 8" xfId="50494"/>
    <cellStyle name="Normal 18 2 8 2" xfId="50495"/>
    <cellStyle name="Normal 18 2 8 3" xfId="50496"/>
    <cellStyle name="Normal 18 2 9" xfId="50497"/>
    <cellStyle name="Normal 18 3" xfId="50498"/>
    <cellStyle name="Normal 18 3 2" xfId="50499"/>
    <cellStyle name="Normal 18 3 2 2" xfId="50500"/>
    <cellStyle name="Normal 18 3 2 2 2" xfId="50501"/>
    <cellStyle name="Normal 18 3 2 2 2 2" xfId="50502"/>
    <cellStyle name="Normal 18 3 2 2 2 3" xfId="50503"/>
    <cellStyle name="Normal 18 3 2 2 3" xfId="50504"/>
    <cellStyle name="Normal 18 3 2 2 4" xfId="50505"/>
    <cellStyle name="Normal 18 3 2 3" xfId="50506"/>
    <cellStyle name="Normal 18 3 2 3 2" xfId="50507"/>
    <cellStyle name="Normal 18 3 2 3 3" xfId="50508"/>
    <cellStyle name="Normal 18 3 2 4" xfId="50509"/>
    <cellStyle name="Normal 18 3 2 4 2" xfId="50510"/>
    <cellStyle name="Normal 18 3 2 4 3" xfId="50511"/>
    <cellStyle name="Normal 18 3 2 5" xfId="50512"/>
    <cellStyle name="Normal 18 3 2 6" xfId="50513"/>
    <cellStyle name="Normal 18 3 3" xfId="50514"/>
    <cellStyle name="Normal 18 3 3 2" xfId="50515"/>
    <cellStyle name="Normal 18 3 3 2 2" xfId="50516"/>
    <cellStyle name="Normal 18 3 3 2 2 2" xfId="50517"/>
    <cellStyle name="Normal 18 3 3 2 2 3" xfId="50518"/>
    <cellStyle name="Normal 18 3 3 2 3" xfId="50519"/>
    <cellStyle name="Normal 18 3 3 2 4" xfId="50520"/>
    <cellStyle name="Normal 18 3 3 3" xfId="50521"/>
    <cellStyle name="Normal 18 3 3 3 2" xfId="50522"/>
    <cellStyle name="Normal 18 3 3 3 3" xfId="50523"/>
    <cellStyle name="Normal 18 3 3 4" xfId="50524"/>
    <cellStyle name="Normal 18 3 3 4 2" xfId="50525"/>
    <cellStyle name="Normal 18 3 3 4 3" xfId="50526"/>
    <cellStyle name="Normal 18 3 3 5" xfId="50527"/>
    <cellStyle name="Normal 18 3 3 6" xfId="50528"/>
    <cellStyle name="Normal 18 3 4" xfId="50529"/>
    <cellStyle name="Normal 18 3 4 2" xfId="50530"/>
    <cellStyle name="Normal 18 3 4 2 2" xfId="50531"/>
    <cellStyle name="Normal 18 3 4 2 3" xfId="50532"/>
    <cellStyle name="Normal 18 3 4 3" xfId="50533"/>
    <cellStyle name="Normal 18 3 4 4" xfId="50534"/>
    <cellStyle name="Normal 18 3 5" xfId="50535"/>
    <cellStyle name="Normal 18 3 5 2" xfId="50536"/>
    <cellStyle name="Normal 18 3 5 3" xfId="50537"/>
    <cellStyle name="Normal 18 3 6" xfId="50538"/>
    <cellStyle name="Normal 18 3 6 2" xfId="50539"/>
    <cellStyle name="Normal 18 3 6 3" xfId="50540"/>
    <cellStyle name="Normal 18 3 7" xfId="50541"/>
    <cellStyle name="Normal 18 3 8" xfId="50542"/>
    <cellStyle name="Normal 18 4" xfId="50543"/>
    <cellStyle name="Normal 18 4 2" xfId="50544"/>
    <cellStyle name="Normal 18 4 2 2" xfId="50545"/>
    <cellStyle name="Normal 18 4 2 2 2" xfId="50546"/>
    <cellStyle name="Normal 18 4 2 2 3" xfId="50547"/>
    <cellStyle name="Normal 18 4 2 3" xfId="50548"/>
    <cellStyle name="Normal 18 4 2 4" xfId="50549"/>
    <cellStyle name="Normal 18 4 3" xfId="50550"/>
    <cellStyle name="Normal 18 4 3 2" xfId="50551"/>
    <cellStyle name="Normal 18 4 3 3" xfId="50552"/>
    <cellStyle name="Normal 18 4 4" xfId="50553"/>
    <cellStyle name="Normal 18 4 4 2" xfId="50554"/>
    <cellStyle name="Normal 18 4 4 3" xfId="50555"/>
    <cellStyle name="Normal 18 4 5" xfId="50556"/>
    <cellStyle name="Normal 18 4 6" xfId="50557"/>
    <cellStyle name="Normal 18 5" xfId="50558"/>
    <cellStyle name="Normal 18 5 2" xfId="50559"/>
    <cellStyle name="Normal 18 5 2 2" xfId="50560"/>
    <cellStyle name="Normal 18 5 2 2 2" xfId="50561"/>
    <cellStyle name="Normal 18 5 2 2 3" xfId="50562"/>
    <cellStyle name="Normal 18 5 2 3" xfId="50563"/>
    <cellStyle name="Normal 18 5 2 4" xfId="50564"/>
    <cellStyle name="Normal 18 5 3" xfId="50565"/>
    <cellStyle name="Normal 18 5 3 2" xfId="50566"/>
    <cellStyle name="Normal 18 5 3 3" xfId="50567"/>
    <cellStyle name="Normal 18 5 4" xfId="50568"/>
    <cellStyle name="Normal 18 5 4 2" xfId="50569"/>
    <cellStyle name="Normal 18 5 4 3" xfId="50570"/>
    <cellStyle name="Normal 18 5 5" xfId="50571"/>
    <cellStyle name="Normal 18 5 6" xfId="50572"/>
    <cellStyle name="Normal 18 6" xfId="50573"/>
    <cellStyle name="Normal 18 6 2" xfId="50574"/>
    <cellStyle name="Normal 18 6 2 2" xfId="50575"/>
    <cellStyle name="Normal 18 6 2 3" xfId="50576"/>
    <cellStyle name="Normal 18 6 3" xfId="50577"/>
    <cellStyle name="Normal 18 6 4" xfId="50578"/>
    <cellStyle name="Normal 18 7" xfId="50579"/>
    <cellStyle name="Normal 18 7 2" xfId="50580"/>
    <cellStyle name="Normal 18 7 2 2" xfId="50581"/>
    <cellStyle name="Normal 18 7 2 3" xfId="50582"/>
    <cellStyle name="Normal 18 7 3" xfId="50583"/>
    <cellStyle name="Normal 18 7 4" xfId="50584"/>
    <cellStyle name="Normal 18 8" xfId="50585"/>
    <cellStyle name="Normal 18 8 2" xfId="50586"/>
    <cellStyle name="Normal 18 8 3" xfId="50587"/>
    <cellStyle name="Normal 18 9" xfId="50588"/>
    <cellStyle name="Normal 18 9 2" xfId="50589"/>
    <cellStyle name="Normal 18 9 3" xfId="50590"/>
    <cellStyle name="Normal 180" xfId="50591"/>
    <cellStyle name="Normal 180 10" xfId="50592"/>
    <cellStyle name="Normal 180 2" xfId="50593"/>
    <cellStyle name="Normal 180 2 10" xfId="50594"/>
    <cellStyle name="Normal 180 2 2" xfId="50595"/>
    <cellStyle name="Normal 180 2 2 2" xfId="50596"/>
    <cellStyle name="Normal 180 2 2 2 2" xfId="50597"/>
    <cellStyle name="Normal 180 2 2 2 2 2" xfId="50598"/>
    <cellStyle name="Normal 180 2 2 2 2 2 2" xfId="50599"/>
    <cellStyle name="Normal 180 2 2 2 2 2 3" xfId="50600"/>
    <cellStyle name="Normal 180 2 2 2 2 3" xfId="50601"/>
    <cellStyle name="Normal 180 2 2 2 2 4" xfId="50602"/>
    <cellStyle name="Normal 180 2 2 2 3" xfId="50603"/>
    <cellStyle name="Normal 180 2 2 2 3 2" xfId="50604"/>
    <cellStyle name="Normal 180 2 2 2 3 3" xfId="50605"/>
    <cellStyle name="Normal 180 2 2 2 4" xfId="50606"/>
    <cellStyle name="Normal 180 2 2 2 4 2" xfId="50607"/>
    <cellStyle name="Normal 180 2 2 2 4 3" xfId="50608"/>
    <cellStyle name="Normal 180 2 2 2 5" xfId="50609"/>
    <cellStyle name="Normal 180 2 2 2 6" xfId="50610"/>
    <cellStyle name="Normal 180 2 2 3" xfId="50611"/>
    <cellStyle name="Normal 180 2 2 3 2" xfId="50612"/>
    <cellStyle name="Normal 180 2 2 3 2 2" xfId="50613"/>
    <cellStyle name="Normal 180 2 2 3 2 2 2" xfId="50614"/>
    <cellStyle name="Normal 180 2 2 3 2 2 3" xfId="50615"/>
    <cellStyle name="Normal 180 2 2 3 2 3" xfId="50616"/>
    <cellStyle name="Normal 180 2 2 3 2 4" xfId="50617"/>
    <cellStyle name="Normal 180 2 2 3 3" xfId="50618"/>
    <cellStyle name="Normal 180 2 2 3 3 2" xfId="50619"/>
    <cellStyle name="Normal 180 2 2 3 3 3" xfId="50620"/>
    <cellStyle name="Normal 180 2 2 3 4" xfId="50621"/>
    <cellStyle name="Normal 180 2 2 3 4 2" xfId="50622"/>
    <cellStyle name="Normal 180 2 2 3 4 3" xfId="50623"/>
    <cellStyle name="Normal 180 2 2 3 5" xfId="50624"/>
    <cellStyle name="Normal 180 2 2 3 6" xfId="50625"/>
    <cellStyle name="Normal 180 2 2 4" xfId="50626"/>
    <cellStyle name="Normal 180 2 2 4 2" xfId="50627"/>
    <cellStyle name="Normal 180 2 2 4 2 2" xfId="50628"/>
    <cellStyle name="Normal 180 2 2 4 2 3" xfId="50629"/>
    <cellStyle name="Normal 180 2 2 4 3" xfId="50630"/>
    <cellStyle name="Normal 180 2 2 4 4" xfId="50631"/>
    <cellStyle name="Normal 180 2 2 5" xfId="50632"/>
    <cellStyle name="Normal 180 2 2 5 2" xfId="50633"/>
    <cellStyle name="Normal 180 2 2 5 3" xfId="50634"/>
    <cellStyle name="Normal 180 2 2 6" xfId="50635"/>
    <cellStyle name="Normal 180 2 2 6 2" xfId="50636"/>
    <cellStyle name="Normal 180 2 2 6 3" xfId="50637"/>
    <cellStyle name="Normal 180 2 2 7" xfId="50638"/>
    <cellStyle name="Normal 180 2 2 8" xfId="50639"/>
    <cellStyle name="Normal 180 2 3" xfId="50640"/>
    <cellStyle name="Normal 180 2 3 2" xfId="50641"/>
    <cellStyle name="Normal 180 2 3 2 2" xfId="50642"/>
    <cellStyle name="Normal 180 2 3 2 2 2" xfId="50643"/>
    <cellStyle name="Normal 180 2 3 2 2 2 2" xfId="50644"/>
    <cellStyle name="Normal 180 2 3 2 2 2 3" xfId="50645"/>
    <cellStyle name="Normal 180 2 3 2 2 3" xfId="50646"/>
    <cellStyle name="Normal 180 2 3 2 2 4" xfId="50647"/>
    <cellStyle name="Normal 180 2 3 2 3" xfId="50648"/>
    <cellStyle name="Normal 180 2 3 2 3 2" xfId="50649"/>
    <cellStyle name="Normal 180 2 3 2 3 3" xfId="50650"/>
    <cellStyle name="Normal 180 2 3 2 4" xfId="50651"/>
    <cellStyle name="Normal 180 2 3 2 4 2" xfId="50652"/>
    <cellStyle name="Normal 180 2 3 2 4 3" xfId="50653"/>
    <cellStyle name="Normal 180 2 3 2 5" xfId="50654"/>
    <cellStyle name="Normal 180 2 3 2 6" xfId="50655"/>
    <cellStyle name="Normal 180 2 3 3" xfId="50656"/>
    <cellStyle name="Normal 180 2 3 3 2" xfId="50657"/>
    <cellStyle name="Normal 180 2 3 3 2 2" xfId="50658"/>
    <cellStyle name="Normal 180 2 3 3 2 2 2" xfId="50659"/>
    <cellStyle name="Normal 180 2 3 3 2 2 3" xfId="50660"/>
    <cellStyle name="Normal 180 2 3 3 2 3" xfId="50661"/>
    <cellStyle name="Normal 180 2 3 3 2 4" xfId="50662"/>
    <cellStyle name="Normal 180 2 3 3 3" xfId="50663"/>
    <cellStyle name="Normal 180 2 3 3 3 2" xfId="50664"/>
    <cellStyle name="Normal 180 2 3 3 3 3" xfId="50665"/>
    <cellStyle name="Normal 180 2 3 3 4" xfId="50666"/>
    <cellStyle name="Normal 180 2 3 3 4 2" xfId="50667"/>
    <cellStyle name="Normal 180 2 3 3 4 3" xfId="50668"/>
    <cellStyle name="Normal 180 2 3 3 5" xfId="50669"/>
    <cellStyle name="Normal 180 2 3 3 6" xfId="50670"/>
    <cellStyle name="Normal 180 2 3 4" xfId="50671"/>
    <cellStyle name="Normal 180 2 3 4 2" xfId="50672"/>
    <cellStyle name="Normal 180 2 3 4 2 2" xfId="50673"/>
    <cellStyle name="Normal 180 2 3 4 2 3" xfId="50674"/>
    <cellStyle name="Normal 180 2 3 4 3" xfId="50675"/>
    <cellStyle name="Normal 180 2 3 4 4" xfId="50676"/>
    <cellStyle name="Normal 180 2 3 5" xfId="50677"/>
    <cellStyle name="Normal 180 2 3 5 2" xfId="50678"/>
    <cellStyle name="Normal 180 2 3 5 3" xfId="50679"/>
    <cellStyle name="Normal 180 2 3 6" xfId="50680"/>
    <cellStyle name="Normal 180 2 3 6 2" xfId="50681"/>
    <cellStyle name="Normal 180 2 3 6 3" xfId="50682"/>
    <cellStyle name="Normal 180 2 3 7" xfId="50683"/>
    <cellStyle name="Normal 180 2 3 8" xfId="50684"/>
    <cellStyle name="Normal 180 2 4" xfId="50685"/>
    <cellStyle name="Normal 180 2 4 2" xfId="50686"/>
    <cellStyle name="Normal 180 2 4 2 2" xfId="50687"/>
    <cellStyle name="Normal 180 2 4 2 2 2" xfId="50688"/>
    <cellStyle name="Normal 180 2 4 2 2 3" xfId="50689"/>
    <cellStyle name="Normal 180 2 4 2 3" xfId="50690"/>
    <cellStyle name="Normal 180 2 4 2 4" xfId="50691"/>
    <cellStyle name="Normal 180 2 4 3" xfId="50692"/>
    <cellStyle name="Normal 180 2 4 3 2" xfId="50693"/>
    <cellStyle name="Normal 180 2 4 3 3" xfId="50694"/>
    <cellStyle name="Normal 180 2 4 4" xfId="50695"/>
    <cellStyle name="Normal 180 2 4 4 2" xfId="50696"/>
    <cellStyle name="Normal 180 2 4 4 3" xfId="50697"/>
    <cellStyle name="Normal 180 2 4 5" xfId="50698"/>
    <cellStyle name="Normal 180 2 4 6" xfId="50699"/>
    <cellStyle name="Normal 180 2 5" xfId="50700"/>
    <cellStyle name="Normal 180 2 5 2" xfId="50701"/>
    <cellStyle name="Normal 180 2 5 2 2" xfId="50702"/>
    <cellStyle name="Normal 180 2 5 2 2 2" xfId="50703"/>
    <cellStyle name="Normal 180 2 5 2 2 3" xfId="50704"/>
    <cellStyle name="Normal 180 2 5 2 3" xfId="50705"/>
    <cellStyle name="Normal 180 2 5 2 4" xfId="50706"/>
    <cellStyle name="Normal 180 2 5 3" xfId="50707"/>
    <cellStyle name="Normal 180 2 5 3 2" xfId="50708"/>
    <cellStyle name="Normal 180 2 5 3 3" xfId="50709"/>
    <cellStyle name="Normal 180 2 5 4" xfId="50710"/>
    <cellStyle name="Normal 180 2 5 4 2" xfId="50711"/>
    <cellStyle name="Normal 180 2 5 4 3" xfId="50712"/>
    <cellStyle name="Normal 180 2 5 5" xfId="50713"/>
    <cellStyle name="Normal 180 2 5 6" xfId="50714"/>
    <cellStyle name="Normal 180 2 6" xfId="50715"/>
    <cellStyle name="Normal 180 2 6 2" xfId="50716"/>
    <cellStyle name="Normal 180 2 6 2 2" xfId="50717"/>
    <cellStyle name="Normal 180 2 6 2 3" xfId="50718"/>
    <cellStyle name="Normal 180 2 6 3" xfId="50719"/>
    <cellStyle name="Normal 180 2 6 4" xfId="50720"/>
    <cellStyle name="Normal 180 2 7" xfId="50721"/>
    <cellStyle name="Normal 180 2 7 2" xfId="50722"/>
    <cellStyle name="Normal 180 2 7 3" xfId="50723"/>
    <cellStyle name="Normal 180 2 8" xfId="50724"/>
    <cellStyle name="Normal 180 2 8 2" xfId="50725"/>
    <cellStyle name="Normal 180 2 8 3" xfId="50726"/>
    <cellStyle name="Normal 180 2 9" xfId="50727"/>
    <cellStyle name="Normal 180 3" xfId="50728"/>
    <cellStyle name="Normal 180 3 2" xfId="50729"/>
    <cellStyle name="Normal 180 3 2 2" xfId="50730"/>
    <cellStyle name="Normal 180 3 2 2 2" xfId="50731"/>
    <cellStyle name="Normal 180 3 2 2 2 2" xfId="50732"/>
    <cellStyle name="Normal 180 3 2 2 2 3" xfId="50733"/>
    <cellStyle name="Normal 180 3 2 2 3" xfId="50734"/>
    <cellStyle name="Normal 180 3 2 2 4" xfId="50735"/>
    <cellStyle name="Normal 180 3 2 3" xfId="50736"/>
    <cellStyle name="Normal 180 3 2 3 2" xfId="50737"/>
    <cellStyle name="Normal 180 3 2 3 3" xfId="50738"/>
    <cellStyle name="Normal 180 3 2 4" xfId="50739"/>
    <cellStyle name="Normal 180 3 2 4 2" xfId="50740"/>
    <cellStyle name="Normal 180 3 2 4 3" xfId="50741"/>
    <cellStyle name="Normal 180 3 2 5" xfId="50742"/>
    <cellStyle name="Normal 180 3 2 6" xfId="50743"/>
    <cellStyle name="Normal 180 3 3" xfId="50744"/>
    <cellStyle name="Normal 180 3 3 2" xfId="50745"/>
    <cellStyle name="Normal 180 3 3 2 2" xfId="50746"/>
    <cellStyle name="Normal 180 3 3 2 2 2" xfId="50747"/>
    <cellStyle name="Normal 180 3 3 2 2 3" xfId="50748"/>
    <cellStyle name="Normal 180 3 3 2 3" xfId="50749"/>
    <cellStyle name="Normal 180 3 3 2 4" xfId="50750"/>
    <cellStyle name="Normal 180 3 3 3" xfId="50751"/>
    <cellStyle name="Normal 180 3 3 3 2" xfId="50752"/>
    <cellStyle name="Normal 180 3 3 3 3" xfId="50753"/>
    <cellStyle name="Normal 180 3 3 4" xfId="50754"/>
    <cellStyle name="Normal 180 3 3 4 2" xfId="50755"/>
    <cellStyle name="Normal 180 3 3 4 3" xfId="50756"/>
    <cellStyle name="Normal 180 3 3 5" xfId="50757"/>
    <cellStyle name="Normal 180 3 3 6" xfId="50758"/>
    <cellStyle name="Normal 180 3 4" xfId="50759"/>
    <cellStyle name="Normal 180 3 4 2" xfId="50760"/>
    <cellStyle name="Normal 180 3 4 2 2" xfId="50761"/>
    <cellStyle name="Normal 180 3 4 2 3" xfId="50762"/>
    <cellStyle name="Normal 180 3 4 3" xfId="50763"/>
    <cellStyle name="Normal 180 3 4 4" xfId="50764"/>
    <cellStyle name="Normal 180 3 5" xfId="50765"/>
    <cellStyle name="Normal 180 3 5 2" xfId="50766"/>
    <cellStyle name="Normal 180 3 5 3" xfId="50767"/>
    <cellStyle name="Normal 180 3 6" xfId="50768"/>
    <cellStyle name="Normal 180 3 6 2" xfId="50769"/>
    <cellStyle name="Normal 180 3 6 3" xfId="50770"/>
    <cellStyle name="Normal 180 3 7" xfId="50771"/>
    <cellStyle name="Normal 180 3 7 2" xfId="50772"/>
    <cellStyle name="Normal 180 3 7 2 2" xfId="50773"/>
    <cellStyle name="Normal 180 3 7 3" xfId="50774"/>
    <cellStyle name="Normal 180 3 7 4" xfId="50775"/>
    <cellStyle name="Normal 180 3 7 5 2" xfId="50776"/>
    <cellStyle name="Normal 180 3 7 5 2 2" xfId="50777"/>
    <cellStyle name="Normal 180 3 8" xfId="50778"/>
    <cellStyle name="Normal 180 4" xfId="50779"/>
    <cellStyle name="Normal 180 4 2" xfId="50780"/>
    <cellStyle name="Normal 180 4 2 2" xfId="50781"/>
    <cellStyle name="Normal 180 4 2 2 2" xfId="50782"/>
    <cellStyle name="Normal 180 4 2 2 3" xfId="50783"/>
    <cellStyle name="Normal 180 4 2 3" xfId="50784"/>
    <cellStyle name="Normal 180 4 2 4" xfId="50785"/>
    <cellStyle name="Normal 180 4 3" xfId="50786"/>
    <cellStyle name="Normal 180 4 3 2" xfId="50787"/>
    <cellStyle name="Normal 180 4 3 3" xfId="50788"/>
    <cellStyle name="Normal 180 4 4" xfId="50789"/>
    <cellStyle name="Normal 180 4 4 2" xfId="50790"/>
    <cellStyle name="Normal 180 4 4 3" xfId="50791"/>
    <cellStyle name="Normal 180 4 5" xfId="50792"/>
    <cellStyle name="Normal 180 4 6" xfId="50793"/>
    <cellStyle name="Normal 180 5" xfId="50794"/>
    <cellStyle name="Normal 180 5 2" xfId="50795"/>
    <cellStyle name="Normal 180 5 2 2" xfId="50796"/>
    <cellStyle name="Normal 180 5 2 2 2" xfId="50797"/>
    <cellStyle name="Normal 180 5 2 2 3" xfId="50798"/>
    <cellStyle name="Normal 180 5 2 3" xfId="50799"/>
    <cellStyle name="Normal 180 5 2 4" xfId="50800"/>
    <cellStyle name="Normal 180 5 3" xfId="50801"/>
    <cellStyle name="Normal 180 5 3 2" xfId="50802"/>
    <cellStyle name="Normal 180 5 3 3" xfId="50803"/>
    <cellStyle name="Normal 180 5 4" xfId="50804"/>
    <cellStyle name="Normal 180 5 4 2" xfId="50805"/>
    <cellStyle name="Normal 180 5 4 3" xfId="50806"/>
    <cellStyle name="Normal 180 5 5" xfId="50807"/>
    <cellStyle name="Normal 180 5 6" xfId="50808"/>
    <cellStyle name="Normal 180 6" xfId="50809"/>
    <cellStyle name="Normal 180 6 2" xfId="50810"/>
    <cellStyle name="Normal 180 6 2 2" xfId="50811"/>
    <cellStyle name="Normal 180 6 2 3" xfId="50812"/>
    <cellStyle name="Normal 180 6 3" xfId="50813"/>
    <cellStyle name="Normal 180 6 4" xfId="50814"/>
    <cellStyle name="Normal 180 7" xfId="50815"/>
    <cellStyle name="Normal 180 7 2" xfId="50816"/>
    <cellStyle name="Normal 180 7 3" xfId="50817"/>
    <cellStyle name="Normal 180 8" xfId="50818"/>
    <cellStyle name="Normal 180 8 2" xfId="50819"/>
    <cellStyle name="Normal 180 8 3" xfId="50820"/>
    <cellStyle name="Normal 180 9" xfId="50821"/>
    <cellStyle name="Normal 181" xfId="50822"/>
    <cellStyle name="Normal 181 2" xfId="50823"/>
    <cellStyle name="Normal 181 2 2" xfId="50824"/>
    <cellStyle name="Normal 181 2 2 2" xfId="50825"/>
    <cellStyle name="Normal 181 2 2 2 2" xfId="50826"/>
    <cellStyle name="Normal 181 2 2 2 3" xfId="50827"/>
    <cellStyle name="Normal 181 2 2 3" xfId="50828"/>
    <cellStyle name="Normal 181 2 2 4" xfId="50829"/>
    <cellStyle name="Normal 181 2 3" xfId="50830"/>
    <cellStyle name="Normal 181 2 3 2" xfId="50831"/>
    <cellStyle name="Normal 181 2 3 3" xfId="50832"/>
    <cellStyle name="Normal 181 2 4" xfId="50833"/>
    <cellStyle name="Normal 181 2 4 2" xfId="50834"/>
    <cellStyle name="Normal 181 2 4 3" xfId="50835"/>
    <cellStyle name="Normal 181 2 5" xfId="50836"/>
    <cellStyle name="Normal 181 2 6" xfId="50837"/>
    <cellStyle name="Normal 181 3" xfId="50838"/>
    <cellStyle name="Normal 181 3 2" xfId="50839"/>
    <cellStyle name="Normal 181 3 2 2" xfId="50840"/>
    <cellStyle name="Normal 181 3 2 2 2" xfId="50841"/>
    <cellStyle name="Normal 181 3 2 2 3" xfId="50842"/>
    <cellStyle name="Normal 181 3 2 3" xfId="50843"/>
    <cellStyle name="Normal 181 3 2 4" xfId="50844"/>
    <cellStyle name="Normal 181 3 3" xfId="50845"/>
    <cellStyle name="Normal 181 3 3 2" xfId="50846"/>
    <cellStyle name="Normal 181 3 3 3" xfId="50847"/>
    <cellStyle name="Normal 181 3 4" xfId="50848"/>
    <cellStyle name="Normal 181 3 4 2" xfId="50849"/>
    <cellStyle name="Normal 181 3 4 3" xfId="50850"/>
    <cellStyle name="Normal 181 3 5" xfId="50851"/>
    <cellStyle name="Normal 181 3 6" xfId="50852"/>
    <cellStyle name="Normal 181 4" xfId="50853"/>
    <cellStyle name="Normal 181 4 2" xfId="50854"/>
    <cellStyle name="Normal 181 4 2 2" xfId="50855"/>
    <cellStyle name="Normal 181 4 2 3" xfId="50856"/>
    <cellStyle name="Normal 181 4 3" xfId="50857"/>
    <cellStyle name="Normal 181 4 4" xfId="50858"/>
    <cellStyle name="Normal 181 5" xfId="50859"/>
    <cellStyle name="Normal 181 5 2" xfId="50860"/>
    <cellStyle name="Normal 181 5 3" xfId="50861"/>
    <cellStyle name="Normal 181 6" xfId="50862"/>
    <cellStyle name="Normal 181 6 2" xfId="50863"/>
    <cellStyle name="Normal 181 6 3" xfId="50864"/>
    <cellStyle name="Normal 181 7" xfId="50865"/>
    <cellStyle name="Normal 181 8" xfId="50866"/>
    <cellStyle name="Normal 182" xfId="50867"/>
    <cellStyle name="Normal 182 2" xfId="50868"/>
    <cellStyle name="Normal 182 2 2" xfId="50869"/>
    <cellStyle name="Normal 182 2 3" xfId="50870"/>
    <cellStyle name="Normal 182 3" xfId="50871"/>
    <cellStyle name="Normal 182 4" xfId="50872"/>
    <cellStyle name="Normal 183" xfId="50873"/>
    <cellStyle name="Normal 183 2" xfId="50874"/>
    <cellStyle name="Normal 183 2 2" xfId="50875"/>
    <cellStyle name="Normal 183 2 3" xfId="50876"/>
    <cellStyle name="Normal 183 3" xfId="50877"/>
    <cellStyle name="Normal 183 3 2" xfId="50878"/>
    <cellStyle name="Normal 183 3 3" xfId="50879"/>
    <cellStyle name="Normal 183 4" xfId="50880"/>
    <cellStyle name="Normal 183 5" xfId="50881"/>
    <cellStyle name="Normal 184" xfId="50882"/>
    <cellStyle name="Normal 184 2" xfId="50883"/>
    <cellStyle name="Normal 184 2 10" xfId="50884"/>
    <cellStyle name="Normal 184 2 11" xfId="50885"/>
    <cellStyle name="Normal 184 2 2" xfId="50886"/>
    <cellStyle name="Normal 184 2 2 2" xfId="50887"/>
    <cellStyle name="Normal 184 2 2 2 2" xfId="50888"/>
    <cellStyle name="Normal 184 2 2 2 2 2" xfId="50889"/>
    <cellStyle name="Normal 184 2 2 2 2 2 2" xfId="50890"/>
    <cellStyle name="Normal 184 2 2 2 2 2 3" xfId="50891"/>
    <cellStyle name="Normal 184 2 2 2 2 3" xfId="50892"/>
    <cellStyle name="Normal 184 2 2 2 2 4" xfId="50893"/>
    <cellStyle name="Normal 184 2 2 2 3" xfId="50894"/>
    <cellStyle name="Normal 184 2 2 2 3 2" xfId="50895"/>
    <cellStyle name="Normal 184 2 2 2 3 3" xfId="50896"/>
    <cellStyle name="Normal 184 2 2 2 4" xfId="50897"/>
    <cellStyle name="Normal 184 2 2 2 4 2" xfId="50898"/>
    <cellStyle name="Normal 184 2 2 2 4 3" xfId="50899"/>
    <cellStyle name="Normal 184 2 2 2 5" xfId="50900"/>
    <cellStyle name="Normal 184 2 2 2 6" xfId="50901"/>
    <cellStyle name="Normal 184 2 2 3" xfId="50902"/>
    <cellStyle name="Normal 184 2 2 3 2" xfId="50903"/>
    <cellStyle name="Normal 184 2 2 3 2 2" xfId="50904"/>
    <cellStyle name="Normal 184 2 2 3 2 2 2" xfId="50905"/>
    <cellStyle name="Normal 184 2 2 3 2 2 3" xfId="50906"/>
    <cellStyle name="Normal 184 2 2 3 2 3" xfId="50907"/>
    <cellStyle name="Normal 184 2 2 3 2 4" xfId="50908"/>
    <cellStyle name="Normal 184 2 2 3 3" xfId="50909"/>
    <cellStyle name="Normal 184 2 2 3 3 2" xfId="50910"/>
    <cellStyle name="Normal 184 2 2 3 3 3" xfId="50911"/>
    <cellStyle name="Normal 184 2 2 3 4" xfId="50912"/>
    <cellStyle name="Normal 184 2 2 3 4 2" xfId="50913"/>
    <cellStyle name="Normal 184 2 2 3 4 3" xfId="50914"/>
    <cellStyle name="Normal 184 2 2 3 5" xfId="50915"/>
    <cellStyle name="Normal 184 2 2 3 6" xfId="50916"/>
    <cellStyle name="Normal 184 2 2 4" xfId="50917"/>
    <cellStyle name="Normal 184 2 2 4 2" xfId="50918"/>
    <cellStyle name="Normal 184 2 2 4 2 2" xfId="50919"/>
    <cellStyle name="Normal 184 2 2 4 2 3" xfId="50920"/>
    <cellStyle name="Normal 184 2 2 4 3" xfId="50921"/>
    <cellStyle name="Normal 184 2 2 4 4" xfId="50922"/>
    <cellStyle name="Normal 184 2 2 5" xfId="50923"/>
    <cellStyle name="Normal 184 2 2 5 2" xfId="50924"/>
    <cellStyle name="Normal 184 2 2 5 3" xfId="50925"/>
    <cellStyle name="Normal 184 2 2 6" xfId="50926"/>
    <cellStyle name="Normal 184 2 2 6 2" xfId="50927"/>
    <cellStyle name="Normal 184 2 2 6 3" xfId="50928"/>
    <cellStyle name="Normal 184 2 2 7" xfId="50929"/>
    <cellStyle name="Normal 184 2 2 8" xfId="50930"/>
    <cellStyle name="Normal 184 2 3" xfId="50931"/>
    <cellStyle name="Normal 184 2 3 2" xfId="50932"/>
    <cellStyle name="Normal 184 2 3 2 2" xfId="50933"/>
    <cellStyle name="Normal 184 2 3 2 2 2" xfId="50934"/>
    <cellStyle name="Normal 184 2 3 2 2 2 2" xfId="50935"/>
    <cellStyle name="Normal 184 2 3 2 2 2 3" xfId="50936"/>
    <cellStyle name="Normal 184 2 3 2 2 3" xfId="50937"/>
    <cellStyle name="Normal 184 2 3 2 2 4" xfId="50938"/>
    <cellStyle name="Normal 184 2 3 2 3" xfId="50939"/>
    <cellStyle name="Normal 184 2 3 2 3 2" xfId="50940"/>
    <cellStyle name="Normal 184 2 3 2 3 3" xfId="50941"/>
    <cellStyle name="Normal 184 2 3 2 4" xfId="50942"/>
    <cellStyle name="Normal 184 2 3 2 4 2" xfId="50943"/>
    <cellStyle name="Normal 184 2 3 2 4 3" xfId="50944"/>
    <cellStyle name="Normal 184 2 3 2 5" xfId="50945"/>
    <cellStyle name="Normal 184 2 3 2 6" xfId="50946"/>
    <cellStyle name="Normal 184 2 3 3" xfId="50947"/>
    <cellStyle name="Normal 184 2 3 3 2" xfId="50948"/>
    <cellStyle name="Normal 184 2 3 3 2 2" xfId="50949"/>
    <cellStyle name="Normal 184 2 3 3 2 2 2" xfId="50950"/>
    <cellStyle name="Normal 184 2 3 3 2 2 3" xfId="50951"/>
    <cellStyle name="Normal 184 2 3 3 2 3" xfId="50952"/>
    <cellStyle name="Normal 184 2 3 3 2 4" xfId="50953"/>
    <cellStyle name="Normal 184 2 3 3 3" xfId="50954"/>
    <cellStyle name="Normal 184 2 3 3 3 2" xfId="50955"/>
    <cellStyle name="Normal 184 2 3 3 3 3" xfId="50956"/>
    <cellStyle name="Normal 184 2 3 3 4" xfId="50957"/>
    <cellStyle name="Normal 184 2 3 3 4 2" xfId="50958"/>
    <cellStyle name="Normal 184 2 3 3 4 3" xfId="50959"/>
    <cellStyle name="Normal 184 2 3 3 5" xfId="50960"/>
    <cellStyle name="Normal 184 2 3 3 6" xfId="50961"/>
    <cellStyle name="Normal 184 2 3 4" xfId="50962"/>
    <cellStyle name="Normal 184 2 3 4 2" xfId="50963"/>
    <cellStyle name="Normal 184 2 3 4 2 2" xfId="50964"/>
    <cellStyle name="Normal 184 2 3 4 2 3" xfId="50965"/>
    <cellStyle name="Normal 184 2 3 4 3" xfId="50966"/>
    <cellStyle name="Normal 184 2 3 4 4" xfId="50967"/>
    <cellStyle name="Normal 184 2 3 5" xfId="50968"/>
    <cellStyle name="Normal 184 2 3 5 2" xfId="50969"/>
    <cellStyle name="Normal 184 2 3 5 3" xfId="50970"/>
    <cellStyle name="Normal 184 2 3 6" xfId="50971"/>
    <cellStyle name="Normal 184 2 3 6 2" xfId="50972"/>
    <cellStyle name="Normal 184 2 3 6 3" xfId="50973"/>
    <cellStyle name="Normal 184 2 3 7" xfId="50974"/>
    <cellStyle name="Normal 184 2 3 8" xfId="50975"/>
    <cellStyle name="Normal 184 2 4" xfId="50976"/>
    <cellStyle name="Normal 184 2 4 2" xfId="50977"/>
    <cellStyle name="Normal 184 2 4 2 2" xfId="50978"/>
    <cellStyle name="Normal 184 2 4 2 2 2" xfId="50979"/>
    <cellStyle name="Normal 184 2 4 2 2 2 2" xfId="50980"/>
    <cellStyle name="Normal 184 2 4 2 2 2 3" xfId="50981"/>
    <cellStyle name="Normal 184 2 4 2 2 3" xfId="50982"/>
    <cellStyle name="Normal 184 2 4 2 2 4" xfId="50983"/>
    <cellStyle name="Normal 184 2 4 2 3" xfId="50984"/>
    <cellStyle name="Normal 184 2 4 2 3 2" xfId="50985"/>
    <cellStyle name="Normal 184 2 4 2 3 3" xfId="50986"/>
    <cellStyle name="Normal 184 2 4 2 4" xfId="50987"/>
    <cellStyle name="Normal 184 2 4 2 4 2" xfId="50988"/>
    <cellStyle name="Normal 184 2 4 2 4 3" xfId="50989"/>
    <cellStyle name="Normal 184 2 4 2 5" xfId="50990"/>
    <cellStyle name="Normal 184 2 4 2 6" xfId="50991"/>
    <cellStyle name="Normal 184 2 4 3" xfId="50992"/>
    <cellStyle name="Normal 184 2 4 3 2" xfId="50993"/>
    <cellStyle name="Normal 184 2 4 3 2 2" xfId="50994"/>
    <cellStyle name="Normal 184 2 4 3 2 2 2" xfId="50995"/>
    <cellStyle name="Normal 184 2 4 3 2 2 3" xfId="50996"/>
    <cellStyle name="Normal 184 2 4 3 2 3" xfId="50997"/>
    <cellStyle name="Normal 184 2 4 3 2 4" xfId="50998"/>
    <cellStyle name="Normal 184 2 4 3 3" xfId="50999"/>
    <cellStyle name="Normal 184 2 4 3 3 2" xfId="51000"/>
    <cellStyle name="Normal 184 2 4 3 3 3" xfId="51001"/>
    <cellStyle name="Normal 184 2 4 3 4" xfId="51002"/>
    <cellStyle name="Normal 184 2 4 3 4 2" xfId="51003"/>
    <cellStyle name="Normal 184 2 4 3 4 3" xfId="51004"/>
    <cellStyle name="Normal 184 2 4 3 5" xfId="51005"/>
    <cellStyle name="Normal 184 2 4 3 6" xfId="51006"/>
    <cellStyle name="Normal 184 2 4 4" xfId="51007"/>
    <cellStyle name="Normal 184 2 4 4 2" xfId="51008"/>
    <cellStyle name="Normal 184 2 4 4 2 2" xfId="51009"/>
    <cellStyle name="Normal 184 2 4 4 2 3" xfId="51010"/>
    <cellStyle name="Normal 184 2 4 4 3" xfId="51011"/>
    <cellStyle name="Normal 184 2 4 4 4" xfId="51012"/>
    <cellStyle name="Normal 184 2 4 5" xfId="51013"/>
    <cellStyle name="Normal 184 2 4 5 2" xfId="51014"/>
    <cellStyle name="Normal 184 2 4 5 3" xfId="51015"/>
    <cellStyle name="Normal 184 2 4 6" xfId="51016"/>
    <cellStyle name="Normal 184 2 4 6 2" xfId="51017"/>
    <cellStyle name="Normal 184 2 4 6 3" xfId="51018"/>
    <cellStyle name="Normal 184 2 4 7" xfId="51019"/>
    <cellStyle name="Normal 184 2 4 8" xfId="51020"/>
    <cellStyle name="Normal 184 2 5" xfId="51021"/>
    <cellStyle name="Normal 184 2 5 2" xfId="51022"/>
    <cellStyle name="Normal 184 2 5 2 2" xfId="51023"/>
    <cellStyle name="Normal 184 2 5 2 2 2" xfId="51024"/>
    <cellStyle name="Normal 184 2 5 2 2 3" xfId="51025"/>
    <cellStyle name="Normal 184 2 5 2 3" xfId="51026"/>
    <cellStyle name="Normal 184 2 5 2 4" xfId="51027"/>
    <cellStyle name="Normal 184 2 5 3" xfId="51028"/>
    <cellStyle name="Normal 184 2 5 3 2" xfId="51029"/>
    <cellStyle name="Normal 184 2 5 3 3" xfId="51030"/>
    <cellStyle name="Normal 184 2 5 4" xfId="51031"/>
    <cellStyle name="Normal 184 2 5 4 2" xfId="51032"/>
    <cellStyle name="Normal 184 2 5 4 3" xfId="51033"/>
    <cellStyle name="Normal 184 2 5 5" xfId="51034"/>
    <cellStyle name="Normal 184 2 5 6" xfId="51035"/>
    <cellStyle name="Normal 184 2 6" xfId="51036"/>
    <cellStyle name="Normal 184 2 6 2" xfId="51037"/>
    <cellStyle name="Normal 184 2 6 2 2" xfId="51038"/>
    <cellStyle name="Normal 184 2 6 2 2 2" xfId="51039"/>
    <cellStyle name="Normal 184 2 6 2 2 3" xfId="51040"/>
    <cellStyle name="Normal 184 2 6 2 3" xfId="51041"/>
    <cellStyle name="Normal 184 2 6 2 4" xfId="51042"/>
    <cellStyle name="Normal 184 2 6 3" xfId="51043"/>
    <cellStyle name="Normal 184 2 6 3 2" xfId="51044"/>
    <cellStyle name="Normal 184 2 6 3 3" xfId="51045"/>
    <cellStyle name="Normal 184 2 6 4" xfId="51046"/>
    <cellStyle name="Normal 184 2 6 4 2" xfId="51047"/>
    <cellStyle name="Normal 184 2 6 4 3" xfId="51048"/>
    <cellStyle name="Normal 184 2 6 5" xfId="51049"/>
    <cellStyle name="Normal 184 2 6 6" xfId="51050"/>
    <cellStyle name="Normal 184 2 7" xfId="51051"/>
    <cellStyle name="Normal 184 2 7 2" xfId="51052"/>
    <cellStyle name="Normal 184 2 7 2 2" xfId="51053"/>
    <cellStyle name="Normal 184 2 7 2 3" xfId="51054"/>
    <cellStyle name="Normal 184 2 7 3" xfId="51055"/>
    <cellStyle name="Normal 184 2 7 4" xfId="51056"/>
    <cellStyle name="Normal 184 2 8" xfId="51057"/>
    <cellStyle name="Normal 184 2 8 2" xfId="51058"/>
    <cellStyle name="Normal 184 2 8 3" xfId="51059"/>
    <cellStyle name="Normal 184 2 9" xfId="51060"/>
    <cellStyle name="Normal 184 2 9 2" xfId="51061"/>
    <cellStyle name="Normal 184 2 9 3" xfId="51062"/>
    <cellStyle name="Normal 184 3" xfId="51063"/>
    <cellStyle name="Normal 184 3 2" xfId="51064"/>
    <cellStyle name="Normal 184 3 2 2" xfId="51065"/>
    <cellStyle name="Normal 184 3 2 2 2" xfId="51066"/>
    <cellStyle name="Normal 184 3 2 2 3" xfId="51067"/>
    <cellStyle name="Normal 184 3 2 3" xfId="51068"/>
    <cellStyle name="Normal 184 3 2 4" xfId="51069"/>
    <cellStyle name="Normal 184 3 3" xfId="51070"/>
    <cellStyle name="Normal 184 3 3 2" xfId="51071"/>
    <cellStyle name="Normal 184 3 3 3" xfId="51072"/>
    <cellStyle name="Normal 184 3 4" xfId="51073"/>
    <cellStyle name="Normal 184 3 4 2" xfId="51074"/>
    <cellStyle name="Normal 184 3 4 3" xfId="51075"/>
    <cellStyle name="Normal 184 3 5" xfId="51076"/>
    <cellStyle name="Normal 184 3 6" xfId="51077"/>
    <cellStyle name="Normal 184 4" xfId="51078"/>
    <cellStyle name="Normal 184 4 2" xfId="51079"/>
    <cellStyle name="Normal 184 4 2 2" xfId="51080"/>
    <cellStyle name="Normal 184 4 2 2 2" xfId="51081"/>
    <cellStyle name="Normal 184 4 2 2 3" xfId="51082"/>
    <cellStyle name="Normal 184 4 2 3" xfId="51083"/>
    <cellStyle name="Normal 184 4 2 4" xfId="51084"/>
    <cellStyle name="Normal 184 4 3" xfId="51085"/>
    <cellStyle name="Normal 184 4 3 2" xfId="51086"/>
    <cellStyle name="Normal 184 4 3 3" xfId="51087"/>
    <cellStyle name="Normal 184 4 4" xfId="51088"/>
    <cellStyle name="Normal 184 4 4 2" xfId="51089"/>
    <cellStyle name="Normal 184 4 4 3" xfId="51090"/>
    <cellStyle name="Normal 184 4 5" xfId="51091"/>
    <cellStyle name="Normal 184 4 6" xfId="51092"/>
    <cellStyle name="Normal 184 5" xfId="51093"/>
    <cellStyle name="Normal 184 5 2" xfId="51094"/>
    <cellStyle name="Normal 184 5 2 2" xfId="51095"/>
    <cellStyle name="Normal 184 5 2 3" xfId="51096"/>
    <cellStyle name="Normal 184 5 3" xfId="51097"/>
    <cellStyle name="Normal 184 5 4" xfId="51098"/>
    <cellStyle name="Normal 184 6" xfId="51099"/>
    <cellStyle name="Normal 184 6 2" xfId="51100"/>
    <cellStyle name="Normal 184 6 3" xfId="51101"/>
    <cellStyle name="Normal 184 7" xfId="51102"/>
    <cellStyle name="Normal 184 7 2" xfId="51103"/>
    <cellStyle name="Normal 184 7 3" xfId="51104"/>
    <cellStyle name="Normal 184 8" xfId="51105"/>
    <cellStyle name="Normal 184 9" xfId="51106"/>
    <cellStyle name="Normal 185" xfId="51107"/>
    <cellStyle name="Normal 185 2" xfId="51108"/>
    <cellStyle name="Normal 185 3" xfId="51109"/>
    <cellStyle name="Normal 186" xfId="51110"/>
    <cellStyle name="Normal 186 2" xfId="51111"/>
    <cellStyle name="Normal 186 2 2" xfId="51112"/>
    <cellStyle name="Normal 186 2 2 2" xfId="51113"/>
    <cellStyle name="Normal 186 2 2 3" xfId="51114"/>
    <cellStyle name="Normal 186 2 3" xfId="51115"/>
    <cellStyle name="Normal 186 3" xfId="51116"/>
    <cellStyle name="Normal 186 4" xfId="51117"/>
    <cellStyle name="Normal 187" xfId="51118"/>
    <cellStyle name="Normal 187 2" xfId="51119"/>
    <cellStyle name="Normal 187 3" xfId="51120"/>
    <cellStyle name="Normal 188" xfId="51121"/>
    <cellStyle name="Normal 188 2" xfId="51122"/>
    <cellStyle name="Normal 188 2 2" xfId="51123"/>
    <cellStyle name="Normal 188 2 2 2" xfId="51124"/>
    <cellStyle name="Normal 188 2 2 2 2" xfId="51125"/>
    <cellStyle name="Normal 188 2 2 2 3" xfId="51126"/>
    <cellStyle name="Normal 188 2 2 3" xfId="51127"/>
    <cellStyle name="Normal 188 2 2 4" xfId="51128"/>
    <cellStyle name="Normal 188 2 3" xfId="51129"/>
    <cellStyle name="Normal 188 2 3 2" xfId="51130"/>
    <cellStyle name="Normal 188 2 3 3" xfId="51131"/>
    <cellStyle name="Normal 188 2 4" xfId="51132"/>
    <cellStyle name="Normal 188 2 4 2" xfId="51133"/>
    <cellStyle name="Normal 188 2 4 3" xfId="51134"/>
    <cellStyle name="Normal 188 2 5" xfId="51135"/>
    <cellStyle name="Normal 188 2 6" xfId="51136"/>
    <cellStyle name="Normal 188 3" xfId="51137"/>
    <cellStyle name="Normal 188 3 2" xfId="51138"/>
    <cellStyle name="Normal 188 3 2 2" xfId="51139"/>
    <cellStyle name="Normal 188 3 2 2 2" xfId="51140"/>
    <cellStyle name="Normal 188 3 2 2 3" xfId="51141"/>
    <cellStyle name="Normal 188 3 2 3" xfId="51142"/>
    <cellStyle name="Normal 188 3 2 4" xfId="51143"/>
    <cellStyle name="Normal 188 3 3" xfId="51144"/>
    <cellStyle name="Normal 188 3 3 2" xfId="51145"/>
    <cellStyle name="Normal 188 3 3 3" xfId="51146"/>
    <cellStyle name="Normal 188 3 4" xfId="51147"/>
    <cellStyle name="Normal 188 3 4 2" xfId="51148"/>
    <cellStyle name="Normal 188 3 4 3" xfId="51149"/>
    <cellStyle name="Normal 188 3 5" xfId="51150"/>
    <cellStyle name="Normal 188 3 6" xfId="51151"/>
    <cellStyle name="Normal 188 4" xfId="51152"/>
    <cellStyle name="Normal 188 4 2" xfId="51153"/>
    <cellStyle name="Normal 188 4 2 2" xfId="51154"/>
    <cellStyle name="Normal 188 4 2 3" xfId="51155"/>
    <cellStyle name="Normal 188 4 3" xfId="51156"/>
    <cellStyle name="Normal 188 4 4" xfId="51157"/>
    <cellStyle name="Normal 188 5" xfId="51158"/>
    <cellStyle name="Normal 188 5 2" xfId="51159"/>
    <cellStyle name="Normal 188 5 3" xfId="51160"/>
    <cellStyle name="Normal 188 6" xfId="51161"/>
    <cellStyle name="Normal 188 6 2" xfId="51162"/>
    <cellStyle name="Normal 188 6 3" xfId="51163"/>
    <cellStyle name="Normal 188 7" xfId="51164"/>
    <cellStyle name="Normal 188 8" xfId="51165"/>
    <cellStyle name="Normal 189" xfId="51166"/>
    <cellStyle name="Normal 189 2" xfId="51167"/>
    <cellStyle name="Normal 189 2 2" xfId="51168"/>
    <cellStyle name="Normal 189 2 3" xfId="51169"/>
    <cellStyle name="Normal 189 3" xfId="51170"/>
    <cellStyle name="Normal 189 4" xfId="51171"/>
    <cellStyle name="Normal 19" xfId="51172"/>
    <cellStyle name="Normal 19 10" xfId="51173"/>
    <cellStyle name="Normal 19 11" xfId="51174"/>
    <cellStyle name="Normal 19 2" xfId="51175"/>
    <cellStyle name="Normal 19 2 10" xfId="51176"/>
    <cellStyle name="Normal 19 2 2" xfId="51177"/>
    <cellStyle name="Normal 19 2 2 2" xfId="51178"/>
    <cellStyle name="Normal 19 2 2 2 2" xfId="51179"/>
    <cellStyle name="Normal 19 2 2 2 2 2" xfId="51180"/>
    <cellStyle name="Normal 19 2 2 2 2 2 2" xfId="51181"/>
    <cellStyle name="Normal 19 2 2 2 2 2 3" xfId="51182"/>
    <cellStyle name="Normal 19 2 2 2 2 3" xfId="51183"/>
    <cellStyle name="Normal 19 2 2 2 2 4" xfId="51184"/>
    <cellStyle name="Normal 19 2 2 2 3" xfId="51185"/>
    <cellStyle name="Normal 19 2 2 2 3 2" xfId="51186"/>
    <cellStyle name="Normal 19 2 2 2 3 3" xfId="51187"/>
    <cellStyle name="Normal 19 2 2 2 4" xfId="51188"/>
    <cellStyle name="Normal 19 2 2 2 4 2" xfId="51189"/>
    <cellStyle name="Normal 19 2 2 2 4 3" xfId="51190"/>
    <cellStyle name="Normal 19 2 2 2 5" xfId="51191"/>
    <cellStyle name="Normal 19 2 2 2 6" xfId="51192"/>
    <cellStyle name="Normal 19 2 2 3" xfId="51193"/>
    <cellStyle name="Normal 19 2 2 3 2" xfId="51194"/>
    <cellStyle name="Normal 19 2 2 3 2 2" xfId="51195"/>
    <cellStyle name="Normal 19 2 2 3 2 2 2" xfId="51196"/>
    <cellStyle name="Normal 19 2 2 3 2 2 3" xfId="51197"/>
    <cellStyle name="Normal 19 2 2 3 2 3" xfId="51198"/>
    <cellStyle name="Normal 19 2 2 3 2 4" xfId="51199"/>
    <cellStyle name="Normal 19 2 2 3 3" xfId="51200"/>
    <cellStyle name="Normal 19 2 2 3 3 2" xfId="51201"/>
    <cellStyle name="Normal 19 2 2 3 3 3" xfId="51202"/>
    <cellStyle name="Normal 19 2 2 3 4" xfId="51203"/>
    <cellStyle name="Normal 19 2 2 3 4 2" xfId="51204"/>
    <cellStyle name="Normal 19 2 2 3 4 3" xfId="51205"/>
    <cellStyle name="Normal 19 2 2 3 5" xfId="51206"/>
    <cellStyle name="Normal 19 2 2 3 6" xfId="51207"/>
    <cellStyle name="Normal 19 2 2 4" xfId="51208"/>
    <cellStyle name="Normal 19 2 2 4 2" xfId="51209"/>
    <cellStyle name="Normal 19 2 2 4 2 2" xfId="51210"/>
    <cellStyle name="Normal 19 2 2 4 2 3" xfId="51211"/>
    <cellStyle name="Normal 19 2 2 4 3" xfId="51212"/>
    <cellStyle name="Normal 19 2 2 4 4" xfId="51213"/>
    <cellStyle name="Normal 19 2 2 5" xfId="51214"/>
    <cellStyle name="Normal 19 2 2 5 2" xfId="51215"/>
    <cellStyle name="Normal 19 2 2 5 3" xfId="51216"/>
    <cellStyle name="Normal 19 2 2 6" xfId="51217"/>
    <cellStyle name="Normal 19 2 2 6 2" xfId="51218"/>
    <cellStyle name="Normal 19 2 2 6 3" xfId="51219"/>
    <cellStyle name="Normal 19 2 2 7" xfId="51220"/>
    <cellStyle name="Normal 19 2 2 8" xfId="51221"/>
    <cellStyle name="Normal 19 2 3" xfId="51222"/>
    <cellStyle name="Normal 19 2 3 2" xfId="51223"/>
    <cellStyle name="Normal 19 2 3 2 2" xfId="51224"/>
    <cellStyle name="Normal 19 2 3 2 2 2" xfId="51225"/>
    <cellStyle name="Normal 19 2 3 2 2 3" xfId="51226"/>
    <cellStyle name="Normal 19 2 3 2 3" xfId="51227"/>
    <cellStyle name="Normal 19 2 3 2 4" xfId="51228"/>
    <cellStyle name="Normal 19 2 3 3" xfId="51229"/>
    <cellStyle name="Normal 19 2 3 3 2" xfId="51230"/>
    <cellStyle name="Normal 19 2 3 3 3" xfId="51231"/>
    <cellStyle name="Normal 19 2 3 4" xfId="51232"/>
    <cellStyle name="Normal 19 2 3 4 2" xfId="51233"/>
    <cellStyle name="Normal 19 2 3 4 3" xfId="51234"/>
    <cellStyle name="Normal 19 2 3 5" xfId="51235"/>
    <cellStyle name="Normal 19 2 3 6" xfId="51236"/>
    <cellStyle name="Normal 19 2 4" xfId="51237"/>
    <cellStyle name="Normal 19 2 4 2" xfId="51238"/>
    <cellStyle name="Normal 19 2 4 2 2" xfId="51239"/>
    <cellStyle name="Normal 19 2 4 2 2 2" xfId="51240"/>
    <cellStyle name="Normal 19 2 4 2 2 3" xfId="51241"/>
    <cellStyle name="Normal 19 2 4 2 3" xfId="51242"/>
    <cellStyle name="Normal 19 2 4 2 4" xfId="51243"/>
    <cellStyle name="Normal 19 2 4 3" xfId="51244"/>
    <cellStyle name="Normal 19 2 4 3 2" xfId="51245"/>
    <cellStyle name="Normal 19 2 4 3 3" xfId="51246"/>
    <cellStyle name="Normal 19 2 4 4" xfId="51247"/>
    <cellStyle name="Normal 19 2 4 4 2" xfId="51248"/>
    <cellStyle name="Normal 19 2 4 4 3" xfId="51249"/>
    <cellStyle name="Normal 19 2 4 5" xfId="51250"/>
    <cellStyle name="Normal 19 2 4 6" xfId="51251"/>
    <cellStyle name="Normal 19 2 5" xfId="51252"/>
    <cellStyle name="Normal 19 2 5 2" xfId="51253"/>
    <cellStyle name="Normal 19 2 5 2 2" xfId="51254"/>
    <cellStyle name="Normal 19 2 5 2 3" xfId="51255"/>
    <cellStyle name="Normal 19 2 5 3" xfId="51256"/>
    <cellStyle name="Normal 19 2 5 4" xfId="51257"/>
    <cellStyle name="Normal 19 2 6" xfId="51258"/>
    <cellStyle name="Normal 19 2 6 2" xfId="51259"/>
    <cellStyle name="Normal 19 2 6 2 2" xfId="51260"/>
    <cellStyle name="Normal 19 2 6 2 3" xfId="51261"/>
    <cellStyle name="Normal 19 2 6 3" xfId="51262"/>
    <cellStyle name="Normal 19 2 6 4" xfId="51263"/>
    <cellStyle name="Normal 19 2 7" xfId="51264"/>
    <cellStyle name="Normal 19 2 7 2" xfId="51265"/>
    <cellStyle name="Normal 19 2 7 3" xfId="51266"/>
    <cellStyle name="Normal 19 2 8" xfId="51267"/>
    <cellStyle name="Normal 19 2 8 2" xfId="51268"/>
    <cellStyle name="Normal 19 2 8 3" xfId="51269"/>
    <cellStyle name="Normal 19 2 9" xfId="51270"/>
    <cellStyle name="Normal 19 3" xfId="51271"/>
    <cellStyle name="Normal 19 3 2" xfId="51272"/>
    <cellStyle name="Normal 19 3 2 2" xfId="51273"/>
    <cellStyle name="Normal 19 3 2 2 2" xfId="51274"/>
    <cellStyle name="Normal 19 3 2 2 2 2" xfId="51275"/>
    <cellStyle name="Normal 19 3 2 2 2 3" xfId="51276"/>
    <cellStyle name="Normal 19 3 2 2 3" xfId="51277"/>
    <cellStyle name="Normal 19 3 2 2 4" xfId="51278"/>
    <cellStyle name="Normal 19 3 2 3" xfId="51279"/>
    <cellStyle name="Normal 19 3 2 3 2" xfId="51280"/>
    <cellStyle name="Normal 19 3 2 3 3" xfId="51281"/>
    <cellStyle name="Normal 19 3 2 4" xfId="51282"/>
    <cellStyle name="Normal 19 3 2 4 2" xfId="51283"/>
    <cellStyle name="Normal 19 3 2 4 3" xfId="51284"/>
    <cellStyle name="Normal 19 3 2 5" xfId="51285"/>
    <cellStyle name="Normal 19 3 2 6" xfId="51286"/>
    <cellStyle name="Normal 19 3 3" xfId="51287"/>
    <cellStyle name="Normal 19 3 3 2" xfId="51288"/>
    <cellStyle name="Normal 19 3 3 2 2" xfId="51289"/>
    <cellStyle name="Normal 19 3 3 2 2 2" xfId="51290"/>
    <cellStyle name="Normal 19 3 3 2 2 3" xfId="51291"/>
    <cellStyle name="Normal 19 3 3 2 3" xfId="51292"/>
    <cellStyle name="Normal 19 3 3 2 4" xfId="51293"/>
    <cellStyle name="Normal 19 3 3 3" xfId="51294"/>
    <cellStyle name="Normal 19 3 3 3 2" xfId="51295"/>
    <cellStyle name="Normal 19 3 3 3 3" xfId="51296"/>
    <cellStyle name="Normal 19 3 3 4" xfId="51297"/>
    <cellStyle name="Normal 19 3 3 4 2" xfId="51298"/>
    <cellStyle name="Normal 19 3 3 4 3" xfId="51299"/>
    <cellStyle name="Normal 19 3 3 5" xfId="51300"/>
    <cellStyle name="Normal 19 3 3 6" xfId="51301"/>
    <cellStyle name="Normal 19 3 4" xfId="51302"/>
    <cellStyle name="Normal 19 3 4 2" xfId="51303"/>
    <cellStyle name="Normal 19 3 4 2 2" xfId="51304"/>
    <cellStyle name="Normal 19 3 4 2 3" xfId="51305"/>
    <cellStyle name="Normal 19 3 4 3" xfId="51306"/>
    <cellStyle name="Normal 19 3 4 4" xfId="51307"/>
    <cellStyle name="Normal 19 3 5" xfId="51308"/>
    <cellStyle name="Normal 19 3 5 2" xfId="51309"/>
    <cellStyle name="Normal 19 3 5 3" xfId="51310"/>
    <cellStyle name="Normal 19 3 6" xfId="51311"/>
    <cellStyle name="Normal 19 3 6 2" xfId="51312"/>
    <cellStyle name="Normal 19 3 6 3" xfId="51313"/>
    <cellStyle name="Normal 19 3 7" xfId="51314"/>
    <cellStyle name="Normal 19 3 8" xfId="51315"/>
    <cellStyle name="Normal 19 4" xfId="51316"/>
    <cellStyle name="Normal 19 4 2" xfId="51317"/>
    <cellStyle name="Normal 19 4 2 2" xfId="51318"/>
    <cellStyle name="Normal 19 4 2 2 2" xfId="51319"/>
    <cellStyle name="Normal 19 4 2 2 3" xfId="51320"/>
    <cellStyle name="Normal 19 4 2 3" xfId="51321"/>
    <cellStyle name="Normal 19 4 2 4" xfId="51322"/>
    <cellStyle name="Normal 19 4 3" xfId="51323"/>
    <cellStyle name="Normal 19 4 3 2" xfId="51324"/>
    <cellStyle name="Normal 19 4 3 3" xfId="51325"/>
    <cellStyle name="Normal 19 4 4" xfId="51326"/>
    <cellStyle name="Normal 19 4 4 2" xfId="51327"/>
    <cellStyle name="Normal 19 4 4 3" xfId="51328"/>
    <cellStyle name="Normal 19 4 5" xfId="51329"/>
    <cellStyle name="Normal 19 4 6" xfId="51330"/>
    <cellStyle name="Normal 19 5" xfId="51331"/>
    <cellStyle name="Normal 19 5 2" xfId="51332"/>
    <cellStyle name="Normal 19 5 2 2" xfId="51333"/>
    <cellStyle name="Normal 19 5 2 2 2" xfId="51334"/>
    <cellStyle name="Normal 19 5 2 2 3" xfId="51335"/>
    <cellStyle name="Normal 19 5 2 3" xfId="51336"/>
    <cellStyle name="Normal 19 5 2 4" xfId="51337"/>
    <cellStyle name="Normal 19 5 3" xfId="51338"/>
    <cellStyle name="Normal 19 5 3 2" xfId="51339"/>
    <cellStyle name="Normal 19 5 3 3" xfId="51340"/>
    <cellStyle name="Normal 19 5 4" xfId="51341"/>
    <cellStyle name="Normal 19 5 4 2" xfId="51342"/>
    <cellStyle name="Normal 19 5 4 3" xfId="51343"/>
    <cellStyle name="Normal 19 5 5" xfId="51344"/>
    <cellStyle name="Normal 19 5 6" xfId="51345"/>
    <cellStyle name="Normal 19 6" xfId="51346"/>
    <cellStyle name="Normal 19 6 2" xfId="51347"/>
    <cellStyle name="Normal 19 6 2 2" xfId="51348"/>
    <cellStyle name="Normal 19 6 2 3" xfId="51349"/>
    <cellStyle name="Normal 19 6 3" xfId="51350"/>
    <cellStyle name="Normal 19 6 4" xfId="51351"/>
    <cellStyle name="Normal 19 7" xfId="51352"/>
    <cellStyle name="Normal 19 7 2" xfId="51353"/>
    <cellStyle name="Normal 19 7 2 2" xfId="51354"/>
    <cellStyle name="Normal 19 7 2 3" xfId="51355"/>
    <cellStyle name="Normal 19 7 3" xfId="51356"/>
    <cellStyle name="Normal 19 7 4" xfId="51357"/>
    <cellStyle name="Normal 19 8" xfId="51358"/>
    <cellStyle name="Normal 19 8 2" xfId="51359"/>
    <cellStyle name="Normal 19 8 3" xfId="51360"/>
    <cellStyle name="Normal 19 9" xfId="51361"/>
    <cellStyle name="Normal 19 9 2" xfId="51362"/>
    <cellStyle name="Normal 19 9 3" xfId="51363"/>
    <cellStyle name="Normal 190" xfId="51364"/>
    <cellStyle name="Normal 190 2" xfId="51365"/>
    <cellStyle name="Normal 190 2 2" xfId="51366"/>
    <cellStyle name="Normal 190 2 2 2" xfId="51367"/>
    <cellStyle name="Normal 190 2 2 2 2" xfId="51368"/>
    <cellStyle name="Normal 190 2 2 2 3" xfId="51369"/>
    <cellStyle name="Normal 190 2 2 3" xfId="51370"/>
    <cellStyle name="Normal 190 2 2 4" xfId="51371"/>
    <cellStyle name="Normal 190 2 3" xfId="51372"/>
    <cellStyle name="Normal 190 2 3 2" xfId="51373"/>
    <cellStyle name="Normal 190 2 3 3" xfId="51374"/>
    <cellStyle name="Normal 190 2 4" xfId="51375"/>
    <cellStyle name="Normal 190 2 4 2" xfId="51376"/>
    <cellStyle name="Normal 190 2 4 3" xfId="51377"/>
    <cellStyle name="Normal 190 2 5" xfId="51378"/>
    <cellStyle name="Normal 190 2 6" xfId="51379"/>
    <cellStyle name="Normal 190 3" xfId="51380"/>
    <cellStyle name="Normal 190 3 2" xfId="51381"/>
    <cellStyle name="Normal 190 3 2 2" xfId="51382"/>
    <cellStyle name="Normal 190 3 2 2 2" xfId="51383"/>
    <cellStyle name="Normal 190 3 2 2 3" xfId="51384"/>
    <cellStyle name="Normal 190 3 2 3" xfId="51385"/>
    <cellStyle name="Normal 190 3 2 4" xfId="51386"/>
    <cellStyle name="Normal 190 3 3" xfId="51387"/>
    <cellStyle name="Normal 190 3 3 2" xfId="51388"/>
    <cellStyle name="Normal 190 3 3 3" xfId="51389"/>
    <cellStyle name="Normal 190 3 4" xfId="51390"/>
    <cellStyle name="Normal 190 3 4 2" xfId="51391"/>
    <cellStyle name="Normal 190 3 4 3" xfId="51392"/>
    <cellStyle name="Normal 190 3 5" xfId="51393"/>
    <cellStyle name="Normal 190 3 6" xfId="51394"/>
    <cellStyle name="Normal 190 4" xfId="51395"/>
    <cellStyle name="Normal 190 4 2" xfId="51396"/>
    <cellStyle name="Normal 190 4 2 2" xfId="51397"/>
    <cellStyle name="Normal 190 4 2 3" xfId="51398"/>
    <cellStyle name="Normal 190 4 3" xfId="51399"/>
    <cellStyle name="Normal 190 4 4" xfId="51400"/>
    <cellStyle name="Normal 190 5" xfId="51401"/>
    <cellStyle name="Normal 190 5 2" xfId="51402"/>
    <cellStyle name="Normal 190 5 3" xfId="51403"/>
    <cellStyle name="Normal 190 6" xfId="51404"/>
    <cellStyle name="Normal 190 6 2" xfId="51405"/>
    <cellStyle name="Normal 190 6 3" xfId="51406"/>
    <cellStyle name="Normal 190 7" xfId="51407"/>
    <cellStyle name="Normal 190 8" xfId="51408"/>
    <cellStyle name="Normal 191" xfId="51409"/>
    <cellStyle name="Normal 191 2" xfId="51410"/>
    <cellStyle name="Normal 191 2 2" xfId="51411"/>
    <cellStyle name="Normal 191 2 2 2" xfId="51412"/>
    <cellStyle name="Normal 191 2 2 2 2" xfId="51413"/>
    <cellStyle name="Normal 191 2 2 2 3" xfId="51414"/>
    <cellStyle name="Normal 191 2 2 3" xfId="51415"/>
    <cellStyle name="Normal 191 2 2 4" xfId="51416"/>
    <cellStyle name="Normal 191 2 3" xfId="51417"/>
    <cellStyle name="Normal 191 2 3 2" xfId="51418"/>
    <cellStyle name="Normal 191 2 3 3" xfId="51419"/>
    <cellStyle name="Normal 191 2 4" xfId="51420"/>
    <cellStyle name="Normal 191 2 4 2" xfId="51421"/>
    <cellStyle name="Normal 191 2 4 3" xfId="51422"/>
    <cellStyle name="Normal 191 2 5" xfId="51423"/>
    <cellStyle name="Normal 191 2 6" xfId="51424"/>
    <cellStyle name="Normal 191 3" xfId="51425"/>
    <cellStyle name="Normal 191 3 2" xfId="51426"/>
    <cellStyle name="Normal 191 3 2 2" xfId="51427"/>
    <cellStyle name="Normal 191 3 2 2 2" xfId="51428"/>
    <cellStyle name="Normal 191 3 2 2 3" xfId="51429"/>
    <cellStyle name="Normal 191 3 2 3" xfId="51430"/>
    <cellStyle name="Normal 191 3 2 4" xfId="51431"/>
    <cellStyle name="Normal 191 3 3" xfId="51432"/>
    <cellStyle name="Normal 191 3 3 2" xfId="51433"/>
    <cellStyle name="Normal 191 3 3 3" xfId="51434"/>
    <cellStyle name="Normal 191 3 4" xfId="51435"/>
    <cellStyle name="Normal 191 3 4 2" xfId="51436"/>
    <cellStyle name="Normal 191 3 4 3" xfId="51437"/>
    <cellStyle name="Normal 191 3 5" xfId="51438"/>
    <cellStyle name="Normal 191 3 6" xfId="51439"/>
    <cellStyle name="Normal 191 4" xfId="51440"/>
    <cellStyle name="Normal 191 4 2" xfId="51441"/>
    <cellStyle name="Normal 191 4 2 2" xfId="51442"/>
    <cellStyle name="Normal 191 4 2 3" xfId="51443"/>
    <cellStyle name="Normal 191 4 3" xfId="51444"/>
    <cellStyle name="Normal 191 4 4" xfId="51445"/>
    <cellStyle name="Normal 191 5" xfId="51446"/>
    <cellStyle name="Normal 191 5 2" xfId="51447"/>
    <cellStyle name="Normal 191 5 3" xfId="51448"/>
    <cellStyle name="Normal 191 6" xfId="51449"/>
    <cellStyle name="Normal 191 6 2" xfId="51450"/>
    <cellStyle name="Normal 191 6 3" xfId="51451"/>
    <cellStyle name="Normal 191 7" xfId="51452"/>
    <cellStyle name="Normal 191 8" xfId="51453"/>
    <cellStyle name="Normal 192" xfId="51454"/>
    <cellStyle name="Normal 192 2" xfId="51455"/>
    <cellStyle name="Normal 192 2 2" xfId="51456"/>
    <cellStyle name="Normal 192 2 2 2" xfId="51457"/>
    <cellStyle name="Normal 192 2 2 2 2" xfId="51458"/>
    <cellStyle name="Normal 192 2 2 2 3" xfId="51459"/>
    <cellStyle name="Normal 192 2 2 3" xfId="51460"/>
    <cellStyle name="Normal 192 2 2 4" xfId="51461"/>
    <cellStyle name="Normal 192 2 3" xfId="51462"/>
    <cellStyle name="Normal 192 2 3 2" xfId="51463"/>
    <cellStyle name="Normal 192 2 3 3" xfId="51464"/>
    <cellStyle name="Normal 192 2 4" xfId="51465"/>
    <cellStyle name="Normal 192 2 4 2" xfId="51466"/>
    <cellStyle name="Normal 192 2 4 3" xfId="51467"/>
    <cellStyle name="Normal 192 2 5" xfId="51468"/>
    <cellStyle name="Normal 192 2 6" xfId="51469"/>
    <cellStyle name="Normal 192 3" xfId="51470"/>
    <cellStyle name="Normal 192 3 2" xfId="51471"/>
    <cellStyle name="Normal 192 3 2 2" xfId="51472"/>
    <cellStyle name="Normal 192 3 2 2 2" xfId="51473"/>
    <cellStyle name="Normal 192 3 2 2 3" xfId="51474"/>
    <cellStyle name="Normal 192 3 2 3" xfId="51475"/>
    <cellStyle name="Normal 192 3 2 4" xfId="51476"/>
    <cellStyle name="Normal 192 3 3" xfId="51477"/>
    <cellStyle name="Normal 192 3 3 2" xfId="51478"/>
    <cellStyle name="Normal 192 3 3 3" xfId="51479"/>
    <cellStyle name="Normal 192 3 4" xfId="51480"/>
    <cellStyle name="Normal 192 3 4 2" xfId="51481"/>
    <cellStyle name="Normal 192 3 4 3" xfId="51482"/>
    <cellStyle name="Normal 192 3 5" xfId="51483"/>
    <cellStyle name="Normal 192 3 6" xfId="51484"/>
    <cellStyle name="Normal 192 4" xfId="51485"/>
    <cellStyle name="Normal 192 4 2" xfId="51486"/>
    <cellStyle name="Normal 192 4 2 2" xfId="51487"/>
    <cellStyle name="Normal 192 4 2 3" xfId="51488"/>
    <cellStyle name="Normal 192 4 3" xfId="51489"/>
    <cellStyle name="Normal 192 4 4" xfId="51490"/>
    <cellStyle name="Normal 192 5" xfId="51491"/>
    <cellStyle name="Normal 192 5 2" xfId="51492"/>
    <cellStyle name="Normal 192 5 3" xfId="51493"/>
    <cellStyle name="Normal 192 6" xfId="51494"/>
    <cellStyle name="Normal 192 6 2" xfId="51495"/>
    <cellStyle name="Normal 192 6 3" xfId="51496"/>
    <cellStyle name="Normal 192 7" xfId="51497"/>
    <cellStyle name="Normal 192 8" xfId="51498"/>
    <cellStyle name="Normal 193" xfId="51499"/>
    <cellStyle name="Normal 193 2" xfId="51500"/>
    <cellStyle name="Normal 193 2 2" xfId="51501"/>
    <cellStyle name="Normal 193 2 2 2" xfId="51502"/>
    <cellStyle name="Normal 193 2 2 2 2" xfId="51503"/>
    <cellStyle name="Normal 193 2 2 2 3" xfId="51504"/>
    <cellStyle name="Normal 193 2 2 3" xfId="51505"/>
    <cellStyle name="Normal 193 2 2 4" xfId="51506"/>
    <cellStyle name="Normal 193 2 3" xfId="51507"/>
    <cellStyle name="Normal 193 2 3 2" xfId="51508"/>
    <cellStyle name="Normal 193 2 3 3" xfId="51509"/>
    <cellStyle name="Normal 193 2 4" xfId="51510"/>
    <cellStyle name="Normal 193 2 4 2" xfId="51511"/>
    <cellStyle name="Normal 193 2 4 3" xfId="51512"/>
    <cellStyle name="Normal 193 2 5" xfId="51513"/>
    <cellStyle name="Normal 193 2 6" xfId="51514"/>
    <cellStyle name="Normal 193 3" xfId="51515"/>
    <cellStyle name="Normal 193 3 2" xfId="51516"/>
    <cellStyle name="Normal 193 3 2 2" xfId="51517"/>
    <cellStyle name="Normal 193 3 2 2 2" xfId="51518"/>
    <cellStyle name="Normal 193 3 2 2 3" xfId="51519"/>
    <cellStyle name="Normal 193 3 2 3" xfId="51520"/>
    <cellStyle name="Normal 193 3 2 4" xfId="51521"/>
    <cellStyle name="Normal 193 3 3" xfId="51522"/>
    <cellStyle name="Normal 193 3 3 2" xfId="51523"/>
    <cellStyle name="Normal 193 3 3 3" xfId="51524"/>
    <cellStyle name="Normal 193 3 4" xfId="51525"/>
    <cellStyle name="Normal 193 3 4 2" xfId="51526"/>
    <cellStyle name="Normal 193 3 4 3" xfId="51527"/>
    <cellStyle name="Normal 193 3 5" xfId="51528"/>
    <cellStyle name="Normal 193 3 6" xfId="51529"/>
    <cellStyle name="Normal 193 4" xfId="51530"/>
    <cellStyle name="Normal 193 4 2" xfId="51531"/>
    <cellStyle name="Normal 193 4 2 2" xfId="51532"/>
    <cellStyle name="Normal 193 4 2 3" xfId="51533"/>
    <cellStyle name="Normal 193 4 3" xfId="51534"/>
    <cellStyle name="Normal 193 4 4" xfId="51535"/>
    <cellStyle name="Normal 193 5" xfId="51536"/>
    <cellStyle name="Normal 193 5 2" xfId="51537"/>
    <cellStyle name="Normal 193 5 3" xfId="51538"/>
    <cellStyle name="Normal 193 6" xfId="51539"/>
    <cellStyle name="Normal 193 6 2" xfId="51540"/>
    <cellStyle name="Normal 193 6 3" xfId="51541"/>
    <cellStyle name="Normal 193 7" xfId="51542"/>
    <cellStyle name="Normal 193 8" xfId="51543"/>
    <cellStyle name="Normal 194" xfId="51544"/>
    <cellStyle name="Normal 194 2" xfId="51545"/>
    <cellStyle name="Normal 194 2 2" xfId="51546"/>
    <cellStyle name="Normal 194 2 2 2" xfId="51547"/>
    <cellStyle name="Normal 194 2 2 2 2" xfId="51548"/>
    <cellStyle name="Normal 194 2 2 2 3" xfId="51549"/>
    <cellStyle name="Normal 194 2 2 3" xfId="51550"/>
    <cellStyle name="Normal 194 2 2 4" xfId="51551"/>
    <cellStyle name="Normal 194 2 3" xfId="51552"/>
    <cellStyle name="Normal 194 2 3 2" xfId="51553"/>
    <cellStyle name="Normal 194 2 3 3" xfId="51554"/>
    <cellStyle name="Normal 194 2 4" xfId="51555"/>
    <cellStyle name="Normal 194 2 4 2" xfId="51556"/>
    <cellStyle name="Normal 194 2 4 3" xfId="51557"/>
    <cellStyle name="Normal 194 2 5" xfId="51558"/>
    <cellStyle name="Normal 194 2 6" xfId="51559"/>
    <cellStyle name="Normal 194 3" xfId="51560"/>
    <cellStyle name="Normal 194 3 2" xfId="51561"/>
    <cellStyle name="Normal 194 3 2 2" xfId="51562"/>
    <cellStyle name="Normal 194 3 2 2 2" xfId="51563"/>
    <cellStyle name="Normal 194 3 2 2 3" xfId="51564"/>
    <cellStyle name="Normal 194 3 2 3" xfId="51565"/>
    <cellStyle name="Normal 194 3 2 4" xfId="51566"/>
    <cellStyle name="Normal 194 3 3" xfId="51567"/>
    <cellStyle name="Normal 194 3 3 2" xfId="51568"/>
    <cellStyle name="Normal 194 3 3 3" xfId="51569"/>
    <cellStyle name="Normal 194 3 4" xfId="51570"/>
    <cellStyle name="Normal 194 3 4 2" xfId="51571"/>
    <cellStyle name="Normal 194 3 4 3" xfId="51572"/>
    <cellStyle name="Normal 194 3 5" xfId="51573"/>
    <cellStyle name="Normal 194 3 6" xfId="51574"/>
    <cellStyle name="Normal 194 4" xfId="51575"/>
    <cellStyle name="Normal 194 4 2" xfId="51576"/>
    <cellStyle name="Normal 194 4 2 2" xfId="51577"/>
    <cellStyle name="Normal 194 4 2 3" xfId="51578"/>
    <cellStyle name="Normal 194 4 3" xfId="51579"/>
    <cellStyle name="Normal 194 4 4" xfId="51580"/>
    <cellStyle name="Normal 194 5" xfId="51581"/>
    <cellStyle name="Normal 194 5 2" xfId="51582"/>
    <cellStyle name="Normal 194 5 3" xfId="51583"/>
    <cellStyle name="Normal 194 6" xfId="51584"/>
    <cellStyle name="Normal 194 6 2" xfId="51585"/>
    <cellStyle name="Normal 194 6 3" xfId="51586"/>
    <cellStyle name="Normal 194 7" xfId="51587"/>
    <cellStyle name="Normal 194 8" xfId="51588"/>
    <cellStyle name="Normal 195" xfId="51589"/>
    <cellStyle name="Normal 195 2" xfId="51590"/>
    <cellStyle name="Normal 195 2 2" xfId="51591"/>
    <cellStyle name="Normal 195 2 2 2" xfId="51592"/>
    <cellStyle name="Normal 195 2 2 2 2" xfId="51593"/>
    <cellStyle name="Normal 195 2 2 2 3" xfId="51594"/>
    <cellStyle name="Normal 195 2 2 3" xfId="51595"/>
    <cellStyle name="Normal 195 2 2 4" xfId="51596"/>
    <cellStyle name="Normal 195 2 3" xfId="51597"/>
    <cellStyle name="Normal 195 2 3 2" xfId="51598"/>
    <cellStyle name="Normal 195 2 3 3" xfId="51599"/>
    <cellStyle name="Normal 195 2 4" xfId="51600"/>
    <cellStyle name="Normal 195 2 4 2" xfId="51601"/>
    <cellStyle name="Normal 195 2 4 3" xfId="51602"/>
    <cellStyle name="Normal 195 2 5" xfId="51603"/>
    <cellStyle name="Normal 195 2 6" xfId="51604"/>
    <cellStyle name="Normal 195 3" xfId="51605"/>
    <cellStyle name="Normal 195 3 2" xfId="51606"/>
    <cellStyle name="Normal 195 3 2 2" xfId="51607"/>
    <cellStyle name="Normal 195 3 2 2 2" xfId="51608"/>
    <cellStyle name="Normal 195 3 2 2 3" xfId="51609"/>
    <cellStyle name="Normal 195 3 2 3" xfId="51610"/>
    <cellStyle name="Normal 195 3 2 4" xfId="51611"/>
    <cellStyle name="Normal 195 3 3" xfId="51612"/>
    <cellStyle name="Normal 195 3 3 2" xfId="51613"/>
    <cellStyle name="Normal 195 3 3 3" xfId="51614"/>
    <cellStyle name="Normal 195 3 4" xfId="51615"/>
    <cellStyle name="Normal 195 3 4 2" xfId="51616"/>
    <cellStyle name="Normal 195 3 4 3" xfId="51617"/>
    <cellStyle name="Normal 195 3 5" xfId="51618"/>
    <cellStyle name="Normal 195 3 6" xfId="51619"/>
    <cellStyle name="Normal 195 4" xfId="51620"/>
    <cellStyle name="Normal 195 4 2" xfId="51621"/>
    <cellStyle name="Normal 195 4 2 2" xfId="51622"/>
    <cellStyle name="Normal 195 4 2 3" xfId="51623"/>
    <cellStyle name="Normal 195 4 3" xfId="51624"/>
    <cellStyle name="Normal 195 4 4" xfId="51625"/>
    <cellStyle name="Normal 195 5" xfId="51626"/>
    <cellStyle name="Normal 195 5 2" xfId="51627"/>
    <cellStyle name="Normal 195 5 3" xfId="51628"/>
    <cellStyle name="Normal 195 6" xfId="51629"/>
    <cellStyle name="Normal 195 6 2" xfId="51630"/>
    <cellStyle name="Normal 195 6 3" xfId="51631"/>
    <cellStyle name="Normal 195 7" xfId="51632"/>
    <cellStyle name="Normal 195 8" xfId="51633"/>
    <cellStyle name="Normal 196" xfId="51634"/>
    <cellStyle name="Normal 196 2" xfId="51635"/>
    <cellStyle name="Normal 196 3" xfId="51636"/>
    <cellStyle name="Normal 197" xfId="51637"/>
    <cellStyle name="Normal 197 2" xfId="51638"/>
    <cellStyle name="Normal 197 2 2" xfId="51639"/>
    <cellStyle name="Normal 197 2 2 2" xfId="51640"/>
    <cellStyle name="Normal 197 2 2 2 2" xfId="51641"/>
    <cellStyle name="Normal 197 2 2 2 3" xfId="51642"/>
    <cellStyle name="Normal 197 2 2 3" xfId="51643"/>
    <cellStyle name="Normal 197 2 2 4" xfId="51644"/>
    <cellStyle name="Normal 197 2 3" xfId="51645"/>
    <cellStyle name="Normal 197 2 3 2" xfId="51646"/>
    <cellStyle name="Normal 197 2 3 3" xfId="51647"/>
    <cellStyle name="Normal 197 2 4" xfId="51648"/>
    <cellStyle name="Normal 197 2 4 2" xfId="51649"/>
    <cellStyle name="Normal 197 2 4 3" xfId="51650"/>
    <cellStyle name="Normal 197 2 5" xfId="51651"/>
    <cellStyle name="Normal 197 2 6" xfId="51652"/>
    <cellStyle name="Normal 197 3" xfId="51653"/>
    <cellStyle name="Normal 197 3 2" xfId="51654"/>
    <cellStyle name="Normal 197 3 2 2" xfId="51655"/>
    <cellStyle name="Normal 197 3 2 2 2" xfId="51656"/>
    <cellStyle name="Normal 197 3 2 2 3" xfId="51657"/>
    <cellStyle name="Normal 197 3 2 3" xfId="51658"/>
    <cellStyle name="Normal 197 3 2 4" xfId="51659"/>
    <cellStyle name="Normal 197 3 3" xfId="51660"/>
    <cellStyle name="Normal 197 3 3 2" xfId="51661"/>
    <cellStyle name="Normal 197 3 3 3" xfId="51662"/>
    <cellStyle name="Normal 197 3 4" xfId="51663"/>
    <cellStyle name="Normal 197 3 4 2" xfId="51664"/>
    <cellStyle name="Normal 197 3 4 3" xfId="51665"/>
    <cellStyle name="Normal 197 3 5" xfId="51666"/>
    <cellStyle name="Normal 197 3 6" xfId="51667"/>
    <cellStyle name="Normal 197 4" xfId="51668"/>
    <cellStyle name="Normal 197 4 2" xfId="51669"/>
    <cellStyle name="Normal 197 4 2 2" xfId="51670"/>
    <cellStyle name="Normal 197 4 2 3" xfId="51671"/>
    <cellStyle name="Normal 197 4 3" xfId="51672"/>
    <cellStyle name="Normal 197 4 4" xfId="51673"/>
    <cellStyle name="Normal 197 5" xfId="51674"/>
    <cellStyle name="Normal 197 5 2" xfId="51675"/>
    <cellStyle name="Normal 197 5 3" xfId="51676"/>
    <cellStyle name="Normal 197 6" xfId="51677"/>
    <cellStyle name="Normal 197 6 2" xfId="51678"/>
    <cellStyle name="Normal 197 6 3" xfId="51679"/>
    <cellStyle name="Normal 197 7" xfId="51680"/>
    <cellStyle name="Normal 197 8" xfId="51681"/>
    <cellStyle name="Normal 198" xfId="51682"/>
    <cellStyle name="Normal 198 2" xfId="51683"/>
    <cellStyle name="Normal 198 2 2" xfId="51684"/>
    <cellStyle name="Normal 198 2 2 2" xfId="51685"/>
    <cellStyle name="Normal 198 2 2 2 2" xfId="51686"/>
    <cellStyle name="Normal 198 2 2 2 3" xfId="51687"/>
    <cellStyle name="Normal 198 2 2 3" xfId="51688"/>
    <cellStyle name="Normal 198 2 2 4" xfId="51689"/>
    <cellStyle name="Normal 198 2 3" xfId="51690"/>
    <cellStyle name="Normal 198 2 3 2" xfId="51691"/>
    <cellStyle name="Normal 198 2 3 3" xfId="51692"/>
    <cellStyle name="Normal 198 2 4" xfId="51693"/>
    <cellStyle name="Normal 198 2 4 2" xfId="51694"/>
    <cellStyle name="Normal 198 2 4 3" xfId="51695"/>
    <cellStyle name="Normal 198 2 5" xfId="51696"/>
    <cellStyle name="Normal 198 2 6" xfId="51697"/>
    <cellStyle name="Normal 198 3" xfId="51698"/>
    <cellStyle name="Normal 198 3 2" xfId="51699"/>
    <cellStyle name="Normal 198 3 2 2" xfId="51700"/>
    <cellStyle name="Normal 198 3 2 2 2" xfId="51701"/>
    <cellStyle name="Normal 198 3 2 2 3" xfId="51702"/>
    <cellStyle name="Normal 198 3 2 3" xfId="51703"/>
    <cellStyle name="Normal 198 3 2 4" xfId="51704"/>
    <cellStyle name="Normal 198 3 3" xfId="51705"/>
    <cellStyle name="Normal 198 3 3 2" xfId="51706"/>
    <cellStyle name="Normal 198 3 3 3" xfId="51707"/>
    <cellStyle name="Normal 198 3 4" xfId="51708"/>
    <cellStyle name="Normal 198 3 4 2" xfId="51709"/>
    <cellStyle name="Normal 198 3 4 3" xfId="51710"/>
    <cellStyle name="Normal 198 3 5" xfId="51711"/>
    <cellStyle name="Normal 198 3 6" xfId="51712"/>
    <cellStyle name="Normal 198 4" xfId="51713"/>
    <cellStyle name="Normal 198 4 2" xfId="51714"/>
    <cellStyle name="Normal 198 4 2 2" xfId="51715"/>
    <cellStyle name="Normal 198 4 2 3" xfId="51716"/>
    <cellStyle name="Normal 198 4 3" xfId="51717"/>
    <cellStyle name="Normal 198 4 4" xfId="51718"/>
    <cellStyle name="Normal 198 5" xfId="51719"/>
    <cellStyle name="Normal 198 5 2" xfId="51720"/>
    <cellStyle name="Normal 198 5 3" xfId="51721"/>
    <cellStyle name="Normal 198 6" xfId="51722"/>
    <cellStyle name="Normal 198 6 2" xfId="51723"/>
    <cellStyle name="Normal 198 6 3" xfId="51724"/>
    <cellStyle name="Normal 198 7" xfId="51725"/>
    <cellStyle name="Normal 198 8" xfId="51726"/>
    <cellStyle name="Normal 199" xfId="51727"/>
    <cellStyle name="Normal 199 2" xfId="51728"/>
    <cellStyle name="Normal 199 2 2" xfId="51729"/>
    <cellStyle name="Normal 199 2 2 2" xfId="51730"/>
    <cellStyle name="Normal 199 2 2 2 2" xfId="51731"/>
    <cellStyle name="Normal 199 2 2 2 3" xfId="51732"/>
    <cellStyle name="Normal 199 2 2 3" xfId="51733"/>
    <cellStyle name="Normal 199 2 2 4" xfId="51734"/>
    <cellStyle name="Normal 199 2 3" xfId="51735"/>
    <cellStyle name="Normal 199 2 3 2" xfId="51736"/>
    <cellStyle name="Normal 199 2 3 3" xfId="51737"/>
    <cellStyle name="Normal 199 2 4" xfId="51738"/>
    <cellStyle name="Normal 199 2 4 2" xfId="51739"/>
    <cellStyle name="Normal 199 2 4 3" xfId="51740"/>
    <cellStyle name="Normal 199 2 5" xfId="51741"/>
    <cellStyle name="Normal 199 2 6" xfId="51742"/>
    <cellStyle name="Normal 199 3" xfId="51743"/>
    <cellStyle name="Normal 199 3 2" xfId="51744"/>
    <cellStyle name="Normal 199 3 2 2" xfId="51745"/>
    <cellStyle name="Normal 199 3 2 2 2" xfId="51746"/>
    <cellStyle name="Normal 199 3 2 2 3" xfId="51747"/>
    <cellStyle name="Normal 199 3 2 3" xfId="51748"/>
    <cellStyle name="Normal 199 3 2 4" xfId="51749"/>
    <cellStyle name="Normal 199 3 3" xfId="51750"/>
    <cellStyle name="Normal 199 3 3 2" xfId="51751"/>
    <cellStyle name="Normal 199 3 3 3" xfId="51752"/>
    <cellStyle name="Normal 199 3 4" xfId="51753"/>
    <cellStyle name="Normal 199 3 4 2" xfId="51754"/>
    <cellStyle name="Normal 199 3 4 3" xfId="51755"/>
    <cellStyle name="Normal 199 3 5" xfId="51756"/>
    <cellStyle name="Normal 199 3 6" xfId="51757"/>
    <cellStyle name="Normal 199 4" xfId="51758"/>
    <cellStyle name="Normal 199 4 2" xfId="51759"/>
    <cellStyle name="Normal 199 4 2 2" xfId="51760"/>
    <cellStyle name="Normal 199 4 2 3" xfId="51761"/>
    <cellStyle name="Normal 199 4 3" xfId="51762"/>
    <cellStyle name="Normal 199 4 4" xfId="51763"/>
    <cellStyle name="Normal 199 5" xfId="51764"/>
    <cellStyle name="Normal 199 5 2" xfId="51765"/>
    <cellStyle name="Normal 199 5 3" xfId="51766"/>
    <cellStyle name="Normal 199 6" xfId="51767"/>
    <cellStyle name="Normal 199 6 2" xfId="51768"/>
    <cellStyle name="Normal 199 6 3" xfId="51769"/>
    <cellStyle name="Normal 199 7" xfId="51770"/>
    <cellStyle name="Normal 199 8" xfId="51771"/>
    <cellStyle name="Normal 2" xfId="1"/>
    <cellStyle name="Normal 2 10" xfId="51772"/>
    <cellStyle name="Normal 2 10 2" xfId="51773"/>
    <cellStyle name="Normal 2 11" xfId="51774"/>
    <cellStyle name="Normal 2 11 2" xfId="51775"/>
    <cellStyle name="Normal 2 12" xfId="51776"/>
    <cellStyle name="Normal 2 12 2" xfId="51777"/>
    <cellStyle name="Normal 2 13" xfId="51778"/>
    <cellStyle name="Normal 2 13 2" xfId="51779"/>
    <cellStyle name="Normal 2 14" xfId="51780"/>
    <cellStyle name="Normal 2 14 2" xfId="51781"/>
    <cellStyle name="Normal 2 15" xfId="51782"/>
    <cellStyle name="Normal 2 15 2" xfId="51783"/>
    <cellStyle name="Normal 2 16" xfId="51784"/>
    <cellStyle name="Normal 2 16 2" xfId="51785"/>
    <cellStyle name="Normal 2 17" xfId="51786"/>
    <cellStyle name="Normal 2 17 2" xfId="51787"/>
    <cellStyle name="Normal 2 18" xfId="51788"/>
    <cellStyle name="Normal 2 19" xfId="51789"/>
    <cellStyle name="Normal 2 2" xfId="51790"/>
    <cellStyle name="Normal 2 2 2" xfId="51791"/>
    <cellStyle name="Normal 2 2 2 10" xfId="51792"/>
    <cellStyle name="Normal 2 2 2 11" xfId="51793"/>
    <cellStyle name="Normal 2 2 2 12" xfId="51794"/>
    <cellStyle name="Normal 2 2 2 13" xfId="51795"/>
    <cellStyle name="Normal 2 2 2 2" xfId="51796"/>
    <cellStyle name="Normal 2 2 2 2 2" xfId="51797"/>
    <cellStyle name="Normal 2 2 2 2 2 10" xfId="51798"/>
    <cellStyle name="Normal 2 2 2 2 2 11" xfId="51799"/>
    <cellStyle name="Normal 2 2 2 2 2 2" xfId="51800"/>
    <cellStyle name="Normal 2 2 2 2 2 2 2" xfId="51801"/>
    <cellStyle name="Normal 2 2 2 2 2 2 2 10" xfId="51802"/>
    <cellStyle name="Normal 2 2 2 2 2 2 2 2" xfId="51803"/>
    <cellStyle name="Normal 2 2 2 2 2 2 2 2 2" xfId="51804"/>
    <cellStyle name="Normal 2 2 2 2 2 2 2 2 2 2" xfId="51805"/>
    <cellStyle name="Normal 2 2 2 2 2 2 2 2 2 2 2" xfId="51806"/>
    <cellStyle name="Normal 2 2 2 2 2 2 2 2 2 2 2 2" xfId="51807"/>
    <cellStyle name="Normal 2 2 2 2 2 2 2 2 2 2 2 2 2" xfId="51808"/>
    <cellStyle name="Normal 2 2 2 2 2 2 2 2 2 2 2 2 3" xfId="51809"/>
    <cellStyle name="Normal 2 2 2 2 2 2 2 2 2 2 2 2 4" xfId="51810"/>
    <cellStyle name="Normal 2 2 2 2 2 2 2 2 2 2 2 2 5" xfId="51811"/>
    <cellStyle name="Normal 2 2 2 2 2 2 2 2 2 2 2 3" xfId="51812"/>
    <cellStyle name="Normal 2 2 2 2 2 2 2 2 2 2 2 4" xfId="51813"/>
    <cellStyle name="Normal 2 2 2 2 2 2 2 2 2 2 2 5" xfId="51814"/>
    <cellStyle name="Normal 2 2 2 2 2 2 2 2 2 2 2 6" xfId="51815"/>
    <cellStyle name="Normal 2 2 2 2 2 2 2 2 2 2 2 7" xfId="51816"/>
    <cellStyle name="Normal 2 2 2 2 2 2 2 2 2 2 2 8" xfId="51817"/>
    <cellStyle name="Normal 2 2 2 2 2 2 2 2 2 2 3" xfId="51818"/>
    <cellStyle name="Normal 2 2 2 2 2 2 2 2 2 3" xfId="51819"/>
    <cellStyle name="Normal 2 2 2 2 2 2 2 2 2 3 2" xfId="51820"/>
    <cellStyle name="Normal 2 2 2 2 2 2 2 2 2 3 3" xfId="51821"/>
    <cellStyle name="Normal 2 2 2 2 2 2 2 2 2 3 4" xfId="51822"/>
    <cellStyle name="Normal 2 2 2 2 2 2 2 2 2 3 5" xfId="51823"/>
    <cellStyle name="Normal 2 2 2 2 2 2 2 2 2 4" xfId="51824"/>
    <cellStyle name="Normal 2 2 2 2 2 2 2 2 2 5" xfId="51825"/>
    <cellStyle name="Normal 2 2 2 2 2 2 2 2 2 6" xfId="51826"/>
    <cellStyle name="Normal 2 2 2 2 2 2 2 2 2 7" xfId="51827"/>
    <cellStyle name="Normal 2 2 2 2 2 2 2 2 2 8" xfId="51828"/>
    <cellStyle name="Normal 2 2 2 2 2 2 2 2 2 9" xfId="51829"/>
    <cellStyle name="Normal 2 2 2 2 2 2 2 2 3" xfId="51830"/>
    <cellStyle name="Normal 2 2 2 2 2 2 2 2 3 2" xfId="51831"/>
    <cellStyle name="Normal 2 2 2 2 2 2 2 2 3 2 2" xfId="51832"/>
    <cellStyle name="Normal 2 2 2 2 2 2 2 2 3 2 3" xfId="51833"/>
    <cellStyle name="Normal 2 2 2 2 2 2 2 2 3 2 4" xfId="51834"/>
    <cellStyle name="Normal 2 2 2 2 2 2 2 2 3 2 5" xfId="51835"/>
    <cellStyle name="Normal 2 2 2 2 2 2 2 2 3 3" xfId="51836"/>
    <cellStyle name="Normal 2 2 2 2 2 2 2 2 3 4" xfId="51837"/>
    <cellStyle name="Normal 2 2 2 2 2 2 2 2 3 5" xfId="51838"/>
    <cellStyle name="Normal 2 2 2 2 2 2 2 2 3 6" xfId="51839"/>
    <cellStyle name="Normal 2 2 2 2 2 2 2 2 3 7" xfId="51840"/>
    <cellStyle name="Normal 2 2 2 2 2 2 2 2 3 8" xfId="51841"/>
    <cellStyle name="Normal 2 2 2 2 2 2 2 2 4" xfId="51842"/>
    <cellStyle name="Normal 2 2 2 2 2 2 2 3" xfId="51843"/>
    <cellStyle name="Normal 2 2 2 2 2 2 2 3 2" xfId="51844"/>
    <cellStyle name="Normal 2 2 2 2 2 2 2 3 2 2" xfId="51845"/>
    <cellStyle name="Normal 2 2 2 2 2 2 2 3 2 2 2" xfId="51846"/>
    <cellStyle name="Normal 2 2 2 2 2 2 2 3 2 2 3" xfId="51847"/>
    <cellStyle name="Normal 2 2 2 2 2 2 2 3 2 2 4" xfId="51848"/>
    <cellStyle name="Normal 2 2 2 2 2 2 2 3 2 2 5" xfId="51849"/>
    <cellStyle name="Normal 2 2 2 2 2 2 2 3 2 3" xfId="51850"/>
    <cellStyle name="Normal 2 2 2 2 2 2 2 3 2 4" xfId="51851"/>
    <cellStyle name="Normal 2 2 2 2 2 2 2 3 2 5" xfId="51852"/>
    <cellStyle name="Normal 2 2 2 2 2 2 2 3 2 6" xfId="51853"/>
    <cellStyle name="Normal 2 2 2 2 2 2 2 3 2 7" xfId="51854"/>
    <cellStyle name="Normal 2 2 2 2 2 2 2 3 2 8" xfId="51855"/>
    <cellStyle name="Normal 2 2 2 2 2 2 2 3 3" xfId="51856"/>
    <cellStyle name="Normal 2 2 2 2 2 2 2 4" xfId="51857"/>
    <cellStyle name="Normal 2 2 2 2 2 2 2 4 2" xfId="51858"/>
    <cellStyle name="Normal 2 2 2 2 2 2 2 4 3" xfId="51859"/>
    <cellStyle name="Normal 2 2 2 2 2 2 2 4 4" xfId="51860"/>
    <cellStyle name="Normal 2 2 2 2 2 2 2 4 5" xfId="51861"/>
    <cellStyle name="Normal 2 2 2 2 2 2 2 5" xfId="51862"/>
    <cellStyle name="Normal 2 2 2 2 2 2 2 6" xfId="51863"/>
    <cellStyle name="Normal 2 2 2 2 2 2 2 7" xfId="51864"/>
    <cellStyle name="Normal 2 2 2 2 2 2 2 8" xfId="51865"/>
    <cellStyle name="Normal 2 2 2 2 2 2 2 9" xfId="51866"/>
    <cellStyle name="Normal 2 2 2 2 2 2 3" xfId="51867"/>
    <cellStyle name="Normal 2 2 2 2 2 2 3 2" xfId="51868"/>
    <cellStyle name="Normal 2 2 2 2 2 2 3 2 2" xfId="51869"/>
    <cellStyle name="Normal 2 2 2 2 2 2 3 2 2 2" xfId="51870"/>
    <cellStyle name="Normal 2 2 2 2 2 2 3 2 2 2 2" xfId="51871"/>
    <cellStyle name="Normal 2 2 2 2 2 2 3 2 2 2 3" xfId="51872"/>
    <cellStyle name="Normal 2 2 2 2 2 2 3 2 2 2 4" xfId="51873"/>
    <cellStyle name="Normal 2 2 2 2 2 2 3 2 2 2 5" xfId="51874"/>
    <cellStyle name="Normal 2 2 2 2 2 2 3 2 2 3" xfId="51875"/>
    <cellStyle name="Normal 2 2 2 2 2 2 3 2 2 4" xfId="51876"/>
    <cellStyle name="Normal 2 2 2 2 2 2 3 2 2 5" xfId="51877"/>
    <cellStyle name="Normal 2 2 2 2 2 2 3 2 2 6" xfId="51878"/>
    <cellStyle name="Normal 2 2 2 2 2 2 3 2 2 7" xfId="51879"/>
    <cellStyle name="Normal 2 2 2 2 2 2 3 2 2 8" xfId="51880"/>
    <cellStyle name="Normal 2 2 2 2 2 2 3 2 3" xfId="51881"/>
    <cellStyle name="Normal 2 2 2 2 2 2 3 3" xfId="51882"/>
    <cellStyle name="Normal 2 2 2 2 2 2 3 3 2" xfId="51883"/>
    <cellStyle name="Normal 2 2 2 2 2 2 3 3 3" xfId="51884"/>
    <cellStyle name="Normal 2 2 2 2 2 2 3 3 4" xfId="51885"/>
    <cellStyle name="Normal 2 2 2 2 2 2 3 3 5" xfId="51886"/>
    <cellStyle name="Normal 2 2 2 2 2 2 3 4" xfId="51887"/>
    <cellStyle name="Normal 2 2 2 2 2 2 3 5" xfId="51888"/>
    <cellStyle name="Normal 2 2 2 2 2 2 3 6" xfId="51889"/>
    <cellStyle name="Normal 2 2 2 2 2 2 3 7" xfId="51890"/>
    <cellStyle name="Normal 2 2 2 2 2 2 3 8" xfId="51891"/>
    <cellStyle name="Normal 2 2 2 2 2 2 3 9" xfId="51892"/>
    <cellStyle name="Normal 2 2 2 2 2 2 4" xfId="51893"/>
    <cellStyle name="Normal 2 2 2 2 2 2 4 2" xfId="51894"/>
    <cellStyle name="Normal 2 2 2 2 2 2 4 2 2" xfId="51895"/>
    <cellStyle name="Normal 2 2 2 2 2 2 4 2 3" xfId="51896"/>
    <cellStyle name="Normal 2 2 2 2 2 2 4 2 4" xfId="51897"/>
    <cellStyle name="Normal 2 2 2 2 2 2 4 2 5" xfId="51898"/>
    <cellStyle name="Normal 2 2 2 2 2 2 4 3" xfId="51899"/>
    <cellStyle name="Normal 2 2 2 2 2 2 4 4" xfId="51900"/>
    <cellStyle name="Normal 2 2 2 2 2 2 4 5" xfId="51901"/>
    <cellStyle name="Normal 2 2 2 2 2 2 4 6" xfId="51902"/>
    <cellStyle name="Normal 2 2 2 2 2 2 4 7" xfId="51903"/>
    <cellStyle name="Normal 2 2 2 2 2 2 4 8" xfId="51904"/>
    <cellStyle name="Normal 2 2 2 2 2 2 5" xfId="51905"/>
    <cellStyle name="Normal 2 2 2 2 2 3" xfId="51906"/>
    <cellStyle name="Normal 2 2 2 2 2 3 2" xfId="51907"/>
    <cellStyle name="Normal 2 2 2 2 2 3 2 2" xfId="51908"/>
    <cellStyle name="Normal 2 2 2 2 2 3 2 2 2" xfId="51909"/>
    <cellStyle name="Normal 2 2 2 2 2 3 2 2 2 2" xfId="51910"/>
    <cellStyle name="Normal 2 2 2 2 2 3 2 2 2 2 2" xfId="51911"/>
    <cellStyle name="Normal 2 2 2 2 2 3 2 2 2 2 3" xfId="51912"/>
    <cellStyle name="Normal 2 2 2 2 2 3 2 2 2 2 4" xfId="51913"/>
    <cellStyle name="Normal 2 2 2 2 2 3 2 2 2 2 5" xfId="51914"/>
    <cellStyle name="Normal 2 2 2 2 2 3 2 2 2 3" xfId="51915"/>
    <cellStyle name="Normal 2 2 2 2 2 3 2 2 2 4" xfId="51916"/>
    <cellStyle name="Normal 2 2 2 2 2 3 2 2 2 5" xfId="51917"/>
    <cellStyle name="Normal 2 2 2 2 2 3 2 2 2 6" xfId="51918"/>
    <cellStyle name="Normal 2 2 2 2 2 3 2 2 2 7" xfId="51919"/>
    <cellStyle name="Normal 2 2 2 2 2 3 2 2 2 8" xfId="51920"/>
    <cellStyle name="Normal 2 2 2 2 2 3 2 2 3" xfId="51921"/>
    <cellStyle name="Normal 2 2 2 2 2 3 2 3" xfId="51922"/>
    <cellStyle name="Normal 2 2 2 2 2 3 2 3 2" xfId="51923"/>
    <cellStyle name="Normal 2 2 2 2 2 3 2 3 3" xfId="51924"/>
    <cellStyle name="Normal 2 2 2 2 2 3 2 3 4" xfId="51925"/>
    <cellStyle name="Normal 2 2 2 2 2 3 2 3 5" xfId="51926"/>
    <cellStyle name="Normal 2 2 2 2 2 3 2 4" xfId="51927"/>
    <cellStyle name="Normal 2 2 2 2 2 3 2 5" xfId="51928"/>
    <cellStyle name="Normal 2 2 2 2 2 3 2 6" xfId="51929"/>
    <cellStyle name="Normal 2 2 2 2 2 3 2 7" xfId="51930"/>
    <cellStyle name="Normal 2 2 2 2 2 3 2 8" xfId="51931"/>
    <cellStyle name="Normal 2 2 2 2 2 3 2 9" xfId="51932"/>
    <cellStyle name="Normal 2 2 2 2 2 3 3" xfId="51933"/>
    <cellStyle name="Normal 2 2 2 2 2 3 3 2" xfId="51934"/>
    <cellStyle name="Normal 2 2 2 2 2 3 3 2 2" xfId="51935"/>
    <cellStyle name="Normal 2 2 2 2 2 3 3 2 3" xfId="51936"/>
    <cellStyle name="Normal 2 2 2 2 2 3 3 2 4" xfId="51937"/>
    <cellStyle name="Normal 2 2 2 2 2 3 3 2 5" xfId="51938"/>
    <cellStyle name="Normal 2 2 2 2 2 3 3 3" xfId="51939"/>
    <cellStyle name="Normal 2 2 2 2 2 3 3 4" xfId="51940"/>
    <cellStyle name="Normal 2 2 2 2 2 3 3 5" xfId="51941"/>
    <cellStyle name="Normal 2 2 2 2 2 3 3 6" xfId="51942"/>
    <cellStyle name="Normal 2 2 2 2 2 3 3 7" xfId="51943"/>
    <cellStyle name="Normal 2 2 2 2 2 3 3 8" xfId="51944"/>
    <cellStyle name="Normal 2 2 2 2 2 3 4" xfId="51945"/>
    <cellStyle name="Normal 2 2 2 2 2 4" xfId="51946"/>
    <cellStyle name="Normal 2 2 2 2 2 4 2" xfId="51947"/>
    <cellStyle name="Normal 2 2 2 2 2 4 2 2" xfId="51948"/>
    <cellStyle name="Normal 2 2 2 2 2 4 2 2 2" xfId="51949"/>
    <cellStyle name="Normal 2 2 2 2 2 4 2 2 3" xfId="51950"/>
    <cellStyle name="Normal 2 2 2 2 2 4 2 2 4" xfId="51951"/>
    <cellStyle name="Normal 2 2 2 2 2 4 2 2 5" xfId="51952"/>
    <cellStyle name="Normal 2 2 2 2 2 4 2 3" xfId="51953"/>
    <cellStyle name="Normal 2 2 2 2 2 4 2 4" xfId="51954"/>
    <cellStyle name="Normal 2 2 2 2 2 4 2 5" xfId="51955"/>
    <cellStyle name="Normal 2 2 2 2 2 4 2 6" xfId="51956"/>
    <cellStyle name="Normal 2 2 2 2 2 4 2 7" xfId="51957"/>
    <cellStyle name="Normal 2 2 2 2 2 4 2 8" xfId="51958"/>
    <cellStyle name="Normal 2 2 2 2 2 4 3" xfId="51959"/>
    <cellStyle name="Normal 2 2 2 2 2 5" xfId="51960"/>
    <cellStyle name="Normal 2 2 2 2 2 5 2" xfId="51961"/>
    <cellStyle name="Normal 2 2 2 2 2 5 3" xfId="51962"/>
    <cellStyle name="Normal 2 2 2 2 2 5 4" xfId="51963"/>
    <cellStyle name="Normal 2 2 2 2 2 5 5" xfId="51964"/>
    <cellStyle name="Normal 2 2 2 2 2 6" xfId="51965"/>
    <cellStyle name="Normal 2 2 2 2 2 7" xfId="51966"/>
    <cellStyle name="Normal 2 2 2 2 2 8" xfId="51967"/>
    <cellStyle name="Normal 2 2 2 2 2 9" xfId="51968"/>
    <cellStyle name="Normal 2 2 2 2 3" xfId="51969"/>
    <cellStyle name="Normal 2 2 2 2 3 10" xfId="51970"/>
    <cellStyle name="Normal 2 2 2 2 3 2" xfId="51971"/>
    <cellStyle name="Normal 2 2 2 2 3 2 2" xfId="51972"/>
    <cellStyle name="Normal 2 2 2 2 3 2 2 2" xfId="51973"/>
    <cellStyle name="Normal 2 2 2 2 3 2 2 2 2" xfId="51974"/>
    <cellStyle name="Normal 2 2 2 2 3 2 2 2 2 2" xfId="51975"/>
    <cellStyle name="Normal 2 2 2 2 3 2 2 2 2 2 2" xfId="51976"/>
    <cellStyle name="Normal 2 2 2 2 3 2 2 2 2 2 3" xfId="51977"/>
    <cellStyle name="Normal 2 2 2 2 3 2 2 2 2 2 4" xfId="51978"/>
    <cellStyle name="Normal 2 2 2 2 3 2 2 2 2 2 5" xfId="51979"/>
    <cellStyle name="Normal 2 2 2 2 3 2 2 2 2 3" xfId="51980"/>
    <cellStyle name="Normal 2 2 2 2 3 2 2 2 2 4" xfId="51981"/>
    <cellStyle name="Normal 2 2 2 2 3 2 2 2 2 5" xfId="51982"/>
    <cellStyle name="Normal 2 2 2 2 3 2 2 2 2 6" xfId="51983"/>
    <cellStyle name="Normal 2 2 2 2 3 2 2 2 2 7" xfId="51984"/>
    <cellStyle name="Normal 2 2 2 2 3 2 2 2 2 8" xfId="51985"/>
    <cellStyle name="Normal 2 2 2 2 3 2 2 2 3" xfId="51986"/>
    <cellStyle name="Normal 2 2 2 2 3 2 2 3" xfId="51987"/>
    <cellStyle name="Normal 2 2 2 2 3 2 2 3 2" xfId="51988"/>
    <cellStyle name="Normal 2 2 2 2 3 2 2 3 3" xfId="51989"/>
    <cellStyle name="Normal 2 2 2 2 3 2 2 3 4" xfId="51990"/>
    <cellStyle name="Normal 2 2 2 2 3 2 2 3 5" xfId="51991"/>
    <cellStyle name="Normal 2 2 2 2 3 2 2 4" xfId="51992"/>
    <cellStyle name="Normal 2 2 2 2 3 2 2 5" xfId="51993"/>
    <cellStyle name="Normal 2 2 2 2 3 2 2 6" xfId="51994"/>
    <cellStyle name="Normal 2 2 2 2 3 2 2 7" xfId="51995"/>
    <cellStyle name="Normal 2 2 2 2 3 2 2 8" xfId="51996"/>
    <cellStyle name="Normal 2 2 2 2 3 2 2 9" xfId="51997"/>
    <cellStyle name="Normal 2 2 2 2 3 2 3" xfId="51998"/>
    <cellStyle name="Normal 2 2 2 2 3 2 3 2" xfId="51999"/>
    <cellStyle name="Normal 2 2 2 2 3 2 3 2 2" xfId="52000"/>
    <cellStyle name="Normal 2 2 2 2 3 2 3 2 3" xfId="52001"/>
    <cellStyle name="Normal 2 2 2 2 3 2 3 2 4" xfId="52002"/>
    <cellStyle name="Normal 2 2 2 2 3 2 3 2 5" xfId="52003"/>
    <cellStyle name="Normal 2 2 2 2 3 2 3 3" xfId="52004"/>
    <cellStyle name="Normal 2 2 2 2 3 2 3 4" xfId="52005"/>
    <cellStyle name="Normal 2 2 2 2 3 2 3 5" xfId="52006"/>
    <cellStyle name="Normal 2 2 2 2 3 2 3 6" xfId="52007"/>
    <cellStyle name="Normal 2 2 2 2 3 2 3 7" xfId="52008"/>
    <cellStyle name="Normal 2 2 2 2 3 2 3 8" xfId="52009"/>
    <cellStyle name="Normal 2 2 2 2 3 2 4" xfId="52010"/>
    <cellStyle name="Normal 2 2 2 2 3 3" xfId="52011"/>
    <cellStyle name="Normal 2 2 2 2 3 3 2" xfId="52012"/>
    <cellStyle name="Normal 2 2 2 2 3 3 2 2" xfId="52013"/>
    <cellStyle name="Normal 2 2 2 2 3 3 2 2 2" xfId="52014"/>
    <cellStyle name="Normal 2 2 2 2 3 3 2 2 3" xfId="52015"/>
    <cellStyle name="Normal 2 2 2 2 3 3 2 2 4" xfId="52016"/>
    <cellStyle name="Normal 2 2 2 2 3 3 2 2 5" xfId="52017"/>
    <cellStyle name="Normal 2 2 2 2 3 3 2 3" xfId="52018"/>
    <cellStyle name="Normal 2 2 2 2 3 3 2 4" xfId="52019"/>
    <cellStyle name="Normal 2 2 2 2 3 3 2 5" xfId="52020"/>
    <cellStyle name="Normal 2 2 2 2 3 3 2 6" xfId="52021"/>
    <cellStyle name="Normal 2 2 2 2 3 3 2 7" xfId="52022"/>
    <cellStyle name="Normal 2 2 2 2 3 3 2 8" xfId="52023"/>
    <cellStyle name="Normal 2 2 2 2 3 3 3" xfId="52024"/>
    <cellStyle name="Normal 2 2 2 2 3 4" xfId="52025"/>
    <cellStyle name="Normal 2 2 2 2 3 4 2" xfId="52026"/>
    <cellStyle name="Normal 2 2 2 2 3 4 3" xfId="52027"/>
    <cellStyle name="Normal 2 2 2 2 3 4 4" xfId="52028"/>
    <cellStyle name="Normal 2 2 2 2 3 4 5" xfId="52029"/>
    <cellStyle name="Normal 2 2 2 2 3 5" xfId="52030"/>
    <cellStyle name="Normal 2 2 2 2 3 6" xfId="52031"/>
    <cellStyle name="Normal 2 2 2 2 3 7" xfId="52032"/>
    <cellStyle name="Normal 2 2 2 2 3 8" xfId="52033"/>
    <cellStyle name="Normal 2 2 2 2 3 9" xfId="52034"/>
    <cellStyle name="Normal 2 2 2 2 4" xfId="52035"/>
    <cellStyle name="Normal 2 2 2 2 4 2" xfId="52036"/>
    <cellStyle name="Normal 2 2 2 2 4 2 2" xfId="52037"/>
    <cellStyle name="Normal 2 2 2 2 4 2 2 2" xfId="52038"/>
    <cellStyle name="Normal 2 2 2 2 4 2 2 2 2" xfId="52039"/>
    <cellStyle name="Normal 2 2 2 2 4 2 2 2 3" xfId="52040"/>
    <cellStyle name="Normal 2 2 2 2 4 2 2 2 4" xfId="52041"/>
    <cellStyle name="Normal 2 2 2 2 4 2 2 2 5" xfId="52042"/>
    <cellStyle name="Normal 2 2 2 2 4 2 2 3" xfId="52043"/>
    <cellStyle name="Normal 2 2 2 2 4 2 2 4" xfId="52044"/>
    <cellStyle name="Normal 2 2 2 2 4 2 2 5" xfId="52045"/>
    <cellStyle name="Normal 2 2 2 2 4 2 2 6" xfId="52046"/>
    <cellStyle name="Normal 2 2 2 2 4 2 2 7" xfId="52047"/>
    <cellStyle name="Normal 2 2 2 2 4 2 2 8" xfId="52048"/>
    <cellStyle name="Normal 2 2 2 2 4 2 3" xfId="52049"/>
    <cellStyle name="Normal 2 2 2 2 4 3" xfId="52050"/>
    <cellStyle name="Normal 2 2 2 2 4 3 2" xfId="52051"/>
    <cellStyle name="Normal 2 2 2 2 4 3 3" xfId="52052"/>
    <cellStyle name="Normal 2 2 2 2 4 3 4" xfId="52053"/>
    <cellStyle name="Normal 2 2 2 2 4 3 5" xfId="52054"/>
    <cellStyle name="Normal 2 2 2 2 4 4" xfId="52055"/>
    <cellStyle name="Normal 2 2 2 2 4 5" xfId="52056"/>
    <cellStyle name="Normal 2 2 2 2 4 6" xfId="52057"/>
    <cellStyle name="Normal 2 2 2 2 4 7" xfId="52058"/>
    <cellStyle name="Normal 2 2 2 2 4 8" xfId="52059"/>
    <cellStyle name="Normal 2 2 2 2 4 9" xfId="52060"/>
    <cellStyle name="Normal 2 2 2 2 5" xfId="52061"/>
    <cellStyle name="Normal 2 2 2 2 5 2" xfId="52062"/>
    <cellStyle name="Normal 2 2 2 2 5 2 2" xfId="52063"/>
    <cellStyle name="Normal 2 2 2 2 5 2 3" xfId="52064"/>
    <cellStyle name="Normal 2 2 2 2 5 2 4" xfId="52065"/>
    <cellStyle name="Normal 2 2 2 2 5 2 5" xfId="52066"/>
    <cellStyle name="Normal 2 2 2 2 5 3" xfId="52067"/>
    <cellStyle name="Normal 2 2 2 2 5 4" xfId="52068"/>
    <cellStyle name="Normal 2 2 2 2 5 5" xfId="52069"/>
    <cellStyle name="Normal 2 2 2 2 5 6" xfId="52070"/>
    <cellStyle name="Normal 2 2 2 2 5 7" xfId="52071"/>
    <cellStyle name="Normal 2 2 2 2 5 8" xfId="52072"/>
    <cellStyle name="Normal 2 2 2 2 6" xfId="52073"/>
    <cellStyle name="Normal 2 2 2 3" xfId="52074"/>
    <cellStyle name="Normal 2 2 2 3 2" xfId="52075"/>
    <cellStyle name="Normal 2 2 2 3 2 10" xfId="52076"/>
    <cellStyle name="Normal 2 2 2 3 2 2" xfId="52077"/>
    <cellStyle name="Normal 2 2 2 3 2 2 2" xfId="52078"/>
    <cellStyle name="Normal 2 2 2 3 2 2 2 2" xfId="52079"/>
    <cellStyle name="Normal 2 2 2 3 2 2 2 2 2" xfId="52080"/>
    <cellStyle name="Normal 2 2 2 3 2 2 2 2 2 2" xfId="52081"/>
    <cellStyle name="Normal 2 2 2 3 2 2 2 2 2 2 2" xfId="52082"/>
    <cellStyle name="Normal 2 2 2 3 2 2 2 2 2 2 3" xfId="52083"/>
    <cellStyle name="Normal 2 2 2 3 2 2 2 2 2 2 4" xfId="52084"/>
    <cellStyle name="Normal 2 2 2 3 2 2 2 2 2 2 5" xfId="52085"/>
    <cellStyle name="Normal 2 2 2 3 2 2 2 2 2 3" xfId="52086"/>
    <cellStyle name="Normal 2 2 2 3 2 2 2 2 2 4" xfId="52087"/>
    <cellStyle name="Normal 2 2 2 3 2 2 2 2 2 5" xfId="52088"/>
    <cellStyle name="Normal 2 2 2 3 2 2 2 2 2 6" xfId="52089"/>
    <cellStyle name="Normal 2 2 2 3 2 2 2 2 2 7" xfId="52090"/>
    <cellStyle name="Normal 2 2 2 3 2 2 2 2 2 8" xfId="52091"/>
    <cellStyle name="Normal 2 2 2 3 2 2 2 2 3" xfId="52092"/>
    <cellStyle name="Normal 2 2 2 3 2 2 2 3" xfId="52093"/>
    <cellStyle name="Normal 2 2 2 3 2 2 2 3 2" xfId="52094"/>
    <cellStyle name="Normal 2 2 2 3 2 2 2 3 3" xfId="52095"/>
    <cellStyle name="Normal 2 2 2 3 2 2 2 3 4" xfId="52096"/>
    <cellStyle name="Normal 2 2 2 3 2 2 2 3 5" xfId="52097"/>
    <cellStyle name="Normal 2 2 2 3 2 2 2 4" xfId="52098"/>
    <cellStyle name="Normal 2 2 2 3 2 2 2 5" xfId="52099"/>
    <cellStyle name="Normal 2 2 2 3 2 2 2 6" xfId="52100"/>
    <cellStyle name="Normal 2 2 2 3 2 2 2 7" xfId="52101"/>
    <cellStyle name="Normal 2 2 2 3 2 2 2 8" xfId="52102"/>
    <cellStyle name="Normal 2 2 2 3 2 2 2 9" xfId="52103"/>
    <cellStyle name="Normal 2 2 2 3 2 2 3" xfId="52104"/>
    <cellStyle name="Normal 2 2 2 3 2 2 3 2" xfId="52105"/>
    <cellStyle name="Normal 2 2 2 3 2 2 3 2 2" xfId="52106"/>
    <cellStyle name="Normal 2 2 2 3 2 2 3 2 3" xfId="52107"/>
    <cellStyle name="Normal 2 2 2 3 2 2 3 2 4" xfId="52108"/>
    <cellStyle name="Normal 2 2 2 3 2 2 3 2 5" xfId="52109"/>
    <cellStyle name="Normal 2 2 2 3 2 2 3 3" xfId="52110"/>
    <cellStyle name="Normal 2 2 2 3 2 2 3 4" xfId="52111"/>
    <cellStyle name="Normal 2 2 2 3 2 2 3 5" xfId="52112"/>
    <cellStyle name="Normal 2 2 2 3 2 2 3 6" xfId="52113"/>
    <cellStyle name="Normal 2 2 2 3 2 2 3 7" xfId="52114"/>
    <cellStyle name="Normal 2 2 2 3 2 2 3 8" xfId="52115"/>
    <cellStyle name="Normal 2 2 2 3 2 2 4" xfId="52116"/>
    <cellStyle name="Normal 2 2 2 3 2 3" xfId="52117"/>
    <cellStyle name="Normal 2 2 2 3 2 3 2" xfId="52118"/>
    <cellStyle name="Normal 2 2 2 3 2 3 2 2" xfId="52119"/>
    <cellStyle name="Normal 2 2 2 3 2 3 2 2 2" xfId="52120"/>
    <cellStyle name="Normal 2 2 2 3 2 3 2 2 3" xfId="52121"/>
    <cellStyle name="Normal 2 2 2 3 2 3 2 2 4" xfId="52122"/>
    <cellStyle name="Normal 2 2 2 3 2 3 2 2 5" xfId="52123"/>
    <cellStyle name="Normal 2 2 2 3 2 3 2 3" xfId="52124"/>
    <cellStyle name="Normal 2 2 2 3 2 3 2 4" xfId="52125"/>
    <cellStyle name="Normal 2 2 2 3 2 3 2 5" xfId="52126"/>
    <cellStyle name="Normal 2 2 2 3 2 3 2 6" xfId="52127"/>
    <cellStyle name="Normal 2 2 2 3 2 3 2 7" xfId="52128"/>
    <cellStyle name="Normal 2 2 2 3 2 3 2 8" xfId="52129"/>
    <cellStyle name="Normal 2 2 2 3 2 3 3" xfId="52130"/>
    <cellStyle name="Normal 2 2 2 3 2 4" xfId="52131"/>
    <cellStyle name="Normal 2 2 2 3 2 4 2" xfId="52132"/>
    <cellStyle name="Normal 2 2 2 3 2 4 3" xfId="52133"/>
    <cellStyle name="Normal 2 2 2 3 2 4 4" xfId="52134"/>
    <cellStyle name="Normal 2 2 2 3 2 4 5" xfId="52135"/>
    <cellStyle name="Normal 2 2 2 3 2 5" xfId="52136"/>
    <cellStyle name="Normal 2 2 2 3 2 6" xfId="52137"/>
    <cellStyle name="Normal 2 2 2 3 2 7" xfId="52138"/>
    <cellStyle name="Normal 2 2 2 3 2 8" xfId="52139"/>
    <cellStyle name="Normal 2 2 2 3 2 9" xfId="52140"/>
    <cellStyle name="Normal 2 2 2 3 3" xfId="52141"/>
    <cellStyle name="Normal 2 2 2 3 3 2" xfId="52142"/>
    <cellStyle name="Normal 2 2 2 3 3 2 2" xfId="52143"/>
    <cellStyle name="Normal 2 2 2 3 3 2 2 2" xfId="52144"/>
    <cellStyle name="Normal 2 2 2 3 3 2 2 2 2" xfId="52145"/>
    <cellStyle name="Normal 2 2 2 3 3 2 2 2 3" xfId="52146"/>
    <cellStyle name="Normal 2 2 2 3 3 2 2 2 4" xfId="52147"/>
    <cellStyle name="Normal 2 2 2 3 3 2 2 2 5" xfId="52148"/>
    <cellStyle name="Normal 2 2 2 3 3 2 2 3" xfId="52149"/>
    <cellStyle name="Normal 2 2 2 3 3 2 2 4" xfId="52150"/>
    <cellStyle name="Normal 2 2 2 3 3 2 2 5" xfId="52151"/>
    <cellStyle name="Normal 2 2 2 3 3 2 2 6" xfId="52152"/>
    <cellStyle name="Normal 2 2 2 3 3 2 2 7" xfId="52153"/>
    <cellStyle name="Normal 2 2 2 3 3 2 2 8" xfId="52154"/>
    <cellStyle name="Normal 2 2 2 3 3 2 3" xfId="52155"/>
    <cellStyle name="Normal 2 2 2 3 3 3" xfId="52156"/>
    <cellStyle name="Normal 2 2 2 3 3 3 2" xfId="52157"/>
    <cellStyle name="Normal 2 2 2 3 3 3 3" xfId="52158"/>
    <cellStyle name="Normal 2 2 2 3 3 3 4" xfId="52159"/>
    <cellStyle name="Normal 2 2 2 3 3 3 5" xfId="52160"/>
    <cellStyle name="Normal 2 2 2 3 3 4" xfId="52161"/>
    <cellStyle name="Normal 2 2 2 3 3 5" xfId="52162"/>
    <cellStyle name="Normal 2 2 2 3 3 6" xfId="52163"/>
    <cellStyle name="Normal 2 2 2 3 3 7" xfId="52164"/>
    <cellStyle name="Normal 2 2 2 3 3 8" xfId="52165"/>
    <cellStyle name="Normal 2 2 2 3 3 9" xfId="52166"/>
    <cellStyle name="Normal 2 2 2 3 4" xfId="52167"/>
    <cellStyle name="Normal 2 2 2 3 4 2" xfId="52168"/>
    <cellStyle name="Normal 2 2 2 3 4 2 2" xfId="52169"/>
    <cellStyle name="Normal 2 2 2 3 4 2 3" xfId="52170"/>
    <cellStyle name="Normal 2 2 2 3 4 2 4" xfId="52171"/>
    <cellStyle name="Normal 2 2 2 3 4 2 5" xfId="52172"/>
    <cellStyle name="Normal 2 2 2 3 4 3" xfId="52173"/>
    <cellStyle name="Normal 2 2 2 3 4 4" xfId="52174"/>
    <cellStyle name="Normal 2 2 2 3 4 5" xfId="52175"/>
    <cellStyle name="Normal 2 2 2 3 4 6" xfId="52176"/>
    <cellStyle name="Normal 2 2 2 3 4 7" xfId="52177"/>
    <cellStyle name="Normal 2 2 2 3 4 8" xfId="52178"/>
    <cellStyle name="Normal 2 2 2 3 5" xfId="52179"/>
    <cellStyle name="Normal 2 2 2 4" xfId="52180"/>
    <cellStyle name="Normal 2 2 2 4 2" xfId="52181"/>
    <cellStyle name="Normal 2 2 2 4 2 2" xfId="52182"/>
    <cellStyle name="Normal 2 2 2 4 2 2 2" xfId="52183"/>
    <cellStyle name="Normal 2 2 2 4 2 2 2 2" xfId="52184"/>
    <cellStyle name="Normal 2 2 2 4 2 2 2 2 2" xfId="52185"/>
    <cellStyle name="Normal 2 2 2 4 2 2 2 2 3" xfId="52186"/>
    <cellStyle name="Normal 2 2 2 4 2 2 2 2 4" xfId="52187"/>
    <cellStyle name="Normal 2 2 2 4 2 2 2 2 5" xfId="52188"/>
    <cellStyle name="Normal 2 2 2 4 2 2 2 3" xfId="52189"/>
    <cellStyle name="Normal 2 2 2 4 2 2 2 4" xfId="52190"/>
    <cellStyle name="Normal 2 2 2 4 2 2 2 5" xfId="52191"/>
    <cellStyle name="Normal 2 2 2 4 2 2 2 6" xfId="52192"/>
    <cellStyle name="Normal 2 2 2 4 2 2 2 7" xfId="52193"/>
    <cellStyle name="Normal 2 2 2 4 2 2 2 8" xfId="52194"/>
    <cellStyle name="Normal 2 2 2 4 2 2 3" xfId="52195"/>
    <cellStyle name="Normal 2 2 2 4 2 3" xfId="52196"/>
    <cellStyle name="Normal 2 2 2 4 2 3 2" xfId="52197"/>
    <cellStyle name="Normal 2 2 2 4 2 3 3" xfId="52198"/>
    <cellStyle name="Normal 2 2 2 4 2 3 4" xfId="52199"/>
    <cellStyle name="Normal 2 2 2 4 2 3 5" xfId="52200"/>
    <cellStyle name="Normal 2 2 2 4 2 4" xfId="52201"/>
    <cellStyle name="Normal 2 2 2 4 2 5" xfId="52202"/>
    <cellStyle name="Normal 2 2 2 4 2 6" xfId="52203"/>
    <cellStyle name="Normal 2 2 2 4 2 7" xfId="52204"/>
    <cellStyle name="Normal 2 2 2 4 2 8" xfId="52205"/>
    <cellStyle name="Normal 2 2 2 4 2 9" xfId="52206"/>
    <cellStyle name="Normal 2 2 2 4 3" xfId="52207"/>
    <cellStyle name="Normal 2 2 2 4 3 2" xfId="52208"/>
    <cellStyle name="Normal 2 2 2 4 3 2 2" xfId="52209"/>
    <cellStyle name="Normal 2 2 2 4 3 2 3" xfId="52210"/>
    <cellStyle name="Normal 2 2 2 4 3 2 4" xfId="52211"/>
    <cellStyle name="Normal 2 2 2 4 3 2 5" xfId="52212"/>
    <cellStyle name="Normal 2 2 2 4 3 3" xfId="52213"/>
    <cellStyle name="Normal 2 2 2 4 3 4" xfId="52214"/>
    <cellStyle name="Normal 2 2 2 4 3 5" xfId="52215"/>
    <cellStyle name="Normal 2 2 2 4 3 6" xfId="52216"/>
    <cellStyle name="Normal 2 2 2 4 3 7" xfId="52217"/>
    <cellStyle name="Normal 2 2 2 4 3 8" xfId="52218"/>
    <cellStyle name="Normal 2 2 2 4 4" xfId="52219"/>
    <cellStyle name="Normal 2 2 2 5" xfId="52220"/>
    <cellStyle name="Normal 2 2 2 5 2" xfId="52221"/>
    <cellStyle name="Normal 2 2 2 5 2 2" xfId="52222"/>
    <cellStyle name="Normal 2 2 2 5 2 2 2" xfId="52223"/>
    <cellStyle name="Normal 2 2 2 5 2 2 3" xfId="52224"/>
    <cellStyle name="Normal 2 2 2 5 2 2 4" xfId="52225"/>
    <cellStyle name="Normal 2 2 2 5 2 2 5" xfId="52226"/>
    <cellStyle name="Normal 2 2 2 5 2 3" xfId="52227"/>
    <cellStyle name="Normal 2 2 2 5 2 4" xfId="52228"/>
    <cellStyle name="Normal 2 2 2 5 2 5" xfId="52229"/>
    <cellStyle name="Normal 2 2 2 5 2 6" xfId="52230"/>
    <cellStyle name="Normal 2 2 2 5 2 7" xfId="52231"/>
    <cellStyle name="Normal 2 2 2 5 2 8" xfId="52232"/>
    <cellStyle name="Normal 2 2 2 5 3" xfId="52233"/>
    <cellStyle name="Normal 2 2 2 6" xfId="52234"/>
    <cellStyle name="Normal 2 2 2 6 2" xfId="52235"/>
    <cellStyle name="Normal 2 2 2 6 3" xfId="52236"/>
    <cellStyle name="Normal 2 2 2 6 4" xfId="52237"/>
    <cellStyle name="Normal 2 2 2 6 5" xfId="52238"/>
    <cellStyle name="Normal 2 2 2 7" xfId="52239"/>
    <cellStyle name="Normal 2 2 2 8" xfId="52240"/>
    <cellStyle name="Normal 2 2 2 9" xfId="52241"/>
    <cellStyle name="Normal 2 2 3" xfId="52242"/>
    <cellStyle name="Normal 2 2 3 2" xfId="52243"/>
    <cellStyle name="Normal 2 2 3 2 2" xfId="52244"/>
    <cellStyle name="Normal 2 2 3 2 3" xfId="52245"/>
    <cellStyle name="Normal 2 2 3 2 4" xfId="52246"/>
    <cellStyle name="Normal 2 2 3 2 5" xfId="52247"/>
    <cellStyle name="Normal 2 2 3 3" xfId="52248"/>
    <cellStyle name="Normal 2 2 3 4" xfId="52249"/>
    <cellStyle name="Normal 2 2 3 5" xfId="52250"/>
    <cellStyle name="Normal 2 2 3 6" xfId="52251"/>
    <cellStyle name="Normal 2 2 3 7" xfId="52252"/>
    <cellStyle name="Normal 2 2 3 8" xfId="52253"/>
    <cellStyle name="Normal 2 2 3 9" xfId="52254"/>
    <cellStyle name="Normal 2 2 4" xfId="52255"/>
    <cellStyle name="Normal 2 2 4 10" xfId="52256"/>
    <cellStyle name="Normal 2 2 4 11" xfId="52257"/>
    <cellStyle name="Normal 2 2 4 12" xfId="52258"/>
    <cellStyle name="Normal 2 2 4 2" xfId="52259"/>
    <cellStyle name="Normal 2 2 4 2 2" xfId="52260"/>
    <cellStyle name="Normal 2 2 4 2 2 10" xfId="52261"/>
    <cellStyle name="Normal 2 2 4 2 2 2" xfId="52262"/>
    <cellStyle name="Normal 2 2 4 2 2 2 2" xfId="52263"/>
    <cellStyle name="Normal 2 2 4 2 2 2 2 2" xfId="52264"/>
    <cellStyle name="Normal 2 2 4 2 2 2 2 2 2" xfId="52265"/>
    <cellStyle name="Normal 2 2 4 2 2 2 2 2 2 2" xfId="52266"/>
    <cellStyle name="Normal 2 2 4 2 2 2 2 2 2 2 2" xfId="52267"/>
    <cellStyle name="Normal 2 2 4 2 2 2 2 2 2 2 3" xfId="52268"/>
    <cellStyle name="Normal 2 2 4 2 2 2 2 2 2 2 4" xfId="52269"/>
    <cellStyle name="Normal 2 2 4 2 2 2 2 2 2 2 5" xfId="52270"/>
    <cellStyle name="Normal 2 2 4 2 2 2 2 2 2 3" xfId="52271"/>
    <cellStyle name="Normal 2 2 4 2 2 2 2 2 2 4" xfId="52272"/>
    <cellStyle name="Normal 2 2 4 2 2 2 2 2 2 5" xfId="52273"/>
    <cellStyle name="Normal 2 2 4 2 2 2 2 2 2 6" xfId="52274"/>
    <cellStyle name="Normal 2 2 4 2 2 2 2 2 2 7" xfId="52275"/>
    <cellStyle name="Normal 2 2 4 2 2 2 2 2 2 8" xfId="52276"/>
    <cellStyle name="Normal 2 2 4 2 2 2 2 2 3" xfId="52277"/>
    <cellStyle name="Normal 2 2 4 2 2 2 2 3" xfId="52278"/>
    <cellStyle name="Normal 2 2 4 2 2 2 2 3 2" xfId="52279"/>
    <cellStyle name="Normal 2 2 4 2 2 2 2 3 3" xfId="52280"/>
    <cellStyle name="Normal 2 2 4 2 2 2 2 3 4" xfId="52281"/>
    <cellStyle name="Normal 2 2 4 2 2 2 2 3 5" xfId="52282"/>
    <cellStyle name="Normal 2 2 4 2 2 2 2 4" xfId="52283"/>
    <cellStyle name="Normal 2 2 4 2 2 2 2 5" xfId="52284"/>
    <cellStyle name="Normal 2 2 4 2 2 2 2 6" xfId="52285"/>
    <cellStyle name="Normal 2 2 4 2 2 2 2 7" xfId="52286"/>
    <cellStyle name="Normal 2 2 4 2 2 2 2 8" xfId="52287"/>
    <cellStyle name="Normal 2 2 4 2 2 2 2 9" xfId="52288"/>
    <cellStyle name="Normal 2 2 4 2 2 2 3" xfId="52289"/>
    <cellStyle name="Normal 2 2 4 2 2 2 3 2" xfId="52290"/>
    <cellStyle name="Normal 2 2 4 2 2 2 3 2 2" xfId="52291"/>
    <cellStyle name="Normal 2 2 4 2 2 2 3 2 3" xfId="52292"/>
    <cellStyle name="Normal 2 2 4 2 2 2 3 2 4" xfId="52293"/>
    <cellStyle name="Normal 2 2 4 2 2 2 3 2 5" xfId="52294"/>
    <cellStyle name="Normal 2 2 4 2 2 2 3 3" xfId="52295"/>
    <cellStyle name="Normal 2 2 4 2 2 2 3 4" xfId="52296"/>
    <cellStyle name="Normal 2 2 4 2 2 2 3 5" xfId="52297"/>
    <cellStyle name="Normal 2 2 4 2 2 2 3 6" xfId="52298"/>
    <cellStyle name="Normal 2 2 4 2 2 2 3 7" xfId="52299"/>
    <cellStyle name="Normal 2 2 4 2 2 2 3 8" xfId="52300"/>
    <cellStyle name="Normal 2 2 4 2 2 2 4" xfId="52301"/>
    <cellStyle name="Normal 2 2 4 2 2 3" xfId="52302"/>
    <cellStyle name="Normal 2 2 4 2 2 3 2" xfId="52303"/>
    <cellStyle name="Normal 2 2 4 2 2 3 2 2" xfId="52304"/>
    <cellStyle name="Normal 2 2 4 2 2 3 2 2 2" xfId="52305"/>
    <cellStyle name="Normal 2 2 4 2 2 3 2 2 3" xfId="52306"/>
    <cellStyle name="Normal 2 2 4 2 2 3 2 2 4" xfId="52307"/>
    <cellStyle name="Normal 2 2 4 2 2 3 2 2 5" xfId="52308"/>
    <cellStyle name="Normal 2 2 4 2 2 3 2 3" xfId="52309"/>
    <cellStyle name="Normal 2 2 4 2 2 3 2 4" xfId="52310"/>
    <cellStyle name="Normal 2 2 4 2 2 3 2 5" xfId="52311"/>
    <cellStyle name="Normal 2 2 4 2 2 3 2 6" xfId="52312"/>
    <cellStyle name="Normal 2 2 4 2 2 3 2 7" xfId="52313"/>
    <cellStyle name="Normal 2 2 4 2 2 3 2 8" xfId="52314"/>
    <cellStyle name="Normal 2 2 4 2 2 3 3" xfId="52315"/>
    <cellStyle name="Normal 2 2 4 2 2 4" xfId="52316"/>
    <cellStyle name="Normal 2 2 4 2 2 4 2" xfId="52317"/>
    <cellStyle name="Normal 2 2 4 2 2 4 3" xfId="52318"/>
    <cellStyle name="Normal 2 2 4 2 2 4 4" xfId="52319"/>
    <cellStyle name="Normal 2 2 4 2 2 4 5" xfId="52320"/>
    <cellStyle name="Normal 2 2 4 2 2 5" xfId="52321"/>
    <cellStyle name="Normal 2 2 4 2 2 6" xfId="52322"/>
    <cellStyle name="Normal 2 2 4 2 2 7" xfId="52323"/>
    <cellStyle name="Normal 2 2 4 2 2 8" xfId="52324"/>
    <cellStyle name="Normal 2 2 4 2 2 9" xfId="52325"/>
    <cellStyle name="Normal 2 2 4 2 3" xfId="52326"/>
    <cellStyle name="Normal 2 2 4 2 3 2" xfId="52327"/>
    <cellStyle name="Normal 2 2 4 2 3 2 2" xfId="52328"/>
    <cellStyle name="Normal 2 2 4 2 3 2 2 2" xfId="52329"/>
    <cellStyle name="Normal 2 2 4 2 3 2 2 2 2" xfId="52330"/>
    <cellStyle name="Normal 2 2 4 2 3 2 2 2 3" xfId="52331"/>
    <cellStyle name="Normal 2 2 4 2 3 2 2 2 4" xfId="52332"/>
    <cellStyle name="Normal 2 2 4 2 3 2 2 2 5" xfId="52333"/>
    <cellStyle name="Normal 2 2 4 2 3 2 2 3" xfId="52334"/>
    <cellStyle name="Normal 2 2 4 2 3 2 2 4" xfId="52335"/>
    <cellStyle name="Normal 2 2 4 2 3 2 2 5" xfId="52336"/>
    <cellStyle name="Normal 2 2 4 2 3 2 2 6" xfId="52337"/>
    <cellStyle name="Normal 2 2 4 2 3 2 2 7" xfId="52338"/>
    <cellStyle name="Normal 2 2 4 2 3 2 2 8" xfId="52339"/>
    <cellStyle name="Normal 2 2 4 2 3 2 3" xfId="52340"/>
    <cellStyle name="Normal 2 2 4 2 3 3" xfId="52341"/>
    <cellStyle name="Normal 2 2 4 2 3 3 2" xfId="52342"/>
    <cellStyle name="Normal 2 2 4 2 3 3 3" xfId="52343"/>
    <cellStyle name="Normal 2 2 4 2 3 3 4" xfId="52344"/>
    <cellStyle name="Normal 2 2 4 2 3 3 5" xfId="52345"/>
    <cellStyle name="Normal 2 2 4 2 3 4" xfId="52346"/>
    <cellStyle name="Normal 2 2 4 2 3 5" xfId="52347"/>
    <cellStyle name="Normal 2 2 4 2 3 6" xfId="52348"/>
    <cellStyle name="Normal 2 2 4 2 3 7" xfId="52349"/>
    <cellStyle name="Normal 2 2 4 2 3 8" xfId="52350"/>
    <cellStyle name="Normal 2 2 4 2 3 9" xfId="52351"/>
    <cellStyle name="Normal 2 2 4 2 4" xfId="52352"/>
    <cellStyle name="Normal 2 2 4 2 4 2" xfId="52353"/>
    <cellStyle name="Normal 2 2 4 2 4 2 2" xfId="52354"/>
    <cellStyle name="Normal 2 2 4 2 4 2 3" xfId="52355"/>
    <cellStyle name="Normal 2 2 4 2 4 2 4" xfId="52356"/>
    <cellStyle name="Normal 2 2 4 2 4 2 5" xfId="52357"/>
    <cellStyle name="Normal 2 2 4 2 4 3" xfId="52358"/>
    <cellStyle name="Normal 2 2 4 2 4 4" xfId="52359"/>
    <cellStyle name="Normal 2 2 4 2 4 5" xfId="52360"/>
    <cellStyle name="Normal 2 2 4 2 4 6" xfId="52361"/>
    <cellStyle name="Normal 2 2 4 2 4 7" xfId="52362"/>
    <cellStyle name="Normal 2 2 4 2 4 8" xfId="52363"/>
    <cellStyle name="Normal 2 2 4 2 5" xfId="52364"/>
    <cellStyle name="Normal 2 2 4 3" xfId="52365"/>
    <cellStyle name="Normal 2 2 4 3 2" xfId="52366"/>
    <cellStyle name="Normal 2 2 4 3 2 2" xfId="52367"/>
    <cellStyle name="Normal 2 2 4 3 2 2 2" xfId="52368"/>
    <cellStyle name="Normal 2 2 4 3 2 2 2 2" xfId="52369"/>
    <cellStyle name="Normal 2 2 4 3 2 2 2 2 2" xfId="52370"/>
    <cellStyle name="Normal 2 2 4 3 2 2 2 2 3" xfId="52371"/>
    <cellStyle name="Normal 2 2 4 3 2 2 2 2 4" xfId="52372"/>
    <cellStyle name="Normal 2 2 4 3 2 2 2 2 5" xfId="52373"/>
    <cellStyle name="Normal 2 2 4 3 2 2 2 3" xfId="52374"/>
    <cellStyle name="Normal 2 2 4 3 2 2 2 4" xfId="52375"/>
    <cellStyle name="Normal 2 2 4 3 2 2 2 5" xfId="52376"/>
    <cellStyle name="Normal 2 2 4 3 2 2 2 6" xfId="52377"/>
    <cellStyle name="Normal 2 2 4 3 2 2 2 7" xfId="52378"/>
    <cellStyle name="Normal 2 2 4 3 2 2 2 8" xfId="52379"/>
    <cellStyle name="Normal 2 2 4 3 2 2 3" xfId="52380"/>
    <cellStyle name="Normal 2 2 4 3 2 3" xfId="52381"/>
    <cellStyle name="Normal 2 2 4 3 2 3 2" xfId="52382"/>
    <cellStyle name="Normal 2 2 4 3 2 3 3" xfId="52383"/>
    <cellStyle name="Normal 2 2 4 3 2 3 4" xfId="52384"/>
    <cellStyle name="Normal 2 2 4 3 2 3 5" xfId="52385"/>
    <cellStyle name="Normal 2 2 4 3 2 4" xfId="52386"/>
    <cellStyle name="Normal 2 2 4 3 2 5" xfId="52387"/>
    <cellStyle name="Normal 2 2 4 3 2 6" xfId="52388"/>
    <cellStyle name="Normal 2 2 4 3 2 7" xfId="52389"/>
    <cellStyle name="Normal 2 2 4 3 2 8" xfId="52390"/>
    <cellStyle name="Normal 2 2 4 3 2 9" xfId="52391"/>
    <cellStyle name="Normal 2 2 4 3 3" xfId="52392"/>
    <cellStyle name="Normal 2 2 4 3 3 2" xfId="52393"/>
    <cellStyle name="Normal 2 2 4 3 3 2 2" xfId="52394"/>
    <cellStyle name="Normal 2 2 4 3 3 2 3" xfId="52395"/>
    <cellStyle name="Normal 2 2 4 3 3 2 4" xfId="52396"/>
    <cellStyle name="Normal 2 2 4 3 3 2 5" xfId="52397"/>
    <cellStyle name="Normal 2 2 4 3 3 3" xfId="52398"/>
    <cellStyle name="Normal 2 2 4 3 3 4" xfId="52399"/>
    <cellStyle name="Normal 2 2 4 3 3 5" xfId="52400"/>
    <cellStyle name="Normal 2 2 4 3 3 6" xfId="52401"/>
    <cellStyle name="Normal 2 2 4 3 3 7" xfId="52402"/>
    <cellStyle name="Normal 2 2 4 3 3 8" xfId="52403"/>
    <cellStyle name="Normal 2 2 4 3 4" xfId="52404"/>
    <cellStyle name="Normal 2 2 4 4" xfId="52405"/>
    <cellStyle name="Normal 2 2 4 4 2" xfId="52406"/>
    <cellStyle name="Normal 2 2 4 4 2 2" xfId="52407"/>
    <cellStyle name="Normal 2 2 4 4 2 2 2" xfId="52408"/>
    <cellStyle name="Normal 2 2 4 4 2 2 3" xfId="52409"/>
    <cellStyle name="Normal 2 2 4 4 2 2 4" xfId="52410"/>
    <cellStyle name="Normal 2 2 4 4 2 2 5" xfId="52411"/>
    <cellStyle name="Normal 2 2 4 4 2 3" xfId="52412"/>
    <cellStyle name="Normal 2 2 4 4 2 4" xfId="52413"/>
    <cellStyle name="Normal 2 2 4 4 2 5" xfId="52414"/>
    <cellStyle name="Normal 2 2 4 4 2 6" xfId="52415"/>
    <cellStyle name="Normal 2 2 4 4 2 7" xfId="52416"/>
    <cellStyle name="Normal 2 2 4 4 2 8" xfId="52417"/>
    <cellStyle name="Normal 2 2 4 4 3" xfId="52418"/>
    <cellStyle name="Normal 2 2 4 5" xfId="52419"/>
    <cellStyle name="Normal 2 2 4 5 2" xfId="52420"/>
    <cellStyle name="Normal 2 2 4 5 3" xfId="52421"/>
    <cellStyle name="Normal 2 2 4 5 4" xfId="52422"/>
    <cellStyle name="Normal 2 2 4 5 5" xfId="52423"/>
    <cellStyle name="Normal 2 2 4 6" xfId="52424"/>
    <cellStyle name="Normal 2 2 4 7" xfId="52425"/>
    <cellStyle name="Normal 2 2 4 8" xfId="52426"/>
    <cellStyle name="Normal 2 2 4 9" xfId="52427"/>
    <cellStyle name="Normal 2 2 5" xfId="52428"/>
    <cellStyle name="Normal 2 2 5 10" xfId="52429"/>
    <cellStyle name="Normal 2 2 5 2" xfId="52430"/>
    <cellStyle name="Normal 2 2 5 2 2" xfId="52431"/>
    <cellStyle name="Normal 2 2 5 2 2 2" xfId="52432"/>
    <cellStyle name="Normal 2 2 5 2 2 2 2" xfId="52433"/>
    <cellStyle name="Normal 2 2 5 2 2 2 2 2" xfId="52434"/>
    <cellStyle name="Normal 2 2 5 2 2 2 2 2 2" xfId="52435"/>
    <cellStyle name="Normal 2 2 5 2 2 2 2 2 3" xfId="52436"/>
    <cellStyle name="Normal 2 2 5 2 2 2 2 2 4" xfId="52437"/>
    <cellStyle name="Normal 2 2 5 2 2 2 2 2 5" xfId="52438"/>
    <cellStyle name="Normal 2 2 5 2 2 2 2 3" xfId="52439"/>
    <cellStyle name="Normal 2 2 5 2 2 2 2 4" xfId="52440"/>
    <cellStyle name="Normal 2 2 5 2 2 2 2 5" xfId="52441"/>
    <cellStyle name="Normal 2 2 5 2 2 2 2 6" xfId="52442"/>
    <cellStyle name="Normal 2 2 5 2 2 2 2 7" xfId="52443"/>
    <cellStyle name="Normal 2 2 5 2 2 2 2 8" xfId="52444"/>
    <cellStyle name="Normal 2 2 5 2 2 2 3" xfId="52445"/>
    <cellStyle name="Normal 2 2 5 2 2 3" xfId="52446"/>
    <cellStyle name="Normal 2 2 5 2 2 3 2" xfId="52447"/>
    <cellStyle name="Normal 2 2 5 2 2 3 3" xfId="52448"/>
    <cellStyle name="Normal 2 2 5 2 2 3 4" xfId="52449"/>
    <cellStyle name="Normal 2 2 5 2 2 3 5" xfId="52450"/>
    <cellStyle name="Normal 2 2 5 2 2 4" xfId="52451"/>
    <cellStyle name="Normal 2 2 5 2 2 5" xfId="52452"/>
    <cellStyle name="Normal 2 2 5 2 2 6" xfId="52453"/>
    <cellStyle name="Normal 2 2 5 2 2 7" xfId="52454"/>
    <cellStyle name="Normal 2 2 5 2 2 8" xfId="52455"/>
    <cellStyle name="Normal 2 2 5 2 2 9" xfId="52456"/>
    <cellStyle name="Normal 2 2 5 2 3" xfId="52457"/>
    <cellStyle name="Normal 2 2 5 2 3 2" xfId="52458"/>
    <cellStyle name="Normal 2 2 5 2 3 2 2" xfId="52459"/>
    <cellStyle name="Normal 2 2 5 2 3 2 3" xfId="52460"/>
    <cellStyle name="Normal 2 2 5 2 3 2 4" xfId="52461"/>
    <cellStyle name="Normal 2 2 5 2 3 2 5" xfId="52462"/>
    <cellStyle name="Normal 2 2 5 2 3 3" xfId="52463"/>
    <cellStyle name="Normal 2 2 5 2 3 4" xfId="52464"/>
    <cellStyle name="Normal 2 2 5 2 3 5" xfId="52465"/>
    <cellStyle name="Normal 2 2 5 2 3 6" xfId="52466"/>
    <cellStyle name="Normal 2 2 5 2 3 7" xfId="52467"/>
    <cellStyle name="Normal 2 2 5 2 3 8" xfId="52468"/>
    <cellStyle name="Normal 2 2 5 2 4" xfId="52469"/>
    <cellStyle name="Normal 2 2 5 3" xfId="52470"/>
    <cellStyle name="Normal 2 2 5 3 2" xfId="52471"/>
    <cellStyle name="Normal 2 2 5 3 2 2" xfId="52472"/>
    <cellStyle name="Normal 2 2 5 3 2 2 2" xfId="52473"/>
    <cellStyle name="Normal 2 2 5 3 2 2 3" xfId="52474"/>
    <cellStyle name="Normal 2 2 5 3 2 2 4" xfId="52475"/>
    <cellStyle name="Normal 2 2 5 3 2 2 5" xfId="52476"/>
    <cellStyle name="Normal 2 2 5 3 2 3" xfId="52477"/>
    <cellStyle name="Normal 2 2 5 3 2 4" xfId="52478"/>
    <cellStyle name="Normal 2 2 5 3 2 5" xfId="52479"/>
    <cellStyle name="Normal 2 2 5 3 2 6" xfId="52480"/>
    <cellStyle name="Normal 2 2 5 3 2 7" xfId="52481"/>
    <cellStyle name="Normal 2 2 5 3 2 8" xfId="52482"/>
    <cellStyle name="Normal 2 2 5 3 3" xfId="52483"/>
    <cellStyle name="Normal 2 2 5 4" xfId="52484"/>
    <cellStyle name="Normal 2 2 5 4 2" xfId="52485"/>
    <cellStyle name="Normal 2 2 5 4 3" xfId="52486"/>
    <cellStyle name="Normal 2 2 5 4 4" xfId="52487"/>
    <cellStyle name="Normal 2 2 5 4 5" xfId="52488"/>
    <cellStyle name="Normal 2 2 5 5" xfId="52489"/>
    <cellStyle name="Normal 2 2 5 6" xfId="52490"/>
    <cellStyle name="Normal 2 2 5 7" xfId="52491"/>
    <cellStyle name="Normal 2 2 5 8" xfId="52492"/>
    <cellStyle name="Normal 2 2 5 9" xfId="52493"/>
    <cellStyle name="Normal 2 2 6" xfId="52494"/>
    <cellStyle name="Normal 2 2 6 2" xfId="52495"/>
    <cellStyle name="Normal 2 2 6 2 2" xfId="52496"/>
    <cellStyle name="Normal 2 2 6 2 2 2" xfId="52497"/>
    <cellStyle name="Normal 2 2 6 2 2 2 2" xfId="52498"/>
    <cellStyle name="Normal 2 2 6 2 2 2 3" xfId="52499"/>
    <cellStyle name="Normal 2 2 6 2 2 2 4" xfId="52500"/>
    <cellStyle name="Normal 2 2 6 2 2 2 5" xfId="52501"/>
    <cellStyle name="Normal 2 2 6 2 2 3" xfId="52502"/>
    <cellStyle name="Normal 2 2 6 2 2 4" xfId="52503"/>
    <cellStyle name="Normal 2 2 6 2 2 5" xfId="52504"/>
    <cellStyle name="Normal 2 2 6 2 2 6" xfId="52505"/>
    <cellStyle name="Normal 2 2 6 2 2 7" xfId="52506"/>
    <cellStyle name="Normal 2 2 6 2 2 8" xfId="52507"/>
    <cellStyle name="Normal 2 2 6 2 3" xfId="52508"/>
    <cellStyle name="Normal 2 2 6 3" xfId="52509"/>
    <cellStyle name="Normal 2 2 6 3 2" xfId="52510"/>
    <cellStyle name="Normal 2 2 6 3 3" xfId="52511"/>
    <cellStyle name="Normal 2 2 6 3 4" xfId="52512"/>
    <cellStyle name="Normal 2 2 6 3 5" xfId="52513"/>
    <cellStyle name="Normal 2 2 6 4" xfId="52514"/>
    <cellStyle name="Normal 2 2 6 5" xfId="52515"/>
    <cellStyle name="Normal 2 2 6 6" xfId="52516"/>
    <cellStyle name="Normal 2 2 6 7" xfId="52517"/>
    <cellStyle name="Normal 2 2 6 8" xfId="52518"/>
    <cellStyle name="Normal 2 2 6 9" xfId="52519"/>
    <cellStyle name="Normal 2 2 7" xfId="52520"/>
    <cellStyle name="Normal 2 2 7 2" xfId="52521"/>
    <cellStyle name="Normal 2 2 7 2 2" xfId="52522"/>
    <cellStyle name="Normal 2 2 7 2 3" xfId="52523"/>
    <cellStyle name="Normal 2 2 7 2 4" xfId="52524"/>
    <cellStyle name="Normal 2 2 7 2 5" xfId="52525"/>
    <cellStyle name="Normal 2 2 7 3" xfId="52526"/>
    <cellStyle name="Normal 2 2 7 4" xfId="52527"/>
    <cellStyle name="Normal 2 2 7 5" xfId="52528"/>
    <cellStyle name="Normal 2 2 7 6" xfId="52529"/>
    <cellStyle name="Normal 2 2 7 7" xfId="52530"/>
    <cellStyle name="Normal 2 2 7 8" xfId="52531"/>
    <cellStyle name="Normal 2 2 8" xfId="52532"/>
    <cellStyle name="Normal 2 2 9" xfId="52533"/>
    <cellStyle name="Normal 2 2_FY 11 Clin 0002 Summary" xfId="52534"/>
    <cellStyle name="Normal 2 20" xfId="52535"/>
    <cellStyle name="Normal 2 21" xfId="52536"/>
    <cellStyle name="Normal 2 3" xfId="52537"/>
    <cellStyle name="Normal 2 3 2" xfId="52538"/>
    <cellStyle name="Normal 2 3 2 2" xfId="52539"/>
    <cellStyle name="Normal 2 3 2 2 2" xfId="52540"/>
    <cellStyle name="Normal 2 3 2 2 3" xfId="52541"/>
    <cellStyle name="Normal 2 3 2 2 3 2" xfId="52542"/>
    <cellStyle name="Normal 2 3 2 2 3 3" xfId="52543"/>
    <cellStyle name="Normal 2 3 2 3" xfId="52544"/>
    <cellStyle name="Normal 2 3 2 3 2" xfId="52545"/>
    <cellStyle name="Normal 2 3 2 3 2 2" xfId="52546"/>
    <cellStyle name="Normal 2 3 2 3 2 3" xfId="52547"/>
    <cellStyle name="Normal 2 3 2 3 3" xfId="52548"/>
    <cellStyle name="Normal 2 3 2 4" xfId="52549"/>
    <cellStyle name="Normal 2 3 2 4 2" xfId="52550"/>
    <cellStyle name="Normal 2 3 2 4 3" xfId="52551"/>
    <cellStyle name="Normal 2 3 2 5" xfId="52552"/>
    <cellStyle name="Normal 2 3 3" xfId="52553"/>
    <cellStyle name="Normal 2 3 3 2" xfId="52554"/>
    <cellStyle name="Normal 2 3 3 3" xfId="52555"/>
    <cellStyle name="Normal 2 3 4" xfId="52556"/>
    <cellStyle name="Normal 2 3 4 2" xfId="52557"/>
    <cellStyle name="Normal 2 3 4 3" xfId="52558"/>
    <cellStyle name="Normal 2 3 5" xfId="52559"/>
    <cellStyle name="Normal 2 3 6" xfId="52560"/>
    <cellStyle name="Normal 2 3 6 2" xfId="52561"/>
    <cellStyle name="Normal 2 3 6 3" xfId="52562"/>
    <cellStyle name="Normal 2 4" xfId="52563"/>
    <cellStyle name="Normal 2 4 2" xfId="52564"/>
    <cellStyle name="Normal 2 4 2 10" xfId="52565"/>
    <cellStyle name="Normal 2 4 2 11" xfId="52566"/>
    <cellStyle name="Normal 2 4 2 2" xfId="52567"/>
    <cellStyle name="Normal 2 4 2 2 2" xfId="52568"/>
    <cellStyle name="Normal 2 4 2 2 2 10" xfId="52569"/>
    <cellStyle name="Normal 2 4 2 2 2 2" xfId="52570"/>
    <cellStyle name="Normal 2 4 2 2 2 2 2" xfId="52571"/>
    <cellStyle name="Normal 2 4 2 2 2 2 2 2" xfId="52572"/>
    <cellStyle name="Normal 2 4 2 2 2 2 2 2 2" xfId="52573"/>
    <cellStyle name="Normal 2 4 2 2 2 2 2 3" xfId="52574"/>
    <cellStyle name="Normal 2 4 2 2 2 2 2 3 2" xfId="52575"/>
    <cellStyle name="Normal 2 4 2 2 2 2 2 3 3" xfId="52576"/>
    <cellStyle name="Normal 2 4 2 2 2 2 2 3 4" xfId="52577"/>
    <cellStyle name="Normal 2 4 2 2 2 2 2 3 5" xfId="52578"/>
    <cellStyle name="Normal 2 4 2 2 2 2 2 4" xfId="52579"/>
    <cellStyle name="Normal 2 4 2 2 2 2 2 5" xfId="52580"/>
    <cellStyle name="Normal 2 4 2 2 2 2 2 6" xfId="52581"/>
    <cellStyle name="Normal 2 4 2 2 2 2 2 7" xfId="52582"/>
    <cellStyle name="Normal 2 4 2 2 2 2 2 8" xfId="52583"/>
    <cellStyle name="Normal 2 4 2 2 2 2 2 9" xfId="52584"/>
    <cellStyle name="Normal 2 4 2 2 2 2 3" xfId="52585"/>
    <cellStyle name="Normal 2 4 2 2 2 3" xfId="52586"/>
    <cellStyle name="Normal 2 4 2 2 2 3 2" xfId="52587"/>
    <cellStyle name="Normal 2 4 2 2 2 4" xfId="52588"/>
    <cellStyle name="Normal 2 4 2 2 2 4 2" xfId="52589"/>
    <cellStyle name="Normal 2 4 2 2 2 4 3" xfId="52590"/>
    <cellStyle name="Normal 2 4 2 2 2 4 4" xfId="52591"/>
    <cellStyle name="Normal 2 4 2 2 2 4 5" xfId="52592"/>
    <cellStyle name="Normal 2 4 2 2 2 5" xfId="52593"/>
    <cellStyle name="Normal 2 4 2 2 2 6" xfId="52594"/>
    <cellStyle name="Normal 2 4 2 2 2 7" xfId="52595"/>
    <cellStyle name="Normal 2 4 2 2 2 8" xfId="52596"/>
    <cellStyle name="Normal 2 4 2 2 2 9" xfId="52597"/>
    <cellStyle name="Normal 2 4 2 2 3" xfId="52598"/>
    <cellStyle name="Normal 2 4 2 2 3 2" xfId="52599"/>
    <cellStyle name="Normal 2 4 2 2 3 2 2" xfId="52600"/>
    <cellStyle name="Normal 2 4 2 2 3 3" xfId="52601"/>
    <cellStyle name="Normal 2 4 2 2 3 3 2" xfId="52602"/>
    <cellStyle name="Normal 2 4 2 2 3 3 3" xfId="52603"/>
    <cellStyle name="Normal 2 4 2 2 3 3 4" xfId="52604"/>
    <cellStyle name="Normal 2 4 2 2 3 3 5" xfId="52605"/>
    <cellStyle name="Normal 2 4 2 2 3 4" xfId="52606"/>
    <cellStyle name="Normal 2 4 2 2 3 5" xfId="52607"/>
    <cellStyle name="Normal 2 4 2 2 3 6" xfId="52608"/>
    <cellStyle name="Normal 2 4 2 2 3 7" xfId="52609"/>
    <cellStyle name="Normal 2 4 2 2 3 8" xfId="52610"/>
    <cellStyle name="Normal 2 4 2 2 3 9" xfId="52611"/>
    <cellStyle name="Normal 2 4 2 2 4" xfId="52612"/>
    <cellStyle name="Normal 2 4 2 3" xfId="52613"/>
    <cellStyle name="Normal 2 4 2 3 2" xfId="52614"/>
    <cellStyle name="Normal 2 4 2 3 2 2" xfId="52615"/>
    <cellStyle name="Normal 2 4 2 3 2 2 2" xfId="52616"/>
    <cellStyle name="Normal 2 4 2 3 2 3" xfId="52617"/>
    <cellStyle name="Normal 2 4 2 3 2 3 2" xfId="52618"/>
    <cellStyle name="Normal 2 4 2 3 2 3 3" xfId="52619"/>
    <cellStyle name="Normal 2 4 2 3 2 3 4" xfId="52620"/>
    <cellStyle name="Normal 2 4 2 3 2 3 5" xfId="52621"/>
    <cellStyle name="Normal 2 4 2 3 2 4" xfId="52622"/>
    <cellStyle name="Normal 2 4 2 3 2 5" xfId="52623"/>
    <cellStyle name="Normal 2 4 2 3 2 6" xfId="52624"/>
    <cellStyle name="Normal 2 4 2 3 2 7" xfId="52625"/>
    <cellStyle name="Normal 2 4 2 3 2 8" xfId="52626"/>
    <cellStyle name="Normal 2 4 2 3 2 9" xfId="52627"/>
    <cellStyle name="Normal 2 4 2 3 3" xfId="52628"/>
    <cellStyle name="Normal 2 4 2 4" xfId="52629"/>
    <cellStyle name="Normal 2 4 2 4 2" xfId="52630"/>
    <cellStyle name="Normal 2 4 2 5" xfId="52631"/>
    <cellStyle name="Normal 2 4 2 5 2" xfId="52632"/>
    <cellStyle name="Normal 2 4 2 5 3" xfId="52633"/>
    <cellStyle name="Normal 2 4 2 5 4" xfId="52634"/>
    <cellStyle name="Normal 2 4 2 5 5" xfId="52635"/>
    <cellStyle name="Normal 2 4 2 6" xfId="52636"/>
    <cellStyle name="Normal 2 4 2 7" xfId="52637"/>
    <cellStyle name="Normal 2 4 2 8" xfId="52638"/>
    <cellStyle name="Normal 2 4 2 9" xfId="52639"/>
    <cellStyle name="Normal 2 4 3" xfId="52640"/>
    <cellStyle name="Normal 2 4 3 10" xfId="52641"/>
    <cellStyle name="Normal 2 4 3 2" xfId="52642"/>
    <cellStyle name="Normal 2 4 3 2 2" xfId="52643"/>
    <cellStyle name="Normal 2 4 3 2 2 2" xfId="52644"/>
    <cellStyle name="Normal 2 4 3 2 2 2 2" xfId="52645"/>
    <cellStyle name="Normal 2 4 3 2 2 3" xfId="52646"/>
    <cellStyle name="Normal 2 4 3 2 2 3 2" xfId="52647"/>
    <cellStyle name="Normal 2 4 3 2 2 3 3" xfId="52648"/>
    <cellStyle name="Normal 2 4 3 2 2 3 4" xfId="52649"/>
    <cellStyle name="Normal 2 4 3 2 2 3 5" xfId="52650"/>
    <cellStyle name="Normal 2 4 3 2 2 4" xfId="52651"/>
    <cellStyle name="Normal 2 4 3 2 2 5" xfId="52652"/>
    <cellStyle name="Normal 2 4 3 2 2 6" xfId="52653"/>
    <cellStyle name="Normal 2 4 3 2 2 7" xfId="52654"/>
    <cellStyle name="Normal 2 4 3 2 2 8" xfId="52655"/>
    <cellStyle name="Normal 2 4 3 2 2 9" xfId="52656"/>
    <cellStyle name="Normal 2 4 3 2 3" xfId="52657"/>
    <cellStyle name="Normal 2 4 3 3" xfId="52658"/>
    <cellStyle name="Normal 2 4 3 3 2" xfId="52659"/>
    <cellStyle name="Normal 2 4 3 4" xfId="52660"/>
    <cellStyle name="Normal 2 4 3 4 2" xfId="52661"/>
    <cellStyle name="Normal 2 4 3 4 3" xfId="52662"/>
    <cellStyle name="Normal 2 4 3 4 4" xfId="52663"/>
    <cellStyle name="Normal 2 4 3 4 5" xfId="52664"/>
    <cellStyle name="Normal 2 4 3 5" xfId="52665"/>
    <cellStyle name="Normal 2 4 3 6" xfId="52666"/>
    <cellStyle name="Normal 2 4 3 7" xfId="52667"/>
    <cellStyle name="Normal 2 4 3 8" xfId="52668"/>
    <cellStyle name="Normal 2 4 3 9" xfId="52669"/>
    <cellStyle name="Normal 2 4 4" xfId="52670"/>
    <cellStyle name="Normal 2 4 4 2" xfId="52671"/>
    <cellStyle name="Normal 2 4 4 2 2" xfId="52672"/>
    <cellStyle name="Normal 2 4 4 3" xfId="52673"/>
    <cellStyle name="Normal 2 4 4 3 2" xfId="52674"/>
    <cellStyle name="Normal 2 4 4 3 3" xfId="52675"/>
    <cellStyle name="Normal 2 4 4 3 4" xfId="52676"/>
    <cellStyle name="Normal 2 4 4 3 5" xfId="52677"/>
    <cellStyle name="Normal 2 4 4 4" xfId="52678"/>
    <cellStyle name="Normal 2 4 4 5" xfId="52679"/>
    <cellStyle name="Normal 2 4 4 6" xfId="52680"/>
    <cellStyle name="Normal 2 4 4 7" xfId="52681"/>
    <cellStyle name="Normal 2 4 4 8" xfId="52682"/>
    <cellStyle name="Normal 2 4 4 9" xfId="52683"/>
    <cellStyle name="Normal 2 4 5" xfId="52684"/>
    <cellStyle name="Normal 2 5" xfId="52685"/>
    <cellStyle name="Normal 2 5 2" xfId="52686"/>
    <cellStyle name="Normal 2 5 2 10" xfId="52687"/>
    <cellStyle name="Normal 2 5 2 2" xfId="52688"/>
    <cellStyle name="Normal 2 5 2 2 2" xfId="52689"/>
    <cellStyle name="Normal 2 5 2 2 2 2" xfId="52690"/>
    <cellStyle name="Normal 2 5 2 2 2 2 2" xfId="52691"/>
    <cellStyle name="Normal 2 5 2 2 2 3" xfId="52692"/>
    <cellStyle name="Normal 2 5 2 2 2 3 2" xfId="52693"/>
    <cellStyle name="Normal 2 5 2 2 2 3 3" xfId="52694"/>
    <cellStyle name="Normal 2 5 2 2 2 3 4" xfId="52695"/>
    <cellStyle name="Normal 2 5 2 2 2 3 5" xfId="52696"/>
    <cellStyle name="Normal 2 5 2 2 2 4" xfId="52697"/>
    <cellStyle name="Normal 2 5 2 2 2 5" xfId="52698"/>
    <cellStyle name="Normal 2 5 2 2 2 6" xfId="52699"/>
    <cellStyle name="Normal 2 5 2 2 2 7" xfId="52700"/>
    <cellStyle name="Normal 2 5 2 2 2 8" xfId="52701"/>
    <cellStyle name="Normal 2 5 2 2 2 9" xfId="52702"/>
    <cellStyle name="Normal 2 5 2 2 3" xfId="52703"/>
    <cellStyle name="Normal 2 5 2 3" xfId="52704"/>
    <cellStyle name="Normal 2 5 2 3 2" xfId="52705"/>
    <cellStyle name="Normal 2 5 2 3 4" xfId="52706"/>
    <cellStyle name="Normal 2 5 2 4" xfId="52707"/>
    <cellStyle name="Normal 2 5 2 4 2" xfId="52708"/>
    <cellStyle name="Normal 2 5 2 4 3" xfId="52709"/>
    <cellStyle name="Normal 2 5 2 4 4" xfId="52710"/>
    <cellStyle name="Normal 2 5 2 4 5" xfId="52711"/>
    <cellStyle name="Normal 2 5 2 5" xfId="52712"/>
    <cellStyle name="Normal 2 5 2 6" xfId="52713"/>
    <cellStyle name="Normal 2 5 2 7" xfId="52714"/>
    <cellStyle name="Normal 2 5 2 8" xfId="52715"/>
    <cellStyle name="Normal 2 5 2 9" xfId="52716"/>
    <cellStyle name="Normal 2 5 3" xfId="52717"/>
    <cellStyle name="Normal 2 5 3 2" xfId="52718"/>
    <cellStyle name="Normal 2 5 3 2 2" xfId="52719"/>
    <cellStyle name="Normal 2 5 3 3" xfId="52720"/>
    <cellStyle name="Normal 2 5 3 3 2" xfId="52721"/>
    <cellStyle name="Normal 2 5 3 3 3" xfId="52722"/>
    <cellStyle name="Normal 2 5 3 3 4" xfId="52723"/>
    <cellStyle name="Normal 2 5 3 3 5" xfId="52724"/>
    <cellStyle name="Normal 2 5 3 4" xfId="52725"/>
    <cellStyle name="Normal 2 5 3 5" xfId="52726"/>
    <cellStyle name="Normal 2 5 3 6" xfId="52727"/>
    <cellStyle name="Normal 2 5 3 7" xfId="52728"/>
    <cellStyle name="Normal 2 5 3 8" xfId="52729"/>
    <cellStyle name="Normal 2 5 3 9" xfId="52730"/>
    <cellStyle name="Normal 2 5 4" xfId="52731"/>
    <cellStyle name="Normal 2 6" xfId="52732"/>
    <cellStyle name="Normal 2 6 2" xfId="52733"/>
    <cellStyle name="Normal 2 6 2 2" xfId="52734"/>
    <cellStyle name="Normal 2 6 2 2 2" xfId="52735"/>
    <cellStyle name="Normal 2 6 2 3" xfId="52736"/>
    <cellStyle name="Normal 2 6 2 3 2" xfId="52737"/>
    <cellStyle name="Normal 2 6 2 3 3" xfId="52738"/>
    <cellStyle name="Normal 2 6 2 3 4" xfId="52739"/>
    <cellStyle name="Normal 2 6 2 3 5" xfId="52740"/>
    <cellStyle name="Normal 2 6 2 4" xfId="52741"/>
    <cellStyle name="Normal 2 6 2 5" xfId="52742"/>
    <cellStyle name="Normal 2 6 2 6" xfId="52743"/>
    <cellStyle name="Normal 2 6 2 7" xfId="52744"/>
    <cellStyle name="Normal 2 6 2 8" xfId="52745"/>
    <cellStyle name="Normal 2 6 2 9" xfId="52746"/>
    <cellStyle name="Normal 2 6 3" xfId="52747"/>
    <cellStyle name="Normal 2 7" xfId="52748"/>
    <cellStyle name="Normal 2 7 2" xfId="52749"/>
    <cellStyle name="Normal 2 7 3" xfId="52750"/>
    <cellStyle name="Normal 2 8" xfId="52751"/>
    <cellStyle name="Normal 2 8 2" xfId="52752"/>
    <cellStyle name="Normal 2 8 3" xfId="52753"/>
    <cellStyle name="Normal 2 9" xfId="52754"/>
    <cellStyle name="Normal 2 9 2" xfId="52755"/>
    <cellStyle name="Normal 2 9 3" xfId="52756"/>
    <cellStyle name="Normal 2_T1_TP_MASTER_032112_Rev A" xfId="52757"/>
    <cellStyle name="Normal 20" xfId="52758"/>
    <cellStyle name="Normal 20 10" xfId="52759"/>
    <cellStyle name="Normal 20 11" xfId="52760"/>
    <cellStyle name="Normal 20 2" xfId="52761"/>
    <cellStyle name="Normal 20 2 10" xfId="52762"/>
    <cellStyle name="Normal 20 2 11" xfId="52763"/>
    <cellStyle name="Normal 20 2 2" xfId="52764"/>
    <cellStyle name="Normal 20 2 2 2" xfId="52765"/>
    <cellStyle name="Normal 20 2 2 2 2" xfId="52766"/>
    <cellStyle name="Normal 20 2 2 2 2 2" xfId="52767"/>
    <cellStyle name="Normal 20 2 2 2 2 2 2" xfId="52768"/>
    <cellStyle name="Normal 20 2 2 2 2 2 3" xfId="52769"/>
    <cellStyle name="Normal 20 2 2 2 2 3" xfId="52770"/>
    <cellStyle name="Normal 20 2 2 2 2 4" xfId="52771"/>
    <cellStyle name="Normal 20 2 2 2 3" xfId="52772"/>
    <cellStyle name="Normal 20 2 2 2 3 2" xfId="52773"/>
    <cellStyle name="Normal 20 2 2 2 3 3" xfId="52774"/>
    <cellStyle name="Normal 20 2 2 2 4" xfId="52775"/>
    <cellStyle name="Normal 20 2 2 2 4 2" xfId="52776"/>
    <cellStyle name="Normal 20 2 2 2 4 3" xfId="52777"/>
    <cellStyle name="Normal 20 2 2 2 5" xfId="52778"/>
    <cellStyle name="Normal 20 2 2 2 6" xfId="52779"/>
    <cellStyle name="Normal 20 2 2 3" xfId="52780"/>
    <cellStyle name="Normal 20 2 2 3 2" xfId="52781"/>
    <cellStyle name="Normal 20 2 2 3 2 2" xfId="52782"/>
    <cellStyle name="Normal 20 2 2 3 2 2 2" xfId="52783"/>
    <cellStyle name="Normal 20 2 2 3 2 2 3" xfId="52784"/>
    <cellStyle name="Normal 20 2 2 3 2 3" xfId="52785"/>
    <cellStyle name="Normal 20 2 2 3 2 4" xfId="52786"/>
    <cellStyle name="Normal 20 2 2 3 3" xfId="52787"/>
    <cellStyle name="Normal 20 2 2 3 3 2" xfId="52788"/>
    <cellStyle name="Normal 20 2 2 3 3 3" xfId="52789"/>
    <cellStyle name="Normal 20 2 2 3 4" xfId="52790"/>
    <cellStyle name="Normal 20 2 2 3 4 2" xfId="52791"/>
    <cellStyle name="Normal 20 2 2 3 4 3" xfId="52792"/>
    <cellStyle name="Normal 20 2 2 3 5" xfId="52793"/>
    <cellStyle name="Normal 20 2 2 3 6" xfId="52794"/>
    <cellStyle name="Normal 20 2 2 4" xfId="52795"/>
    <cellStyle name="Normal 20 2 2 4 2" xfId="52796"/>
    <cellStyle name="Normal 20 2 2 4 2 2" xfId="52797"/>
    <cellStyle name="Normal 20 2 2 4 2 3" xfId="52798"/>
    <cellStyle name="Normal 20 2 2 4 3" xfId="52799"/>
    <cellStyle name="Normal 20 2 2 4 4" xfId="52800"/>
    <cellStyle name="Normal 20 2 2 5" xfId="52801"/>
    <cellStyle name="Normal 20 2 2 5 2" xfId="52802"/>
    <cellStyle name="Normal 20 2 2 5 3" xfId="52803"/>
    <cellStyle name="Normal 20 2 2 6" xfId="52804"/>
    <cellStyle name="Normal 20 2 2 6 2" xfId="52805"/>
    <cellStyle name="Normal 20 2 2 6 3" xfId="52806"/>
    <cellStyle name="Normal 20 2 2 7" xfId="52807"/>
    <cellStyle name="Normal 20 2 2 8" xfId="52808"/>
    <cellStyle name="Normal 20 2 3" xfId="52809"/>
    <cellStyle name="Normal 20 2 3 2" xfId="52810"/>
    <cellStyle name="Normal 20 2 3 2 2" xfId="52811"/>
    <cellStyle name="Normal 20 2 3 2 2 2" xfId="52812"/>
    <cellStyle name="Normal 20 2 3 2 2 3" xfId="52813"/>
    <cellStyle name="Normal 20 2 3 2 3" xfId="52814"/>
    <cellStyle name="Normal 20 2 3 2 4" xfId="52815"/>
    <cellStyle name="Normal 20 2 3 3" xfId="52816"/>
    <cellStyle name="Normal 20 2 3 3 2" xfId="52817"/>
    <cellStyle name="Normal 20 2 3 3 3" xfId="52818"/>
    <cellStyle name="Normal 20 2 3 4" xfId="52819"/>
    <cellStyle name="Normal 20 2 3 4 2" xfId="52820"/>
    <cellStyle name="Normal 20 2 3 4 3" xfId="52821"/>
    <cellStyle name="Normal 20 2 3 5" xfId="52822"/>
    <cellStyle name="Normal 20 2 3 6" xfId="52823"/>
    <cellStyle name="Normal 20 2 4" xfId="52824"/>
    <cellStyle name="Normal 20 2 4 2" xfId="52825"/>
    <cellStyle name="Normal 20 2 4 2 2" xfId="52826"/>
    <cellStyle name="Normal 20 2 4 2 2 2" xfId="52827"/>
    <cellStyle name="Normal 20 2 4 2 2 3" xfId="52828"/>
    <cellStyle name="Normal 20 2 4 2 3" xfId="52829"/>
    <cellStyle name="Normal 20 2 4 2 4" xfId="52830"/>
    <cellStyle name="Normal 20 2 4 3" xfId="52831"/>
    <cellStyle name="Normal 20 2 4 3 2" xfId="52832"/>
    <cellStyle name="Normal 20 2 4 3 3" xfId="52833"/>
    <cellStyle name="Normal 20 2 4 4" xfId="52834"/>
    <cellStyle name="Normal 20 2 4 4 2" xfId="52835"/>
    <cellStyle name="Normal 20 2 4 4 3" xfId="52836"/>
    <cellStyle name="Normal 20 2 4 5" xfId="52837"/>
    <cellStyle name="Normal 20 2 4 6" xfId="52838"/>
    <cellStyle name="Normal 20 2 5" xfId="52839"/>
    <cellStyle name="Normal 20 2 5 2" xfId="52840"/>
    <cellStyle name="Normal 20 2 5 2 2" xfId="52841"/>
    <cellStyle name="Normal 20 2 5 2 3" xfId="52842"/>
    <cellStyle name="Normal 20 2 5 3" xfId="52843"/>
    <cellStyle name="Normal 20 2 5 4" xfId="52844"/>
    <cellStyle name="Normal 20 2 6" xfId="52845"/>
    <cellStyle name="Normal 20 2 6 2" xfId="52846"/>
    <cellStyle name="Normal 20 2 6 2 2" xfId="52847"/>
    <cellStyle name="Normal 20 2 6 2 3" xfId="52848"/>
    <cellStyle name="Normal 20 2 6 3" xfId="52849"/>
    <cellStyle name="Normal 20 2 6 4" xfId="52850"/>
    <cellStyle name="Normal 20 2 7" xfId="52851"/>
    <cellStyle name="Normal 20 2 7 2" xfId="52852"/>
    <cellStyle name="Normal 20 2 7 3" xfId="52853"/>
    <cellStyle name="Normal 20 2 8" xfId="52854"/>
    <cellStyle name="Normal 20 2 8 2" xfId="52855"/>
    <cellStyle name="Normal 20 2 8 3" xfId="52856"/>
    <cellStyle name="Normal 20 2 9" xfId="52857"/>
    <cellStyle name="Normal 20 3" xfId="52858"/>
    <cellStyle name="Normal 20 3 2" xfId="52859"/>
    <cellStyle name="Normal 20 3 2 2" xfId="52860"/>
    <cellStyle name="Normal 20 3 2 2 2" xfId="52861"/>
    <cellStyle name="Normal 20 3 2 2 2 2" xfId="52862"/>
    <cellStyle name="Normal 20 3 2 2 2 3" xfId="52863"/>
    <cellStyle name="Normal 20 3 2 2 3" xfId="52864"/>
    <cellStyle name="Normal 20 3 2 2 4" xfId="52865"/>
    <cellStyle name="Normal 20 3 2 3" xfId="52866"/>
    <cellStyle name="Normal 20 3 2 3 2" xfId="52867"/>
    <cellStyle name="Normal 20 3 2 3 3" xfId="52868"/>
    <cellStyle name="Normal 20 3 2 4" xfId="52869"/>
    <cellStyle name="Normal 20 3 2 4 2" xfId="52870"/>
    <cellStyle name="Normal 20 3 2 4 3" xfId="52871"/>
    <cellStyle name="Normal 20 3 2 5" xfId="52872"/>
    <cellStyle name="Normal 20 3 2 6" xfId="52873"/>
    <cellStyle name="Normal 20 3 3" xfId="52874"/>
    <cellStyle name="Normal 20 3 3 2" xfId="52875"/>
    <cellStyle name="Normal 20 3 3 2 2" xfId="52876"/>
    <cellStyle name="Normal 20 3 3 2 2 2" xfId="52877"/>
    <cellStyle name="Normal 20 3 3 2 2 3" xfId="52878"/>
    <cellStyle name="Normal 20 3 3 2 3" xfId="52879"/>
    <cellStyle name="Normal 20 3 3 2 4" xfId="52880"/>
    <cellStyle name="Normal 20 3 3 3" xfId="52881"/>
    <cellStyle name="Normal 20 3 3 3 2" xfId="52882"/>
    <cellStyle name="Normal 20 3 3 3 3" xfId="52883"/>
    <cellStyle name="Normal 20 3 3 4" xfId="52884"/>
    <cellStyle name="Normal 20 3 3 4 2" xfId="52885"/>
    <cellStyle name="Normal 20 3 3 4 3" xfId="52886"/>
    <cellStyle name="Normal 20 3 3 5" xfId="52887"/>
    <cellStyle name="Normal 20 3 3 6" xfId="52888"/>
    <cellStyle name="Normal 20 3 4" xfId="52889"/>
    <cellStyle name="Normal 20 3 4 2" xfId="52890"/>
    <cellStyle name="Normal 20 3 4 2 2" xfId="52891"/>
    <cellStyle name="Normal 20 3 4 2 3" xfId="52892"/>
    <cellStyle name="Normal 20 3 4 3" xfId="52893"/>
    <cellStyle name="Normal 20 3 4 4" xfId="52894"/>
    <cellStyle name="Normal 20 3 5" xfId="52895"/>
    <cellStyle name="Normal 20 3 5 2" xfId="52896"/>
    <cellStyle name="Normal 20 3 5 3" xfId="52897"/>
    <cellStyle name="Normal 20 3 6" xfId="52898"/>
    <cellStyle name="Normal 20 3 6 2" xfId="52899"/>
    <cellStyle name="Normal 20 3 6 3" xfId="52900"/>
    <cellStyle name="Normal 20 3 7" xfId="52901"/>
    <cellStyle name="Normal 20 3 8" xfId="52902"/>
    <cellStyle name="Normal 20 4" xfId="52903"/>
    <cellStyle name="Normal 20 4 2" xfId="52904"/>
    <cellStyle name="Normal 20 4 2 2" xfId="52905"/>
    <cellStyle name="Normal 20 4 2 2 2" xfId="52906"/>
    <cellStyle name="Normal 20 4 2 2 3" xfId="52907"/>
    <cellStyle name="Normal 20 4 2 3" xfId="52908"/>
    <cellStyle name="Normal 20 4 2 4" xfId="52909"/>
    <cellStyle name="Normal 20 4 3" xfId="52910"/>
    <cellStyle name="Normal 20 4 3 2" xfId="52911"/>
    <cellStyle name="Normal 20 4 3 3" xfId="52912"/>
    <cellStyle name="Normal 20 4 4" xfId="52913"/>
    <cellStyle name="Normal 20 4 4 2" xfId="52914"/>
    <cellStyle name="Normal 20 4 4 3" xfId="52915"/>
    <cellStyle name="Normal 20 4 5" xfId="52916"/>
    <cellStyle name="Normal 20 4 6" xfId="52917"/>
    <cellStyle name="Normal 20 5" xfId="52918"/>
    <cellStyle name="Normal 20 5 2" xfId="52919"/>
    <cellStyle name="Normal 20 5 2 2" xfId="52920"/>
    <cellStyle name="Normal 20 5 2 2 2" xfId="52921"/>
    <cellStyle name="Normal 20 5 2 2 3" xfId="52922"/>
    <cellStyle name="Normal 20 5 2 3" xfId="52923"/>
    <cellStyle name="Normal 20 5 2 4" xfId="52924"/>
    <cellStyle name="Normal 20 5 3" xfId="52925"/>
    <cellStyle name="Normal 20 5 3 2" xfId="52926"/>
    <cellStyle name="Normal 20 5 3 3" xfId="52927"/>
    <cellStyle name="Normal 20 5 4" xfId="52928"/>
    <cellStyle name="Normal 20 5 4 2" xfId="52929"/>
    <cellStyle name="Normal 20 5 4 3" xfId="52930"/>
    <cellStyle name="Normal 20 5 5" xfId="52931"/>
    <cellStyle name="Normal 20 5 6" xfId="52932"/>
    <cellStyle name="Normal 20 6" xfId="52933"/>
    <cellStyle name="Normal 20 6 2" xfId="52934"/>
    <cellStyle name="Normal 20 6 2 2" xfId="52935"/>
    <cellStyle name="Normal 20 6 2 3" xfId="52936"/>
    <cellStyle name="Normal 20 6 3" xfId="52937"/>
    <cellStyle name="Normal 20 6 4" xfId="52938"/>
    <cellStyle name="Normal 20 7" xfId="52939"/>
    <cellStyle name="Normal 20 7 2" xfId="52940"/>
    <cellStyle name="Normal 20 7 2 2" xfId="52941"/>
    <cellStyle name="Normal 20 7 2 3" xfId="52942"/>
    <cellStyle name="Normal 20 7 3" xfId="52943"/>
    <cellStyle name="Normal 20 7 4" xfId="52944"/>
    <cellStyle name="Normal 20 8" xfId="52945"/>
    <cellStyle name="Normal 20 8 2" xfId="52946"/>
    <cellStyle name="Normal 20 8 3" xfId="52947"/>
    <cellStyle name="Normal 20 9" xfId="52948"/>
    <cellStyle name="Normal 20 9 2" xfId="52949"/>
    <cellStyle name="Normal 20 9 3" xfId="52950"/>
    <cellStyle name="Normal 200" xfId="52951"/>
    <cellStyle name="Normal 200 2" xfId="52952"/>
    <cellStyle name="Normal 200 2 2" xfId="52953"/>
    <cellStyle name="Normal 200 2 2 2" xfId="52954"/>
    <cellStyle name="Normal 200 2 2 2 2" xfId="52955"/>
    <cellStyle name="Normal 200 2 2 2 3" xfId="52956"/>
    <cellStyle name="Normal 200 2 2 3" xfId="52957"/>
    <cellStyle name="Normal 200 2 2 4" xfId="52958"/>
    <cellStyle name="Normal 200 2 3" xfId="52959"/>
    <cellStyle name="Normal 200 2 3 2" xfId="52960"/>
    <cellStyle name="Normal 200 2 3 3" xfId="52961"/>
    <cellStyle name="Normal 200 2 4" xfId="52962"/>
    <cellStyle name="Normal 200 2 4 2" xfId="52963"/>
    <cellStyle name="Normal 200 2 4 3" xfId="52964"/>
    <cellStyle name="Normal 200 2 5" xfId="52965"/>
    <cellStyle name="Normal 200 2 6" xfId="52966"/>
    <cellStyle name="Normal 200 3" xfId="52967"/>
    <cellStyle name="Normal 200 3 2" xfId="52968"/>
    <cellStyle name="Normal 200 3 2 2" xfId="52969"/>
    <cellStyle name="Normal 200 3 2 2 2" xfId="52970"/>
    <cellStyle name="Normal 200 3 2 2 3" xfId="52971"/>
    <cellStyle name="Normal 200 3 2 3" xfId="52972"/>
    <cellStyle name="Normal 200 3 2 4" xfId="52973"/>
    <cellStyle name="Normal 200 3 3" xfId="52974"/>
    <cellStyle name="Normal 200 3 3 2" xfId="52975"/>
    <cellStyle name="Normal 200 3 3 3" xfId="52976"/>
    <cellStyle name="Normal 200 3 4" xfId="52977"/>
    <cellStyle name="Normal 200 3 4 2" xfId="52978"/>
    <cellStyle name="Normal 200 3 4 3" xfId="52979"/>
    <cellStyle name="Normal 200 3 5" xfId="52980"/>
    <cellStyle name="Normal 200 3 6" xfId="52981"/>
    <cellStyle name="Normal 200 4" xfId="52982"/>
    <cellStyle name="Normal 200 4 2" xfId="52983"/>
    <cellStyle name="Normal 200 4 2 2" xfId="52984"/>
    <cellStyle name="Normal 200 4 2 3" xfId="52985"/>
    <cellStyle name="Normal 200 4 3" xfId="52986"/>
    <cellStyle name="Normal 200 4 4" xfId="52987"/>
    <cellStyle name="Normal 200 5" xfId="52988"/>
    <cellStyle name="Normal 200 5 2" xfId="52989"/>
    <cellStyle name="Normal 200 5 3" xfId="52990"/>
    <cellStyle name="Normal 200 6" xfId="52991"/>
    <cellStyle name="Normal 200 6 2" xfId="52992"/>
    <cellStyle name="Normal 200 6 3" xfId="52993"/>
    <cellStyle name="Normal 200 7" xfId="52994"/>
    <cellStyle name="Normal 200 8" xfId="52995"/>
    <cellStyle name="Normal 201" xfId="52996"/>
    <cellStyle name="Normal 201 2" xfId="52997"/>
    <cellStyle name="Normal 201 3" xfId="52998"/>
    <cellStyle name="Normal 202" xfId="52999"/>
    <cellStyle name="Normal 202 2" xfId="53000"/>
    <cellStyle name="Normal 202 2 2" xfId="53001"/>
    <cellStyle name="Normal 202 2 2 2" xfId="53002"/>
    <cellStyle name="Normal 202 2 2 2 2" xfId="53003"/>
    <cellStyle name="Normal 202 2 2 2 3" xfId="53004"/>
    <cellStyle name="Normal 202 2 2 3" xfId="53005"/>
    <cellStyle name="Normal 202 2 2 4" xfId="53006"/>
    <cellStyle name="Normal 202 2 3" xfId="53007"/>
    <cellStyle name="Normal 202 2 3 2" xfId="53008"/>
    <cellStyle name="Normal 202 2 3 3" xfId="53009"/>
    <cellStyle name="Normal 202 2 4" xfId="53010"/>
    <cellStyle name="Normal 202 2 4 2" xfId="53011"/>
    <cellStyle name="Normal 202 2 4 3" xfId="53012"/>
    <cellStyle name="Normal 202 2 5" xfId="53013"/>
    <cellStyle name="Normal 202 2 6" xfId="53014"/>
    <cellStyle name="Normal 202 3" xfId="53015"/>
    <cellStyle name="Normal 202 3 2" xfId="53016"/>
    <cellStyle name="Normal 202 3 2 2" xfId="53017"/>
    <cellStyle name="Normal 202 3 2 2 2" xfId="53018"/>
    <cellStyle name="Normal 202 3 2 2 3" xfId="53019"/>
    <cellStyle name="Normal 202 3 2 3" xfId="53020"/>
    <cellStyle name="Normal 202 3 2 4" xfId="53021"/>
    <cellStyle name="Normal 202 3 3" xfId="53022"/>
    <cellStyle name="Normal 202 3 3 2" xfId="53023"/>
    <cellStyle name="Normal 202 3 3 3" xfId="53024"/>
    <cellStyle name="Normal 202 3 4" xfId="53025"/>
    <cellStyle name="Normal 202 3 4 2" xfId="53026"/>
    <cellStyle name="Normal 202 3 4 3" xfId="53027"/>
    <cellStyle name="Normal 202 3 5" xfId="53028"/>
    <cellStyle name="Normal 202 3 6" xfId="53029"/>
    <cellStyle name="Normal 202 4" xfId="53030"/>
    <cellStyle name="Normal 202 4 2" xfId="53031"/>
    <cellStyle name="Normal 202 4 2 2" xfId="53032"/>
    <cellStyle name="Normal 202 4 2 3" xfId="53033"/>
    <cellStyle name="Normal 202 4 3" xfId="53034"/>
    <cellStyle name="Normal 202 4 4" xfId="53035"/>
    <cellStyle name="Normal 202 5" xfId="53036"/>
    <cellStyle name="Normal 202 5 2" xfId="53037"/>
    <cellStyle name="Normal 202 5 3" xfId="53038"/>
    <cellStyle name="Normal 202 6" xfId="53039"/>
    <cellStyle name="Normal 202 6 2" xfId="53040"/>
    <cellStyle name="Normal 202 6 3" xfId="53041"/>
    <cellStyle name="Normal 202 7" xfId="53042"/>
    <cellStyle name="Normal 202 8" xfId="53043"/>
    <cellStyle name="Normal 203" xfId="53044"/>
    <cellStyle name="Normal 203 2" xfId="53045"/>
    <cellStyle name="Normal 203 2 2" xfId="53046"/>
    <cellStyle name="Normal 203 2 2 2" xfId="53047"/>
    <cellStyle name="Normal 203 2 2 2 2" xfId="53048"/>
    <cellStyle name="Normal 203 2 2 2 3" xfId="53049"/>
    <cellStyle name="Normal 203 2 2 3" xfId="53050"/>
    <cellStyle name="Normal 203 2 2 4" xfId="53051"/>
    <cellStyle name="Normal 203 2 3" xfId="53052"/>
    <cellStyle name="Normal 203 2 3 2" xfId="53053"/>
    <cellStyle name="Normal 203 2 3 3" xfId="53054"/>
    <cellStyle name="Normal 203 2 4" xfId="53055"/>
    <cellStyle name="Normal 203 2 4 2" xfId="53056"/>
    <cellStyle name="Normal 203 2 4 3" xfId="53057"/>
    <cellStyle name="Normal 203 2 5" xfId="53058"/>
    <cellStyle name="Normal 203 2 6" xfId="53059"/>
    <cellStyle name="Normal 203 3" xfId="53060"/>
    <cellStyle name="Normal 203 3 2" xfId="53061"/>
    <cellStyle name="Normal 203 3 2 2" xfId="53062"/>
    <cellStyle name="Normal 203 3 2 2 2" xfId="53063"/>
    <cellStyle name="Normal 203 3 2 2 3" xfId="53064"/>
    <cellStyle name="Normal 203 3 2 3" xfId="53065"/>
    <cellStyle name="Normal 203 3 2 4" xfId="53066"/>
    <cellStyle name="Normal 203 3 3" xfId="53067"/>
    <cellStyle name="Normal 203 3 3 2" xfId="53068"/>
    <cellStyle name="Normal 203 3 3 3" xfId="53069"/>
    <cellStyle name="Normal 203 3 4" xfId="53070"/>
    <cellStyle name="Normal 203 3 4 2" xfId="53071"/>
    <cellStyle name="Normal 203 3 4 3" xfId="53072"/>
    <cellStyle name="Normal 203 3 5" xfId="53073"/>
    <cellStyle name="Normal 203 3 6" xfId="53074"/>
    <cellStyle name="Normal 203 4" xfId="53075"/>
    <cellStyle name="Normal 203 4 2" xfId="53076"/>
    <cellStyle name="Normal 203 4 2 2" xfId="53077"/>
    <cellStyle name="Normal 203 4 2 3" xfId="53078"/>
    <cellStyle name="Normal 203 4 3" xfId="53079"/>
    <cellStyle name="Normal 203 4 4" xfId="53080"/>
    <cellStyle name="Normal 203 5" xfId="53081"/>
    <cellStyle name="Normal 203 5 2" xfId="53082"/>
    <cellStyle name="Normal 203 5 3" xfId="53083"/>
    <cellStyle name="Normal 203 6" xfId="53084"/>
    <cellStyle name="Normal 203 6 2" xfId="53085"/>
    <cellStyle name="Normal 203 6 3" xfId="53086"/>
    <cellStyle name="Normal 203 7" xfId="53087"/>
    <cellStyle name="Normal 203 8" xfId="53088"/>
    <cellStyle name="Normal 204" xfId="53089"/>
    <cellStyle name="Normal 204 2" xfId="53090"/>
    <cellStyle name="Normal 204 2 2" xfId="53091"/>
    <cellStyle name="Normal 204 2 2 2" xfId="53092"/>
    <cellStyle name="Normal 204 2 2 2 2" xfId="53093"/>
    <cellStyle name="Normal 204 2 2 2 2 2" xfId="53094"/>
    <cellStyle name="Normal 204 2 2 2 2 3" xfId="53095"/>
    <cellStyle name="Normal 204 2 2 2 3" xfId="53096"/>
    <cellStyle name="Normal 204 2 2 2 4" xfId="53097"/>
    <cellStyle name="Normal 204 2 2 3" xfId="53098"/>
    <cellStyle name="Normal 204 2 2 3 2" xfId="53099"/>
    <cellStyle name="Normal 204 2 2 3 3" xfId="53100"/>
    <cellStyle name="Normal 204 2 2 4" xfId="53101"/>
    <cellStyle name="Normal 204 2 2 4 2" xfId="53102"/>
    <cellStyle name="Normal 204 2 2 4 3" xfId="53103"/>
    <cellStyle name="Normal 204 2 2 5" xfId="53104"/>
    <cellStyle name="Normal 204 2 2 6" xfId="53105"/>
    <cellStyle name="Normal 204 2 3" xfId="53106"/>
    <cellStyle name="Normal 204 2 3 2" xfId="53107"/>
    <cellStyle name="Normal 204 2 3 2 2" xfId="53108"/>
    <cellStyle name="Normal 204 2 3 2 2 2" xfId="53109"/>
    <cellStyle name="Normal 204 2 3 2 2 3" xfId="53110"/>
    <cellStyle name="Normal 204 2 3 2 3" xfId="53111"/>
    <cellStyle name="Normal 204 2 3 2 4" xfId="53112"/>
    <cellStyle name="Normal 204 2 3 3" xfId="53113"/>
    <cellStyle name="Normal 204 2 3 3 2" xfId="53114"/>
    <cellStyle name="Normal 204 2 3 3 3" xfId="53115"/>
    <cellStyle name="Normal 204 2 3 4" xfId="53116"/>
    <cellStyle name="Normal 204 2 3 4 2" xfId="53117"/>
    <cellStyle name="Normal 204 2 3 4 3" xfId="53118"/>
    <cellStyle name="Normal 204 2 3 5" xfId="53119"/>
    <cellStyle name="Normal 204 2 3 6" xfId="53120"/>
    <cellStyle name="Normal 204 2 4" xfId="53121"/>
    <cellStyle name="Normal 204 2 4 2" xfId="53122"/>
    <cellStyle name="Normal 204 2 4 2 2" xfId="53123"/>
    <cellStyle name="Normal 204 2 4 2 3" xfId="53124"/>
    <cellStyle name="Normal 204 2 4 3" xfId="53125"/>
    <cellStyle name="Normal 204 2 4 4" xfId="53126"/>
    <cellStyle name="Normal 204 2 5" xfId="53127"/>
    <cellStyle name="Normal 204 2 5 2" xfId="53128"/>
    <cellStyle name="Normal 204 2 5 3" xfId="53129"/>
    <cellStyle name="Normal 204 2 6" xfId="53130"/>
    <cellStyle name="Normal 204 2 6 2" xfId="53131"/>
    <cellStyle name="Normal 204 2 6 3" xfId="53132"/>
    <cellStyle name="Normal 204 2 7" xfId="53133"/>
    <cellStyle name="Normal 204 2 8" xfId="53134"/>
    <cellStyle name="Normal 204 3" xfId="53135"/>
    <cellStyle name="Normal 204 3 2" xfId="53136"/>
    <cellStyle name="Normal 204 3 2 2" xfId="53137"/>
    <cellStyle name="Normal 204 3 2 2 2" xfId="53138"/>
    <cellStyle name="Normal 204 3 2 2 3" xfId="53139"/>
    <cellStyle name="Normal 204 3 2 3" xfId="53140"/>
    <cellStyle name="Normal 204 3 2 4" xfId="53141"/>
    <cellStyle name="Normal 204 3 3" xfId="53142"/>
    <cellStyle name="Normal 204 3 3 2" xfId="53143"/>
    <cellStyle name="Normal 204 3 3 3" xfId="53144"/>
    <cellStyle name="Normal 204 3 4" xfId="53145"/>
    <cellStyle name="Normal 204 3 4 2" xfId="53146"/>
    <cellStyle name="Normal 204 3 4 3" xfId="53147"/>
    <cellStyle name="Normal 204 3 5" xfId="53148"/>
    <cellStyle name="Normal 204 3 6" xfId="53149"/>
    <cellStyle name="Normal 204 4" xfId="53150"/>
    <cellStyle name="Normal 204 4 2" xfId="53151"/>
    <cellStyle name="Normal 204 4 2 2" xfId="53152"/>
    <cellStyle name="Normal 204 4 2 2 2" xfId="53153"/>
    <cellStyle name="Normal 204 4 2 2 3" xfId="53154"/>
    <cellStyle name="Normal 204 4 2 3" xfId="53155"/>
    <cellStyle name="Normal 204 4 2 4" xfId="53156"/>
    <cellStyle name="Normal 204 4 3" xfId="53157"/>
    <cellStyle name="Normal 204 4 3 2" xfId="53158"/>
    <cellStyle name="Normal 204 4 3 3" xfId="53159"/>
    <cellStyle name="Normal 204 4 4" xfId="53160"/>
    <cellStyle name="Normal 204 4 4 2" xfId="53161"/>
    <cellStyle name="Normal 204 4 4 3" xfId="53162"/>
    <cellStyle name="Normal 204 4 5" xfId="53163"/>
    <cellStyle name="Normal 204 4 6" xfId="53164"/>
    <cellStyle name="Normal 204 5" xfId="53165"/>
    <cellStyle name="Normal 204 5 2" xfId="53166"/>
    <cellStyle name="Normal 204 5 2 2" xfId="53167"/>
    <cellStyle name="Normal 204 5 2 3" xfId="53168"/>
    <cellStyle name="Normal 204 5 3" xfId="53169"/>
    <cellStyle name="Normal 204 5 4" xfId="53170"/>
    <cellStyle name="Normal 204 6" xfId="53171"/>
    <cellStyle name="Normal 204 6 2" xfId="53172"/>
    <cellStyle name="Normal 204 6 3" xfId="53173"/>
    <cellStyle name="Normal 204 7" xfId="53174"/>
    <cellStyle name="Normal 204 7 2" xfId="53175"/>
    <cellStyle name="Normal 204 7 3" xfId="53176"/>
    <cellStyle name="Normal 204 8" xfId="53177"/>
    <cellStyle name="Normal 204 9" xfId="53178"/>
    <cellStyle name="Normal 205" xfId="53179"/>
    <cellStyle name="Normal 205 2" xfId="53180"/>
    <cellStyle name="Normal 205 3" xfId="53181"/>
    <cellStyle name="Normal 206" xfId="53182"/>
    <cellStyle name="Normal 206 2" xfId="53183"/>
    <cellStyle name="Normal 206 3" xfId="53184"/>
    <cellStyle name="Normal 207" xfId="53185"/>
    <cellStyle name="Normal 207 2" xfId="53186"/>
    <cellStyle name="Normal 207 3" xfId="53187"/>
    <cellStyle name="Normal 208" xfId="53188"/>
    <cellStyle name="Normal 208 2" xfId="53189"/>
    <cellStyle name="Normal 208 2 2" xfId="53190"/>
    <cellStyle name="Normal 208 2 2 2" xfId="53191"/>
    <cellStyle name="Normal 208 2 2 2 2" xfId="53192"/>
    <cellStyle name="Normal 208 2 2 2 3" xfId="53193"/>
    <cellStyle name="Normal 208 2 2 3" xfId="53194"/>
    <cellStyle name="Normal 208 2 2 4" xfId="53195"/>
    <cellStyle name="Normal 208 2 3" xfId="53196"/>
    <cellStyle name="Normal 208 2 3 2" xfId="53197"/>
    <cellStyle name="Normal 208 2 3 3" xfId="53198"/>
    <cellStyle name="Normal 208 2 4" xfId="53199"/>
    <cellStyle name="Normal 208 2 4 2" xfId="53200"/>
    <cellStyle name="Normal 208 2 4 3" xfId="53201"/>
    <cellStyle name="Normal 208 2 5" xfId="53202"/>
    <cellStyle name="Normal 208 2 6" xfId="53203"/>
    <cellStyle name="Normal 208 3" xfId="53204"/>
    <cellStyle name="Normal 208 3 2" xfId="53205"/>
    <cellStyle name="Normal 208 3 2 2" xfId="53206"/>
    <cellStyle name="Normal 208 3 2 2 2" xfId="53207"/>
    <cellStyle name="Normal 208 3 2 2 3" xfId="53208"/>
    <cellStyle name="Normal 208 3 2 3" xfId="53209"/>
    <cellStyle name="Normal 208 3 2 4" xfId="53210"/>
    <cellStyle name="Normal 208 3 3" xfId="53211"/>
    <cellStyle name="Normal 208 3 3 2" xfId="53212"/>
    <cellStyle name="Normal 208 3 3 3" xfId="53213"/>
    <cellStyle name="Normal 208 3 4" xfId="53214"/>
    <cellStyle name="Normal 208 3 4 2" xfId="53215"/>
    <cellStyle name="Normal 208 3 4 3" xfId="53216"/>
    <cellStyle name="Normal 208 3 5" xfId="53217"/>
    <cellStyle name="Normal 208 3 6" xfId="53218"/>
    <cellStyle name="Normal 208 4" xfId="53219"/>
    <cellStyle name="Normal 208 4 2" xfId="53220"/>
    <cellStyle name="Normal 208 4 2 2" xfId="53221"/>
    <cellStyle name="Normal 208 4 2 3" xfId="53222"/>
    <cellStyle name="Normal 208 4 3" xfId="53223"/>
    <cellStyle name="Normal 208 4 4" xfId="53224"/>
    <cellStyle name="Normal 208 5" xfId="53225"/>
    <cellStyle name="Normal 208 5 2" xfId="53226"/>
    <cellStyle name="Normal 208 5 3" xfId="53227"/>
    <cellStyle name="Normal 208 6" xfId="53228"/>
    <cellStyle name="Normal 208 6 2" xfId="53229"/>
    <cellStyle name="Normal 208 6 3" xfId="53230"/>
    <cellStyle name="Normal 208 7" xfId="53231"/>
    <cellStyle name="Normal 208 8" xfId="53232"/>
    <cellStyle name="Normal 209" xfId="53233"/>
    <cellStyle name="Normal 209 2" xfId="53234"/>
    <cellStyle name="Normal 209 3" xfId="53235"/>
    <cellStyle name="Normal 21" xfId="53236"/>
    <cellStyle name="Normal 21 10" xfId="53237"/>
    <cellStyle name="Normal 21 11" xfId="53238"/>
    <cellStyle name="Normal 21 2" xfId="53239"/>
    <cellStyle name="Normal 21 2 10" xfId="53240"/>
    <cellStyle name="Normal 21 2 2" xfId="53241"/>
    <cellStyle name="Normal 21 2 2 2" xfId="53242"/>
    <cellStyle name="Normal 21 2 2 2 2" xfId="53243"/>
    <cellStyle name="Normal 21 2 2 2 2 2" xfId="53244"/>
    <cellStyle name="Normal 21 2 2 2 2 2 2" xfId="53245"/>
    <cellStyle name="Normal 21 2 2 2 2 2 3" xfId="53246"/>
    <cellStyle name="Normal 21 2 2 2 2 3" xfId="53247"/>
    <cellStyle name="Normal 21 2 2 2 2 4" xfId="53248"/>
    <cellStyle name="Normal 21 2 2 2 3" xfId="53249"/>
    <cellStyle name="Normal 21 2 2 2 3 2" xfId="53250"/>
    <cellStyle name="Normal 21 2 2 2 3 3" xfId="53251"/>
    <cellStyle name="Normal 21 2 2 2 4" xfId="53252"/>
    <cellStyle name="Normal 21 2 2 2 4 2" xfId="53253"/>
    <cellStyle name="Normal 21 2 2 2 4 3" xfId="53254"/>
    <cellStyle name="Normal 21 2 2 2 5" xfId="53255"/>
    <cellStyle name="Normal 21 2 2 2 6" xfId="53256"/>
    <cellStyle name="Normal 21 2 2 3" xfId="53257"/>
    <cellStyle name="Normal 21 2 2 3 2" xfId="53258"/>
    <cellStyle name="Normal 21 2 2 3 2 2" xfId="53259"/>
    <cellStyle name="Normal 21 2 2 3 2 2 2" xfId="53260"/>
    <cellStyle name="Normal 21 2 2 3 2 2 3" xfId="53261"/>
    <cellStyle name="Normal 21 2 2 3 2 3" xfId="53262"/>
    <cellStyle name="Normal 21 2 2 3 2 4" xfId="53263"/>
    <cellStyle name="Normal 21 2 2 3 3" xfId="53264"/>
    <cellStyle name="Normal 21 2 2 3 3 2" xfId="53265"/>
    <cellStyle name="Normal 21 2 2 3 3 3" xfId="53266"/>
    <cellStyle name="Normal 21 2 2 3 4" xfId="53267"/>
    <cellStyle name="Normal 21 2 2 3 4 2" xfId="53268"/>
    <cellStyle name="Normal 21 2 2 3 4 3" xfId="53269"/>
    <cellStyle name="Normal 21 2 2 3 5" xfId="53270"/>
    <cellStyle name="Normal 21 2 2 3 6" xfId="53271"/>
    <cellStyle name="Normal 21 2 2 4" xfId="53272"/>
    <cellStyle name="Normal 21 2 2 4 2" xfId="53273"/>
    <cellStyle name="Normal 21 2 2 4 2 2" xfId="53274"/>
    <cellStyle name="Normal 21 2 2 4 2 3" xfId="53275"/>
    <cellStyle name="Normal 21 2 2 4 3" xfId="53276"/>
    <cellStyle name="Normal 21 2 2 4 4" xfId="53277"/>
    <cellStyle name="Normal 21 2 2 5" xfId="53278"/>
    <cellStyle name="Normal 21 2 2 5 2" xfId="53279"/>
    <cellStyle name="Normal 21 2 2 5 3" xfId="53280"/>
    <cellStyle name="Normal 21 2 2 6" xfId="53281"/>
    <cellStyle name="Normal 21 2 2 6 2" xfId="53282"/>
    <cellStyle name="Normal 21 2 2 6 3" xfId="53283"/>
    <cellStyle name="Normal 21 2 2 7" xfId="53284"/>
    <cellStyle name="Normal 21 2 2 8" xfId="53285"/>
    <cellStyle name="Normal 21 2 3" xfId="53286"/>
    <cellStyle name="Normal 21 2 3 2" xfId="53287"/>
    <cellStyle name="Normal 21 2 3 2 2" xfId="53288"/>
    <cellStyle name="Normal 21 2 3 2 2 2" xfId="53289"/>
    <cellStyle name="Normal 21 2 3 2 2 3" xfId="53290"/>
    <cellStyle name="Normal 21 2 3 2 3" xfId="53291"/>
    <cellStyle name="Normal 21 2 3 2 4" xfId="53292"/>
    <cellStyle name="Normal 21 2 3 3" xfId="53293"/>
    <cellStyle name="Normal 21 2 3 3 2" xfId="53294"/>
    <cellStyle name="Normal 21 2 3 3 3" xfId="53295"/>
    <cellStyle name="Normal 21 2 3 4" xfId="53296"/>
    <cellStyle name="Normal 21 2 3 4 2" xfId="53297"/>
    <cellStyle name="Normal 21 2 3 4 3" xfId="53298"/>
    <cellStyle name="Normal 21 2 3 5" xfId="53299"/>
    <cellStyle name="Normal 21 2 3 6" xfId="53300"/>
    <cellStyle name="Normal 21 2 4" xfId="53301"/>
    <cellStyle name="Normal 21 2 4 2" xfId="53302"/>
    <cellStyle name="Normal 21 2 4 2 2" xfId="53303"/>
    <cellStyle name="Normal 21 2 4 2 2 2" xfId="53304"/>
    <cellStyle name="Normal 21 2 4 2 2 3" xfId="53305"/>
    <cellStyle name="Normal 21 2 4 2 3" xfId="53306"/>
    <cellStyle name="Normal 21 2 4 2 4" xfId="53307"/>
    <cellStyle name="Normal 21 2 4 3" xfId="53308"/>
    <cellStyle name="Normal 21 2 4 3 2" xfId="53309"/>
    <cellStyle name="Normal 21 2 4 3 3" xfId="53310"/>
    <cellStyle name="Normal 21 2 4 4" xfId="53311"/>
    <cellStyle name="Normal 21 2 4 4 2" xfId="53312"/>
    <cellStyle name="Normal 21 2 4 4 3" xfId="53313"/>
    <cellStyle name="Normal 21 2 4 5" xfId="53314"/>
    <cellStyle name="Normal 21 2 4 6" xfId="53315"/>
    <cellStyle name="Normal 21 2 5" xfId="53316"/>
    <cellStyle name="Normal 21 2 5 2" xfId="53317"/>
    <cellStyle name="Normal 21 2 5 2 2" xfId="53318"/>
    <cellStyle name="Normal 21 2 5 2 3" xfId="53319"/>
    <cellStyle name="Normal 21 2 5 3" xfId="53320"/>
    <cellStyle name="Normal 21 2 5 4" xfId="53321"/>
    <cellStyle name="Normal 21 2 6" xfId="53322"/>
    <cellStyle name="Normal 21 2 6 2" xfId="53323"/>
    <cellStyle name="Normal 21 2 6 2 2" xfId="53324"/>
    <cellStyle name="Normal 21 2 6 2 3" xfId="53325"/>
    <cellStyle name="Normal 21 2 6 3" xfId="53326"/>
    <cellStyle name="Normal 21 2 6 4" xfId="53327"/>
    <cellStyle name="Normal 21 2 7" xfId="53328"/>
    <cellStyle name="Normal 21 2 7 2" xfId="53329"/>
    <cellStyle name="Normal 21 2 7 3" xfId="53330"/>
    <cellStyle name="Normal 21 2 8" xfId="53331"/>
    <cellStyle name="Normal 21 2 8 2" xfId="53332"/>
    <cellStyle name="Normal 21 2 8 3" xfId="53333"/>
    <cellStyle name="Normal 21 2 9" xfId="53334"/>
    <cellStyle name="Normal 21 3" xfId="53335"/>
    <cellStyle name="Normal 21 3 2" xfId="53336"/>
    <cellStyle name="Normal 21 3 2 2" xfId="53337"/>
    <cellStyle name="Normal 21 3 2 2 2" xfId="53338"/>
    <cellStyle name="Normal 21 3 2 2 2 2" xfId="53339"/>
    <cellStyle name="Normal 21 3 2 2 2 3" xfId="53340"/>
    <cellStyle name="Normal 21 3 2 2 3" xfId="53341"/>
    <cellStyle name="Normal 21 3 2 2 4" xfId="53342"/>
    <cellStyle name="Normal 21 3 2 3" xfId="53343"/>
    <cellStyle name="Normal 21 3 2 3 2" xfId="53344"/>
    <cellStyle name="Normal 21 3 2 3 3" xfId="53345"/>
    <cellStyle name="Normal 21 3 2 4" xfId="53346"/>
    <cellStyle name="Normal 21 3 2 4 2" xfId="53347"/>
    <cellStyle name="Normal 21 3 2 4 3" xfId="53348"/>
    <cellStyle name="Normal 21 3 2 5" xfId="53349"/>
    <cellStyle name="Normal 21 3 2 6" xfId="53350"/>
    <cellStyle name="Normal 21 3 3" xfId="53351"/>
    <cellStyle name="Normal 21 3 3 2" xfId="53352"/>
    <cellStyle name="Normal 21 3 3 2 2" xfId="53353"/>
    <cellStyle name="Normal 21 3 3 2 2 2" xfId="53354"/>
    <cellStyle name="Normal 21 3 3 2 2 3" xfId="53355"/>
    <cellStyle name="Normal 21 3 3 2 3" xfId="53356"/>
    <cellStyle name="Normal 21 3 3 2 4" xfId="53357"/>
    <cellStyle name="Normal 21 3 3 3" xfId="53358"/>
    <cellStyle name="Normal 21 3 3 3 2" xfId="53359"/>
    <cellStyle name="Normal 21 3 3 3 3" xfId="53360"/>
    <cellStyle name="Normal 21 3 3 4" xfId="53361"/>
    <cellStyle name="Normal 21 3 3 4 2" xfId="53362"/>
    <cellStyle name="Normal 21 3 3 4 3" xfId="53363"/>
    <cellStyle name="Normal 21 3 3 5" xfId="53364"/>
    <cellStyle name="Normal 21 3 3 6" xfId="53365"/>
    <cellStyle name="Normal 21 3 4" xfId="53366"/>
    <cellStyle name="Normal 21 3 4 2" xfId="53367"/>
    <cellStyle name="Normal 21 3 4 2 2" xfId="53368"/>
    <cellStyle name="Normal 21 3 4 2 3" xfId="53369"/>
    <cellStyle name="Normal 21 3 4 3" xfId="53370"/>
    <cellStyle name="Normal 21 3 4 4" xfId="53371"/>
    <cellStyle name="Normal 21 3 5" xfId="53372"/>
    <cellStyle name="Normal 21 3 5 2" xfId="53373"/>
    <cellStyle name="Normal 21 3 5 3" xfId="53374"/>
    <cellStyle name="Normal 21 3 6" xfId="53375"/>
    <cellStyle name="Normal 21 3 6 2" xfId="53376"/>
    <cellStyle name="Normal 21 3 6 3" xfId="53377"/>
    <cellStyle name="Normal 21 3 7" xfId="53378"/>
    <cellStyle name="Normal 21 3 8" xfId="53379"/>
    <cellStyle name="Normal 21 4" xfId="53380"/>
    <cellStyle name="Normal 21 4 2" xfId="53381"/>
    <cellStyle name="Normal 21 4 2 2" xfId="53382"/>
    <cellStyle name="Normal 21 4 2 2 2" xfId="53383"/>
    <cellStyle name="Normal 21 4 2 2 3" xfId="53384"/>
    <cellStyle name="Normal 21 4 2 3" xfId="53385"/>
    <cellStyle name="Normal 21 4 2 4" xfId="53386"/>
    <cellStyle name="Normal 21 4 3" xfId="53387"/>
    <cellStyle name="Normal 21 4 3 2" xfId="53388"/>
    <cellStyle name="Normal 21 4 3 3" xfId="53389"/>
    <cellStyle name="Normal 21 4 4" xfId="53390"/>
    <cellStyle name="Normal 21 4 4 2" xfId="53391"/>
    <cellStyle name="Normal 21 4 4 3" xfId="53392"/>
    <cellStyle name="Normal 21 4 5" xfId="53393"/>
    <cellStyle name="Normal 21 4 6" xfId="53394"/>
    <cellStyle name="Normal 21 5" xfId="53395"/>
    <cellStyle name="Normal 21 5 2" xfId="53396"/>
    <cellStyle name="Normal 21 5 2 2" xfId="53397"/>
    <cellStyle name="Normal 21 5 2 2 2" xfId="53398"/>
    <cellStyle name="Normal 21 5 2 2 3" xfId="53399"/>
    <cellStyle name="Normal 21 5 2 3" xfId="53400"/>
    <cellStyle name="Normal 21 5 2 4" xfId="53401"/>
    <cellStyle name="Normal 21 5 3" xfId="53402"/>
    <cellStyle name="Normal 21 5 3 2" xfId="53403"/>
    <cellStyle name="Normal 21 5 3 3" xfId="53404"/>
    <cellStyle name="Normal 21 5 4" xfId="53405"/>
    <cellStyle name="Normal 21 5 4 2" xfId="53406"/>
    <cellStyle name="Normal 21 5 4 3" xfId="53407"/>
    <cellStyle name="Normal 21 5 5" xfId="53408"/>
    <cellStyle name="Normal 21 5 6" xfId="53409"/>
    <cellStyle name="Normal 21 6" xfId="53410"/>
    <cellStyle name="Normal 21 6 2" xfId="53411"/>
    <cellStyle name="Normal 21 6 2 2" xfId="53412"/>
    <cellStyle name="Normal 21 6 2 3" xfId="53413"/>
    <cellStyle name="Normal 21 6 3" xfId="53414"/>
    <cellStyle name="Normal 21 6 4" xfId="53415"/>
    <cellStyle name="Normal 21 7" xfId="53416"/>
    <cellStyle name="Normal 21 7 2" xfId="53417"/>
    <cellStyle name="Normal 21 7 2 2" xfId="53418"/>
    <cellStyle name="Normal 21 7 2 3" xfId="53419"/>
    <cellStyle name="Normal 21 7 3" xfId="53420"/>
    <cellStyle name="Normal 21 7 4" xfId="53421"/>
    <cellStyle name="Normal 21 8" xfId="53422"/>
    <cellStyle name="Normal 21 8 2" xfId="53423"/>
    <cellStyle name="Normal 21 8 3" xfId="53424"/>
    <cellStyle name="Normal 21 9" xfId="53425"/>
    <cellStyle name="Normal 21 9 2" xfId="53426"/>
    <cellStyle name="Normal 21 9 3" xfId="53427"/>
    <cellStyle name="Normal 210" xfId="53428"/>
    <cellStyle name="Normal 210 2" xfId="53429"/>
    <cellStyle name="Normal 210 3" xfId="53430"/>
    <cellStyle name="Normal 211" xfId="53431"/>
    <cellStyle name="Normal 211 2" xfId="53432"/>
    <cellStyle name="Normal 211 3" xfId="53433"/>
    <cellStyle name="Normal 212" xfId="53434"/>
    <cellStyle name="Normal 212 2" xfId="53435"/>
    <cellStyle name="Normal 212 2 2" xfId="53436"/>
    <cellStyle name="Normal 212 2 2 2" xfId="53437"/>
    <cellStyle name="Normal 212 2 2 3" xfId="53438"/>
    <cellStyle name="Normal 212 2 3" xfId="53439"/>
    <cellStyle name="Normal 212 2 4" xfId="53440"/>
    <cellStyle name="Normal 212 3" xfId="53441"/>
    <cellStyle name="Normal 212 3 2" xfId="53442"/>
    <cellStyle name="Normal 212 3 3" xfId="53443"/>
    <cellStyle name="Normal 212 4" xfId="53444"/>
    <cellStyle name="Normal 212 4 2" xfId="53445"/>
    <cellStyle name="Normal 212 4 3" xfId="53446"/>
    <cellStyle name="Normal 212 5" xfId="53447"/>
    <cellStyle name="Normal 212 6" xfId="53448"/>
    <cellStyle name="Normal 213" xfId="53449"/>
    <cellStyle name="Normal 213 2" xfId="53450"/>
    <cellStyle name="Normal 213 2 2" xfId="53451"/>
    <cellStyle name="Normal 213 2 2 2" xfId="53452"/>
    <cellStyle name="Normal 213 2 2 3" xfId="53453"/>
    <cellStyle name="Normal 213 2 3" xfId="53454"/>
    <cellStyle name="Normal 213 2 4" xfId="53455"/>
    <cellStyle name="Normal 213 3" xfId="53456"/>
    <cellStyle name="Normal 213 3 2" xfId="53457"/>
    <cellStyle name="Normal 213 3 2 2" xfId="53458"/>
    <cellStyle name="Normal 213 3 2 3" xfId="53459"/>
    <cellStyle name="Normal 213 3 3" xfId="53460"/>
    <cellStyle name="Normal 213 3 4" xfId="53461"/>
    <cellStyle name="Normal 213 4" xfId="53462"/>
    <cellStyle name="Normal 213 4 2" xfId="53463"/>
    <cellStyle name="Normal 213 4 3" xfId="53464"/>
    <cellStyle name="Normal 213 5" xfId="53465"/>
    <cellStyle name="Normal 213 5 2" xfId="53466"/>
    <cellStyle name="Normal 213 5 3" xfId="53467"/>
    <cellStyle name="Normal 213 6" xfId="53468"/>
    <cellStyle name="Normal 213 7" xfId="53469"/>
    <cellStyle name="Normal 214" xfId="53470"/>
    <cellStyle name="Normal 214 2" xfId="53471"/>
    <cellStyle name="Normal 214 2 2" xfId="53472"/>
    <cellStyle name="Normal 214 2 3" xfId="53473"/>
    <cellStyle name="Normal 214 3" xfId="53474"/>
    <cellStyle name="Normal 214 4" xfId="53475"/>
    <cellStyle name="Normal 215" xfId="53476"/>
    <cellStyle name="Normal 215 2" xfId="53477"/>
    <cellStyle name="Normal 215 3" xfId="53478"/>
    <cellStyle name="Normal 216" xfId="53479"/>
    <cellStyle name="Normal 216 2" xfId="53480"/>
    <cellStyle name="Normal 216 3" xfId="53481"/>
    <cellStyle name="Normal 217" xfId="53482"/>
    <cellStyle name="Normal 217 2" xfId="53483"/>
    <cellStyle name="Normal 217 2 2" xfId="53484"/>
    <cellStyle name="Normal 217 2 3" xfId="53485"/>
    <cellStyle name="Normal 217 2 4" xfId="53486"/>
    <cellStyle name="Normal 217 3" xfId="53487"/>
    <cellStyle name="Normal 217 3 2" xfId="53488"/>
    <cellStyle name="Normal 217 3 3" xfId="53489"/>
    <cellStyle name="Normal 217 4" xfId="53490"/>
    <cellStyle name="Normal 217 4 2" xfId="53491"/>
    <cellStyle name="Normal 217 4 3" xfId="53492"/>
    <cellStyle name="Normal 217 5" xfId="53493"/>
    <cellStyle name="Normal 217 6" xfId="53494"/>
    <cellStyle name="Normal 217 7" xfId="53495"/>
    <cellStyle name="Normal 218" xfId="53496"/>
    <cellStyle name="Normal 218 2" xfId="53497"/>
    <cellStyle name="Normal 218 3" xfId="53498"/>
    <cellStyle name="Normal 218 4" xfId="53499"/>
    <cellStyle name="Normal 218 5" xfId="53500"/>
    <cellStyle name="Normal 219" xfId="53501"/>
    <cellStyle name="Normal 219 2" xfId="53502"/>
    <cellStyle name="Normal 219 2 2" xfId="53503"/>
    <cellStyle name="Normal 219 2 3" xfId="53504"/>
    <cellStyle name="Normal 219 3" xfId="53505"/>
    <cellStyle name="Normal 219 4" xfId="53506"/>
    <cellStyle name="Normal 219 5" xfId="53507"/>
    <cellStyle name="Normal 219 6" xfId="53508"/>
    <cellStyle name="Normal 22" xfId="53509"/>
    <cellStyle name="Normal 22 10" xfId="53510"/>
    <cellStyle name="Normal 22 11" xfId="53511"/>
    <cellStyle name="Normal 22 12" xfId="53512"/>
    <cellStyle name="Normal 22 2" xfId="53513"/>
    <cellStyle name="Normal 22 2 10" xfId="53514"/>
    <cellStyle name="Normal 22 2 2" xfId="53515"/>
    <cellStyle name="Normal 22 2 2 2" xfId="53516"/>
    <cellStyle name="Normal 22 2 2 2 2" xfId="53517"/>
    <cellStyle name="Normal 22 2 2 2 2 2" xfId="53518"/>
    <cellStyle name="Normal 22 2 2 2 2 2 2" xfId="53519"/>
    <cellStyle name="Normal 22 2 2 2 2 2 3" xfId="53520"/>
    <cellStyle name="Normal 22 2 2 2 2 3" xfId="53521"/>
    <cellStyle name="Normal 22 2 2 2 2 4" xfId="53522"/>
    <cellStyle name="Normal 22 2 2 2 3" xfId="53523"/>
    <cellStyle name="Normal 22 2 2 2 3 2" xfId="53524"/>
    <cellStyle name="Normal 22 2 2 2 3 3" xfId="53525"/>
    <cellStyle name="Normal 22 2 2 2 4" xfId="53526"/>
    <cellStyle name="Normal 22 2 2 2 4 2" xfId="53527"/>
    <cellStyle name="Normal 22 2 2 2 4 3" xfId="53528"/>
    <cellStyle name="Normal 22 2 2 2 5" xfId="53529"/>
    <cellStyle name="Normal 22 2 2 2 6" xfId="53530"/>
    <cellStyle name="Normal 22 2 2 3" xfId="53531"/>
    <cellStyle name="Normal 22 2 2 3 2" xfId="53532"/>
    <cellStyle name="Normal 22 2 2 3 2 2" xfId="53533"/>
    <cellStyle name="Normal 22 2 2 3 2 2 2" xfId="53534"/>
    <cellStyle name="Normal 22 2 2 3 2 2 3" xfId="53535"/>
    <cellStyle name="Normal 22 2 2 3 2 3" xfId="53536"/>
    <cellStyle name="Normal 22 2 2 3 2 4" xfId="53537"/>
    <cellStyle name="Normal 22 2 2 3 3" xfId="53538"/>
    <cellStyle name="Normal 22 2 2 3 3 2" xfId="53539"/>
    <cellStyle name="Normal 22 2 2 3 3 3" xfId="53540"/>
    <cellStyle name="Normal 22 2 2 3 4" xfId="53541"/>
    <cellStyle name="Normal 22 2 2 3 4 2" xfId="53542"/>
    <cellStyle name="Normal 22 2 2 3 4 3" xfId="53543"/>
    <cellStyle name="Normal 22 2 2 3 5" xfId="53544"/>
    <cellStyle name="Normal 22 2 2 3 6" xfId="53545"/>
    <cellStyle name="Normal 22 2 2 4" xfId="53546"/>
    <cellStyle name="Normal 22 2 2 4 2" xfId="53547"/>
    <cellStyle name="Normal 22 2 2 4 2 2" xfId="53548"/>
    <cellStyle name="Normal 22 2 2 4 2 3" xfId="53549"/>
    <cellStyle name="Normal 22 2 2 4 3" xfId="53550"/>
    <cellStyle name="Normal 22 2 2 4 4" xfId="53551"/>
    <cellStyle name="Normal 22 2 2 5" xfId="53552"/>
    <cellStyle name="Normal 22 2 2 5 2" xfId="53553"/>
    <cellStyle name="Normal 22 2 2 5 3" xfId="53554"/>
    <cellStyle name="Normal 22 2 2 6" xfId="53555"/>
    <cellStyle name="Normal 22 2 2 6 2" xfId="53556"/>
    <cellStyle name="Normal 22 2 2 6 3" xfId="53557"/>
    <cellStyle name="Normal 22 2 2 7" xfId="53558"/>
    <cellStyle name="Normal 22 2 2 8" xfId="53559"/>
    <cellStyle name="Normal 22 2 3" xfId="53560"/>
    <cellStyle name="Normal 22 2 3 2" xfId="53561"/>
    <cellStyle name="Normal 22 2 3 2 2" xfId="53562"/>
    <cellStyle name="Normal 22 2 3 2 2 2" xfId="53563"/>
    <cellStyle name="Normal 22 2 3 2 2 3" xfId="53564"/>
    <cellStyle name="Normal 22 2 3 2 3" xfId="53565"/>
    <cellStyle name="Normal 22 2 3 2 4" xfId="53566"/>
    <cellStyle name="Normal 22 2 3 3" xfId="53567"/>
    <cellStyle name="Normal 22 2 3 3 2" xfId="53568"/>
    <cellStyle name="Normal 22 2 3 3 3" xfId="53569"/>
    <cellStyle name="Normal 22 2 3 4" xfId="53570"/>
    <cellStyle name="Normal 22 2 3 4 2" xfId="53571"/>
    <cellStyle name="Normal 22 2 3 4 3" xfId="53572"/>
    <cellStyle name="Normal 22 2 3 5" xfId="53573"/>
    <cellStyle name="Normal 22 2 3 6" xfId="53574"/>
    <cellStyle name="Normal 22 2 4" xfId="53575"/>
    <cellStyle name="Normal 22 2 4 2" xfId="53576"/>
    <cellStyle name="Normal 22 2 4 2 2" xfId="53577"/>
    <cellStyle name="Normal 22 2 4 2 2 2" xfId="53578"/>
    <cellStyle name="Normal 22 2 4 2 2 3" xfId="53579"/>
    <cellStyle name="Normal 22 2 4 2 3" xfId="53580"/>
    <cellStyle name="Normal 22 2 4 2 4" xfId="53581"/>
    <cellStyle name="Normal 22 2 4 3" xfId="53582"/>
    <cellStyle name="Normal 22 2 4 3 2" xfId="53583"/>
    <cellStyle name="Normal 22 2 4 3 3" xfId="53584"/>
    <cellStyle name="Normal 22 2 4 4" xfId="53585"/>
    <cellStyle name="Normal 22 2 4 4 2" xfId="53586"/>
    <cellStyle name="Normal 22 2 4 4 3" xfId="53587"/>
    <cellStyle name="Normal 22 2 4 5" xfId="53588"/>
    <cellStyle name="Normal 22 2 4 6" xfId="53589"/>
    <cellStyle name="Normal 22 2 5" xfId="53590"/>
    <cellStyle name="Normal 22 2 5 2" xfId="53591"/>
    <cellStyle name="Normal 22 2 5 2 2" xfId="53592"/>
    <cellStyle name="Normal 22 2 5 2 3" xfId="53593"/>
    <cellStyle name="Normal 22 2 5 3" xfId="53594"/>
    <cellStyle name="Normal 22 2 5 4" xfId="53595"/>
    <cellStyle name="Normal 22 2 6" xfId="53596"/>
    <cellStyle name="Normal 22 2 6 2" xfId="53597"/>
    <cellStyle name="Normal 22 2 6 2 2" xfId="53598"/>
    <cellStyle name="Normal 22 2 6 2 3" xfId="53599"/>
    <cellStyle name="Normal 22 2 6 3" xfId="53600"/>
    <cellStyle name="Normal 22 2 6 4" xfId="53601"/>
    <cellStyle name="Normal 22 2 7" xfId="53602"/>
    <cellStyle name="Normal 22 2 7 2" xfId="53603"/>
    <cellStyle name="Normal 22 2 7 3" xfId="53604"/>
    <cellStyle name="Normal 22 2 8" xfId="53605"/>
    <cellStyle name="Normal 22 2 8 2" xfId="53606"/>
    <cellStyle name="Normal 22 2 8 3" xfId="53607"/>
    <cellStyle name="Normal 22 2 9" xfId="53608"/>
    <cellStyle name="Normal 22 3" xfId="53609"/>
    <cellStyle name="Normal 22 3 2" xfId="53610"/>
    <cellStyle name="Normal 22 3 2 2" xfId="53611"/>
    <cellStyle name="Normal 22 3 2 2 2" xfId="53612"/>
    <cellStyle name="Normal 22 3 2 2 2 2" xfId="53613"/>
    <cellStyle name="Normal 22 3 2 2 2 3" xfId="53614"/>
    <cellStyle name="Normal 22 3 2 2 3" xfId="53615"/>
    <cellStyle name="Normal 22 3 2 2 4" xfId="53616"/>
    <cellStyle name="Normal 22 3 2 3" xfId="53617"/>
    <cellStyle name="Normal 22 3 2 3 2" xfId="53618"/>
    <cellStyle name="Normal 22 3 2 3 3" xfId="53619"/>
    <cellStyle name="Normal 22 3 2 4" xfId="53620"/>
    <cellStyle name="Normal 22 3 2 4 2" xfId="53621"/>
    <cellStyle name="Normal 22 3 2 4 3" xfId="53622"/>
    <cellStyle name="Normal 22 3 2 5" xfId="53623"/>
    <cellStyle name="Normal 22 3 2 6" xfId="53624"/>
    <cellStyle name="Normal 22 3 3" xfId="53625"/>
    <cellStyle name="Normal 22 3 3 2" xfId="53626"/>
    <cellStyle name="Normal 22 3 3 2 2" xfId="53627"/>
    <cellStyle name="Normal 22 3 3 2 2 2" xfId="53628"/>
    <cellStyle name="Normal 22 3 3 2 2 3" xfId="53629"/>
    <cellStyle name="Normal 22 3 3 2 3" xfId="53630"/>
    <cellStyle name="Normal 22 3 3 2 4" xfId="53631"/>
    <cellStyle name="Normal 22 3 3 3" xfId="53632"/>
    <cellStyle name="Normal 22 3 3 3 2" xfId="53633"/>
    <cellStyle name="Normal 22 3 3 3 3" xfId="53634"/>
    <cellStyle name="Normal 22 3 3 4" xfId="53635"/>
    <cellStyle name="Normal 22 3 3 4 2" xfId="53636"/>
    <cellStyle name="Normal 22 3 3 4 3" xfId="53637"/>
    <cellStyle name="Normal 22 3 3 5" xfId="53638"/>
    <cellStyle name="Normal 22 3 3 6" xfId="53639"/>
    <cellStyle name="Normal 22 3 4" xfId="53640"/>
    <cellStyle name="Normal 22 3 4 2" xfId="53641"/>
    <cellStyle name="Normal 22 3 4 2 2" xfId="53642"/>
    <cellStyle name="Normal 22 3 4 2 3" xfId="53643"/>
    <cellStyle name="Normal 22 3 4 3" xfId="53644"/>
    <cellStyle name="Normal 22 3 4 4" xfId="53645"/>
    <cellStyle name="Normal 22 3 5" xfId="53646"/>
    <cellStyle name="Normal 22 3 5 2" xfId="53647"/>
    <cellStyle name="Normal 22 3 5 3" xfId="53648"/>
    <cellStyle name="Normal 22 3 6" xfId="53649"/>
    <cellStyle name="Normal 22 3 6 2" xfId="53650"/>
    <cellStyle name="Normal 22 3 6 3" xfId="53651"/>
    <cellStyle name="Normal 22 3 7" xfId="53652"/>
    <cellStyle name="Normal 22 3 8" xfId="53653"/>
    <cellStyle name="Normal 22 4" xfId="53654"/>
    <cellStyle name="Normal 22 4 2" xfId="53655"/>
    <cellStyle name="Normal 22 4 2 2" xfId="53656"/>
    <cellStyle name="Normal 22 4 2 2 2" xfId="53657"/>
    <cellStyle name="Normal 22 4 2 2 3" xfId="53658"/>
    <cellStyle name="Normal 22 4 2 3" xfId="53659"/>
    <cellStyle name="Normal 22 4 2 4" xfId="53660"/>
    <cellStyle name="Normal 22 4 3" xfId="53661"/>
    <cellStyle name="Normal 22 4 3 2" xfId="53662"/>
    <cellStyle name="Normal 22 4 3 3" xfId="53663"/>
    <cellStyle name="Normal 22 4 4" xfId="53664"/>
    <cellStyle name="Normal 22 4 4 2" xfId="53665"/>
    <cellStyle name="Normal 22 4 4 3" xfId="53666"/>
    <cellStyle name="Normal 22 4 5" xfId="53667"/>
    <cellStyle name="Normal 22 4 6" xfId="53668"/>
    <cellStyle name="Normal 22 5" xfId="53669"/>
    <cellStyle name="Normal 22 5 2" xfId="53670"/>
    <cellStyle name="Normal 22 5 2 2" xfId="53671"/>
    <cellStyle name="Normal 22 5 2 2 2" xfId="53672"/>
    <cellStyle name="Normal 22 5 2 2 3" xfId="53673"/>
    <cellStyle name="Normal 22 5 2 3" xfId="53674"/>
    <cellStyle name="Normal 22 5 2 4" xfId="53675"/>
    <cellStyle name="Normal 22 5 3" xfId="53676"/>
    <cellStyle name="Normal 22 5 3 2" xfId="53677"/>
    <cellStyle name="Normal 22 5 3 3" xfId="53678"/>
    <cellStyle name="Normal 22 5 4" xfId="53679"/>
    <cellStyle name="Normal 22 5 4 2" xfId="53680"/>
    <cellStyle name="Normal 22 5 4 3" xfId="53681"/>
    <cellStyle name="Normal 22 5 5" xfId="53682"/>
    <cellStyle name="Normal 22 5 6" xfId="53683"/>
    <cellStyle name="Normal 22 6" xfId="53684"/>
    <cellStyle name="Normal 22 6 2" xfId="53685"/>
    <cellStyle name="Normal 22 6 2 2" xfId="53686"/>
    <cellStyle name="Normal 22 6 2 3" xfId="53687"/>
    <cellStyle name="Normal 22 6 3" xfId="53688"/>
    <cellStyle name="Normal 22 6 4" xfId="53689"/>
    <cellStyle name="Normal 22 7" xfId="53690"/>
    <cellStyle name="Normal 22 7 2" xfId="53691"/>
    <cellStyle name="Normal 22 7 2 2" xfId="53692"/>
    <cellStyle name="Normal 22 7 2 3" xfId="53693"/>
    <cellStyle name="Normal 22 7 3" xfId="53694"/>
    <cellStyle name="Normal 22 7 4" xfId="53695"/>
    <cellStyle name="Normal 22 8" xfId="53696"/>
    <cellStyle name="Normal 22 8 2" xfId="53697"/>
    <cellStyle name="Normal 22 8 3" xfId="53698"/>
    <cellStyle name="Normal 22 9" xfId="53699"/>
    <cellStyle name="Normal 22 9 2" xfId="53700"/>
    <cellStyle name="Normal 22 9 3" xfId="53701"/>
    <cellStyle name="Normal 220" xfId="53702"/>
    <cellStyle name="Normal 220 2" xfId="53703"/>
    <cellStyle name="Normal 220 2 2" xfId="53704"/>
    <cellStyle name="Normal 220 2 3" xfId="53705"/>
    <cellStyle name="Normal 220 3" xfId="53706"/>
    <cellStyle name="Normal 220 4" xfId="53707"/>
    <cellStyle name="Normal 220 5" xfId="53708"/>
    <cellStyle name="Normal 220 6" xfId="53709"/>
    <cellStyle name="Normal 221" xfId="53710"/>
    <cellStyle name="Normal 221 2" xfId="53711"/>
    <cellStyle name="Normal 221 2 2" xfId="53712"/>
    <cellStyle name="Normal 221 2 3" xfId="53713"/>
    <cellStyle name="Normal 221 3" xfId="53714"/>
    <cellStyle name="Normal 221 4" xfId="53715"/>
    <cellStyle name="Normal 221 5" xfId="53716"/>
    <cellStyle name="Normal 221 6" xfId="53717"/>
    <cellStyle name="Normal 222" xfId="53718"/>
    <cellStyle name="Normal 222 2" xfId="53719"/>
    <cellStyle name="Normal 222 2 2" xfId="53720"/>
    <cellStyle name="Normal 222 2 3" xfId="53721"/>
    <cellStyle name="Normal 222 3" xfId="53722"/>
    <cellStyle name="Normal 222 4" xfId="53723"/>
    <cellStyle name="Normal 222 5" xfId="53724"/>
    <cellStyle name="Normal 222 6" xfId="53725"/>
    <cellStyle name="Normal 223" xfId="53726"/>
    <cellStyle name="Normal 223 2" xfId="53727"/>
    <cellStyle name="Normal 223 2 2" xfId="53728"/>
    <cellStyle name="Normal 223 2 3" xfId="53729"/>
    <cellStyle name="Normal 223 3" xfId="53730"/>
    <cellStyle name="Normal 223 4" xfId="53731"/>
    <cellStyle name="Normal 223 5" xfId="53732"/>
    <cellStyle name="Normal 223 6" xfId="53733"/>
    <cellStyle name="Normal 224" xfId="53734"/>
    <cellStyle name="Normal 224 2" xfId="53735"/>
    <cellStyle name="Normal 224 2 2" xfId="53736"/>
    <cellStyle name="Normal 224 2 3" xfId="53737"/>
    <cellStyle name="Normal 224 3" xfId="53738"/>
    <cellStyle name="Normal 224 3 2" xfId="53739"/>
    <cellStyle name="Normal 224 3 3" xfId="53740"/>
    <cellStyle name="Normal 224 4" xfId="53741"/>
    <cellStyle name="Normal 224 5" xfId="53742"/>
    <cellStyle name="Normal 224 6" xfId="53743"/>
    <cellStyle name="Normal 224 7" xfId="53744"/>
    <cellStyle name="Normal 225" xfId="53745"/>
    <cellStyle name="Normal 225 2" xfId="53746"/>
    <cellStyle name="Normal 225 2 2" xfId="53747"/>
    <cellStyle name="Normal 225 2 3" xfId="53748"/>
    <cellStyle name="Normal 225 3" xfId="53749"/>
    <cellStyle name="Normal 225 4" xfId="53750"/>
    <cellStyle name="Normal 225 5" xfId="53751"/>
    <cellStyle name="Normal 225 6" xfId="53752"/>
    <cellStyle name="Normal 226" xfId="53753"/>
    <cellStyle name="Normal 226 2" xfId="53754"/>
    <cellStyle name="Normal 226 2 2" xfId="53755"/>
    <cellStyle name="Normal 226 2 3" xfId="53756"/>
    <cellStyle name="Normal 226 3" xfId="53757"/>
    <cellStyle name="Normal 226 3 2" xfId="53758"/>
    <cellStyle name="Normal 226 3 3" xfId="53759"/>
    <cellStyle name="Normal 226 4" xfId="53760"/>
    <cellStyle name="Normal 226 5" xfId="53761"/>
    <cellStyle name="Normal 226 6" xfId="53762"/>
    <cellStyle name="Normal 226 7" xfId="53763"/>
    <cellStyle name="Normal 227" xfId="53764"/>
    <cellStyle name="Normal 227 2" xfId="53765"/>
    <cellStyle name="Normal 227 2 2" xfId="53766"/>
    <cellStyle name="Normal 227 2 3" xfId="53767"/>
    <cellStyle name="Normal 227 3" xfId="53768"/>
    <cellStyle name="Normal 227 4" xfId="53769"/>
    <cellStyle name="Normal 227 5" xfId="53770"/>
    <cellStyle name="Normal 227 6" xfId="53771"/>
    <cellStyle name="Normal 228" xfId="53772"/>
    <cellStyle name="Normal 228 2" xfId="53773"/>
    <cellStyle name="Normal 228 2 2" xfId="53774"/>
    <cellStyle name="Normal 228 2 3" xfId="53775"/>
    <cellStyle name="Normal 228 3" xfId="53776"/>
    <cellStyle name="Normal 228 4" xfId="53777"/>
    <cellStyle name="Normal 228 5" xfId="53778"/>
    <cellStyle name="Normal 228 6" xfId="53779"/>
    <cellStyle name="Normal 229" xfId="53780"/>
    <cellStyle name="Normal 229 2" xfId="53781"/>
    <cellStyle name="Normal 229 2 2" xfId="53782"/>
    <cellStyle name="Normal 229 2 3" xfId="53783"/>
    <cellStyle name="Normal 229 3" xfId="53784"/>
    <cellStyle name="Normal 229 4" xfId="53785"/>
    <cellStyle name="Normal 229 5" xfId="53786"/>
    <cellStyle name="Normal 229 6" xfId="53787"/>
    <cellStyle name="Normal 23" xfId="53788"/>
    <cellStyle name="Normal 23 10" xfId="53789"/>
    <cellStyle name="Normal 23 11" xfId="53790"/>
    <cellStyle name="Normal 23 12" xfId="53791"/>
    <cellStyle name="Normal 23 2" xfId="53792"/>
    <cellStyle name="Normal 23 2 10" xfId="53793"/>
    <cellStyle name="Normal 23 2 2" xfId="53794"/>
    <cellStyle name="Normal 23 2 2 2" xfId="53795"/>
    <cellStyle name="Normal 23 2 2 2 2" xfId="53796"/>
    <cellStyle name="Normal 23 2 2 2 2 2" xfId="53797"/>
    <cellStyle name="Normal 23 2 2 2 2 2 2" xfId="53798"/>
    <cellStyle name="Normal 23 2 2 2 2 2 3" xfId="53799"/>
    <cellStyle name="Normal 23 2 2 2 2 3" xfId="53800"/>
    <cellStyle name="Normal 23 2 2 2 2 4" xfId="53801"/>
    <cellStyle name="Normal 23 2 2 2 3" xfId="53802"/>
    <cellStyle name="Normal 23 2 2 2 3 2" xfId="53803"/>
    <cellStyle name="Normal 23 2 2 2 3 3" xfId="53804"/>
    <cellStyle name="Normal 23 2 2 2 4" xfId="53805"/>
    <cellStyle name="Normal 23 2 2 2 4 2" xfId="53806"/>
    <cellStyle name="Normal 23 2 2 2 4 3" xfId="53807"/>
    <cellStyle name="Normal 23 2 2 2 5" xfId="53808"/>
    <cellStyle name="Normal 23 2 2 2 6" xfId="53809"/>
    <cellStyle name="Normal 23 2 2 3" xfId="53810"/>
    <cellStyle name="Normal 23 2 2 3 2" xfId="53811"/>
    <cellStyle name="Normal 23 2 2 3 2 2" xfId="53812"/>
    <cellStyle name="Normal 23 2 2 3 2 2 2" xfId="53813"/>
    <cellStyle name="Normal 23 2 2 3 2 2 3" xfId="53814"/>
    <cellStyle name="Normal 23 2 2 3 2 3" xfId="53815"/>
    <cellStyle name="Normal 23 2 2 3 2 4" xfId="53816"/>
    <cellStyle name="Normal 23 2 2 3 3" xfId="53817"/>
    <cellStyle name="Normal 23 2 2 3 3 2" xfId="53818"/>
    <cellStyle name="Normal 23 2 2 3 3 3" xfId="53819"/>
    <cellStyle name="Normal 23 2 2 3 4" xfId="53820"/>
    <cellStyle name="Normal 23 2 2 3 4 2" xfId="53821"/>
    <cellStyle name="Normal 23 2 2 3 4 3" xfId="53822"/>
    <cellStyle name="Normal 23 2 2 3 5" xfId="53823"/>
    <cellStyle name="Normal 23 2 2 3 6" xfId="53824"/>
    <cellStyle name="Normal 23 2 2 4" xfId="53825"/>
    <cellStyle name="Normal 23 2 2 4 2" xfId="53826"/>
    <cellStyle name="Normal 23 2 2 4 2 2" xfId="53827"/>
    <cellStyle name="Normal 23 2 2 4 2 3" xfId="53828"/>
    <cellStyle name="Normal 23 2 2 4 3" xfId="53829"/>
    <cellStyle name="Normal 23 2 2 4 4" xfId="53830"/>
    <cellStyle name="Normal 23 2 2 5" xfId="53831"/>
    <cellStyle name="Normal 23 2 2 5 2" xfId="53832"/>
    <cellStyle name="Normal 23 2 2 5 3" xfId="53833"/>
    <cellStyle name="Normal 23 2 2 6" xfId="53834"/>
    <cellStyle name="Normal 23 2 2 6 2" xfId="53835"/>
    <cellStyle name="Normal 23 2 2 6 3" xfId="53836"/>
    <cellStyle name="Normal 23 2 2 7" xfId="53837"/>
    <cellStyle name="Normal 23 2 2 8" xfId="53838"/>
    <cellStyle name="Normal 23 2 3" xfId="53839"/>
    <cellStyle name="Normal 23 2 3 2" xfId="53840"/>
    <cellStyle name="Normal 23 2 3 2 2" xfId="53841"/>
    <cellStyle name="Normal 23 2 3 2 2 2" xfId="53842"/>
    <cellStyle name="Normal 23 2 3 2 2 3" xfId="53843"/>
    <cellStyle name="Normal 23 2 3 2 3" xfId="53844"/>
    <cellStyle name="Normal 23 2 3 2 4" xfId="53845"/>
    <cellStyle name="Normal 23 2 3 3" xfId="53846"/>
    <cellStyle name="Normal 23 2 3 3 2" xfId="53847"/>
    <cellStyle name="Normal 23 2 3 3 3" xfId="53848"/>
    <cellStyle name="Normal 23 2 3 4" xfId="53849"/>
    <cellStyle name="Normal 23 2 3 4 2" xfId="53850"/>
    <cellStyle name="Normal 23 2 3 4 3" xfId="53851"/>
    <cellStyle name="Normal 23 2 3 5" xfId="53852"/>
    <cellStyle name="Normal 23 2 3 6" xfId="53853"/>
    <cellStyle name="Normal 23 2 4" xfId="53854"/>
    <cellStyle name="Normal 23 2 4 2" xfId="53855"/>
    <cellStyle name="Normal 23 2 4 2 2" xfId="53856"/>
    <cellStyle name="Normal 23 2 4 2 2 2" xfId="53857"/>
    <cellStyle name="Normal 23 2 4 2 2 3" xfId="53858"/>
    <cellStyle name="Normal 23 2 4 2 3" xfId="53859"/>
    <cellStyle name="Normal 23 2 4 2 4" xfId="53860"/>
    <cellStyle name="Normal 23 2 4 3" xfId="53861"/>
    <cellStyle name="Normal 23 2 4 3 2" xfId="53862"/>
    <cellStyle name="Normal 23 2 4 3 3" xfId="53863"/>
    <cellStyle name="Normal 23 2 4 4" xfId="53864"/>
    <cellStyle name="Normal 23 2 4 4 2" xfId="53865"/>
    <cellStyle name="Normal 23 2 4 4 3" xfId="53866"/>
    <cellStyle name="Normal 23 2 4 5" xfId="53867"/>
    <cellStyle name="Normal 23 2 4 6" xfId="53868"/>
    <cellStyle name="Normal 23 2 5" xfId="53869"/>
    <cellStyle name="Normal 23 2 5 2" xfId="53870"/>
    <cellStyle name="Normal 23 2 5 2 2" xfId="53871"/>
    <cellStyle name="Normal 23 2 5 2 3" xfId="53872"/>
    <cellStyle name="Normal 23 2 5 3" xfId="53873"/>
    <cellStyle name="Normal 23 2 5 4" xfId="53874"/>
    <cellStyle name="Normal 23 2 6" xfId="53875"/>
    <cellStyle name="Normal 23 2 6 2" xfId="53876"/>
    <cellStyle name="Normal 23 2 6 2 2" xfId="53877"/>
    <cellStyle name="Normal 23 2 6 2 3" xfId="53878"/>
    <cellStyle name="Normal 23 2 6 3" xfId="53879"/>
    <cellStyle name="Normal 23 2 6 4" xfId="53880"/>
    <cellStyle name="Normal 23 2 7" xfId="53881"/>
    <cellStyle name="Normal 23 2 7 2" xfId="53882"/>
    <cellStyle name="Normal 23 2 7 3" xfId="53883"/>
    <cellStyle name="Normal 23 2 8" xfId="53884"/>
    <cellStyle name="Normal 23 2 8 2" xfId="53885"/>
    <cellStyle name="Normal 23 2 8 3" xfId="53886"/>
    <cellStyle name="Normal 23 2 9" xfId="53887"/>
    <cellStyle name="Normal 23 3" xfId="53888"/>
    <cellStyle name="Normal 23 3 2" xfId="53889"/>
    <cellStyle name="Normal 23 3 2 2" xfId="53890"/>
    <cellStyle name="Normal 23 3 2 2 2" xfId="53891"/>
    <cellStyle name="Normal 23 3 2 2 2 2" xfId="53892"/>
    <cellStyle name="Normal 23 3 2 2 2 3" xfId="53893"/>
    <cellStyle name="Normal 23 3 2 2 3" xfId="53894"/>
    <cellStyle name="Normal 23 3 2 2 4" xfId="53895"/>
    <cellStyle name="Normal 23 3 2 3" xfId="53896"/>
    <cellStyle name="Normal 23 3 2 3 2" xfId="53897"/>
    <cellStyle name="Normal 23 3 2 3 3" xfId="53898"/>
    <cellStyle name="Normal 23 3 2 4" xfId="53899"/>
    <cellStyle name="Normal 23 3 2 4 2" xfId="53900"/>
    <cellStyle name="Normal 23 3 2 4 3" xfId="53901"/>
    <cellStyle name="Normal 23 3 2 5" xfId="53902"/>
    <cellStyle name="Normal 23 3 2 6" xfId="53903"/>
    <cellStyle name="Normal 23 3 3" xfId="53904"/>
    <cellStyle name="Normal 23 3 3 2" xfId="53905"/>
    <cellStyle name="Normal 23 3 3 2 2" xfId="53906"/>
    <cellStyle name="Normal 23 3 3 2 2 2" xfId="53907"/>
    <cellStyle name="Normal 23 3 3 2 2 3" xfId="53908"/>
    <cellStyle name="Normal 23 3 3 2 3" xfId="53909"/>
    <cellStyle name="Normal 23 3 3 2 4" xfId="53910"/>
    <cellStyle name="Normal 23 3 3 3" xfId="53911"/>
    <cellStyle name="Normal 23 3 3 3 2" xfId="53912"/>
    <cellStyle name="Normal 23 3 3 3 3" xfId="53913"/>
    <cellStyle name="Normal 23 3 3 4" xfId="53914"/>
    <cellStyle name="Normal 23 3 3 4 2" xfId="53915"/>
    <cellStyle name="Normal 23 3 3 4 3" xfId="53916"/>
    <cellStyle name="Normal 23 3 3 5" xfId="53917"/>
    <cellStyle name="Normal 23 3 3 6" xfId="53918"/>
    <cellStyle name="Normal 23 3 4" xfId="53919"/>
    <cellStyle name="Normal 23 3 4 2" xfId="53920"/>
    <cellStyle name="Normal 23 3 4 2 2" xfId="53921"/>
    <cellStyle name="Normal 23 3 4 2 3" xfId="53922"/>
    <cellStyle name="Normal 23 3 4 3" xfId="53923"/>
    <cellStyle name="Normal 23 3 4 4" xfId="53924"/>
    <cellStyle name="Normal 23 3 5" xfId="53925"/>
    <cellStyle name="Normal 23 3 5 2" xfId="53926"/>
    <cellStyle name="Normal 23 3 5 3" xfId="53927"/>
    <cellStyle name="Normal 23 3 6" xfId="53928"/>
    <cellStyle name="Normal 23 3 6 2" xfId="53929"/>
    <cellStyle name="Normal 23 3 6 3" xfId="53930"/>
    <cellStyle name="Normal 23 3 7" xfId="53931"/>
    <cellStyle name="Normal 23 3 8" xfId="53932"/>
    <cellStyle name="Normal 23 4" xfId="53933"/>
    <cellStyle name="Normal 23 4 2" xfId="53934"/>
    <cellStyle name="Normal 23 4 2 2" xfId="53935"/>
    <cellStyle name="Normal 23 4 2 2 2" xfId="53936"/>
    <cellStyle name="Normal 23 4 2 2 3" xfId="53937"/>
    <cellStyle name="Normal 23 4 2 3" xfId="53938"/>
    <cellStyle name="Normal 23 4 2 4" xfId="53939"/>
    <cellStyle name="Normal 23 4 3" xfId="53940"/>
    <cellStyle name="Normal 23 4 3 2" xfId="53941"/>
    <cellStyle name="Normal 23 4 3 3" xfId="53942"/>
    <cellStyle name="Normal 23 4 4" xfId="53943"/>
    <cellStyle name="Normal 23 4 4 2" xfId="53944"/>
    <cellStyle name="Normal 23 4 4 3" xfId="53945"/>
    <cellStyle name="Normal 23 4 5" xfId="53946"/>
    <cellStyle name="Normal 23 4 6" xfId="53947"/>
    <cellStyle name="Normal 23 5" xfId="53948"/>
    <cellStyle name="Normal 23 5 2" xfId="53949"/>
    <cellStyle name="Normal 23 5 2 2" xfId="53950"/>
    <cellStyle name="Normal 23 5 2 2 2" xfId="53951"/>
    <cellStyle name="Normal 23 5 2 2 3" xfId="53952"/>
    <cellStyle name="Normal 23 5 2 3" xfId="53953"/>
    <cellStyle name="Normal 23 5 2 4" xfId="53954"/>
    <cellStyle name="Normal 23 5 3" xfId="53955"/>
    <cellStyle name="Normal 23 5 3 2" xfId="53956"/>
    <cellStyle name="Normal 23 5 3 3" xfId="53957"/>
    <cellStyle name="Normal 23 5 4" xfId="53958"/>
    <cellStyle name="Normal 23 5 4 2" xfId="53959"/>
    <cellStyle name="Normal 23 5 4 3" xfId="53960"/>
    <cellStyle name="Normal 23 5 5" xfId="53961"/>
    <cellStyle name="Normal 23 5 6" xfId="53962"/>
    <cellStyle name="Normal 23 6" xfId="53963"/>
    <cellStyle name="Normal 23 6 2" xfId="53964"/>
    <cellStyle name="Normal 23 6 2 2" xfId="53965"/>
    <cellStyle name="Normal 23 6 2 3" xfId="53966"/>
    <cellStyle name="Normal 23 6 3" xfId="53967"/>
    <cellStyle name="Normal 23 6 4" xfId="53968"/>
    <cellStyle name="Normal 23 7" xfId="53969"/>
    <cellStyle name="Normal 23 7 2" xfId="53970"/>
    <cellStyle name="Normal 23 7 2 2" xfId="53971"/>
    <cellStyle name="Normal 23 7 2 3" xfId="53972"/>
    <cellStyle name="Normal 23 7 3" xfId="53973"/>
    <cellStyle name="Normal 23 7 4" xfId="53974"/>
    <cellStyle name="Normal 23 8" xfId="53975"/>
    <cellStyle name="Normal 23 8 2" xfId="53976"/>
    <cellStyle name="Normal 23 8 3" xfId="53977"/>
    <cellStyle name="Normal 23 9" xfId="53978"/>
    <cellStyle name="Normal 23 9 2" xfId="53979"/>
    <cellStyle name="Normal 23 9 3" xfId="53980"/>
    <cellStyle name="Normal 230" xfId="53981"/>
    <cellStyle name="Normal 230 2" xfId="53982"/>
    <cellStyle name="Normal 230 2 2" xfId="53983"/>
    <cellStyle name="Normal 230 2 3" xfId="53984"/>
    <cellStyle name="Normal 230 3" xfId="53985"/>
    <cellStyle name="Normal 230 4" xfId="53986"/>
    <cellStyle name="Normal 230 5" xfId="53987"/>
    <cellStyle name="Normal 230 6" xfId="53988"/>
    <cellStyle name="Normal 231" xfId="53989"/>
    <cellStyle name="Normal 231 2" xfId="53990"/>
    <cellStyle name="Normal 231 2 2" xfId="53991"/>
    <cellStyle name="Normal 231 2 3" xfId="53992"/>
    <cellStyle name="Normal 231 3" xfId="53993"/>
    <cellStyle name="Normal 231 4" xfId="53994"/>
    <cellStyle name="Normal 231 5" xfId="53995"/>
    <cellStyle name="Normal 231 6" xfId="53996"/>
    <cellStyle name="Normal 232" xfId="53997"/>
    <cellStyle name="Normal 232 2" xfId="53998"/>
    <cellStyle name="Normal 232 2 2" xfId="53999"/>
    <cellStyle name="Normal 232 2 3" xfId="54000"/>
    <cellStyle name="Normal 232 3" xfId="54001"/>
    <cellStyle name="Normal 232 4" xfId="54002"/>
    <cellStyle name="Normal 232 5" xfId="54003"/>
    <cellStyle name="Normal 232 6" xfId="54004"/>
    <cellStyle name="Normal 233" xfId="54005"/>
    <cellStyle name="Normal 233 2" xfId="54006"/>
    <cellStyle name="Normal 233 2 2" xfId="54007"/>
    <cellStyle name="Normal 233 2 3" xfId="54008"/>
    <cellStyle name="Normal 233 3" xfId="54009"/>
    <cellStyle name="Normal 233 4" xfId="54010"/>
    <cellStyle name="Normal 233 5" xfId="54011"/>
    <cellStyle name="Normal 233 6" xfId="54012"/>
    <cellStyle name="Normal 234" xfId="54013"/>
    <cellStyle name="Normal 234 2" xfId="54014"/>
    <cellStyle name="Normal 234 3" xfId="54015"/>
    <cellStyle name="Normal 234 4" xfId="54016"/>
    <cellStyle name="Normal 234 5" xfId="54017"/>
    <cellStyle name="Normal 235" xfId="54018"/>
    <cellStyle name="Normal 235 2" xfId="54019"/>
    <cellStyle name="Normal 235 3" xfId="54020"/>
    <cellStyle name="Normal 235 4" xfId="54021"/>
    <cellStyle name="Normal 235 5" xfId="54022"/>
    <cellStyle name="Normal 236" xfId="54023"/>
    <cellStyle name="Normal 236 2" xfId="54024"/>
    <cellStyle name="Normal 236 3" xfId="54025"/>
    <cellStyle name="Normal 236 4" xfId="54026"/>
    <cellStyle name="Normal 236 5" xfId="54027"/>
    <cellStyle name="Normal 237" xfId="54028"/>
    <cellStyle name="Normal 237 2" xfId="54029"/>
    <cellStyle name="Normal 237 3" xfId="54030"/>
    <cellStyle name="Normal 237 4" xfId="54031"/>
    <cellStyle name="Normal 237 5" xfId="54032"/>
    <cellStyle name="Normal 238" xfId="54033"/>
    <cellStyle name="Normal 238 2" xfId="54034"/>
    <cellStyle name="Normal 238 3" xfId="54035"/>
    <cellStyle name="Normal 238 4" xfId="54036"/>
    <cellStyle name="Normal 238 5" xfId="54037"/>
    <cellStyle name="Normal 239" xfId="54038"/>
    <cellStyle name="Normal 239 2" xfId="54039"/>
    <cellStyle name="Normal 239 3" xfId="54040"/>
    <cellStyle name="Normal 239 4" xfId="54041"/>
    <cellStyle name="Normal 239 5" xfId="54042"/>
    <cellStyle name="Normal 24" xfId="54043"/>
    <cellStyle name="Normal 24 10" xfId="54044"/>
    <cellStyle name="Normal 24 11" xfId="54045"/>
    <cellStyle name="Normal 24 2" xfId="54046"/>
    <cellStyle name="Normal 24 2 10" xfId="54047"/>
    <cellStyle name="Normal 24 2 2" xfId="54048"/>
    <cellStyle name="Normal 24 2 2 2" xfId="54049"/>
    <cellStyle name="Normal 24 2 2 2 2" xfId="54050"/>
    <cellStyle name="Normal 24 2 2 2 2 2" xfId="54051"/>
    <cellStyle name="Normal 24 2 2 2 2 2 2" xfId="54052"/>
    <cellStyle name="Normal 24 2 2 2 2 2 3" xfId="54053"/>
    <cellStyle name="Normal 24 2 2 2 2 3" xfId="54054"/>
    <cellStyle name="Normal 24 2 2 2 2 4" xfId="54055"/>
    <cellStyle name="Normal 24 2 2 2 3" xfId="54056"/>
    <cellStyle name="Normal 24 2 2 2 3 2" xfId="54057"/>
    <cellStyle name="Normal 24 2 2 2 3 3" xfId="54058"/>
    <cellStyle name="Normal 24 2 2 2 4" xfId="54059"/>
    <cellStyle name="Normal 24 2 2 2 4 2" xfId="54060"/>
    <cellStyle name="Normal 24 2 2 2 4 3" xfId="54061"/>
    <cellStyle name="Normal 24 2 2 2 5" xfId="54062"/>
    <cellStyle name="Normal 24 2 2 2 6" xfId="54063"/>
    <cellStyle name="Normal 24 2 2 3" xfId="54064"/>
    <cellStyle name="Normal 24 2 2 3 2" xfId="54065"/>
    <cellStyle name="Normal 24 2 2 3 2 2" xfId="54066"/>
    <cellStyle name="Normal 24 2 2 3 2 2 2" xfId="54067"/>
    <cellStyle name="Normal 24 2 2 3 2 2 3" xfId="54068"/>
    <cellStyle name="Normal 24 2 2 3 2 3" xfId="54069"/>
    <cellStyle name="Normal 24 2 2 3 2 4" xfId="54070"/>
    <cellStyle name="Normal 24 2 2 3 3" xfId="54071"/>
    <cellStyle name="Normal 24 2 2 3 3 2" xfId="54072"/>
    <cellStyle name="Normal 24 2 2 3 3 3" xfId="54073"/>
    <cellStyle name="Normal 24 2 2 3 4" xfId="54074"/>
    <cellStyle name="Normal 24 2 2 3 4 2" xfId="54075"/>
    <cellStyle name="Normal 24 2 2 3 4 3" xfId="54076"/>
    <cellStyle name="Normal 24 2 2 3 5" xfId="54077"/>
    <cellStyle name="Normal 24 2 2 3 6" xfId="54078"/>
    <cellStyle name="Normal 24 2 2 4" xfId="54079"/>
    <cellStyle name="Normal 24 2 2 4 2" xfId="54080"/>
    <cellStyle name="Normal 24 2 2 4 2 2" xfId="54081"/>
    <cellStyle name="Normal 24 2 2 4 2 3" xfId="54082"/>
    <cellStyle name="Normal 24 2 2 4 3" xfId="54083"/>
    <cellStyle name="Normal 24 2 2 4 4" xfId="54084"/>
    <cellStyle name="Normal 24 2 2 5" xfId="54085"/>
    <cellStyle name="Normal 24 2 2 5 2" xfId="54086"/>
    <cellStyle name="Normal 24 2 2 5 3" xfId="54087"/>
    <cellStyle name="Normal 24 2 2 6" xfId="54088"/>
    <cellStyle name="Normal 24 2 2 6 2" xfId="54089"/>
    <cellStyle name="Normal 24 2 2 6 3" xfId="54090"/>
    <cellStyle name="Normal 24 2 2 7" xfId="54091"/>
    <cellStyle name="Normal 24 2 2 8" xfId="54092"/>
    <cellStyle name="Normal 24 2 3" xfId="54093"/>
    <cellStyle name="Normal 24 2 3 2" xfId="54094"/>
    <cellStyle name="Normal 24 2 3 2 2" xfId="54095"/>
    <cellStyle name="Normal 24 2 3 2 2 2" xfId="54096"/>
    <cellStyle name="Normal 24 2 3 2 2 3" xfId="54097"/>
    <cellStyle name="Normal 24 2 3 2 3" xfId="54098"/>
    <cellStyle name="Normal 24 2 3 2 4" xfId="54099"/>
    <cellStyle name="Normal 24 2 3 3" xfId="54100"/>
    <cellStyle name="Normal 24 2 3 3 2" xfId="54101"/>
    <cellStyle name="Normal 24 2 3 3 3" xfId="54102"/>
    <cellStyle name="Normal 24 2 3 4" xfId="54103"/>
    <cellStyle name="Normal 24 2 3 4 2" xfId="54104"/>
    <cellStyle name="Normal 24 2 3 4 3" xfId="54105"/>
    <cellStyle name="Normal 24 2 3 5" xfId="54106"/>
    <cellStyle name="Normal 24 2 3 6" xfId="54107"/>
    <cellStyle name="Normal 24 2 4" xfId="54108"/>
    <cellStyle name="Normal 24 2 4 2" xfId="54109"/>
    <cellStyle name="Normal 24 2 4 2 2" xfId="54110"/>
    <cellStyle name="Normal 24 2 4 2 2 2" xfId="54111"/>
    <cellStyle name="Normal 24 2 4 2 2 3" xfId="54112"/>
    <cellStyle name="Normal 24 2 4 2 3" xfId="54113"/>
    <cellStyle name="Normal 24 2 4 2 4" xfId="54114"/>
    <cellStyle name="Normal 24 2 4 3" xfId="54115"/>
    <cellStyle name="Normal 24 2 4 3 2" xfId="54116"/>
    <cellStyle name="Normal 24 2 4 3 3" xfId="54117"/>
    <cellStyle name="Normal 24 2 4 4" xfId="54118"/>
    <cellStyle name="Normal 24 2 4 4 2" xfId="54119"/>
    <cellStyle name="Normal 24 2 4 4 3" xfId="54120"/>
    <cellStyle name="Normal 24 2 4 5" xfId="54121"/>
    <cellStyle name="Normal 24 2 4 6" xfId="54122"/>
    <cellStyle name="Normal 24 2 5" xfId="54123"/>
    <cellStyle name="Normal 24 2 5 2" xfId="54124"/>
    <cellStyle name="Normal 24 2 5 2 2" xfId="54125"/>
    <cellStyle name="Normal 24 2 5 2 3" xfId="54126"/>
    <cellStyle name="Normal 24 2 5 3" xfId="54127"/>
    <cellStyle name="Normal 24 2 5 4" xfId="54128"/>
    <cellStyle name="Normal 24 2 6" xfId="54129"/>
    <cellStyle name="Normal 24 2 6 2" xfId="54130"/>
    <cellStyle name="Normal 24 2 6 2 2" xfId="54131"/>
    <cellStyle name="Normal 24 2 6 2 3" xfId="54132"/>
    <cellStyle name="Normal 24 2 6 3" xfId="54133"/>
    <cellStyle name="Normal 24 2 6 4" xfId="54134"/>
    <cellStyle name="Normal 24 2 7" xfId="54135"/>
    <cellStyle name="Normal 24 2 7 2" xfId="54136"/>
    <cellStyle name="Normal 24 2 7 3" xfId="54137"/>
    <cellStyle name="Normal 24 2 8" xfId="54138"/>
    <cellStyle name="Normal 24 2 8 2" xfId="54139"/>
    <cellStyle name="Normal 24 2 8 3" xfId="54140"/>
    <cellStyle name="Normal 24 2 9" xfId="54141"/>
    <cellStyle name="Normal 24 3" xfId="54142"/>
    <cellStyle name="Normal 24 3 2" xfId="54143"/>
    <cellStyle name="Normal 24 3 2 2" xfId="54144"/>
    <cellStyle name="Normal 24 3 2 2 2" xfId="54145"/>
    <cellStyle name="Normal 24 3 2 2 2 2" xfId="54146"/>
    <cellStyle name="Normal 24 3 2 2 2 3" xfId="54147"/>
    <cellStyle name="Normal 24 3 2 2 3" xfId="54148"/>
    <cellStyle name="Normal 24 3 2 2 4" xfId="54149"/>
    <cellStyle name="Normal 24 3 2 3" xfId="54150"/>
    <cellStyle name="Normal 24 3 2 3 2" xfId="54151"/>
    <cellStyle name="Normal 24 3 2 3 3" xfId="54152"/>
    <cellStyle name="Normal 24 3 2 4" xfId="54153"/>
    <cellStyle name="Normal 24 3 2 4 2" xfId="54154"/>
    <cellStyle name="Normal 24 3 2 4 3" xfId="54155"/>
    <cellStyle name="Normal 24 3 2 5" xfId="54156"/>
    <cellStyle name="Normal 24 3 2 6" xfId="54157"/>
    <cellStyle name="Normal 24 3 3" xfId="54158"/>
    <cellStyle name="Normal 24 3 3 2" xfId="54159"/>
    <cellStyle name="Normal 24 3 3 2 2" xfId="54160"/>
    <cellStyle name="Normal 24 3 3 2 2 2" xfId="54161"/>
    <cellStyle name="Normal 24 3 3 2 2 3" xfId="54162"/>
    <cellStyle name="Normal 24 3 3 2 3" xfId="54163"/>
    <cellStyle name="Normal 24 3 3 2 4" xfId="54164"/>
    <cellStyle name="Normal 24 3 3 3" xfId="54165"/>
    <cellStyle name="Normal 24 3 3 3 2" xfId="54166"/>
    <cellStyle name="Normal 24 3 3 3 3" xfId="54167"/>
    <cellStyle name="Normal 24 3 3 4" xfId="54168"/>
    <cellStyle name="Normal 24 3 3 4 2" xfId="54169"/>
    <cellStyle name="Normal 24 3 3 4 3" xfId="54170"/>
    <cellStyle name="Normal 24 3 3 5" xfId="54171"/>
    <cellStyle name="Normal 24 3 3 6" xfId="54172"/>
    <cellStyle name="Normal 24 3 4" xfId="54173"/>
    <cellStyle name="Normal 24 3 4 2" xfId="54174"/>
    <cellStyle name="Normal 24 3 4 2 2" xfId="54175"/>
    <cellStyle name="Normal 24 3 4 2 3" xfId="54176"/>
    <cellStyle name="Normal 24 3 4 3" xfId="54177"/>
    <cellStyle name="Normal 24 3 4 4" xfId="54178"/>
    <cellStyle name="Normal 24 3 5" xfId="54179"/>
    <cellStyle name="Normal 24 3 5 2" xfId="54180"/>
    <cellStyle name="Normal 24 3 5 3" xfId="54181"/>
    <cellStyle name="Normal 24 3 6" xfId="54182"/>
    <cellStyle name="Normal 24 3 6 2" xfId="54183"/>
    <cellStyle name="Normal 24 3 6 3" xfId="54184"/>
    <cellStyle name="Normal 24 3 7" xfId="54185"/>
    <cellStyle name="Normal 24 3 8" xfId="54186"/>
    <cellStyle name="Normal 24 4" xfId="54187"/>
    <cellStyle name="Normal 24 4 2" xfId="54188"/>
    <cellStyle name="Normal 24 4 2 2" xfId="54189"/>
    <cellStyle name="Normal 24 4 2 2 2" xfId="54190"/>
    <cellStyle name="Normal 24 4 2 2 3" xfId="54191"/>
    <cellStyle name="Normal 24 4 2 3" xfId="54192"/>
    <cellStyle name="Normal 24 4 2 4" xfId="54193"/>
    <cellStyle name="Normal 24 4 3" xfId="54194"/>
    <cellStyle name="Normal 24 4 3 2" xfId="54195"/>
    <cellStyle name="Normal 24 4 3 3" xfId="54196"/>
    <cellStyle name="Normal 24 4 4" xfId="54197"/>
    <cellStyle name="Normal 24 4 4 2" xfId="54198"/>
    <cellStyle name="Normal 24 4 4 3" xfId="54199"/>
    <cellStyle name="Normal 24 4 5" xfId="54200"/>
    <cellStyle name="Normal 24 4 6" xfId="54201"/>
    <cellStyle name="Normal 24 5" xfId="54202"/>
    <cellStyle name="Normal 24 5 2" xfId="54203"/>
    <cellStyle name="Normal 24 5 2 2" xfId="54204"/>
    <cellStyle name="Normal 24 5 2 2 2" xfId="54205"/>
    <cellStyle name="Normal 24 5 2 2 3" xfId="54206"/>
    <cellStyle name="Normal 24 5 2 3" xfId="54207"/>
    <cellStyle name="Normal 24 5 2 4" xfId="54208"/>
    <cellStyle name="Normal 24 5 3" xfId="54209"/>
    <cellStyle name="Normal 24 5 3 2" xfId="54210"/>
    <cellStyle name="Normal 24 5 3 3" xfId="54211"/>
    <cellStyle name="Normal 24 5 4" xfId="54212"/>
    <cellStyle name="Normal 24 5 4 2" xfId="54213"/>
    <cellStyle name="Normal 24 5 4 3" xfId="54214"/>
    <cellStyle name="Normal 24 5 5" xfId="54215"/>
    <cellStyle name="Normal 24 5 6" xfId="54216"/>
    <cellStyle name="Normal 24 6" xfId="54217"/>
    <cellStyle name="Normal 24 6 2" xfId="54218"/>
    <cellStyle name="Normal 24 6 2 2" xfId="54219"/>
    <cellStyle name="Normal 24 6 2 3" xfId="54220"/>
    <cellStyle name="Normal 24 6 3" xfId="54221"/>
    <cellStyle name="Normal 24 6 4" xfId="54222"/>
    <cellStyle name="Normal 24 7" xfId="54223"/>
    <cellStyle name="Normal 24 7 2" xfId="54224"/>
    <cellStyle name="Normal 24 7 2 2" xfId="54225"/>
    <cellStyle name="Normal 24 7 2 3" xfId="54226"/>
    <cellStyle name="Normal 24 7 3" xfId="54227"/>
    <cellStyle name="Normal 24 7 4" xfId="54228"/>
    <cellStyle name="Normal 24 8" xfId="54229"/>
    <cellStyle name="Normal 24 8 2" xfId="54230"/>
    <cellStyle name="Normal 24 8 3" xfId="54231"/>
    <cellStyle name="Normal 24 9" xfId="54232"/>
    <cellStyle name="Normal 24 9 2" xfId="54233"/>
    <cellStyle name="Normal 24 9 3" xfId="54234"/>
    <cellStyle name="Normal 240" xfId="54235"/>
    <cellStyle name="Normal 240 2" xfId="54236"/>
    <cellStyle name="Normal 240 3" xfId="54237"/>
    <cellStyle name="Normal 240 4" xfId="54238"/>
    <cellStyle name="Normal 240 5" xfId="54239"/>
    <cellStyle name="Normal 241" xfId="54240"/>
    <cellStyle name="Normal 241 2" xfId="54241"/>
    <cellStyle name="Normal 241 3" xfId="54242"/>
    <cellStyle name="Normal 241 4" xfId="54243"/>
    <cellStyle name="Normal 241 5" xfId="54244"/>
    <cellStyle name="Normal 242" xfId="54245"/>
    <cellStyle name="Normal 242 2" xfId="54246"/>
    <cellStyle name="Normal 242 3" xfId="54247"/>
    <cellStyle name="Normal 242 4" xfId="54248"/>
    <cellStyle name="Normal 242 5" xfId="54249"/>
    <cellStyle name="Normal 243" xfId="54250"/>
    <cellStyle name="Normal 243 2" xfId="54251"/>
    <cellStyle name="Normal 243 3" xfId="54252"/>
    <cellStyle name="Normal 243 4" xfId="54253"/>
    <cellStyle name="Normal 243 5" xfId="54254"/>
    <cellStyle name="Normal 244" xfId="54255"/>
    <cellStyle name="Normal 244 2" xfId="54256"/>
    <cellStyle name="Normal 244 3" xfId="54257"/>
    <cellStyle name="Normal 244 4" xfId="54258"/>
    <cellStyle name="Normal 244 5" xfId="54259"/>
    <cellStyle name="Normal 245" xfId="54260"/>
    <cellStyle name="Normal 245 2" xfId="54261"/>
    <cellStyle name="Normal 245 3" xfId="54262"/>
    <cellStyle name="Normal 246" xfId="54263"/>
    <cellStyle name="Normal 246 2" xfId="54264"/>
    <cellStyle name="Normal 246 3" xfId="54265"/>
    <cellStyle name="Normal 247" xfId="54266"/>
    <cellStyle name="Normal 247 2" xfId="54267"/>
    <cellStyle name="Normal 247 3" xfId="54268"/>
    <cellStyle name="Normal 248" xfId="54269"/>
    <cellStyle name="Normal 248 2" xfId="54270"/>
    <cellStyle name="Normal 248 3" xfId="54271"/>
    <cellStyle name="Normal 249" xfId="54272"/>
    <cellStyle name="Normal 249 2" xfId="54273"/>
    <cellStyle name="Normal 249 3" xfId="54274"/>
    <cellStyle name="Normal 25" xfId="54275"/>
    <cellStyle name="Normal 25 2" xfId="54276"/>
    <cellStyle name="Normal 25 2 2" xfId="54277"/>
    <cellStyle name="Normal 25 2 2 2" xfId="54278"/>
    <cellStyle name="Normal 25 2 2 2 2" xfId="54279"/>
    <cellStyle name="Normal 25 2 2 2 3" xfId="54280"/>
    <cellStyle name="Normal 25 2 2 3" xfId="54281"/>
    <cellStyle name="Normal 25 2 2 4" xfId="54282"/>
    <cellStyle name="Normal 25 2 3" xfId="54283"/>
    <cellStyle name="Normal 25 2 3 2" xfId="54284"/>
    <cellStyle name="Normal 25 2 3 3" xfId="54285"/>
    <cellStyle name="Normal 25 2 4" xfId="54286"/>
    <cellStyle name="Normal 25 2 5" xfId="54287"/>
    <cellStyle name="Normal 25 3" xfId="54288"/>
    <cellStyle name="Normal 25 3 2" xfId="54289"/>
    <cellStyle name="Normal 25 3 3" xfId="54290"/>
    <cellStyle name="Normal 25 4" xfId="54291"/>
    <cellStyle name="Normal 25 4 2" xfId="54292"/>
    <cellStyle name="Normal 25 4 2 2" xfId="54293"/>
    <cellStyle name="Normal 25 4 2 3" xfId="54294"/>
    <cellStyle name="Normal 25 4 3" xfId="54295"/>
    <cellStyle name="Normal 25 4 4" xfId="54296"/>
    <cellStyle name="Normal 25 5" xfId="54297"/>
    <cellStyle name="Normal 25 5 2" xfId="54298"/>
    <cellStyle name="Normal 25 5 3" xfId="54299"/>
    <cellStyle name="Normal 25 6" xfId="54300"/>
    <cellStyle name="Normal 25 7" xfId="54301"/>
    <cellStyle name="Normal 25 8" xfId="54302"/>
    <cellStyle name="Normal 250" xfId="54303"/>
    <cellStyle name="Normal 250 2" xfId="54304"/>
    <cellStyle name="Normal 250 3" xfId="54305"/>
    <cellStyle name="Normal 251" xfId="54306"/>
    <cellStyle name="Normal 251 2" xfId="54307"/>
    <cellStyle name="Normal 251 3" xfId="54308"/>
    <cellStyle name="Normal 252" xfId="54309"/>
    <cellStyle name="Normal 252 2" xfId="54310"/>
    <cellStyle name="Normal 252 3" xfId="54311"/>
    <cellStyle name="Normal 253" xfId="54312"/>
    <cellStyle name="Normal 253 2" xfId="54313"/>
    <cellStyle name="Normal 253 3" xfId="54314"/>
    <cellStyle name="Normal 254" xfId="54315"/>
    <cellStyle name="Normal 254 2" xfId="54316"/>
    <cellStyle name="Normal 254 3" xfId="54317"/>
    <cellStyle name="Normal 254 4" xfId="54318"/>
    <cellStyle name="Normal 255" xfId="54319"/>
    <cellStyle name="Normal 255 2" xfId="54320"/>
    <cellStyle name="Normal 255 3" xfId="54321"/>
    <cellStyle name="Normal 256" xfId="54322"/>
    <cellStyle name="Normal 256 2" xfId="54323"/>
    <cellStyle name="Normal 256 3" xfId="54324"/>
    <cellStyle name="Normal 257" xfId="54325"/>
    <cellStyle name="Normal 257 2" xfId="54326"/>
    <cellStyle name="Normal 257 3" xfId="54327"/>
    <cellStyle name="Normal 258" xfId="54328"/>
    <cellStyle name="Normal 258 2" xfId="54329"/>
    <cellStyle name="Normal 258 3" xfId="54330"/>
    <cellStyle name="Normal 259" xfId="54331"/>
    <cellStyle name="Normal 259 2" xfId="54332"/>
    <cellStyle name="Normal 259 3" xfId="54333"/>
    <cellStyle name="Normal 26" xfId="54334"/>
    <cellStyle name="Normal 26 2" xfId="54335"/>
    <cellStyle name="Normal 26 2 2" xfId="54336"/>
    <cellStyle name="Normal 26 2 3" xfId="54337"/>
    <cellStyle name="Normal 26 3" xfId="54338"/>
    <cellStyle name="Normal 26 3 2" xfId="54339"/>
    <cellStyle name="Normal 26 3 3" xfId="54340"/>
    <cellStyle name="Normal 26 4" xfId="54341"/>
    <cellStyle name="Normal 26 5" xfId="54342"/>
    <cellStyle name="Normal 260" xfId="54343"/>
    <cellStyle name="Normal 260 2" xfId="54344"/>
    <cellStyle name="Normal 260 3" xfId="54345"/>
    <cellStyle name="Normal 261" xfId="54346"/>
    <cellStyle name="Normal 261 2" xfId="54347"/>
    <cellStyle name="Normal 261 3" xfId="54348"/>
    <cellStyle name="Normal 262" xfId="54349"/>
    <cellStyle name="Normal 262 2" xfId="54350"/>
    <cellStyle name="Normal 262 3" xfId="54351"/>
    <cellStyle name="Normal 262 4" xfId="54352"/>
    <cellStyle name="Normal 263" xfId="54353"/>
    <cellStyle name="Normal 263 2" xfId="54354"/>
    <cellStyle name="Normal 263 2 2" xfId="54355"/>
    <cellStyle name="Normal 263 2 3" xfId="54356"/>
    <cellStyle name="Normal 264" xfId="54357"/>
    <cellStyle name="Normal 264 2" xfId="54358"/>
    <cellStyle name="Normal 264 3" xfId="54359"/>
    <cellStyle name="Normal 264 4" xfId="54360"/>
    <cellStyle name="Normal 265" xfId="54361"/>
    <cellStyle name="Normal 265 2" xfId="54362"/>
    <cellStyle name="Normal 265 3" xfId="54363"/>
    <cellStyle name="Normal 265 4" xfId="54364"/>
    <cellStyle name="Normal 266" xfId="54365"/>
    <cellStyle name="Normal 266 2" xfId="54366"/>
    <cellStyle name="Normal 266 3" xfId="54367"/>
    <cellStyle name="Normal 267" xfId="54368"/>
    <cellStyle name="Normal 268" xfId="54369"/>
    <cellStyle name="Normal 268 2" xfId="54370"/>
    <cellStyle name="Normal 268 3" xfId="54371"/>
    <cellStyle name="Normal 269" xfId="54372"/>
    <cellStyle name="Normal 27" xfId="54373"/>
    <cellStyle name="Normal 27 2" xfId="54374"/>
    <cellStyle name="Normal 27 2 2" xfId="54375"/>
    <cellStyle name="Normal 27 2 3" xfId="54376"/>
    <cellStyle name="Normal 27 3" xfId="54377"/>
    <cellStyle name="Normal 27 3 2" xfId="54378"/>
    <cellStyle name="Normal 27 3 3" xfId="54379"/>
    <cellStyle name="Normal 27 4" xfId="54380"/>
    <cellStyle name="Normal 27 5" xfId="54381"/>
    <cellStyle name="Normal 270" xfId="54382"/>
    <cellStyle name="Normal 271" xfId="54383"/>
    <cellStyle name="Normal 272" xfId="54384"/>
    <cellStyle name="Normal 273" xfId="54385"/>
    <cellStyle name="Normal 274" xfId="54386"/>
    <cellStyle name="Normal 275" xfId="54387"/>
    <cellStyle name="Normal 276" xfId="54388"/>
    <cellStyle name="Normal 277" xfId="54389"/>
    <cellStyle name="Normal 278" xfId="54390"/>
    <cellStyle name="Normal 279" xfId="54391"/>
    <cellStyle name="Normal 28" xfId="54392"/>
    <cellStyle name="Normal 28 2" xfId="54393"/>
    <cellStyle name="Normal 28 2 2" xfId="54394"/>
    <cellStyle name="Normal 28 2 3" xfId="54395"/>
    <cellStyle name="Normal 28 3" xfId="54396"/>
    <cellStyle name="Normal 28 3 2" xfId="54397"/>
    <cellStyle name="Normal 28 3 3" xfId="54398"/>
    <cellStyle name="Normal 28 4" xfId="54399"/>
    <cellStyle name="Normal 28 5" xfId="54400"/>
    <cellStyle name="Normal 280" xfId="54401"/>
    <cellStyle name="Normal 281" xfId="54402"/>
    <cellStyle name="Normal 282" xfId="54403"/>
    <cellStyle name="Normal 283" xfId="54404"/>
    <cellStyle name="Normal 284" xfId="54405"/>
    <cellStyle name="Normal 285" xfId="54406"/>
    <cellStyle name="Normal 286" xfId="54407"/>
    <cellStyle name="Normal 287" xfId="54408"/>
    <cellStyle name="Normal 288" xfId="54409"/>
    <cellStyle name="Normal 289" xfId="54410"/>
    <cellStyle name="Normal 29" xfId="54411"/>
    <cellStyle name="Normal 29 2" xfId="54412"/>
    <cellStyle name="Normal 29 2 2" xfId="54413"/>
    <cellStyle name="Normal 29 2 3" xfId="54414"/>
    <cellStyle name="Normal 29 3" xfId="54415"/>
    <cellStyle name="Normal 29 3 2" xfId="54416"/>
    <cellStyle name="Normal 29 3 3" xfId="54417"/>
    <cellStyle name="Normal 29 4" xfId="54418"/>
    <cellStyle name="Normal 29 5" xfId="54419"/>
    <cellStyle name="Normal 290" xfId="54420"/>
    <cellStyle name="Normal 291" xfId="54421"/>
    <cellStyle name="Normal 292" xfId="54422"/>
    <cellStyle name="Normal 293" xfId="54423"/>
    <cellStyle name="Normal 294" xfId="54424"/>
    <cellStyle name="Normal 295" xfId="54425"/>
    <cellStyle name="Normal 296" xfId="54426"/>
    <cellStyle name="Normal 297" xfId="54427"/>
    <cellStyle name="Normal 298" xfId="54428"/>
    <cellStyle name="Normal 299" xfId="54429"/>
    <cellStyle name="Normal 3" xfId="54430"/>
    <cellStyle name="Normal 3 10" xfId="54431"/>
    <cellStyle name="Normal 3 10 2" xfId="54432"/>
    <cellStyle name="Normal 3 10 2 2" xfId="54433"/>
    <cellStyle name="Normal 3 10 2 3" xfId="54434"/>
    <cellStyle name="Normal 3 10 3" xfId="54435"/>
    <cellStyle name="Normal 3 10 4" xfId="54436"/>
    <cellStyle name="Normal 3 11" xfId="54437"/>
    <cellStyle name="Normal 3 11 2" xfId="54438"/>
    <cellStyle name="Normal 3 11 2 2" xfId="54439"/>
    <cellStyle name="Normal 3 11 3" xfId="54440"/>
    <cellStyle name="Normal 3 11 4" xfId="54441"/>
    <cellStyle name="Normal 3 11 5" xfId="54442"/>
    <cellStyle name="Normal 3 12" xfId="54443"/>
    <cellStyle name="Normal 3 12 2" xfId="54444"/>
    <cellStyle name="Normal 3 12 2 2" xfId="54445"/>
    <cellStyle name="Normal 3 12 3" xfId="54446"/>
    <cellStyle name="Normal 3 13" xfId="54447"/>
    <cellStyle name="Normal 3 13 2" xfId="54448"/>
    <cellStyle name="Normal 3 13 2 2" xfId="54449"/>
    <cellStyle name="Normal 3 13 3" xfId="54450"/>
    <cellStyle name="Normal 3 14" xfId="54451"/>
    <cellStyle name="Normal 3 14 2" xfId="54452"/>
    <cellStyle name="Normal 3 14 2 2" xfId="54453"/>
    <cellStyle name="Normal 3 14 3" xfId="54454"/>
    <cellStyle name="Normal 3 15" xfId="54455"/>
    <cellStyle name="Normal 3 15 2" xfId="54456"/>
    <cellStyle name="Normal 3 15 2 2" xfId="54457"/>
    <cellStyle name="Normal 3 15 3" xfId="54458"/>
    <cellStyle name="Normal 3 16" xfId="54459"/>
    <cellStyle name="Normal 3 16 2" xfId="54460"/>
    <cellStyle name="Normal 3 16 2 2" xfId="54461"/>
    <cellStyle name="Normal 3 16 3" xfId="54462"/>
    <cellStyle name="Normal 3 17" xfId="54463"/>
    <cellStyle name="Normal 3 17 2" xfId="54464"/>
    <cellStyle name="Normal 3 18" xfId="54465"/>
    <cellStyle name="Normal 3 18 2" xfId="54466"/>
    <cellStyle name="Normal 3 19" xfId="54467"/>
    <cellStyle name="Normal 3 2" xfId="54468"/>
    <cellStyle name="Normal 3 2 2" xfId="54469"/>
    <cellStyle name="Normal 3 2 2 2" xfId="54470"/>
    <cellStyle name="Normal 3 2 2 2 2" xfId="54471"/>
    <cellStyle name="Normal 3 2 2 2 3" xfId="54472"/>
    <cellStyle name="Normal 3 2 2 3" xfId="54473"/>
    <cellStyle name="Normal 3 2 2 4" xfId="54474"/>
    <cellStyle name="Normal 3 2 3" xfId="54475"/>
    <cellStyle name="Normal 3 2 3 2" xfId="54476"/>
    <cellStyle name="Normal 3 2 3 2 2" xfId="54477"/>
    <cellStyle name="Normal 3 2 3 3" xfId="54478"/>
    <cellStyle name="Normal 3 2 3 4" xfId="54479"/>
    <cellStyle name="Normal 3 2 4" xfId="54480"/>
    <cellStyle name="Normal 3 2 4 2" xfId="54481"/>
    <cellStyle name="Normal 3 2 5" xfId="54482"/>
    <cellStyle name="Normal 3 2 6" xfId="54483"/>
    <cellStyle name="Normal 3 20" xfId="54484"/>
    <cellStyle name="Normal 3 21" xfId="54485"/>
    <cellStyle name="Normal 3 22" xfId="54486"/>
    <cellStyle name="Normal 3 23" xfId="54487"/>
    <cellStyle name="Normal 3 24" xfId="54488"/>
    <cellStyle name="Normal 3 25" xfId="54489"/>
    <cellStyle name="Normal 3 3" xfId="54490"/>
    <cellStyle name="Normal 3 3 10" xfId="54491"/>
    <cellStyle name="Normal 3 3 11" xfId="54492"/>
    <cellStyle name="Normal 3 3 11 2" xfId="54493"/>
    <cellStyle name="Normal 3 3 2" xfId="54494"/>
    <cellStyle name="Normal 3 3 2 2" xfId="54495"/>
    <cellStyle name="Normal 3 3 2 2 2" xfId="54496"/>
    <cellStyle name="Normal 3 3 2 2 2 2" xfId="54497"/>
    <cellStyle name="Normal 3 3 2 2 2 2 2" xfId="54498"/>
    <cellStyle name="Normal 3 3 2 2 2 2 2 2" xfId="54499"/>
    <cellStyle name="Normal 3 3 2 2 2 2 3" xfId="54500"/>
    <cellStyle name="Normal 3 3 2 2 2 3" xfId="54501"/>
    <cellStyle name="Normal 3 3 2 2 2 3 2" xfId="54502"/>
    <cellStyle name="Normal 3 3 2 2 2 3 2 2" xfId="54503"/>
    <cellStyle name="Normal 3 3 2 2 2 3 3" xfId="54504"/>
    <cellStyle name="Normal 3 3 2 2 2 4" xfId="54505"/>
    <cellStyle name="Normal 3 3 2 2 2 4 2" xfId="54506"/>
    <cellStyle name="Normal 3 3 2 2 2 5" xfId="54507"/>
    <cellStyle name="Normal 3 3 2 2 3" xfId="54508"/>
    <cellStyle name="Normal 3 3 2 2 3 2" xfId="54509"/>
    <cellStyle name="Normal 3 3 2 2 3 2 2" xfId="54510"/>
    <cellStyle name="Normal 3 3 2 2 3 3" xfId="54511"/>
    <cellStyle name="Normal 3 3 2 2 4" xfId="54512"/>
    <cellStyle name="Normal 3 3 2 2 4 2" xfId="54513"/>
    <cellStyle name="Normal 3 3 2 2 4 2 2" xfId="54514"/>
    <cellStyle name="Normal 3 3 2 2 4 3" xfId="54515"/>
    <cellStyle name="Normal 3 3 2 2 5" xfId="54516"/>
    <cellStyle name="Normal 3 3 2 2 5 2" xfId="54517"/>
    <cellStyle name="Normal 3 3 2 2 6" xfId="54518"/>
    <cellStyle name="Normal 3 3 2 2 7" xfId="54519"/>
    <cellStyle name="Normal 3 3 2 3" xfId="54520"/>
    <cellStyle name="Normal 3 3 2 3 2" xfId="54521"/>
    <cellStyle name="Normal 3 3 2 3 2 2" xfId="54522"/>
    <cellStyle name="Normal 3 3 2 3 3" xfId="54523"/>
    <cellStyle name="Normal 3 3 2 4" xfId="54524"/>
    <cellStyle name="Normal 3 3 2 4 2" xfId="54525"/>
    <cellStyle name="Normal 3 3 2 4 2 2" xfId="54526"/>
    <cellStyle name="Normal 3 3 2 4 3" xfId="54527"/>
    <cellStyle name="Normal 3 3 2 5" xfId="54528"/>
    <cellStyle name="Normal 3 3 2 5 2" xfId="54529"/>
    <cellStyle name="Normal 3 3 2 6" xfId="54530"/>
    <cellStyle name="Normal 3 3 2 7" xfId="54531"/>
    <cellStyle name="Normal 3 3 2 8" xfId="54532"/>
    <cellStyle name="Normal 3 3 3" xfId="54533"/>
    <cellStyle name="Normal 3 3 3 2" xfId="54534"/>
    <cellStyle name="Normal 3 3 3 2 2" xfId="54535"/>
    <cellStyle name="Normal 3 3 3 3" xfId="54536"/>
    <cellStyle name="Normal 3 3 3 4" xfId="54537"/>
    <cellStyle name="Normal 3 3 4" xfId="54538"/>
    <cellStyle name="Normal 3 3 4 2" xfId="54539"/>
    <cellStyle name="Normal 3 3 4 2 2" xfId="54540"/>
    <cellStyle name="Normal 3 3 4 3" xfId="54541"/>
    <cellStyle name="Normal 3 3 4 4" xfId="54542"/>
    <cellStyle name="Normal 3 3 4 5" xfId="54543"/>
    <cellStyle name="Normal 3 3 5" xfId="54544"/>
    <cellStyle name="Normal 3 3 5 2" xfId="54545"/>
    <cellStyle name="Normal 3 3 6" xfId="54546"/>
    <cellStyle name="Normal 3 3 7" xfId="54547"/>
    <cellStyle name="Normal 3 3 8" xfId="54548"/>
    <cellStyle name="Normal 3 3 9" xfId="54549"/>
    <cellStyle name="Normal 3 4" xfId="54550"/>
    <cellStyle name="Normal 3 4 2" xfId="54551"/>
    <cellStyle name="Normal 3 4 2 2" xfId="54552"/>
    <cellStyle name="Normal 3 4 2 2 2" xfId="54553"/>
    <cellStyle name="Normal 3 4 2 2 2 2" xfId="54554"/>
    <cellStyle name="Normal 3 4 2 2 2 3" xfId="54555"/>
    <cellStyle name="Normal 3 4 2 2 3" xfId="54556"/>
    <cellStyle name="Normal 3 4 2 2 4" xfId="54557"/>
    <cellStyle name="Normal 3 4 2 3" xfId="54558"/>
    <cellStyle name="Normal 3 4 2 3 2" xfId="54559"/>
    <cellStyle name="Normal 3 4 2 3 3" xfId="54560"/>
    <cellStyle name="Normal 3 4 2 4" xfId="54561"/>
    <cellStyle name="Normal 3 4 2 5" xfId="54562"/>
    <cellStyle name="Normal 3 4 2 6" xfId="54563"/>
    <cellStyle name="Normal 3 4 3" xfId="54564"/>
    <cellStyle name="Normal 3 4 3 2" xfId="54565"/>
    <cellStyle name="Normal 3 4 3 2 2" xfId="54566"/>
    <cellStyle name="Normal 3 4 3 2 3" xfId="54567"/>
    <cellStyle name="Normal 3 4 3 3" xfId="54568"/>
    <cellStyle name="Normal 3 4 3 4" xfId="54569"/>
    <cellStyle name="Normal 3 4 3 5" xfId="54570"/>
    <cellStyle name="Normal 3 4 4" xfId="54571"/>
    <cellStyle name="Normal 3 4 4 2" xfId="54572"/>
    <cellStyle name="Normal 3 4 4 3" xfId="54573"/>
    <cellStyle name="Normal 3 4 5" xfId="54574"/>
    <cellStyle name="Normal 3 4 6" xfId="54575"/>
    <cellStyle name="Normal 3 4 7" xfId="54576"/>
    <cellStyle name="Normal 3 4 8" xfId="54577"/>
    <cellStyle name="Normal 3 4 9" xfId="54578"/>
    <cellStyle name="Normal 3 5" xfId="54579"/>
    <cellStyle name="Normal 3 5 2" xfId="54580"/>
    <cellStyle name="Normal 3 5 2 2" xfId="54581"/>
    <cellStyle name="Normal 3 5 2 3" xfId="54582"/>
    <cellStyle name="Normal 3 5 3" xfId="54583"/>
    <cellStyle name="Normal 3 5 4" xfId="54584"/>
    <cellStyle name="Normal 3 5 5" xfId="54585"/>
    <cellStyle name="Normal 3 6" xfId="54586"/>
    <cellStyle name="Normal 3 6 2" xfId="54587"/>
    <cellStyle name="Normal 3 6 2 2" xfId="54588"/>
    <cellStyle name="Normal 3 6 2 2 2" xfId="54589"/>
    <cellStyle name="Normal 3 6 2 2 2 2" xfId="54590"/>
    <cellStyle name="Normal 3 6 2 2 2 2 2" xfId="54591"/>
    <cellStyle name="Normal 3 6 2 2 2 2 2 2" xfId="54592"/>
    <cellStyle name="Normal 3 6 2 2 2 2 3" xfId="54593"/>
    <cellStyle name="Normal 3 6 2 2 2 3" xfId="54594"/>
    <cellStyle name="Normal 3 6 2 2 2 3 2" xfId="54595"/>
    <cellStyle name="Normal 3 6 2 2 2 3 2 2" xfId="54596"/>
    <cellStyle name="Normal 3 6 2 2 2 3 3" xfId="54597"/>
    <cellStyle name="Normal 3 6 2 2 2 4" xfId="54598"/>
    <cellStyle name="Normal 3 6 2 2 2 4 2" xfId="54599"/>
    <cellStyle name="Normal 3 6 2 2 2 5" xfId="54600"/>
    <cellStyle name="Normal 3 6 2 2 3" xfId="54601"/>
    <cellStyle name="Normal 3 6 2 2 3 2" xfId="54602"/>
    <cellStyle name="Normal 3 6 2 2 3 2 2" xfId="54603"/>
    <cellStyle name="Normal 3 6 2 2 3 3" xfId="54604"/>
    <cellStyle name="Normal 3 6 2 2 4" xfId="54605"/>
    <cellStyle name="Normal 3 6 2 2 4 2" xfId="54606"/>
    <cellStyle name="Normal 3 6 2 2 4 2 2" xfId="54607"/>
    <cellStyle name="Normal 3 6 2 2 4 3" xfId="54608"/>
    <cellStyle name="Normal 3 6 2 2 5" xfId="54609"/>
    <cellStyle name="Normal 3 6 2 2 5 2" xfId="54610"/>
    <cellStyle name="Normal 3 6 2 2 6" xfId="54611"/>
    <cellStyle name="Normal 3 6 2 2 7" xfId="54612"/>
    <cellStyle name="Normal 3 6 2 3" xfId="54613"/>
    <cellStyle name="Normal 3 6 2 3 2" xfId="54614"/>
    <cellStyle name="Normal 3 6 2 3 2 2" xfId="54615"/>
    <cellStyle name="Normal 3 6 2 3 3" xfId="54616"/>
    <cellStyle name="Normal 3 6 2 4" xfId="54617"/>
    <cellStyle name="Normal 3 6 2 4 2" xfId="54618"/>
    <cellStyle name="Normal 3 6 2 4 2 2" xfId="54619"/>
    <cellStyle name="Normal 3 6 2 4 3" xfId="54620"/>
    <cellStyle name="Normal 3 6 2 5" xfId="54621"/>
    <cellStyle name="Normal 3 6 2 5 2" xfId="54622"/>
    <cellStyle name="Normal 3 6 2 6" xfId="54623"/>
    <cellStyle name="Normal 3 6 2 7" xfId="54624"/>
    <cellStyle name="Normal 3 6 3" xfId="54625"/>
    <cellStyle name="Normal 3 6 3 2" xfId="54626"/>
    <cellStyle name="Normal 3 6 3 2 2" xfId="54627"/>
    <cellStyle name="Normal 3 6 3 2 2 2" xfId="54628"/>
    <cellStyle name="Normal 3 6 3 2 2 2 2" xfId="54629"/>
    <cellStyle name="Normal 3 6 3 2 2 3" xfId="54630"/>
    <cellStyle name="Normal 3 6 3 2 3" xfId="54631"/>
    <cellStyle name="Normal 3 6 3 2 3 2" xfId="54632"/>
    <cellStyle name="Normal 3 6 3 2 3 2 2" xfId="54633"/>
    <cellStyle name="Normal 3 6 3 2 3 3" xfId="54634"/>
    <cellStyle name="Normal 3 6 3 2 4" xfId="54635"/>
    <cellStyle name="Normal 3 6 3 2 4 2" xfId="54636"/>
    <cellStyle name="Normal 3 6 3 2 5" xfId="54637"/>
    <cellStyle name="Normal 3 6 3 3" xfId="54638"/>
    <cellStyle name="Normal 3 6 3 3 2" xfId="54639"/>
    <cellStyle name="Normal 3 6 3 3 2 2" xfId="54640"/>
    <cellStyle name="Normal 3 6 3 3 3" xfId="54641"/>
    <cellStyle name="Normal 3 6 3 4" xfId="54642"/>
    <cellStyle name="Normal 3 6 3 4 2" xfId="54643"/>
    <cellStyle name="Normal 3 6 3 4 2 2" xfId="54644"/>
    <cellStyle name="Normal 3 6 3 4 3" xfId="54645"/>
    <cellStyle name="Normal 3 6 3 5" xfId="54646"/>
    <cellStyle name="Normal 3 6 3 5 2" xfId="54647"/>
    <cellStyle name="Normal 3 6 3 6" xfId="54648"/>
    <cellStyle name="Normal 3 6 3 7" xfId="54649"/>
    <cellStyle name="Normal 3 6 4" xfId="54650"/>
    <cellStyle name="Normal 3 6 4 2" xfId="54651"/>
    <cellStyle name="Normal 3 6 4 2 2" xfId="54652"/>
    <cellStyle name="Normal 3 6 4 3" xfId="54653"/>
    <cellStyle name="Normal 3 6 5" xfId="54654"/>
    <cellStyle name="Normal 3 6 5 2" xfId="54655"/>
    <cellStyle name="Normal 3 6 5 2 2" xfId="54656"/>
    <cellStyle name="Normal 3 6 5 3" xfId="54657"/>
    <cellStyle name="Normal 3 6 6" xfId="54658"/>
    <cellStyle name="Normal 3 6 6 2" xfId="54659"/>
    <cellStyle name="Normal 3 6 7" xfId="54660"/>
    <cellStyle name="Normal 3 6 8" xfId="54661"/>
    <cellStyle name="Normal 3 7" xfId="54662"/>
    <cellStyle name="Normal 3 7 2" xfId="54663"/>
    <cellStyle name="Normal 3 7 2 2" xfId="54664"/>
    <cellStyle name="Normal 3 7 2 2 2" xfId="54665"/>
    <cellStyle name="Normal 3 7 2 2 3" xfId="54666"/>
    <cellStyle name="Normal 3 7 2 3" xfId="54667"/>
    <cellStyle name="Normal 3 7 2 4" xfId="54668"/>
    <cellStyle name="Normal 3 7 3" xfId="54669"/>
    <cellStyle name="Normal 3 7 3 2" xfId="54670"/>
    <cellStyle name="Normal 3 7 3 2 2" xfId="54671"/>
    <cellStyle name="Normal 3 7 3 3" xfId="54672"/>
    <cellStyle name="Normal 3 7 3 4" xfId="54673"/>
    <cellStyle name="Normal 3 7 4" xfId="54674"/>
    <cellStyle name="Normal 3 7 4 2" xfId="54675"/>
    <cellStyle name="Normal 3 7 5" xfId="54676"/>
    <cellStyle name="Normal 3 7 6" xfId="54677"/>
    <cellStyle name="Normal 3 8" xfId="54678"/>
    <cellStyle name="Normal 3 8 2" xfId="54679"/>
    <cellStyle name="Normal 3 8 2 2" xfId="54680"/>
    <cellStyle name="Normal 3 8 2 2 2" xfId="54681"/>
    <cellStyle name="Normal 3 8 2 3" xfId="54682"/>
    <cellStyle name="Normal 3 8 3" xfId="54683"/>
    <cellStyle name="Normal 3 8 3 2" xfId="54684"/>
    <cellStyle name="Normal 3 8 4" xfId="54685"/>
    <cellStyle name="Normal 3 9" xfId="54686"/>
    <cellStyle name="Normal 3 9 2" xfId="54687"/>
    <cellStyle name="Normal 3 9 2 2" xfId="54688"/>
    <cellStyle name="Normal 3 9 2 2 2" xfId="54689"/>
    <cellStyle name="Normal 3 9 2 3" xfId="54690"/>
    <cellStyle name="Normal 3 9 3" xfId="54691"/>
    <cellStyle name="Normal 3 9 3 2" xfId="54692"/>
    <cellStyle name="Normal 3 9 4" xfId="54693"/>
    <cellStyle name="Normal 3_T1_TP_MASTER_032112_Rev A" xfId="54694"/>
    <cellStyle name="Normal 30" xfId="54695"/>
    <cellStyle name="Normal 30 2" xfId="54696"/>
    <cellStyle name="Normal 30 2 2" xfId="54697"/>
    <cellStyle name="Normal 30 2 3" xfId="54698"/>
    <cellStyle name="Normal 30 3" xfId="54699"/>
    <cellStyle name="Normal 30 3 2" xfId="54700"/>
    <cellStyle name="Normal 30 3 3" xfId="54701"/>
    <cellStyle name="Normal 30 4" xfId="54702"/>
    <cellStyle name="Normal 30 5" xfId="54703"/>
    <cellStyle name="Normal 300" xfId="54704"/>
    <cellStyle name="Normal 301" xfId="54705"/>
    <cellStyle name="Normal 302" xfId="54706"/>
    <cellStyle name="Normal 303" xfId="54707"/>
    <cellStyle name="Normal 304" xfId="54708"/>
    <cellStyle name="Normal 305" xfId="54709"/>
    <cellStyle name="Normal 306" xfId="54710"/>
    <cellStyle name="Normal 307" xfId="54711"/>
    <cellStyle name="Normal 308" xfId="54712"/>
    <cellStyle name="Normal 309" xfId="54713"/>
    <cellStyle name="Normal 31" xfId="54714"/>
    <cellStyle name="Normal 31 2" xfId="54715"/>
    <cellStyle name="Normal 31 2 2" xfId="54716"/>
    <cellStyle name="Normal 31 2 3" xfId="54717"/>
    <cellStyle name="Normal 31 3" xfId="54718"/>
    <cellStyle name="Normal 31 3 2" xfId="54719"/>
    <cellStyle name="Normal 31 3 3" xfId="54720"/>
    <cellStyle name="Normal 31 4" xfId="54721"/>
    <cellStyle name="Normal 31 5" xfId="54722"/>
    <cellStyle name="Normal 310" xfId="54723"/>
    <cellStyle name="Normal 311" xfId="54724"/>
    <cellStyle name="Normal 312" xfId="59029"/>
    <cellStyle name="Normal 32" xfId="54725"/>
    <cellStyle name="Normal 32 2" xfId="54726"/>
    <cellStyle name="Normal 32 2 2" xfId="54727"/>
    <cellStyle name="Normal 32 2 3" xfId="54728"/>
    <cellStyle name="Normal 32 3" xfId="54729"/>
    <cellStyle name="Normal 32 3 2" xfId="54730"/>
    <cellStyle name="Normal 32 3 3" xfId="54731"/>
    <cellStyle name="Normal 32 4" xfId="54732"/>
    <cellStyle name="Normal 32 5" xfId="54733"/>
    <cellStyle name="Normal 33" xfId="54734"/>
    <cellStyle name="Normal 33 2" xfId="54735"/>
    <cellStyle name="Normal 33 2 2" xfId="54736"/>
    <cellStyle name="Normal 33 2 3" xfId="54737"/>
    <cellStyle name="Normal 33 3" xfId="54738"/>
    <cellStyle name="Normal 33 3 2" xfId="54739"/>
    <cellStyle name="Normal 33 3 3" xfId="54740"/>
    <cellStyle name="Normal 33 4" xfId="54741"/>
    <cellStyle name="Normal 33 5" xfId="54742"/>
    <cellStyle name="Normal 34" xfId="54743"/>
    <cellStyle name="Normal 34 2" xfId="54744"/>
    <cellStyle name="Normal 34 2 2" xfId="54745"/>
    <cellStyle name="Normal 34 2 3" xfId="54746"/>
    <cellStyle name="Normal 34 3" xfId="54747"/>
    <cellStyle name="Normal 34 3 2" xfId="54748"/>
    <cellStyle name="Normal 34 3 3" xfId="54749"/>
    <cellStyle name="Normal 34 4" xfId="54750"/>
    <cellStyle name="Normal 34 5" xfId="54751"/>
    <cellStyle name="Normal 345" xfId="54752"/>
    <cellStyle name="Normal 345 2" xfId="54753"/>
    <cellStyle name="Normal 348" xfId="54754"/>
    <cellStyle name="Normal 35" xfId="54755"/>
    <cellStyle name="Normal 35 2" xfId="54756"/>
    <cellStyle name="Normal 35 2 2" xfId="54757"/>
    <cellStyle name="Normal 35 2 3" xfId="54758"/>
    <cellStyle name="Normal 35 3" xfId="54759"/>
    <cellStyle name="Normal 35 3 2" xfId="54760"/>
    <cellStyle name="Normal 35 3 3" xfId="54761"/>
    <cellStyle name="Normal 35 4" xfId="54762"/>
    <cellStyle name="Normal 35 5" xfId="54763"/>
    <cellStyle name="Normal 350" xfId="54764"/>
    <cellStyle name="Normal 351" xfId="54765"/>
    <cellStyle name="Normal 352" xfId="54766"/>
    <cellStyle name="Normal 353" xfId="54767"/>
    <cellStyle name="Normal 354" xfId="54768"/>
    <cellStyle name="Normal 356" xfId="54769"/>
    <cellStyle name="Normal 358" xfId="54770"/>
    <cellStyle name="Normal 36" xfId="54771"/>
    <cellStyle name="Normal 36 2" xfId="54772"/>
    <cellStyle name="Normal 36 2 2" xfId="54773"/>
    <cellStyle name="Normal 36 2 3" xfId="54774"/>
    <cellStyle name="Normal 36 3" xfId="54775"/>
    <cellStyle name="Normal 36 3 2" xfId="54776"/>
    <cellStyle name="Normal 36 3 3" xfId="54777"/>
    <cellStyle name="Normal 36 4" xfId="54778"/>
    <cellStyle name="Normal 36 5" xfId="54779"/>
    <cellStyle name="Normal 37" xfId="54780"/>
    <cellStyle name="Normal 37 2" xfId="54781"/>
    <cellStyle name="Normal 37 2 2" xfId="54782"/>
    <cellStyle name="Normal 37 2 3" xfId="54783"/>
    <cellStyle name="Normal 37 3" xfId="54784"/>
    <cellStyle name="Normal 37 3 2" xfId="54785"/>
    <cellStyle name="Normal 37 3 3" xfId="54786"/>
    <cellStyle name="Normal 37 4" xfId="54787"/>
    <cellStyle name="Normal 37 5" xfId="54788"/>
    <cellStyle name="Normal 38" xfId="54789"/>
    <cellStyle name="Normal 38 2" xfId="54790"/>
    <cellStyle name="Normal 38 2 2" xfId="54791"/>
    <cellStyle name="Normal 38 2 3" xfId="54792"/>
    <cellStyle name="Normal 38 3" xfId="54793"/>
    <cellStyle name="Normal 38 3 2" xfId="54794"/>
    <cellStyle name="Normal 38 3 3" xfId="54795"/>
    <cellStyle name="Normal 38 4" xfId="54796"/>
    <cellStyle name="Normal 38 5" xfId="54797"/>
    <cellStyle name="Normal 39" xfId="54798"/>
    <cellStyle name="Normal 39 2" xfId="54799"/>
    <cellStyle name="Normal 39 2 2" xfId="54800"/>
    <cellStyle name="Normal 39 2 3" xfId="54801"/>
    <cellStyle name="Normal 39 3" xfId="54802"/>
    <cellStyle name="Normal 39 3 2" xfId="54803"/>
    <cellStyle name="Normal 39 3 3" xfId="54804"/>
    <cellStyle name="Normal 39 4" xfId="54805"/>
    <cellStyle name="Normal 39 5" xfId="54806"/>
    <cellStyle name="Normal 4" xfId="54807"/>
    <cellStyle name="Normal 4 10" xfId="54808"/>
    <cellStyle name="Normal 4 11" xfId="54809"/>
    <cellStyle name="Normal 4 12" xfId="54810"/>
    <cellStyle name="Normal 4 13" xfId="54811"/>
    <cellStyle name="Normal 4 14" xfId="54812"/>
    <cellStyle name="Normal 4 2" xfId="54813"/>
    <cellStyle name="Normal 4 2 10" xfId="54814"/>
    <cellStyle name="Normal 4 2 11" xfId="54815"/>
    <cellStyle name="Normal 4 2 2" xfId="54816"/>
    <cellStyle name="Normal 4 2 2 2" xfId="54817"/>
    <cellStyle name="Normal 4 2 2 2 2" xfId="54818"/>
    <cellStyle name="Normal 4 2 2 2 3" xfId="54819"/>
    <cellStyle name="Normal 4 2 2 2 4" xfId="54820"/>
    <cellStyle name="Normal 4 2 2 2 5" xfId="54821"/>
    <cellStyle name="Normal 4 2 2 3" xfId="54822"/>
    <cellStyle name="Normal 4 2 2 4" xfId="54823"/>
    <cellStyle name="Normal 4 2 2 5" xfId="54824"/>
    <cellStyle name="Normal 4 2 2 6" xfId="54825"/>
    <cellStyle name="Normal 4 2 2 7" xfId="54826"/>
    <cellStyle name="Normal 4 2 2 8" xfId="54827"/>
    <cellStyle name="Normal 4 2 2 9" xfId="54828"/>
    <cellStyle name="Normal 4 2 3" xfId="54829"/>
    <cellStyle name="Normal 4 2 3 2" xfId="54830"/>
    <cellStyle name="Normal 4 2 3 2 2" xfId="54831"/>
    <cellStyle name="Normal 4 2 3 2 3" xfId="54832"/>
    <cellStyle name="Normal 4 2 3 2 4" xfId="54833"/>
    <cellStyle name="Normal 4 2 3 2 5" xfId="54834"/>
    <cellStyle name="Normal 4 2 3 3" xfId="54835"/>
    <cellStyle name="Normal 4 2 3 4" xfId="54836"/>
    <cellStyle name="Normal 4 2 3 5" xfId="54837"/>
    <cellStyle name="Normal 4 2 3 6" xfId="54838"/>
    <cellStyle name="Normal 4 2 3 7" xfId="54839"/>
    <cellStyle name="Normal 4 2 3 8" xfId="54840"/>
    <cellStyle name="Normal 4 2 4" xfId="54841"/>
    <cellStyle name="Normal 4 2 4 2" xfId="54842"/>
    <cellStyle name="Normal 4 2 4 3" xfId="54843"/>
    <cellStyle name="Normal 4 2 4 4" xfId="54844"/>
    <cellStyle name="Normal 4 2 4 5" xfId="54845"/>
    <cellStyle name="Normal 4 2 5" xfId="54846"/>
    <cellStyle name="Normal 4 2 6" xfId="54847"/>
    <cellStyle name="Normal 4 2 7" xfId="54848"/>
    <cellStyle name="Normal 4 2 8" xfId="54849"/>
    <cellStyle name="Normal 4 2 9" xfId="54850"/>
    <cellStyle name="Normal 4 3" xfId="54851"/>
    <cellStyle name="Normal 4 3 2" xfId="54852"/>
    <cellStyle name="Normal 4 3 2 2" xfId="54853"/>
    <cellStyle name="Normal 4 3 2 2 2" xfId="54854"/>
    <cellStyle name="Normal 4 3 2 2 3" xfId="54855"/>
    <cellStyle name="Normal 4 3 2 2 4" xfId="54856"/>
    <cellStyle name="Normal 4 3 2 2 5" xfId="54857"/>
    <cellStyle name="Normal 4 3 2 3" xfId="54858"/>
    <cellStyle name="Normal 4 3 2 4" xfId="54859"/>
    <cellStyle name="Normal 4 3 2 5" xfId="54860"/>
    <cellStyle name="Normal 4 3 2 6" xfId="54861"/>
    <cellStyle name="Normal 4 3 2 7" xfId="54862"/>
    <cellStyle name="Normal 4 3 2 8" xfId="54863"/>
    <cellStyle name="Normal 4 3 3" xfId="54864"/>
    <cellStyle name="Normal 4 3 3 2" xfId="54865"/>
    <cellStyle name="Normal 4 3 3 3" xfId="54866"/>
    <cellStyle name="Normal 4 3 3 4" xfId="54867"/>
    <cellStyle name="Normal 4 3 3 5" xfId="54868"/>
    <cellStyle name="Normal 4 3 4" xfId="54869"/>
    <cellStyle name="Normal 4 3 5" xfId="54870"/>
    <cellStyle name="Normal 4 3 6" xfId="54871"/>
    <cellStyle name="Normal 4 3 7" xfId="54872"/>
    <cellStyle name="Normal 4 3 8" xfId="54873"/>
    <cellStyle name="Normal 4 3 9" xfId="54874"/>
    <cellStyle name="Normal 4 4" xfId="54875"/>
    <cellStyle name="Normal 4 4 2" xfId="54876"/>
    <cellStyle name="Normal 4 4 2 2" xfId="54877"/>
    <cellStyle name="Normal 4 4 2 3" xfId="54878"/>
    <cellStyle name="Normal 4 4 2 4" xfId="54879"/>
    <cellStyle name="Normal 4 4 2 5" xfId="54880"/>
    <cellStyle name="Normal 4 4 3" xfId="54881"/>
    <cellStyle name="Normal 4 4 4" xfId="54882"/>
    <cellStyle name="Normal 4 4 5" xfId="54883"/>
    <cellStyle name="Normal 4 4 6" xfId="54884"/>
    <cellStyle name="Normal 4 4 7" xfId="54885"/>
    <cellStyle name="Normal 4 4 8" xfId="54886"/>
    <cellStyle name="Normal 4 5" xfId="54887"/>
    <cellStyle name="Normal 4 5 2" xfId="54888"/>
    <cellStyle name="Normal 4 5 2 2" xfId="54889"/>
    <cellStyle name="Normal 4 5 2 3" xfId="54890"/>
    <cellStyle name="Normal 4 5 2 4" xfId="54891"/>
    <cellStyle name="Normal 4 5 2 5" xfId="54892"/>
    <cellStyle name="Normal 4 5 3" xfId="54893"/>
    <cellStyle name="Normal 4 5 4" xfId="54894"/>
    <cellStyle name="Normal 4 5 5" xfId="54895"/>
    <cellStyle name="Normal 4 5 6" xfId="54896"/>
    <cellStyle name="Normal 4 5 7" xfId="54897"/>
    <cellStyle name="Normal 4 5 8" xfId="54898"/>
    <cellStyle name="Normal 4 6" xfId="54899"/>
    <cellStyle name="Normal 4 6 2" xfId="54900"/>
    <cellStyle name="Normal 4 6 3" xfId="54901"/>
    <cellStyle name="Normal 4 6 4" xfId="54902"/>
    <cellStyle name="Normal 4 6 5" xfId="54903"/>
    <cellStyle name="Normal 4 7" xfId="54904"/>
    <cellStyle name="Normal 4 7 2" xfId="54905"/>
    <cellStyle name="Normal 4 7 3" xfId="54906"/>
    <cellStyle name="Normal 4 7 4" xfId="54907"/>
    <cellStyle name="Normal 4 7 5" xfId="54908"/>
    <cellStyle name="Normal 4 8" xfId="54909"/>
    <cellStyle name="Normal 4 8 2" xfId="54910"/>
    <cellStyle name="Normal 4 8 3" xfId="54911"/>
    <cellStyle name="Normal 4 9" xfId="54912"/>
    <cellStyle name="Normal 4 9 2" xfId="54913"/>
    <cellStyle name="Normal 4 9 3" xfId="54914"/>
    <cellStyle name="Normal 4_FY 11 Clin 0002 Summary" xfId="54915"/>
    <cellStyle name="Normal 40" xfId="54916"/>
    <cellStyle name="Normal 40 2" xfId="54917"/>
    <cellStyle name="Normal 40 2 2" xfId="54918"/>
    <cellStyle name="Normal 40 2 3" xfId="54919"/>
    <cellStyle name="Normal 40 3" xfId="54920"/>
    <cellStyle name="Normal 40 3 2" xfId="54921"/>
    <cellStyle name="Normal 40 3 3" xfId="54922"/>
    <cellStyle name="Normal 40 4" xfId="54923"/>
    <cellStyle name="Normal 40 5" xfId="54924"/>
    <cellStyle name="Normal 41" xfId="54925"/>
    <cellStyle name="Normal 41 2" xfId="54926"/>
    <cellStyle name="Normal 41 2 2" xfId="54927"/>
    <cellStyle name="Normal 41 2 3" xfId="54928"/>
    <cellStyle name="Normal 41 3" xfId="54929"/>
    <cellStyle name="Normal 41 3 2" xfId="54930"/>
    <cellStyle name="Normal 41 3 3" xfId="54931"/>
    <cellStyle name="Normal 41 4" xfId="54932"/>
    <cellStyle name="Normal 41 5" xfId="54933"/>
    <cellStyle name="Normal 42" xfId="54934"/>
    <cellStyle name="Normal 42 2" xfId="54935"/>
    <cellStyle name="Normal 42 2 2" xfId="54936"/>
    <cellStyle name="Normal 42 2 3" xfId="54937"/>
    <cellStyle name="Normal 42 3" xfId="54938"/>
    <cellStyle name="Normal 42 3 2" xfId="54939"/>
    <cellStyle name="Normal 42 3 3" xfId="54940"/>
    <cellStyle name="Normal 42 4" xfId="54941"/>
    <cellStyle name="Normal 42 5" xfId="54942"/>
    <cellStyle name="Normal 43" xfId="54943"/>
    <cellStyle name="Normal 43 2" xfId="54944"/>
    <cellStyle name="Normal 43 2 2" xfId="54945"/>
    <cellStyle name="Normal 43 2 3" xfId="54946"/>
    <cellStyle name="Normal 43 3" xfId="54947"/>
    <cellStyle name="Normal 43 3 2" xfId="54948"/>
    <cellStyle name="Normal 43 3 3" xfId="54949"/>
    <cellStyle name="Normal 43 4" xfId="54950"/>
    <cellStyle name="Normal 43 5" xfId="54951"/>
    <cellStyle name="Normal 43 6" xfId="54952"/>
    <cellStyle name="Normal 44" xfId="54953"/>
    <cellStyle name="Normal 44 2" xfId="54954"/>
    <cellStyle name="Normal 44 2 2" xfId="54955"/>
    <cellStyle name="Normal 44 2 3" xfId="54956"/>
    <cellStyle name="Normal 44 3" xfId="54957"/>
    <cellStyle name="Normal 44 3 2" xfId="54958"/>
    <cellStyle name="Normal 44 3 3" xfId="54959"/>
    <cellStyle name="Normal 44 4" xfId="54960"/>
    <cellStyle name="Normal 44 5" xfId="54961"/>
    <cellStyle name="Normal 45" xfId="54962"/>
    <cellStyle name="Normal 45 2" xfId="54963"/>
    <cellStyle name="Normal 45 2 2" xfId="54964"/>
    <cellStyle name="Normal 45 2 3" xfId="54965"/>
    <cellStyle name="Normal 45 3" xfId="54966"/>
    <cellStyle name="Normal 45 3 2" xfId="54967"/>
    <cellStyle name="Normal 45 3 3" xfId="54968"/>
    <cellStyle name="Normal 45 4" xfId="54969"/>
    <cellStyle name="Normal 45 5" xfId="54970"/>
    <cellStyle name="Normal 46" xfId="54971"/>
    <cellStyle name="Normal 46 2" xfId="54972"/>
    <cellStyle name="Normal 46 2 2" xfId="54973"/>
    <cellStyle name="Normal 46 2 3" xfId="54974"/>
    <cellStyle name="Normal 46 3" xfId="54975"/>
    <cellStyle name="Normal 46 3 2" xfId="54976"/>
    <cellStyle name="Normal 46 3 3" xfId="54977"/>
    <cellStyle name="Normal 46 4" xfId="54978"/>
    <cellStyle name="Normal 46 5" xfId="54979"/>
    <cellStyle name="Normal 47" xfId="54980"/>
    <cellStyle name="Normal 47 2" xfId="54981"/>
    <cellStyle name="Normal 47 2 2" xfId="54982"/>
    <cellStyle name="Normal 47 2 3" xfId="54983"/>
    <cellStyle name="Normal 47 3" xfId="54984"/>
    <cellStyle name="Normal 47 3 2" xfId="54985"/>
    <cellStyle name="Normal 47 3 3" xfId="54986"/>
    <cellStyle name="Normal 47 4" xfId="54987"/>
    <cellStyle name="Normal 47 5" xfId="54988"/>
    <cellStyle name="Normal 48" xfId="54989"/>
    <cellStyle name="Normal 48 2" xfId="54990"/>
    <cellStyle name="Normal 48 2 2" xfId="54991"/>
    <cellStyle name="Normal 48 2 3" xfId="54992"/>
    <cellStyle name="Normal 48 3" xfId="54993"/>
    <cellStyle name="Normal 48 3 2" xfId="54994"/>
    <cellStyle name="Normal 48 3 3" xfId="54995"/>
    <cellStyle name="Normal 48 4" xfId="54996"/>
    <cellStyle name="Normal 48 5" xfId="54997"/>
    <cellStyle name="Normal 49" xfId="54998"/>
    <cellStyle name="Normal 49 2" xfId="54999"/>
    <cellStyle name="Normal 49 2 2" xfId="55000"/>
    <cellStyle name="Normal 49 2 3" xfId="55001"/>
    <cellStyle name="Normal 49 3" xfId="55002"/>
    <cellStyle name="Normal 49 3 2" xfId="55003"/>
    <cellStyle name="Normal 49 3 3" xfId="55004"/>
    <cellStyle name="Normal 49 4" xfId="55005"/>
    <cellStyle name="Normal 49 5" xfId="55006"/>
    <cellStyle name="Normal 5" xfId="55007"/>
    <cellStyle name="Normal 5 10" xfId="55008"/>
    <cellStyle name="Normal 5 11" xfId="55009"/>
    <cellStyle name="Normal 5 12" xfId="55010"/>
    <cellStyle name="Normal 5 13" xfId="55011"/>
    <cellStyle name="Normal 5 14" xfId="55012"/>
    <cellStyle name="Normal 5 2" xfId="55013"/>
    <cellStyle name="Normal 5 2 2" xfId="55014"/>
    <cellStyle name="Normal 5 2 2 2" xfId="55015"/>
    <cellStyle name="Normal 5 2 2 2 2" xfId="55016"/>
    <cellStyle name="Normal 5 2 2 2 2 2" xfId="55017"/>
    <cellStyle name="Normal 5 2 2 2 2 3" xfId="55018"/>
    <cellStyle name="Normal 5 2 2 2 3" xfId="55019"/>
    <cellStyle name="Normal 5 2 2 2 4" xfId="55020"/>
    <cellStyle name="Normal 5 2 2 3" xfId="55021"/>
    <cellStyle name="Normal 5 2 2 3 2" xfId="55022"/>
    <cellStyle name="Normal 5 2 2 3 3" xfId="55023"/>
    <cellStyle name="Normal 5 2 2 4" xfId="55024"/>
    <cellStyle name="Normal 5 2 2 4 2" xfId="55025"/>
    <cellStyle name="Normal 5 2 2 4 3" xfId="55026"/>
    <cellStyle name="Normal 5 2 2 5" xfId="55027"/>
    <cellStyle name="Normal 5 2 2 6" xfId="55028"/>
    <cellStyle name="Normal 5 2 2 7" xfId="55029"/>
    <cellStyle name="Normal 5 2 3" xfId="55030"/>
    <cellStyle name="Normal 5 2 3 2" xfId="55031"/>
    <cellStyle name="Normal 5 2 3 2 2" xfId="55032"/>
    <cellStyle name="Normal 5 2 3 2 2 2" xfId="55033"/>
    <cellStyle name="Normal 5 2 3 2 2 3" xfId="55034"/>
    <cellStyle name="Normal 5 2 3 2 3" xfId="55035"/>
    <cellStyle name="Normal 5 2 3 2 4" xfId="55036"/>
    <cellStyle name="Normal 5 2 3 3" xfId="55037"/>
    <cellStyle name="Normal 5 2 3 3 2" xfId="55038"/>
    <cellStyle name="Normal 5 2 3 3 3" xfId="55039"/>
    <cellStyle name="Normal 5 2 3 4" xfId="55040"/>
    <cellStyle name="Normal 5 2 3 4 2" xfId="55041"/>
    <cellStyle name="Normal 5 2 3 4 3" xfId="55042"/>
    <cellStyle name="Normal 5 2 3 5" xfId="55043"/>
    <cellStyle name="Normal 5 2 3 6" xfId="55044"/>
    <cellStyle name="Normal 5 2 4" xfId="55045"/>
    <cellStyle name="Normal 5 2 4 2" xfId="55046"/>
    <cellStyle name="Normal 5 2 4 2 2" xfId="55047"/>
    <cellStyle name="Normal 5 2 4 2 3" xfId="55048"/>
    <cellStyle name="Normal 5 2 4 3" xfId="55049"/>
    <cellStyle name="Normal 5 2 4 4" xfId="55050"/>
    <cellStyle name="Normal 5 2 4 5" xfId="55051"/>
    <cellStyle name="Normal 5 2 4 6" xfId="55052"/>
    <cellStyle name="Normal 5 2 5" xfId="55053"/>
    <cellStyle name="Normal 5 2 5 2" xfId="55054"/>
    <cellStyle name="Normal 5 2 5 3" xfId="55055"/>
    <cellStyle name="Normal 5 2 6" xfId="55056"/>
    <cellStyle name="Normal 5 2 6 2" xfId="55057"/>
    <cellStyle name="Normal 5 2 6 3" xfId="55058"/>
    <cellStyle name="Normal 5 2 7" xfId="55059"/>
    <cellStyle name="Normal 5 2 7 2" xfId="55060"/>
    <cellStyle name="Normal 5 2 7 3" xfId="55061"/>
    <cellStyle name="Normal 5 2 8" xfId="55062"/>
    <cellStyle name="Normal 5 2 8 2" xfId="55063"/>
    <cellStyle name="Normal 5 2 8 3" xfId="55064"/>
    <cellStyle name="Normal 5 2 9" xfId="55065"/>
    <cellStyle name="Normal 5 3" xfId="55066"/>
    <cellStyle name="Normal 5 3 2" xfId="55067"/>
    <cellStyle name="Normal 5 3 2 2" xfId="55068"/>
    <cellStyle name="Normal 5 3 2 2 2" xfId="55069"/>
    <cellStyle name="Normal 5 3 2 3" xfId="55070"/>
    <cellStyle name="Normal 5 3 2 4" xfId="55071"/>
    <cellStyle name="Normal 5 3 2 5" xfId="55072"/>
    <cellStyle name="Normal 5 3 3" xfId="55073"/>
    <cellStyle name="Normal 5 3 3 2" xfId="55074"/>
    <cellStyle name="Normal 5 3 4" xfId="55075"/>
    <cellStyle name="Normal 5 3 5" xfId="55076"/>
    <cellStyle name="Normal 5 3 6" xfId="55077"/>
    <cellStyle name="Normal 5 3 7" xfId="55078"/>
    <cellStyle name="Normal 5 3 8" xfId="55079"/>
    <cellStyle name="Normal 5 4" xfId="55080"/>
    <cellStyle name="Normal 5 4 2" xfId="55081"/>
    <cellStyle name="Normal 5 4 2 2" xfId="55082"/>
    <cellStyle name="Normal 5 4 2 2 2" xfId="55083"/>
    <cellStyle name="Normal 5 4 2 3" xfId="55084"/>
    <cellStyle name="Normal 5 4 2 4" xfId="55085"/>
    <cellStyle name="Normal 5 4 2 5" xfId="55086"/>
    <cellStyle name="Normal 5 4 3" xfId="55087"/>
    <cellStyle name="Normal 5 4 3 2" xfId="55088"/>
    <cellStyle name="Normal 5 4 4" xfId="55089"/>
    <cellStyle name="Normal 5 4 5" xfId="55090"/>
    <cellStyle name="Normal 5 4 6" xfId="55091"/>
    <cellStyle name="Normal 5 4 7" xfId="55092"/>
    <cellStyle name="Normal 5 4 8" xfId="55093"/>
    <cellStyle name="Normal 5 5" xfId="55094"/>
    <cellStyle name="Normal 5 5 2" xfId="55095"/>
    <cellStyle name="Normal 5 5 2 2" xfId="55096"/>
    <cellStyle name="Normal 5 5 2 3" xfId="55097"/>
    <cellStyle name="Normal 5 5 2 4" xfId="55098"/>
    <cellStyle name="Normal 5 5 2 5" xfId="55099"/>
    <cellStyle name="Normal 5 5 3" xfId="55100"/>
    <cellStyle name="Normal 5 5 4" xfId="55101"/>
    <cellStyle name="Normal 5 5 5" xfId="55102"/>
    <cellStyle name="Normal 5 5 6" xfId="55103"/>
    <cellStyle name="Normal 5 5 7" xfId="55104"/>
    <cellStyle name="Normal 5 5 8" xfId="55105"/>
    <cellStyle name="Normal 5 6" xfId="55106"/>
    <cellStyle name="Normal 5 6 2" xfId="55107"/>
    <cellStyle name="Normal 5 6 3" xfId="55108"/>
    <cellStyle name="Normal 5 6 4" xfId="55109"/>
    <cellStyle name="Normal 5 6 5" xfId="55110"/>
    <cellStyle name="Normal 5 7" xfId="55111"/>
    <cellStyle name="Normal 5 8" xfId="55112"/>
    <cellStyle name="Normal 5 9" xfId="55113"/>
    <cellStyle name="Normal 5_T1_TP_MASTER_032112_Rev A" xfId="55114"/>
    <cellStyle name="Normal 50" xfId="55115"/>
    <cellStyle name="Normal 50 2" xfId="55116"/>
    <cellStyle name="Normal 50 2 2" xfId="55117"/>
    <cellStyle name="Normal 50 2 3" xfId="55118"/>
    <cellStyle name="Normal 50 3" xfId="55119"/>
    <cellStyle name="Normal 50 3 2" xfId="55120"/>
    <cellStyle name="Normal 50 3 3" xfId="55121"/>
    <cellStyle name="Normal 50 4" xfId="55122"/>
    <cellStyle name="Normal 50 5" xfId="55123"/>
    <cellStyle name="Normal 51" xfId="55124"/>
    <cellStyle name="Normal 51 2" xfId="55125"/>
    <cellStyle name="Normal 51 2 2" xfId="55126"/>
    <cellStyle name="Normal 51 2 3" xfId="55127"/>
    <cellStyle name="Normal 51 3" xfId="55128"/>
    <cellStyle name="Normal 51 3 2" xfId="55129"/>
    <cellStyle name="Normal 51 3 3" xfId="55130"/>
    <cellStyle name="Normal 51 4" xfId="55131"/>
    <cellStyle name="Normal 51 5" xfId="55132"/>
    <cellStyle name="Normal 52" xfId="55133"/>
    <cellStyle name="Normal 52 2" xfId="55134"/>
    <cellStyle name="Normal 52 2 2" xfId="55135"/>
    <cellStyle name="Normal 52 2 3" xfId="55136"/>
    <cellStyle name="Normal 52 3" xfId="55137"/>
    <cellStyle name="Normal 52 3 2" xfId="55138"/>
    <cellStyle name="Normal 52 3 3" xfId="55139"/>
    <cellStyle name="Normal 52 4" xfId="55140"/>
    <cellStyle name="Normal 52 5" xfId="55141"/>
    <cellStyle name="Normal 53" xfId="55142"/>
    <cellStyle name="Normal 53 2" xfId="55143"/>
    <cellStyle name="Normal 53 2 2" xfId="55144"/>
    <cellStyle name="Normal 53 2 3" xfId="55145"/>
    <cellStyle name="Normal 53 3" xfId="55146"/>
    <cellStyle name="Normal 53 3 2" xfId="55147"/>
    <cellStyle name="Normal 53 3 3" xfId="55148"/>
    <cellStyle name="Normal 53 4" xfId="55149"/>
    <cellStyle name="Normal 53 5" xfId="55150"/>
    <cellStyle name="Normal 54" xfId="55151"/>
    <cellStyle name="Normal 54 2" xfId="55152"/>
    <cellStyle name="Normal 54 2 2" xfId="55153"/>
    <cellStyle name="Normal 54 2 3" xfId="55154"/>
    <cellStyle name="Normal 54 3" xfId="55155"/>
    <cellStyle name="Normal 54 3 2" xfId="55156"/>
    <cellStyle name="Normal 54 3 3" xfId="55157"/>
    <cellStyle name="Normal 54 4" xfId="55158"/>
    <cellStyle name="Normal 54 5" xfId="55159"/>
    <cellStyle name="Normal 55" xfId="55160"/>
    <cellStyle name="Normal 55 2" xfId="55161"/>
    <cellStyle name="Normal 55 2 2" xfId="55162"/>
    <cellStyle name="Normal 55 2 3" xfId="55163"/>
    <cellStyle name="Normal 55 3" xfId="55164"/>
    <cellStyle name="Normal 55 3 2" xfId="55165"/>
    <cellStyle name="Normal 55 3 3" xfId="55166"/>
    <cellStyle name="Normal 55 4" xfId="55167"/>
    <cellStyle name="Normal 55 5" xfId="55168"/>
    <cellStyle name="Normal 56" xfId="55169"/>
    <cellStyle name="Normal 56 2" xfId="55170"/>
    <cellStyle name="Normal 56 2 2" xfId="55171"/>
    <cellStyle name="Normal 56 2 3" xfId="55172"/>
    <cellStyle name="Normal 56 3" xfId="55173"/>
    <cellStyle name="Normal 56 3 2" xfId="55174"/>
    <cellStyle name="Normal 56 3 3" xfId="55175"/>
    <cellStyle name="Normal 56 4" xfId="55176"/>
    <cellStyle name="Normal 56 5" xfId="55177"/>
    <cellStyle name="Normal 57" xfId="55178"/>
    <cellStyle name="Normal 57 2" xfId="55179"/>
    <cellStyle name="Normal 57 2 2" xfId="55180"/>
    <cellStyle name="Normal 57 2 2 2" xfId="55181"/>
    <cellStyle name="Normal 57 2 2 3" xfId="55182"/>
    <cellStyle name="Normal 57 2 3" xfId="55183"/>
    <cellStyle name="Normal 57 2 4" xfId="55184"/>
    <cellStyle name="Normal 57 3" xfId="55185"/>
    <cellStyle name="Normal 57 3 2" xfId="55186"/>
    <cellStyle name="Normal 57 3 3" xfId="55187"/>
    <cellStyle name="Normal 57 4" xfId="55188"/>
    <cellStyle name="Normal 57 5" xfId="55189"/>
    <cellStyle name="Normal 58" xfId="55190"/>
    <cellStyle name="Normal 58 2" xfId="55191"/>
    <cellStyle name="Normal 58 2 2" xfId="55192"/>
    <cellStyle name="Normal 58 2 2 2" xfId="55193"/>
    <cellStyle name="Normal 58 2 2 3" xfId="55194"/>
    <cellStyle name="Normal 58 2 3" xfId="55195"/>
    <cellStyle name="Normal 58 2 4" xfId="55196"/>
    <cellStyle name="Normal 58 3" xfId="55197"/>
    <cellStyle name="Normal 58 3 2" xfId="55198"/>
    <cellStyle name="Normal 58 3 3" xfId="55199"/>
    <cellStyle name="Normal 58 4" xfId="55200"/>
    <cellStyle name="Normal 58 5" xfId="55201"/>
    <cellStyle name="Normal 59" xfId="55202"/>
    <cellStyle name="Normal 59 2" xfId="55203"/>
    <cellStyle name="Normal 59 2 2" xfId="55204"/>
    <cellStyle name="Normal 59 2 3" xfId="55205"/>
    <cellStyle name="Normal 59 3" xfId="55206"/>
    <cellStyle name="Normal 59 3 2" xfId="55207"/>
    <cellStyle name="Normal 59 3 2 2" xfId="55208"/>
    <cellStyle name="Normal 59 3 2 2 2" xfId="55209"/>
    <cellStyle name="Normal 59 3 2 2 3" xfId="55210"/>
    <cellStyle name="Normal 59 3 2 3" xfId="55211"/>
    <cellStyle name="Normal 59 3 2 4" xfId="55212"/>
    <cellStyle name="Normal 59 3 3" xfId="55213"/>
    <cellStyle name="Normal 59 3 3 2" xfId="55214"/>
    <cellStyle name="Normal 59 3 3 3" xfId="55215"/>
    <cellStyle name="Normal 59 3 4" xfId="55216"/>
    <cellStyle name="Normal 59 3 5" xfId="55217"/>
    <cellStyle name="Normal 59 4" xfId="55218"/>
    <cellStyle name="Normal 59 5" xfId="55219"/>
    <cellStyle name="Normal 6" xfId="55220"/>
    <cellStyle name="Normal 6 10" xfId="55221"/>
    <cellStyle name="Normal 6 10 2" xfId="55222"/>
    <cellStyle name="Normal 6 10 3" xfId="55223"/>
    <cellStyle name="Normal 6 11" xfId="55224"/>
    <cellStyle name="Normal 6 11 2" xfId="55225"/>
    <cellStyle name="Normal 6 11 3" xfId="55226"/>
    <cellStyle name="Normal 6 12" xfId="55227"/>
    <cellStyle name="Normal 6 12 2" xfId="55228"/>
    <cellStyle name="Normal 6 12 3" xfId="55229"/>
    <cellStyle name="Normal 6 13" xfId="55230"/>
    <cellStyle name="Normal 6 14" xfId="55231"/>
    <cellStyle name="Normal 6 2" xfId="55232"/>
    <cellStyle name="Normal 6 2 2" xfId="55233"/>
    <cellStyle name="Normal 6 2 2 2" xfId="55234"/>
    <cellStyle name="Normal 6 2 2 2 2" xfId="55235"/>
    <cellStyle name="Normal 6 2 2 2 3" xfId="55236"/>
    <cellStyle name="Normal 6 2 2 3" xfId="55237"/>
    <cellStyle name="Normal 6 2 2 3 2" xfId="55238"/>
    <cellStyle name="Normal 6 2 2 3 3" xfId="55239"/>
    <cellStyle name="Normal 6 2 2 4" xfId="55240"/>
    <cellStyle name="Normal 6 2 2 5" xfId="55241"/>
    <cellStyle name="Normal 6 2 3" xfId="55242"/>
    <cellStyle name="Normal 6 2 3 2" xfId="55243"/>
    <cellStyle name="Normal 6 2 3 3" xfId="55244"/>
    <cellStyle name="Normal 6 2 4" xfId="55245"/>
    <cellStyle name="Normal 6 2 4 2" xfId="55246"/>
    <cellStyle name="Normal 6 2 4 3" xfId="55247"/>
    <cellStyle name="Normal 6 2 5" xfId="55248"/>
    <cellStyle name="Normal 6 2 6" xfId="55249"/>
    <cellStyle name="Normal 6 2 7" xfId="55250"/>
    <cellStyle name="Normal 6 2 8" xfId="55251"/>
    <cellStyle name="Normal 6 3" xfId="55252"/>
    <cellStyle name="Normal 6 3 2" xfId="55253"/>
    <cellStyle name="Normal 6 3 2 2" xfId="55254"/>
    <cellStyle name="Normal 6 3 2 3" xfId="55255"/>
    <cellStyle name="Normal 6 3 2 4" xfId="55256"/>
    <cellStyle name="Normal 6 3 2 5" xfId="55257"/>
    <cellStyle name="Normal 6 3 3" xfId="55258"/>
    <cellStyle name="Normal 6 3 3 2" xfId="55259"/>
    <cellStyle name="Normal 6 3 4" xfId="55260"/>
    <cellStyle name="Normal 6 3 5" xfId="55261"/>
    <cellStyle name="Normal 6 3 6" xfId="55262"/>
    <cellStyle name="Normal 6 3 7" xfId="55263"/>
    <cellStyle name="Normal 6 3 8" xfId="55264"/>
    <cellStyle name="Normal 6 4" xfId="55265"/>
    <cellStyle name="Normal 6 4 2" xfId="55266"/>
    <cellStyle name="Normal 6 4 2 2" xfId="55267"/>
    <cellStyle name="Normal 6 4 2 3" xfId="55268"/>
    <cellStyle name="Normal 6 4 2 4" xfId="55269"/>
    <cellStyle name="Normal 6 4 2 5" xfId="55270"/>
    <cellStyle name="Normal 6 4 3" xfId="55271"/>
    <cellStyle name="Normal 6 4 4" xfId="55272"/>
    <cellStyle name="Normal 6 4 5" xfId="55273"/>
    <cellStyle name="Normal 6 4 6" xfId="55274"/>
    <cellStyle name="Normal 6 4 7" xfId="55275"/>
    <cellStyle name="Normal 6 4 8" xfId="55276"/>
    <cellStyle name="Normal 6 5" xfId="55277"/>
    <cellStyle name="Normal 6 5 2" xfId="55278"/>
    <cellStyle name="Normal 6 5 2 2" xfId="55279"/>
    <cellStyle name="Normal 6 5 2 2 2" xfId="55280"/>
    <cellStyle name="Normal 6 5 2 2 3" xfId="55281"/>
    <cellStyle name="Normal 6 5 2 3" xfId="55282"/>
    <cellStyle name="Normal 6 5 2 4" xfId="55283"/>
    <cellStyle name="Normal 6 5 3" xfId="55284"/>
    <cellStyle name="Normal 6 5 3 2" xfId="55285"/>
    <cellStyle name="Normal 6 5 3 3" xfId="55286"/>
    <cellStyle name="Normal 6 5 4" xfId="55287"/>
    <cellStyle name="Normal 6 5 4 2" xfId="55288"/>
    <cellStyle name="Normal 6 5 4 3" xfId="55289"/>
    <cellStyle name="Normal 6 5 5" xfId="55290"/>
    <cellStyle name="Normal 6 5 6" xfId="55291"/>
    <cellStyle name="Normal 6 6" xfId="55292"/>
    <cellStyle name="Normal 6 6 2" xfId="55293"/>
    <cellStyle name="Normal 6 6 2 2" xfId="55294"/>
    <cellStyle name="Normal 6 6 2 2 2" xfId="55295"/>
    <cellStyle name="Normal 6 6 2 2 3" xfId="55296"/>
    <cellStyle name="Normal 6 6 2 3" xfId="55297"/>
    <cellStyle name="Normal 6 6 2 4" xfId="55298"/>
    <cellStyle name="Normal 6 6 3" xfId="55299"/>
    <cellStyle name="Normal 6 6 3 2" xfId="55300"/>
    <cellStyle name="Normal 6 6 3 3" xfId="55301"/>
    <cellStyle name="Normal 6 6 4" xfId="55302"/>
    <cellStyle name="Normal 6 6 4 2" xfId="55303"/>
    <cellStyle name="Normal 6 6 4 3" xfId="55304"/>
    <cellStyle name="Normal 6 6 5" xfId="55305"/>
    <cellStyle name="Normal 6 6 6" xfId="55306"/>
    <cellStyle name="Normal 6 7" xfId="55307"/>
    <cellStyle name="Normal 6 7 2" xfId="55308"/>
    <cellStyle name="Normal 6 7 2 2" xfId="55309"/>
    <cellStyle name="Normal 6 7 2 3" xfId="55310"/>
    <cellStyle name="Normal 6 7 3" xfId="55311"/>
    <cellStyle name="Normal 6 7 4" xfId="55312"/>
    <cellStyle name="Normal 6 8" xfId="55313"/>
    <cellStyle name="Normal 6 8 2" xfId="55314"/>
    <cellStyle name="Normal 6 8 2 2" xfId="55315"/>
    <cellStyle name="Normal 6 8 2 3" xfId="55316"/>
    <cellStyle name="Normal 6 8 3" xfId="55317"/>
    <cellStyle name="Normal 6 8 3 2" xfId="55318"/>
    <cellStyle name="Normal 6 8 3 3" xfId="55319"/>
    <cellStyle name="Normal 6 8 4" xfId="55320"/>
    <cellStyle name="Normal 6 8 5" xfId="55321"/>
    <cellStyle name="Normal 6 9" xfId="55322"/>
    <cellStyle name="Normal 6 9 2" xfId="55323"/>
    <cellStyle name="Normal 6 9 2 2" xfId="55324"/>
    <cellStyle name="Normal 6 9 2 3" xfId="55325"/>
    <cellStyle name="Normal 6 9 3" xfId="55326"/>
    <cellStyle name="Normal 6 9 4" xfId="55327"/>
    <cellStyle name="Normal 6_T1_TP_MASTER_032112_Rev A" xfId="55328"/>
    <cellStyle name="Normal 60" xfId="55329"/>
    <cellStyle name="Normal 60 2" xfId="55330"/>
    <cellStyle name="Normal 60 2 2" xfId="55331"/>
    <cellStyle name="Normal 60 2 3" xfId="55332"/>
    <cellStyle name="Normal 60 3" xfId="55333"/>
    <cellStyle name="Normal 60 3 2" xfId="55334"/>
    <cellStyle name="Normal 60 3 3" xfId="55335"/>
    <cellStyle name="Normal 60 4" xfId="55336"/>
    <cellStyle name="Normal 60 5" xfId="55337"/>
    <cellStyle name="Normal 61" xfId="55338"/>
    <cellStyle name="Normal 61 2" xfId="55339"/>
    <cellStyle name="Normal 61 2 2" xfId="55340"/>
    <cellStyle name="Normal 61 2 3" xfId="55341"/>
    <cellStyle name="Normal 61 3" xfId="55342"/>
    <cellStyle name="Normal 61 3 2" xfId="55343"/>
    <cellStyle name="Normal 61 3 2 2" xfId="55344"/>
    <cellStyle name="Normal 61 3 2 2 2" xfId="55345"/>
    <cellStyle name="Normal 61 3 2 2 3" xfId="55346"/>
    <cellStyle name="Normal 61 3 2 3" xfId="55347"/>
    <cellStyle name="Normal 61 3 2 4" xfId="55348"/>
    <cellStyle name="Normal 61 3 3" xfId="55349"/>
    <cellStyle name="Normal 61 3 3 2" xfId="55350"/>
    <cellStyle name="Normal 61 3 3 3" xfId="55351"/>
    <cellStyle name="Normal 61 3 4" xfId="55352"/>
    <cellStyle name="Normal 61 3 5" xfId="55353"/>
    <cellStyle name="Normal 61 4" xfId="55354"/>
    <cellStyle name="Normal 61 5" xfId="55355"/>
    <cellStyle name="Normal 62" xfId="55356"/>
    <cellStyle name="Normal 62 2" xfId="55357"/>
    <cellStyle name="Normal 62 2 2" xfId="55358"/>
    <cellStyle name="Normal 62 2 3" xfId="55359"/>
    <cellStyle name="Normal 62 3" xfId="55360"/>
    <cellStyle name="Normal 62 3 2" xfId="55361"/>
    <cellStyle name="Normal 62 3 2 2" xfId="55362"/>
    <cellStyle name="Normal 62 3 2 2 2" xfId="55363"/>
    <cellStyle name="Normal 62 3 2 2 3" xfId="55364"/>
    <cellStyle name="Normal 62 3 2 3" xfId="55365"/>
    <cellStyle name="Normal 62 3 2 4" xfId="55366"/>
    <cellStyle name="Normal 62 3 3" xfId="55367"/>
    <cellStyle name="Normal 62 3 3 2" xfId="55368"/>
    <cellStyle name="Normal 62 3 3 3" xfId="55369"/>
    <cellStyle name="Normal 62 3 4" xfId="55370"/>
    <cellStyle name="Normal 62 3 5" xfId="55371"/>
    <cellStyle name="Normal 62 4" xfId="55372"/>
    <cellStyle name="Normal 62 5" xfId="55373"/>
    <cellStyle name="Normal 63" xfId="55374"/>
    <cellStyle name="Normal 63 2" xfId="55375"/>
    <cellStyle name="Normal 63 2 2" xfId="55376"/>
    <cellStyle name="Normal 63 2 3" xfId="55377"/>
    <cellStyle name="Normal 63 3" xfId="55378"/>
    <cellStyle name="Normal 63 3 2" xfId="55379"/>
    <cellStyle name="Normal 63 3 2 2" xfId="55380"/>
    <cellStyle name="Normal 63 3 2 2 2" xfId="55381"/>
    <cellStyle name="Normal 63 3 2 2 3" xfId="55382"/>
    <cellStyle name="Normal 63 3 2 3" xfId="55383"/>
    <cellStyle name="Normal 63 3 2 4" xfId="55384"/>
    <cellStyle name="Normal 63 3 3" xfId="55385"/>
    <cellStyle name="Normal 63 3 3 2" xfId="55386"/>
    <cellStyle name="Normal 63 3 3 3" xfId="55387"/>
    <cellStyle name="Normal 63 3 4" xfId="55388"/>
    <cellStyle name="Normal 63 3 5" xfId="55389"/>
    <cellStyle name="Normal 63 4" xfId="55390"/>
    <cellStyle name="Normal 63 5" xfId="55391"/>
    <cellStyle name="Normal 64" xfId="55392"/>
    <cellStyle name="Normal 64 2" xfId="55393"/>
    <cellStyle name="Normal 64 2 2" xfId="55394"/>
    <cellStyle name="Normal 64 2 3" xfId="55395"/>
    <cellStyle name="Normal 64 3" xfId="55396"/>
    <cellStyle name="Normal 64 3 2" xfId="55397"/>
    <cellStyle name="Normal 64 3 2 2" xfId="55398"/>
    <cellStyle name="Normal 64 3 2 2 2" xfId="55399"/>
    <cellStyle name="Normal 64 3 2 2 3" xfId="55400"/>
    <cellStyle name="Normal 64 3 2 3" xfId="55401"/>
    <cellStyle name="Normal 64 3 2 4" xfId="55402"/>
    <cellStyle name="Normal 64 3 3" xfId="55403"/>
    <cellStyle name="Normal 64 3 3 2" xfId="55404"/>
    <cellStyle name="Normal 64 3 3 3" xfId="55405"/>
    <cellStyle name="Normal 64 3 4" xfId="55406"/>
    <cellStyle name="Normal 64 3 5" xfId="55407"/>
    <cellStyle name="Normal 64 4" xfId="55408"/>
    <cellStyle name="Normal 64 5" xfId="55409"/>
    <cellStyle name="Normal 65" xfId="55410"/>
    <cellStyle name="Normal 65 2" xfId="55411"/>
    <cellStyle name="Normal 65 2 2" xfId="55412"/>
    <cellStyle name="Normal 65 2 3" xfId="55413"/>
    <cellStyle name="Normal 65 3" xfId="55414"/>
    <cellStyle name="Normal 65 3 2" xfId="55415"/>
    <cellStyle name="Normal 65 3 3" xfId="55416"/>
    <cellStyle name="Normal 65 4" xfId="55417"/>
    <cellStyle name="Normal 65 4 2" xfId="55418"/>
    <cellStyle name="Normal 65 4 3" xfId="55419"/>
    <cellStyle name="Normal 65 5" xfId="55420"/>
    <cellStyle name="Normal 66" xfId="55421"/>
    <cellStyle name="Normal 66 2" xfId="55422"/>
    <cellStyle name="Normal 66 2 2" xfId="55423"/>
    <cellStyle name="Normal 66 2 3" xfId="55424"/>
    <cellStyle name="Normal 66 3" xfId="55425"/>
    <cellStyle name="Normal 66 3 2" xfId="55426"/>
    <cellStyle name="Normal 66 3 3" xfId="55427"/>
    <cellStyle name="Normal 66 4" xfId="55428"/>
    <cellStyle name="Normal 66 5" xfId="55429"/>
    <cellStyle name="Normal 67" xfId="55430"/>
    <cellStyle name="Normal 67 2" xfId="55431"/>
    <cellStyle name="Normal 67 2 2" xfId="55432"/>
    <cellStyle name="Normal 67 2 3" xfId="55433"/>
    <cellStyle name="Normal 67 3" xfId="55434"/>
    <cellStyle name="Normal 67 3 2" xfId="55435"/>
    <cellStyle name="Normal 67 3 2 2" xfId="55436"/>
    <cellStyle name="Normal 67 3 2 2 2" xfId="55437"/>
    <cellStyle name="Normal 67 3 2 2 3" xfId="55438"/>
    <cellStyle name="Normal 67 3 2 3" xfId="55439"/>
    <cellStyle name="Normal 67 3 2 4" xfId="55440"/>
    <cellStyle name="Normal 67 3 3" xfId="55441"/>
    <cellStyle name="Normal 67 3 3 2" xfId="55442"/>
    <cellStyle name="Normal 67 3 3 3" xfId="55443"/>
    <cellStyle name="Normal 67 3 4" xfId="55444"/>
    <cellStyle name="Normal 67 3 5" xfId="55445"/>
    <cellStyle name="Normal 67 4" xfId="55446"/>
    <cellStyle name="Normal 67 5" xfId="55447"/>
    <cellStyle name="Normal 68" xfId="55448"/>
    <cellStyle name="Normal 68 2" xfId="55449"/>
    <cellStyle name="Normal 68 2 2" xfId="55450"/>
    <cellStyle name="Normal 68 2 3" xfId="55451"/>
    <cellStyle name="Normal 68 3" xfId="55452"/>
    <cellStyle name="Normal 68 3 2" xfId="55453"/>
    <cellStyle name="Normal 68 3 2 2" xfId="55454"/>
    <cellStyle name="Normal 68 3 2 2 2" xfId="55455"/>
    <cellStyle name="Normal 68 3 2 2 3" xfId="55456"/>
    <cellStyle name="Normal 68 3 2 3" xfId="55457"/>
    <cellStyle name="Normal 68 3 2 4" xfId="55458"/>
    <cellStyle name="Normal 68 3 3" xfId="55459"/>
    <cellStyle name="Normal 68 3 3 2" xfId="55460"/>
    <cellStyle name="Normal 68 3 3 3" xfId="55461"/>
    <cellStyle name="Normal 68 3 4" xfId="55462"/>
    <cellStyle name="Normal 68 3 5" xfId="55463"/>
    <cellStyle name="Normal 68 4" xfId="55464"/>
    <cellStyle name="Normal 68 5" xfId="55465"/>
    <cellStyle name="Normal 69" xfId="55466"/>
    <cellStyle name="Normal 69 2" xfId="55467"/>
    <cellStyle name="Normal 69 2 2" xfId="55468"/>
    <cellStyle name="Normal 69 2 3" xfId="55469"/>
    <cellStyle name="Normal 69 3" xfId="55470"/>
    <cellStyle name="Normal 69 3 2" xfId="55471"/>
    <cellStyle name="Normal 69 3 2 2" xfId="55472"/>
    <cellStyle name="Normal 69 3 2 2 2" xfId="55473"/>
    <cellStyle name="Normal 69 3 2 2 3" xfId="55474"/>
    <cellStyle name="Normal 69 3 2 3" xfId="55475"/>
    <cellStyle name="Normal 69 3 2 4" xfId="55476"/>
    <cellStyle name="Normal 69 3 3" xfId="55477"/>
    <cellStyle name="Normal 69 3 3 2" xfId="55478"/>
    <cellStyle name="Normal 69 3 3 3" xfId="55479"/>
    <cellStyle name="Normal 69 3 4" xfId="55480"/>
    <cellStyle name="Normal 69 3 5" xfId="55481"/>
    <cellStyle name="Normal 69 4" xfId="55482"/>
    <cellStyle name="Normal 69 5" xfId="55483"/>
    <cellStyle name="Normal 7" xfId="55484"/>
    <cellStyle name="Normal 7 2" xfId="55485"/>
    <cellStyle name="Normal 7 2 2" xfId="55486"/>
    <cellStyle name="Normal 7 2 2 2" xfId="55487"/>
    <cellStyle name="Normal 7 2 2 2 2" xfId="55488"/>
    <cellStyle name="Normal 7 2 2 2 2 2" xfId="55489"/>
    <cellStyle name="Normal 7 2 2 2 2 2 2" xfId="55490"/>
    <cellStyle name="Normal 7 2 2 2 2 2 3" xfId="55491"/>
    <cellStyle name="Normal 7 2 2 2 2 2 4" xfId="55492"/>
    <cellStyle name="Normal 7 2 2 2 2 2 5" xfId="55493"/>
    <cellStyle name="Normal 7 2 2 2 2 3" xfId="55494"/>
    <cellStyle name="Normal 7 2 2 2 2 4" xfId="55495"/>
    <cellStyle name="Normal 7 2 2 2 2 5" xfId="55496"/>
    <cellStyle name="Normal 7 2 2 2 2 6" xfId="55497"/>
    <cellStyle name="Normal 7 2 2 2 2 7" xfId="55498"/>
    <cellStyle name="Normal 7 2 2 2 2 8" xfId="55499"/>
    <cellStyle name="Normal 7 2 2 2 3" xfId="55500"/>
    <cellStyle name="Normal 7 2 2 2 4" xfId="55501"/>
    <cellStyle name="Normal 7 2 2 3" xfId="55502"/>
    <cellStyle name="Normal 7 2 2 3 2" xfId="55503"/>
    <cellStyle name="Normal 7 2 2 3 3" xfId="55504"/>
    <cellStyle name="Normal 7 2 2 3 4" xfId="55505"/>
    <cellStyle name="Normal 7 2 2 3 5" xfId="55506"/>
    <cellStyle name="Normal 7 2 2 4" xfId="55507"/>
    <cellStyle name="Normal 7 2 2 4 2" xfId="55508"/>
    <cellStyle name="Normal 7 2 2 4 3" xfId="55509"/>
    <cellStyle name="Normal 7 2 2 5" xfId="55510"/>
    <cellStyle name="Normal 7 2 2 6" xfId="55511"/>
    <cellStyle name="Normal 7 2 2 7" xfId="55512"/>
    <cellStyle name="Normal 7 2 2 8" xfId="55513"/>
    <cellStyle name="Normal 7 2 2 9" xfId="55514"/>
    <cellStyle name="Normal 7 2 3" xfId="55515"/>
    <cellStyle name="Normal 7 2 3 2" xfId="55516"/>
    <cellStyle name="Normal 7 2 3 2 2" xfId="55517"/>
    <cellStyle name="Normal 7 2 3 2 2 2" xfId="55518"/>
    <cellStyle name="Normal 7 2 3 2 2 3" xfId="55519"/>
    <cellStyle name="Normal 7 2 3 2 3" xfId="55520"/>
    <cellStyle name="Normal 7 2 3 2 4" xfId="55521"/>
    <cellStyle name="Normal 7 2 3 2 5" xfId="55522"/>
    <cellStyle name="Normal 7 2 3 3" xfId="55523"/>
    <cellStyle name="Normal 7 2 3 3 2" xfId="55524"/>
    <cellStyle name="Normal 7 2 3 3 3" xfId="55525"/>
    <cellStyle name="Normal 7 2 3 4" xfId="55526"/>
    <cellStyle name="Normal 7 2 3 4 2" xfId="55527"/>
    <cellStyle name="Normal 7 2 3 4 3" xfId="55528"/>
    <cellStyle name="Normal 7 2 3 5" xfId="55529"/>
    <cellStyle name="Normal 7 2 3 6" xfId="55530"/>
    <cellStyle name="Normal 7 2 3 7" xfId="55531"/>
    <cellStyle name="Normal 7 2 3 8" xfId="55532"/>
    <cellStyle name="Normal 7 2 4" xfId="55533"/>
    <cellStyle name="Normal 7 2 4 2" xfId="55534"/>
    <cellStyle name="Normal 7 2 4 2 2" xfId="55535"/>
    <cellStyle name="Normal 7 2 4 2 3" xfId="55536"/>
    <cellStyle name="Normal 7 2 4 3" xfId="55537"/>
    <cellStyle name="Normal 7 2 4 4" xfId="55538"/>
    <cellStyle name="Normal 7 2 5" xfId="55539"/>
    <cellStyle name="Normal 7 2 5 2" xfId="55540"/>
    <cellStyle name="Normal 7 2 5 3" xfId="55541"/>
    <cellStyle name="Normal 7 2 6" xfId="55542"/>
    <cellStyle name="Normal 7 2 6 2" xfId="55543"/>
    <cellStyle name="Normal 7 2 6 3" xfId="55544"/>
    <cellStyle name="Normal 7 2 7" xfId="55545"/>
    <cellStyle name="Normal 7 2 8" xfId="55546"/>
    <cellStyle name="Normal 7 3" xfId="55547"/>
    <cellStyle name="Normal 7 3 2" xfId="55548"/>
    <cellStyle name="Normal 7 3 2 2" xfId="55549"/>
    <cellStyle name="Normal 7 3 2 2 2" xfId="55550"/>
    <cellStyle name="Normal 7 3 2 2 2 2" xfId="55551"/>
    <cellStyle name="Normal 7 3 2 2 2 2 2" xfId="55552"/>
    <cellStyle name="Normal 7 3 2 2 2 2 2 2" xfId="55553"/>
    <cellStyle name="Normal 7 3 2 2 2 2 3" xfId="55554"/>
    <cellStyle name="Normal 7 3 2 2 2 3" xfId="55555"/>
    <cellStyle name="Normal 7 3 2 2 2 3 2" xfId="55556"/>
    <cellStyle name="Normal 7 3 2 2 2 3 2 2" xfId="55557"/>
    <cellStyle name="Normal 7 3 2 2 2 3 3" xfId="55558"/>
    <cellStyle name="Normal 7 3 2 2 2 4" xfId="55559"/>
    <cellStyle name="Normal 7 3 2 2 2 4 2" xfId="55560"/>
    <cellStyle name="Normal 7 3 2 2 2 5" xfId="55561"/>
    <cellStyle name="Normal 7 3 2 2 3" xfId="55562"/>
    <cellStyle name="Normal 7 3 2 2 3 2" xfId="55563"/>
    <cellStyle name="Normal 7 3 2 2 3 2 2" xfId="55564"/>
    <cellStyle name="Normal 7 3 2 2 3 3" xfId="55565"/>
    <cellStyle name="Normal 7 3 2 2 4" xfId="55566"/>
    <cellStyle name="Normal 7 3 2 2 4 2" xfId="55567"/>
    <cellStyle name="Normal 7 3 2 2 4 2 2" xfId="55568"/>
    <cellStyle name="Normal 7 3 2 2 4 3" xfId="55569"/>
    <cellStyle name="Normal 7 3 2 2 5" xfId="55570"/>
    <cellStyle name="Normal 7 3 2 2 5 2" xfId="55571"/>
    <cellStyle name="Normal 7 3 2 2 6" xfId="55572"/>
    <cellStyle name="Normal 7 3 2 3" xfId="55573"/>
    <cellStyle name="Normal 7 3 2 3 2" xfId="55574"/>
    <cellStyle name="Normal 7 3 2 3 2 2" xfId="55575"/>
    <cellStyle name="Normal 7 3 2 3 3" xfId="55576"/>
    <cellStyle name="Normal 7 3 2 4" xfId="55577"/>
    <cellStyle name="Normal 7 3 2 4 2" xfId="55578"/>
    <cellStyle name="Normal 7 3 2 4 2 2" xfId="55579"/>
    <cellStyle name="Normal 7 3 2 4 3" xfId="55580"/>
    <cellStyle name="Normal 7 3 2 5" xfId="55581"/>
    <cellStyle name="Normal 7 3 2 5 2" xfId="55582"/>
    <cellStyle name="Normal 7 3 2 6" xfId="55583"/>
    <cellStyle name="Normal 7 3 3" xfId="55584"/>
    <cellStyle name="Normal 7 3 3 2" xfId="55585"/>
    <cellStyle name="Normal 7 3 3 2 2" xfId="55586"/>
    <cellStyle name="Normal 7 3 3 3" xfId="55587"/>
    <cellStyle name="Normal 7 3 4" xfId="55588"/>
    <cellStyle name="Normal 7 3 4 2" xfId="55589"/>
    <cellStyle name="Normal 7 3 4 2 2" xfId="55590"/>
    <cellStyle name="Normal 7 3 4 3" xfId="55591"/>
    <cellStyle name="Normal 7 3 5" xfId="55592"/>
    <cellStyle name="Normal 7 3 5 2" xfId="55593"/>
    <cellStyle name="Normal 7 3 6" xfId="55594"/>
    <cellStyle name="Normal 7 3 7" xfId="55595"/>
    <cellStyle name="Normal 7 4" xfId="55596"/>
    <cellStyle name="Normal 7 4 2" xfId="55597"/>
    <cellStyle name="Normal 7 4 2 2" xfId="55598"/>
    <cellStyle name="Normal 7 4 3" xfId="55599"/>
    <cellStyle name="Normal 7 5" xfId="55600"/>
    <cellStyle name="Normal 7 5 2" xfId="55601"/>
    <cellStyle name="Normal 7 5 2 2" xfId="55602"/>
    <cellStyle name="Normal 7 5 3" xfId="55603"/>
    <cellStyle name="Normal 7 6" xfId="55604"/>
    <cellStyle name="Normal 7 6 2" xfId="55605"/>
    <cellStyle name="Normal 7 7" xfId="55606"/>
    <cellStyle name="Normal 7 7 2" xfId="55607"/>
    <cellStyle name="Normal 7 8" xfId="55608"/>
    <cellStyle name="Normal 7_T1_TP_MASTER_032112_Rev A" xfId="55609"/>
    <cellStyle name="Normal 70" xfId="55610"/>
    <cellStyle name="Normal 70 2" xfId="55611"/>
    <cellStyle name="Normal 70 2 2" xfId="55612"/>
    <cellStyle name="Normal 70 2 2 2" xfId="55613"/>
    <cellStyle name="Normal 70 2 2 3" xfId="55614"/>
    <cellStyle name="Normal 70 2 3" xfId="55615"/>
    <cellStyle name="Normal 70 2 4" xfId="55616"/>
    <cellStyle name="Normal 70 2 5" xfId="55617"/>
    <cellStyle name="Normal 70 3" xfId="55618"/>
    <cellStyle name="Normal 70 3 2" xfId="55619"/>
    <cellStyle name="Normal 70 3 3" xfId="55620"/>
    <cellStyle name="Normal 70 3 4" xfId="55621"/>
    <cellStyle name="Normal 70 4" xfId="55622"/>
    <cellStyle name="Normal 70 4 2" xfId="55623"/>
    <cellStyle name="Normal 70 5" xfId="55624"/>
    <cellStyle name="Normal 71" xfId="55625"/>
    <cellStyle name="Normal 71 2" xfId="55626"/>
    <cellStyle name="Normal 71 2 2" xfId="55627"/>
    <cellStyle name="Normal 71 2 2 2" xfId="55628"/>
    <cellStyle name="Normal 71 2 2 3" xfId="55629"/>
    <cellStyle name="Normal 71 2 3" xfId="55630"/>
    <cellStyle name="Normal 71 2 4" xfId="55631"/>
    <cellStyle name="Normal 71 2 5" xfId="55632"/>
    <cellStyle name="Normal 71 3" xfId="55633"/>
    <cellStyle name="Normal 71 3 2" xfId="55634"/>
    <cellStyle name="Normal 71 3 3" xfId="55635"/>
    <cellStyle name="Normal 71 4" xfId="55636"/>
    <cellStyle name="Normal 71 5" xfId="55637"/>
    <cellStyle name="Normal 72" xfId="55638"/>
    <cellStyle name="Normal 72 2" xfId="55639"/>
    <cellStyle name="Normal 72 2 2" xfId="55640"/>
    <cellStyle name="Normal 72 2 2 2" xfId="55641"/>
    <cellStyle name="Normal 72 2 2 3" xfId="55642"/>
    <cellStyle name="Normal 72 2 3" xfId="55643"/>
    <cellStyle name="Normal 72 2 4" xfId="55644"/>
    <cellStyle name="Normal 72 3" xfId="55645"/>
    <cellStyle name="Normal 72 3 2" xfId="55646"/>
    <cellStyle name="Normal 72 3 3" xfId="55647"/>
    <cellStyle name="Normal 72 4" xfId="55648"/>
    <cellStyle name="Normal 72 5" xfId="55649"/>
    <cellStyle name="Normal 73" xfId="55650"/>
    <cellStyle name="Normal 73 2" xfId="55651"/>
    <cellStyle name="Normal 73 2 2" xfId="55652"/>
    <cellStyle name="Normal 73 2 2 2" xfId="55653"/>
    <cellStyle name="Normal 73 2 2 3" xfId="55654"/>
    <cellStyle name="Normal 73 2 3" xfId="55655"/>
    <cellStyle name="Normal 73 2 4" xfId="55656"/>
    <cellStyle name="Normal 73 3" xfId="55657"/>
    <cellStyle name="Normal 73 3 2" xfId="55658"/>
    <cellStyle name="Normal 73 3 3" xfId="55659"/>
    <cellStyle name="Normal 73 4" xfId="55660"/>
    <cellStyle name="Normal 73 5" xfId="55661"/>
    <cellStyle name="Normal 74" xfId="55662"/>
    <cellStyle name="Normal 74 2" xfId="55663"/>
    <cellStyle name="Normal 74 2 2" xfId="55664"/>
    <cellStyle name="Normal 74 2 2 2" xfId="55665"/>
    <cellStyle name="Normal 74 2 2 3" xfId="55666"/>
    <cellStyle name="Normal 74 2 3" xfId="55667"/>
    <cellStyle name="Normal 74 2 4" xfId="55668"/>
    <cellStyle name="Normal 74 3" xfId="55669"/>
    <cellStyle name="Normal 74 3 2" xfId="55670"/>
    <cellStyle name="Normal 74 3 3" xfId="55671"/>
    <cellStyle name="Normal 74 4" xfId="55672"/>
    <cellStyle name="Normal 74 5" xfId="55673"/>
    <cellStyle name="Normal 75" xfId="55674"/>
    <cellStyle name="Normal 75 2" xfId="55675"/>
    <cellStyle name="Normal 75 2 2" xfId="55676"/>
    <cellStyle name="Normal 75 2 2 2" xfId="55677"/>
    <cellStyle name="Normal 75 2 2 3" xfId="55678"/>
    <cellStyle name="Normal 75 2 3" xfId="55679"/>
    <cellStyle name="Normal 75 2 4" xfId="55680"/>
    <cellStyle name="Normal 75 3" xfId="55681"/>
    <cellStyle name="Normal 75 3 2" xfId="55682"/>
    <cellStyle name="Normal 75 3 3" xfId="55683"/>
    <cellStyle name="Normal 75 4" xfId="55684"/>
    <cellStyle name="Normal 75 5" xfId="55685"/>
    <cellStyle name="Normal 76" xfId="55686"/>
    <cellStyle name="Normal 76 2" xfId="55687"/>
    <cellStyle name="Normal 76 2 2" xfId="55688"/>
    <cellStyle name="Normal 76 2 2 2" xfId="55689"/>
    <cellStyle name="Normal 76 2 2 3" xfId="55690"/>
    <cellStyle name="Normal 76 2 3" xfId="55691"/>
    <cellStyle name="Normal 76 2 4" xfId="55692"/>
    <cellStyle name="Normal 76 3" xfId="55693"/>
    <cellStyle name="Normal 76 3 2" xfId="55694"/>
    <cellStyle name="Normal 76 3 3" xfId="55695"/>
    <cellStyle name="Normal 76 4" xfId="55696"/>
    <cellStyle name="Normal 76 5" xfId="55697"/>
    <cellStyle name="Normal 77" xfId="55698"/>
    <cellStyle name="Normal 77 2" xfId="55699"/>
    <cellStyle name="Normal 77 2 2" xfId="55700"/>
    <cellStyle name="Normal 77 2 2 2" xfId="55701"/>
    <cellStyle name="Normal 77 2 2 3" xfId="55702"/>
    <cellStyle name="Normal 77 2 3" xfId="55703"/>
    <cellStyle name="Normal 77 2 4" xfId="55704"/>
    <cellStyle name="Normal 77 2 5" xfId="55705"/>
    <cellStyle name="Normal 77 3" xfId="55706"/>
    <cellStyle name="Normal 77 3 2" xfId="55707"/>
    <cellStyle name="Normal 77 3 3" xfId="55708"/>
    <cellStyle name="Normal 77 3 4" xfId="55709"/>
    <cellStyle name="Normal 77 4" xfId="55710"/>
    <cellStyle name="Normal 77 5" xfId="55711"/>
    <cellStyle name="Normal 77 5 2" xfId="55712"/>
    <cellStyle name="Normal 77 6" xfId="55713"/>
    <cellStyle name="Normal 78" xfId="55714"/>
    <cellStyle name="Normal 78 2" xfId="55715"/>
    <cellStyle name="Normal 78 2 2" xfId="55716"/>
    <cellStyle name="Normal 78 2 2 2" xfId="55717"/>
    <cellStyle name="Normal 78 2 2 3" xfId="55718"/>
    <cellStyle name="Normal 78 2 3" xfId="55719"/>
    <cellStyle name="Normal 78 2 4" xfId="55720"/>
    <cellStyle name="Normal 78 2 5" xfId="55721"/>
    <cellStyle name="Normal 78 3" xfId="55722"/>
    <cellStyle name="Normal 78 3 2" xfId="55723"/>
    <cellStyle name="Normal 78 3 3" xfId="55724"/>
    <cellStyle name="Normal 78 4" xfId="55725"/>
    <cellStyle name="Normal 78 5" xfId="55726"/>
    <cellStyle name="Normal 79" xfId="55727"/>
    <cellStyle name="Normal 79 2" xfId="55728"/>
    <cellStyle name="Normal 79 2 2" xfId="55729"/>
    <cellStyle name="Normal 79 2 3" xfId="55730"/>
    <cellStyle name="Normal 79 3" xfId="55731"/>
    <cellStyle name="Normal 79 3 2" xfId="55732"/>
    <cellStyle name="Normal 79 3 3" xfId="55733"/>
    <cellStyle name="Normal 79 4" xfId="55734"/>
    <cellStyle name="Normal 79 5" xfId="55735"/>
    <cellStyle name="Normal 8" xfId="55736"/>
    <cellStyle name="Normal 8 10" xfId="55737"/>
    <cellStyle name="Normal 8 10 2" xfId="55738"/>
    <cellStyle name="Normal 8 10 3" xfId="55739"/>
    <cellStyle name="Normal 8 11" xfId="55740"/>
    <cellStyle name="Normal 8 11 2" xfId="55741"/>
    <cellStyle name="Normal 8 11 3" xfId="55742"/>
    <cellStyle name="Normal 8 12" xfId="55743"/>
    <cellStyle name="Normal 8 2" xfId="55744"/>
    <cellStyle name="Normal 8 2 10" xfId="55745"/>
    <cellStyle name="Normal 8 2 2" xfId="55746"/>
    <cellStyle name="Normal 8 2 2 2" xfId="55747"/>
    <cellStyle name="Normal 8 2 2 2 2" xfId="55748"/>
    <cellStyle name="Normal 8 2 2 2 2 2" xfId="55749"/>
    <cellStyle name="Normal 8 2 2 2 2 2 2" xfId="55750"/>
    <cellStyle name="Normal 8 2 2 2 2 2 3" xfId="55751"/>
    <cellStyle name="Normal 8 2 2 2 2 3" xfId="55752"/>
    <cellStyle name="Normal 8 2 2 2 2 4" xfId="55753"/>
    <cellStyle name="Normal 8 2 2 2 3" xfId="55754"/>
    <cellStyle name="Normal 8 2 2 2 3 2" xfId="55755"/>
    <cellStyle name="Normal 8 2 2 2 3 3" xfId="55756"/>
    <cellStyle name="Normal 8 2 2 2 4" xfId="55757"/>
    <cellStyle name="Normal 8 2 2 2 4 2" xfId="55758"/>
    <cellStyle name="Normal 8 2 2 2 4 3" xfId="55759"/>
    <cellStyle name="Normal 8 2 2 2 5" xfId="55760"/>
    <cellStyle name="Normal 8 2 2 2 6" xfId="55761"/>
    <cellStyle name="Normal 8 2 2 3" xfId="55762"/>
    <cellStyle name="Normal 8 2 2 3 2" xfId="55763"/>
    <cellStyle name="Normal 8 2 2 3 2 2" xfId="55764"/>
    <cellStyle name="Normal 8 2 2 3 2 2 2" xfId="55765"/>
    <cellStyle name="Normal 8 2 2 3 2 2 3" xfId="55766"/>
    <cellStyle name="Normal 8 2 2 3 2 3" xfId="55767"/>
    <cellStyle name="Normal 8 2 2 3 2 4" xfId="55768"/>
    <cellStyle name="Normal 8 2 2 3 3" xfId="55769"/>
    <cellStyle name="Normal 8 2 2 3 3 2" xfId="55770"/>
    <cellStyle name="Normal 8 2 2 3 3 3" xfId="55771"/>
    <cellStyle name="Normal 8 2 2 3 4" xfId="55772"/>
    <cellStyle name="Normal 8 2 2 3 4 2" xfId="55773"/>
    <cellStyle name="Normal 8 2 2 3 4 3" xfId="55774"/>
    <cellStyle name="Normal 8 2 2 3 5" xfId="55775"/>
    <cellStyle name="Normal 8 2 2 3 6" xfId="55776"/>
    <cellStyle name="Normal 8 2 2 4" xfId="55777"/>
    <cellStyle name="Normal 8 2 2 4 2" xfId="55778"/>
    <cellStyle name="Normal 8 2 2 4 2 2" xfId="55779"/>
    <cellStyle name="Normal 8 2 2 4 2 3" xfId="55780"/>
    <cellStyle name="Normal 8 2 2 4 3" xfId="55781"/>
    <cellStyle name="Normal 8 2 2 4 4" xfId="55782"/>
    <cellStyle name="Normal 8 2 2 5" xfId="55783"/>
    <cellStyle name="Normal 8 2 2 5 2" xfId="55784"/>
    <cellStyle name="Normal 8 2 2 5 3" xfId="55785"/>
    <cellStyle name="Normal 8 2 2 6" xfId="55786"/>
    <cellStyle name="Normal 8 2 2 6 2" xfId="55787"/>
    <cellStyle name="Normal 8 2 2 6 3" xfId="55788"/>
    <cellStyle name="Normal 8 2 2 7" xfId="55789"/>
    <cellStyle name="Normal 8 2 2 8" xfId="55790"/>
    <cellStyle name="Normal 8 2 3" xfId="55791"/>
    <cellStyle name="Normal 8 2 3 2" xfId="55792"/>
    <cellStyle name="Normal 8 2 3 2 2" xfId="55793"/>
    <cellStyle name="Normal 8 2 3 2 2 2" xfId="55794"/>
    <cellStyle name="Normal 8 2 3 2 2 3" xfId="55795"/>
    <cellStyle name="Normal 8 2 3 2 3" xfId="55796"/>
    <cellStyle name="Normal 8 2 3 2 4" xfId="55797"/>
    <cellStyle name="Normal 8 2 3 3" xfId="55798"/>
    <cellStyle name="Normal 8 2 3 3 2" xfId="55799"/>
    <cellStyle name="Normal 8 2 3 3 3" xfId="55800"/>
    <cellStyle name="Normal 8 2 3 4" xfId="55801"/>
    <cellStyle name="Normal 8 2 3 4 2" xfId="55802"/>
    <cellStyle name="Normal 8 2 3 4 3" xfId="55803"/>
    <cellStyle name="Normal 8 2 3 5" xfId="55804"/>
    <cellStyle name="Normal 8 2 3 6" xfId="55805"/>
    <cellStyle name="Normal 8 2 4" xfId="55806"/>
    <cellStyle name="Normal 8 2 4 2" xfId="55807"/>
    <cellStyle name="Normal 8 2 4 2 2" xfId="55808"/>
    <cellStyle name="Normal 8 2 4 2 2 2" xfId="55809"/>
    <cellStyle name="Normal 8 2 4 2 2 3" xfId="55810"/>
    <cellStyle name="Normal 8 2 4 2 3" xfId="55811"/>
    <cellStyle name="Normal 8 2 4 2 4" xfId="55812"/>
    <cellStyle name="Normal 8 2 4 3" xfId="55813"/>
    <cellStyle name="Normal 8 2 4 3 2" xfId="55814"/>
    <cellStyle name="Normal 8 2 4 3 3" xfId="55815"/>
    <cellStyle name="Normal 8 2 4 4" xfId="55816"/>
    <cellStyle name="Normal 8 2 4 4 2" xfId="55817"/>
    <cellStyle name="Normal 8 2 4 4 3" xfId="55818"/>
    <cellStyle name="Normal 8 2 4 5" xfId="55819"/>
    <cellStyle name="Normal 8 2 4 6" xfId="55820"/>
    <cellStyle name="Normal 8 2 5" xfId="55821"/>
    <cellStyle name="Normal 8 2 5 2" xfId="55822"/>
    <cellStyle name="Normal 8 2 5 2 2" xfId="55823"/>
    <cellStyle name="Normal 8 2 5 2 3" xfId="55824"/>
    <cellStyle name="Normal 8 2 5 3" xfId="55825"/>
    <cellStyle name="Normal 8 2 5 4" xfId="55826"/>
    <cellStyle name="Normal 8 2 6" xfId="55827"/>
    <cellStyle name="Normal 8 2 6 2" xfId="55828"/>
    <cellStyle name="Normal 8 2 6 2 2" xfId="55829"/>
    <cellStyle name="Normal 8 2 6 2 3" xfId="55830"/>
    <cellStyle name="Normal 8 2 6 3" xfId="55831"/>
    <cellStyle name="Normal 8 2 6 4" xfId="55832"/>
    <cellStyle name="Normal 8 2 7" xfId="55833"/>
    <cellStyle name="Normal 8 2 7 2" xfId="55834"/>
    <cellStyle name="Normal 8 2 7 3" xfId="55835"/>
    <cellStyle name="Normal 8 2 8" xfId="55836"/>
    <cellStyle name="Normal 8 2 8 2" xfId="55837"/>
    <cellStyle name="Normal 8 2 8 3" xfId="55838"/>
    <cellStyle name="Normal 8 2 9" xfId="55839"/>
    <cellStyle name="Normal 8 3" xfId="55840"/>
    <cellStyle name="Normal 8 3 2" xfId="55841"/>
    <cellStyle name="Normal 8 3 2 2" xfId="55842"/>
    <cellStyle name="Normal 8 3 2 2 2" xfId="55843"/>
    <cellStyle name="Normal 8 3 2 2 2 2" xfId="55844"/>
    <cellStyle name="Normal 8 3 2 2 2 3" xfId="55845"/>
    <cellStyle name="Normal 8 3 2 2 3" xfId="55846"/>
    <cellStyle name="Normal 8 3 2 2 4" xfId="55847"/>
    <cellStyle name="Normal 8 3 2 3" xfId="55848"/>
    <cellStyle name="Normal 8 3 2 3 2" xfId="55849"/>
    <cellStyle name="Normal 8 3 2 3 3" xfId="55850"/>
    <cellStyle name="Normal 8 3 2 4" xfId="55851"/>
    <cellStyle name="Normal 8 3 2 4 2" xfId="55852"/>
    <cellStyle name="Normal 8 3 2 4 3" xfId="55853"/>
    <cellStyle name="Normal 8 3 2 5" xfId="55854"/>
    <cellStyle name="Normal 8 3 2 6" xfId="55855"/>
    <cellStyle name="Normal 8 3 3" xfId="55856"/>
    <cellStyle name="Normal 8 3 3 2" xfId="55857"/>
    <cellStyle name="Normal 8 3 3 2 2" xfId="55858"/>
    <cellStyle name="Normal 8 3 3 2 2 2" xfId="55859"/>
    <cellStyle name="Normal 8 3 3 2 2 3" xfId="55860"/>
    <cellStyle name="Normal 8 3 3 2 3" xfId="55861"/>
    <cellStyle name="Normal 8 3 3 2 4" xfId="55862"/>
    <cellStyle name="Normal 8 3 3 3" xfId="55863"/>
    <cellStyle name="Normal 8 3 3 3 2" xfId="55864"/>
    <cellStyle name="Normal 8 3 3 3 3" xfId="55865"/>
    <cellStyle name="Normal 8 3 3 4" xfId="55866"/>
    <cellStyle name="Normal 8 3 3 4 2" xfId="55867"/>
    <cellStyle name="Normal 8 3 3 4 3" xfId="55868"/>
    <cellStyle name="Normal 8 3 3 5" xfId="55869"/>
    <cellStyle name="Normal 8 3 3 6" xfId="55870"/>
    <cellStyle name="Normal 8 3 4" xfId="55871"/>
    <cellStyle name="Normal 8 3 4 2" xfId="55872"/>
    <cellStyle name="Normal 8 3 4 2 2" xfId="55873"/>
    <cellStyle name="Normal 8 3 4 2 3" xfId="55874"/>
    <cellStyle name="Normal 8 3 4 3" xfId="55875"/>
    <cellStyle name="Normal 8 3 4 4" xfId="55876"/>
    <cellStyle name="Normal 8 3 5" xfId="55877"/>
    <cellStyle name="Normal 8 3 5 2" xfId="55878"/>
    <cellStyle name="Normal 8 3 5 3" xfId="55879"/>
    <cellStyle name="Normal 8 3 6" xfId="55880"/>
    <cellStyle name="Normal 8 3 6 2" xfId="55881"/>
    <cellStyle name="Normal 8 3 6 3" xfId="55882"/>
    <cellStyle name="Normal 8 3 7" xfId="55883"/>
    <cellStyle name="Normal 8 3 8" xfId="55884"/>
    <cellStyle name="Normal 8 4" xfId="55885"/>
    <cellStyle name="Normal 8 4 2" xfId="55886"/>
    <cellStyle name="Normal 8 4 2 2" xfId="55887"/>
    <cellStyle name="Normal 8 4 2 2 2" xfId="55888"/>
    <cellStyle name="Normal 8 4 2 2 3" xfId="55889"/>
    <cellStyle name="Normal 8 4 2 3" xfId="55890"/>
    <cellStyle name="Normal 8 4 2 4" xfId="55891"/>
    <cellStyle name="Normal 8 4 3" xfId="55892"/>
    <cellStyle name="Normal 8 4 3 2" xfId="55893"/>
    <cellStyle name="Normal 8 4 3 3" xfId="55894"/>
    <cellStyle name="Normal 8 4 4" xfId="55895"/>
    <cellStyle name="Normal 8 4 4 2" xfId="55896"/>
    <cellStyle name="Normal 8 4 4 3" xfId="55897"/>
    <cellStyle name="Normal 8 4 5" xfId="55898"/>
    <cellStyle name="Normal 8 4 6" xfId="55899"/>
    <cellStyle name="Normal 8 5" xfId="55900"/>
    <cellStyle name="Normal 8 5 2" xfId="55901"/>
    <cellStyle name="Normal 8 5 2 2" xfId="55902"/>
    <cellStyle name="Normal 8 5 2 2 2" xfId="55903"/>
    <cellStyle name="Normal 8 5 2 2 3" xfId="55904"/>
    <cellStyle name="Normal 8 5 2 3" xfId="55905"/>
    <cellStyle name="Normal 8 5 2 4" xfId="55906"/>
    <cellStyle name="Normal 8 5 3" xfId="55907"/>
    <cellStyle name="Normal 8 5 3 2" xfId="55908"/>
    <cellStyle name="Normal 8 5 3 3" xfId="55909"/>
    <cellStyle name="Normal 8 5 4" xfId="55910"/>
    <cellStyle name="Normal 8 5 4 2" xfId="55911"/>
    <cellStyle name="Normal 8 5 4 3" xfId="55912"/>
    <cellStyle name="Normal 8 5 5" xfId="55913"/>
    <cellStyle name="Normal 8 5 6" xfId="55914"/>
    <cellStyle name="Normal 8 6" xfId="55915"/>
    <cellStyle name="Normal 8 6 2" xfId="55916"/>
    <cellStyle name="Normal 8 6 2 2" xfId="55917"/>
    <cellStyle name="Normal 8 6 2 3" xfId="55918"/>
    <cellStyle name="Normal 8 6 3" xfId="55919"/>
    <cellStyle name="Normal 8 6 4" xfId="55920"/>
    <cellStyle name="Normal 8 6 5" xfId="55921"/>
    <cellStyle name="Normal 8 6 6" xfId="55922"/>
    <cellStyle name="Normal 8 7" xfId="55923"/>
    <cellStyle name="Normal 8 7 2" xfId="55924"/>
    <cellStyle name="Normal 8 7 2 2" xfId="55925"/>
    <cellStyle name="Normal 8 7 2 3" xfId="55926"/>
    <cellStyle name="Normal 8 7 3" xfId="55927"/>
    <cellStyle name="Normal 8 7 4" xfId="55928"/>
    <cellStyle name="Normal 8 7 5" xfId="55929"/>
    <cellStyle name="Normal 8 8" xfId="55930"/>
    <cellStyle name="Normal 8 8 2" xfId="55931"/>
    <cellStyle name="Normal 8 8 3" xfId="55932"/>
    <cellStyle name="Normal 8 9" xfId="55933"/>
    <cellStyle name="Normal 8 9 2" xfId="55934"/>
    <cellStyle name="Normal 8 9 3" xfId="55935"/>
    <cellStyle name="Normal 8_T1_TP_MASTER_032112_Rev A" xfId="55936"/>
    <cellStyle name="Normal 80" xfId="55937"/>
    <cellStyle name="Normal 80 2" xfId="55938"/>
    <cellStyle name="Normal 80 2 2" xfId="55939"/>
    <cellStyle name="Normal 80 2 3" xfId="55940"/>
    <cellStyle name="Normal 80 3" xfId="55941"/>
    <cellStyle name="Normal 80 3 2" xfId="55942"/>
    <cellStyle name="Normal 80 3 3" xfId="55943"/>
    <cellStyle name="Normal 80 4" xfId="55944"/>
    <cellStyle name="Normal 80 5" xfId="55945"/>
    <cellStyle name="Normal 81" xfId="55946"/>
    <cellStyle name="Normal 81 2" xfId="55947"/>
    <cellStyle name="Normal 81 2 2" xfId="55948"/>
    <cellStyle name="Normal 81 2 3" xfId="55949"/>
    <cellStyle name="Normal 81 3" xfId="55950"/>
    <cellStyle name="Normal 81 3 2" xfId="55951"/>
    <cellStyle name="Normal 81 3 3" xfId="55952"/>
    <cellStyle name="Normal 81 4" xfId="55953"/>
    <cellStyle name="Normal 81 5" xfId="55954"/>
    <cellStyle name="Normal 82" xfId="55955"/>
    <cellStyle name="Normal 82 2" xfId="55956"/>
    <cellStyle name="Normal 82 2 2" xfId="55957"/>
    <cellStyle name="Normal 82 2 3" xfId="55958"/>
    <cellStyle name="Normal 82 3" xfId="55959"/>
    <cellStyle name="Normal 82 3 2" xfId="55960"/>
    <cellStyle name="Normal 82 3 3" xfId="55961"/>
    <cellStyle name="Normal 82 4" xfId="55962"/>
    <cellStyle name="Normal 82 5" xfId="55963"/>
    <cellStyle name="Normal 83" xfId="55964"/>
    <cellStyle name="Normal 83 2" xfId="55965"/>
    <cellStyle name="Normal 83 2 2" xfId="55966"/>
    <cellStyle name="Normal 83 2 3" xfId="55967"/>
    <cellStyle name="Normal 83 3" xfId="55968"/>
    <cellStyle name="Normal 83 3 2" xfId="55969"/>
    <cellStyle name="Normal 83 3 3" xfId="55970"/>
    <cellStyle name="Normal 83 4" xfId="55971"/>
    <cellStyle name="Normal 83 5" xfId="55972"/>
    <cellStyle name="Normal 84" xfId="55973"/>
    <cellStyle name="Normal 84 2" xfId="55974"/>
    <cellStyle name="Normal 84 2 2" xfId="55975"/>
    <cellStyle name="Normal 84 2 3" xfId="55976"/>
    <cellStyle name="Normal 84 3" xfId="55977"/>
    <cellStyle name="Normal 84 3 2" xfId="55978"/>
    <cellStyle name="Normal 84 3 3" xfId="55979"/>
    <cellStyle name="Normal 84 4" xfId="55980"/>
    <cellStyle name="Normal 84 5" xfId="55981"/>
    <cellStyle name="Normal 85" xfId="55982"/>
    <cellStyle name="Normal 85 2" xfId="55983"/>
    <cellStyle name="Normal 85 2 2" xfId="55984"/>
    <cellStyle name="Normal 85 2 3" xfId="55985"/>
    <cellStyle name="Normal 85 3" xfId="55986"/>
    <cellStyle name="Normal 85 3 2" xfId="55987"/>
    <cellStyle name="Normal 85 3 3" xfId="55988"/>
    <cellStyle name="Normal 85 4" xfId="55989"/>
    <cellStyle name="Normal 85 5" xfId="55990"/>
    <cellStyle name="Normal 86" xfId="55991"/>
    <cellStyle name="Normal 86 2" xfId="55992"/>
    <cellStyle name="Normal 86 2 2" xfId="55993"/>
    <cellStyle name="Normal 86 2 3" xfId="55994"/>
    <cellStyle name="Normal 86 3" xfId="55995"/>
    <cellStyle name="Normal 86 3 2" xfId="55996"/>
    <cellStyle name="Normal 86 3 3" xfId="55997"/>
    <cellStyle name="Normal 86 4" xfId="55998"/>
    <cellStyle name="Normal 86 5" xfId="55999"/>
    <cellStyle name="Normal 87" xfId="56000"/>
    <cellStyle name="Normal 87 2" xfId="56001"/>
    <cellStyle name="Normal 87 2 2" xfId="56002"/>
    <cellStyle name="Normal 87 2 3" xfId="56003"/>
    <cellStyle name="Normal 87 3" xfId="56004"/>
    <cellStyle name="Normal 87 3 2" xfId="56005"/>
    <cellStyle name="Normal 87 3 3" xfId="56006"/>
    <cellStyle name="Normal 87 4" xfId="56007"/>
    <cellStyle name="Normal 87 5" xfId="56008"/>
    <cellStyle name="Normal 88" xfId="56009"/>
    <cellStyle name="Normal 88 2" xfId="56010"/>
    <cellStyle name="Normal 88 2 2" xfId="56011"/>
    <cellStyle name="Normal 88 2 3" xfId="56012"/>
    <cellStyle name="Normal 88 3" xfId="56013"/>
    <cellStyle name="Normal 88 3 2" xfId="56014"/>
    <cellStyle name="Normal 88 3 3" xfId="56015"/>
    <cellStyle name="Normal 88 4" xfId="56016"/>
    <cellStyle name="Normal 88 5" xfId="56017"/>
    <cellStyle name="Normal 89" xfId="56018"/>
    <cellStyle name="Normal 89 2" xfId="56019"/>
    <cellStyle name="Normal 89 2 2" xfId="56020"/>
    <cellStyle name="Normal 89 2 3" xfId="56021"/>
    <cellStyle name="Normal 89 3" xfId="56022"/>
    <cellStyle name="Normal 89 3 2" xfId="56023"/>
    <cellStyle name="Normal 89 3 3" xfId="56024"/>
    <cellStyle name="Normal 89 4" xfId="56025"/>
    <cellStyle name="Normal 89 5" xfId="56026"/>
    <cellStyle name="Normal 9" xfId="56027"/>
    <cellStyle name="Normal 9 10" xfId="56028"/>
    <cellStyle name="Normal 9 10 2" xfId="56029"/>
    <cellStyle name="Normal 9 10 3" xfId="56030"/>
    <cellStyle name="Normal 9 11" xfId="56031"/>
    <cellStyle name="Normal 9 11 2" xfId="56032"/>
    <cellStyle name="Normal 9 11 3" xfId="56033"/>
    <cellStyle name="Normal 9 12" xfId="56034"/>
    <cellStyle name="Normal 9 12 2" xfId="56035"/>
    <cellStyle name="Normal 9 12 3" xfId="56036"/>
    <cellStyle name="Normal 9 13" xfId="56037"/>
    <cellStyle name="Normal 9 13 2" xfId="56038"/>
    <cellStyle name="Normal 9 13 3" xfId="56039"/>
    <cellStyle name="Normal 9 2" xfId="56040"/>
    <cellStyle name="Normal 9 2 10" xfId="56041"/>
    <cellStyle name="Normal 9 2 2" xfId="56042"/>
    <cellStyle name="Normal 9 2 2 2" xfId="56043"/>
    <cellStyle name="Normal 9 2 2 2 2" xfId="56044"/>
    <cellStyle name="Normal 9 2 2 2 2 2" xfId="56045"/>
    <cellStyle name="Normal 9 2 2 2 2 2 2" xfId="56046"/>
    <cellStyle name="Normal 9 2 2 2 2 2 3" xfId="56047"/>
    <cellStyle name="Normal 9 2 2 2 2 3" xfId="56048"/>
    <cellStyle name="Normal 9 2 2 2 2 4" xfId="56049"/>
    <cellStyle name="Normal 9 2 2 2 3" xfId="56050"/>
    <cellStyle name="Normal 9 2 2 2 3 2" xfId="56051"/>
    <cellStyle name="Normal 9 2 2 2 3 3" xfId="56052"/>
    <cellStyle name="Normal 9 2 2 2 4" xfId="56053"/>
    <cellStyle name="Normal 9 2 2 2 4 2" xfId="56054"/>
    <cellStyle name="Normal 9 2 2 2 4 3" xfId="56055"/>
    <cellStyle name="Normal 9 2 2 2 5" xfId="56056"/>
    <cellStyle name="Normal 9 2 2 2 6" xfId="56057"/>
    <cellStyle name="Normal 9 2 2 3" xfId="56058"/>
    <cellStyle name="Normal 9 2 2 3 2" xfId="56059"/>
    <cellStyle name="Normal 9 2 2 3 2 2" xfId="56060"/>
    <cellStyle name="Normal 9 2 2 3 2 2 2" xfId="56061"/>
    <cellStyle name="Normal 9 2 2 3 2 2 3" xfId="56062"/>
    <cellStyle name="Normal 9 2 2 3 2 3" xfId="56063"/>
    <cellStyle name="Normal 9 2 2 3 2 4" xfId="56064"/>
    <cellStyle name="Normal 9 2 2 3 3" xfId="56065"/>
    <cellStyle name="Normal 9 2 2 3 3 2" xfId="56066"/>
    <cellStyle name="Normal 9 2 2 3 3 3" xfId="56067"/>
    <cellStyle name="Normal 9 2 2 3 4" xfId="56068"/>
    <cellStyle name="Normal 9 2 2 3 4 2" xfId="56069"/>
    <cellStyle name="Normal 9 2 2 3 4 3" xfId="56070"/>
    <cellStyle name="Normal 9 2 2 3 5" xfId="56071"/>
    <cellStyle name="Normal 9 2 2 3 6" xfId="56072"/>
    <cellStyle name="Normal 9 2 2 4" xfId="56073"/>
    <cellStyle name="Normal 9 2 2 4 2" xfId="56074"/>
    <cellStyle name="Normal 9 2 2 4 2 2" xfId="56075"/>
    <cellStyle name="Normal 9 2 2 4 2 3" xfId="56076"/>
    <cellStyle name="Normal 9 2 2 4 3" xfId="56077"/>
    <cellStyle name="Normal 9 2 2 4 4" xfId="56078"/>
    <cellStyle name="Normal 9 2 2 5" xfId="56079"/>
    <cellStyle name="Normal 9 2 2 5 2" xfId="56080"/>
    <cellStyle name="Normal 9 2 2 5 3" xfId="56081"/>
    <cellStyle name="Normal 9 2 2 6" xfId="56082"/>
    <cellStyle name="Normal 9 2 2 6 2" xfId="56083"/>
    <cellStyle name="Normal 9 2 2 6 3" xfId="56084"/>
    <cellStyle name="Normal 9 2 2 7" xfId="56085"/>
    <cellStyle name="Normal 9 2 2 8" xfId="56086"/>
    <cellStyle name="Normal 9 2 3" xfId="56087"/>
    <cellStyle name="Normal 9 2 3 2" xfId="56088"/>
    <cellStyle name="Normal 9 2 3 2 2" xfId="56089"/>
    <cellStyle name="Normal 9 2 3 2 2 2" xfId="56090"/>
    <cellStyle name="Normal 9 2 3 2 2 3" xfId="56091"/>
    <cellStyle name="Normal 9 2 3 2 3" xfId="56092"/>
    <cellStyle name="Normal 9 2 3 2 4" xfId="56093"/>
    <cellStyle name="Normal 9 2 3 3" xfId="56094"/>
    <cellStyle name="Normal 9 2 3 3 2" xfId="56095"/>
    <cellStyle name="Normal 9 2 3 3 3" xfId="56096"/>
    <cellStyle name="Normal 9 2 3 4" xfId="56097"/>
    <cellStyle name="Normal 9 2 3 4 2" xfId="56098"/>
    <cellStyle name="Normal 9 2 3 4 3" xfId="56099"/>
    <cellStyle name="Normal 9 2 3 5" xfId="56100"/>
    <cellStyle name="Normal 9 2 3 6" xfId="56101"/>
    <cellStyle name="Normal 9 2 4" xfId="56102"/>
    <cellStyle name="Normal 9 2 4 2" xfId="56103"/>
    <cellStyle name="Normal 9 2 4 2 2" xfId="56104"/>
    <cellStyle name="Normal 9 2 4 2 2 2" xfId="56105"/>
    <cellStyle name="Normal 9 2 4 2 2 3" xfId="56106"/>
    <cellStyle name="Normal 9 2 4 2 3" xfId="56107"/>
    <cellStyle name="Normal 9 2 4 2 4" xfId="56108"/>
    <cellStyle name="Normal 9 2 4 3" xfId="56109"/>
    <cellStyle name="Normal 9 2 4 3 2" xfId="56110"/>
    <cellStyle name="Normal 9 2 4 3 3" xfId="56111"/>
    <cellStyle name="Normal 9 2 4 4" xfId="56112"/>
    <cellStyle name="Normal 9 2 4 4 2" xfId="56113"/>
    <cellStyle name="Normal 9 2 4 4 3" xfId="56114"/>
    <cellStyle name="Normal 9 2 4 5" xfId="56115"/>
    <cellStyle name="Normal 9 2 4 6" xfId="56116"/>
    <cellStyle name="Normal 9 2 5" xfId="56117"/>
    <cellStyle name="Normal 9 2 5 2" xfId="56118"/>
    <cellStyle name="Normal 9 2 5 2 2" xfId="56119"/>
    <cellStyle name="Normal 9 2 5 2 3" xfId="56120"/>
    <cellStyle name="Normal 9 2 5 3" xfId="56121"/>
    <cellStyle name="Normal 9 2 5 4" xfId="56122"/>
    <cellStyle name="Normal 9 2 6" xfId="56123"/>
    <cellStyle name="Normal 9 2 6 2" xfId="56124"/>
    <cellStyle name="Normal 9 2 6 2 2" xfId="56125"/>
    <cellStyle name="Normal 9 2 6 2 3" xfId="56126"/>
    <cellStyle name="Normal 9 2 6 3" xfId="56127"/>
    <cellStyle name="Normal 9 2 6 4" xfId="56128"/>
    <cellStyle name="Normal 9 2 7" xfId="56129"/>
    <cellStyle name="Normal 9 2 7 2" xfId="56130"/>
    <cellStyle name="Normal 9 2 7 3" xfId="56131"/>
    <cellStyle name="Normal 9 2 8" xfId="56132"/>
    <cellStyle name="Normal 9 2 8 2" xfId="56133"/>
    <cellStyle name="Normal 9 2 8 3" xfId="56134"/>
    <cellStyle name="Normal 9 2 9" xfId="56135"/>
    <cellStyle name="Normal 9 3" xfId="56136"/>
    <cellStyle name="Normal 9 3 2" xfId="56137"/>
    <cellStyle name="Normal 9 3 2 2" xfId="56138"/>
    <cellStyle name="Normal 9 3 2 2 2" xfId="56139"/>
    <cellStyle name="Normal 9 3 2 2 2 2" xfId="56140"/>
    <cellStyle name="Normal 9 3 2 2 2 2 2" xfId="56141"/>
    <cellStyle name="Normal 9 3 2 2 2 2 2 2" xfId="56142"/>
    <cellStyle name="Normal 9 3 2 2 2 2 3" xfId="56143"/>
    <cellStyle name="Normal 9 3 2 2 2 3" xfId="56144"/>
    <cellStyle name="Normal 9 3 2 2 2 3 2" xfId="56145"/>
    <cellStyle name="Normal 9 3 2 2 2 3 2 2" xfId="56146"/>
    <cellStyle name="Normal 9 3 2 2 2 3 3" xfId="56147"/>
    <cellStyle name="Normal 9 3 2 2 2 4" xfId="56148"/>
    <cellStyle name="Normal 9 3 2 2 2 4 2" xfId="56149"/>
    <cellStyle name="Normal 9 3 2 2 2 5" xfId="56150"/>
    <cellStyle name="Normal 9 3 2 2 3" xfId="56151"/>
    <cellStyle name="Normal 9 3 2 2 3 2" xfId="56152"/>
    <cellStyle name="Normal 9 3 2 2 3 2 2" xfId="56153"/>
    <cellStyle name="Normal 9 3 2 2 3 3" xfId="56154"/>
    <cellStyle name="Normal 9 3 2 2 4" xfId="56155"/>
    <cellStyle name="Normal 9 3 2 2 4 2" xfId="56156"/>
    <cellStyle name="Normal 9 3 2 2 4 2 2" xfId="56157"/>
    <cellStyle name="Normal 9 3 2 2 4 3" xfId="56158"/>
    <cellStyle name="Normal 9 3 2 2 5" xfId="56159"/>
    <cellStyle name="Normal 9 3 2 2 5 2" xfId="56160"/>
    <cellStyle name="Normal 9 3 2 2 6" xfId="56161"/>
    <cellStyle name="Normal 9 3 2 3" xfId="56162"/>
    <cellStyle name="Normal 9 3 2 3 2" xfId="56163"/>
    <cellStyle name="Normal 9 3 2 3 2 2" xfId="56164"/>
    <cellStyle name="Normal 9 3 2 3 3" xfId="56165"/>
    <cellStyle name="Normal 9 3 2 4" xfId="56166"/>
    <cellStyle name="Normal 9 3 2 4 2" xfId="56167"/>
    <cellStyle name="Normal 9 3 2 4 2 2" xfId="56168"/>
    <cellStyle name="Normal 9 3 2 4 3" xfId="56169"/>
    <cellStyle name="Normal 9 3 2 5" xfId="56170"/>
    <cellStyle name="Normal 9 3 2 5 2" xfId="56171"/>
    <cellStyle name="Normal 9 3 2 6" xfId="56172"/>
    <cellStyle name="Normal 9 3 2 7" xfId="56173"/>
    <cellStyle name="Normal 9 3 3" xfId="56174"/>
    <cellStyle name="Normal 9 3 3 2" xfId="56175"/>
    <cellStyle name="Normal 9 3 3 2 2" xfId="56176"/>
    <cellStyle name="Normal 9 3 3 2 2 2" xfId="56177"/>
    <cellStyle name="Normal 9 3 3 2 2 3" xfId="56178"/>
    <cellStyle name="Normal 9 3 3 2 3" xfId="56179"/>
    <cellStyle name="Normal 9 3 3 2 4" xfId="56180"/>
    <cellStyle name="Normal 9 3 3 3" xfId="56181"/>
    <cellStyle name="Normal 9 3 3 3 2" xfId="56182"/>
    <cellStyle name="Normal 9 3 3 3 2 2" xfId="56183"/>
    <cellStyle name="Normal 9 3 3 3 3" xfId="56184"/>
    <cellStyle name="Normal 9 3 3 4" xfId="56185"/>
    <cellStyle name="Normal 9 3 3 4 2" xfId="56186"/>
    <cellStyle name="Normal 9 3 3 4 3" xfId="56187"/>
    <cellStyle name="Normal 9 3 3 5" xfId="56188"/>
    <cellStyle name="Normal 9 3 3 6" xfId="56189"/>
    <cellStyle name="Normal 9 3 4" xfId="56190"/>
    <cellStyle name="Normal 9 3 4 2" xfId="56191"/>
    <cellStyle name="Normal 9 3 4 2 2" xfId="56192"/>
    <cellStyle name="Normal 9 3 4 2 3" xfId="56193"/>
    <cellStyle name="Normal 9 3 4 3" xfId="56194"/>
    <cellStyle name="Normal 9 3 4 4" xfId="56195"/>
    <cellStyle name="Normal 9 3 5" xfId="56196"/>
    <cellStyle name="Normal 9 3 5 2" xfId="56197"/>
    <cellStyle name="Normal 9 3 5 2 2" xfId="56198"/>
    <cellStyle name="Normal 9 3 5 3" xfId="56199"/>
    <cellStyle name="Normal 9 3 6" xfId="56200"/>
    <cellStyle name="Normal 9 3 6 2" xfId="56201"/>
    <cellStyle name="Normal 9 3 6 3" xfId="56202"/>
    <cellStyle name="Normal 9 3 7" xfId="56203"/>
    <cellStyle name="Normal 9 3 8" xfId="56204"/>
    <cellStyle name="Normal 9 4" xfId="56205"/>
    <cellStyle name="Normal 9 4 2" xfId="56206"/>
    <cellStyle name="Normal 9 4 2 2" xfId="56207"/>
    <cellStyle name="Normal 9 4 2 2 2" xfId="56208"/>
    <cellStyle name="Normal 9 4 2 3" xfId="56209"/>
    <cellStyle name="Normal 9 4 2 4" xfId="56210"/>
    <cellStyle name="Normal 9 4 3" xfId="56211"/>
    <cellStyle name="Normal 9 4 3 2" xfId="56212"/>
    <cellStyle name="Normal 9 4 3 2 2" xfId="56213"/>
    <cellStyle name="Normal 9 4 3 3" xfId="56214"/>
    <cellStyle name="Normal 9 4 4" xfId="56215"/>
    <cellStyle name="Normal 9 4 4 2" xfId="56216"/>
    <cellStyle name="Normal 9 4 5" xfId="56217"/>
    <cellStyle name="Normal 9 4 6" xfId="56218"/>
    <cellStyle name="Normal 9 5" xfId="56219"/>
    <cellStyle name="Normal 9 5 2" xfId="56220"/>
    <cellStyle name="Normal 9 5 2 2" xfId="56221"/>
    <cellStyle name="Normal 9 5 3" xfId="56222"/>
    <cellStyle name="Normal 9 5 4" xfId="56223"/>
    <cellStyle name="Normal 9 6" xfId="56224"/>
    <cellStyle name="Normal 9 6 2" xfId="56225"/>
    <cellStyle name="Normal 9 6 2 2" xfId="56226"/>
    <cellStyle name="Normal 9 6 2 2 2" xfId="56227"/>
    <cellStyle name="Normal 9 6 2 2 3" xfId="56228"/>
    <cellStyle name="Normal 9 6 2 3" xfId="56229"/>
    <cellStyle name="Normal 9 6 2 4" xfId="56230"/>
    <cellStyle name="Normal 9 6 3" xfId="56231"/>
    <cellStyle name="Normal 9 6 3 2" xfId="56232"/>
    <cellStyle name="Normal 9 6 3 3" xfId="56233"/>
    <cellStyle name="Normal 9 6 4" xfId="56234"/>
    <cellStyle name="Normal 9 6 4 2" xfId="56235"/>
    <cellStyle name="Normal 9 6 4 3" xfId="56236"/>
    <cellStyle name="Normal 9 6 5" xfId="56237"/>
    <cellStyle name="Normal 9 6 6" xfId="56238"/>
    <cellStyle name="Normal 9 7" xfId="56239"/>
    <cellStyle name="Normal 9 7 2" xfId="56240"/>
    <cellStyle name="Normal 9 7 2 2" xfId="56241"/>
    <cellStyle name="Normal 9 7 2 2 2" xfId="56242"/>
    <cellStyle name="Normal 9 7 2 2 3" xfId="56243"/>
    <cellStyle name="Normal 9 7 2 3" xfId="56244"/>
    <cellStyle name="Normal 9 7 2 4" xfId="56245"/>
    <cellStyle name="Normal 9 7 3" xfId="56246"/>
    <cellStyle name="Normal 9 7 3 2" xfId="56247"/>
    <cellStyle name="Normal 9 7 3 3" xfId="56248"/>
    <cellStyle name="Normal 9 7 4" xfId="56249"/>
    <cellStyle name="Normal 9 7 4 2" xfId="56250"/>
    <cellStyle name="Normal 9 7 4 3" xfId="56251"/>
    <cellStyle name="Normal 9 7 5" xfId="56252"/>
    <cellStyle name="Normal 9 7 6" xfId="56253"/>
    <cellStyle name="Normal 9 8" xfId="56254"/>
    <cellStyle name="Normal 9 8 2" xfId="56255"/>
    <cellStyle name="Normal 9 8 2 2" xfId="56256"/>
    <cellStyle name="Normal 9 8 2 3" xfId="56257"/>
    <cellStyle name="Normal 9 8 3" xfId="56258"/>
    <cellStyle name="Normal 9 8 4" xfId="56259"/>
    <cellStyle name="Normal 9 8 5" xfId="56260"/>
    <cellStyle name="Normal 9 8 6" xfId="56261"/>
    <cellStyle name="Normal 9 9" xfId="56262"/>
    <cellStyle name="Normal 9 9 2" xfId="56263"/>
    <cellStyle name="Normal 9 9 2 2" xfId="56264"/>
    <cellStyle name="Normal 9 9 2 3" xfId="56265"/>
    <cellStyle name="Normal 9 9 3" xfId="56266"/>
    <cellStyle name="Normal 9 9 4" xfId="56267"/>
    <cellStyle name="Normal 9_T1_TP_MASTER_032112_Rev A" xfId="56268"/>
    <cellStyle name="Normal 90" xfId="56269"/>
    <cellStyle name="Normal 90 2" xfId="56270"/>
    <cellStyle name="Normal 90 2 2" xfId="56271"/>
    <cellStyle name="Normal 90 2 3" xfId="56272"/>
    <cellStyle name="Normal 90 3" xfId="56273"/>
    <cellStyle name="Normal 90 3 2" xfId="56274"/>
    <cellStyle name="Normal 90 3 3" xfId="56275"/>
    <cellStyle name="Normal 90 4" xfId="56276"/>
    <cellStyle name="Normal 90 5" xfId="56277"/>
    <cellStyle name="Normal 91" xfId="56278"/>
    <cellStyle name="Normal 91 2" xfId="56279"/>
    <cellStyle name="Normal 91 2 2" xfId="56280"/>
    <cellStyle name="Normal 91 2 3" xfId="56281"/>
    <cellStyle name="Normal 91 3" xfId="56282"/>
    <cellStyle name="Normal 91 3 2" xfId="56283"/>
    <cellStyle name="Normal 91 3 3" xfId="56284"/>
    <cellStyle name="Normal 91 4" xfId="56285"/>
    <cellStyle name="Normal 91 5" xfId="56286"/>
    <cellStyle name="Normal 92" xfId="56287"/>
    <cellStyle name="Normal 92 2" xfId="56288"/>
    <cellStyle name="Normal 92 2 2" xfId="56289"/>
    <cellStyle name="Normal 92 2 3" xfId="56290"/>
    <cellStyle name="Normal 92 3" xfId="56291"/>
    <cellStyle name="Normal 92 3 2" xfId="56292"/>
    <cellStyle name="Normal 92 3 3" xfId="56293"/>
    <cellStyle name="Normal 92 4" xfId="56294"/>
    <cellStyle name="Normal 92 5" xfId="56295"/>
    <cellStyle name="Normal 93" xfId="56296"/>
    <cellStyle name="Normal 93 2" xfId="56297"/>
    <cellStyle name="Normal 93 2 2" xfId="56298"/>
    <cellStyle name="Normal 93 2 3" xfId="56299"/>
    <cellStyle name="Normal 93 3" xfId="56300"/>
    <cellStyle name="Normal 93 3 2" xfId="56301"/>
    <cellStyle name="Normal 93 3 3" xfId="56302"/>
    <cellStyle name="Normal 93 4" xfId="56303"/>
    <cellStyle name="Normal 93 5" xfId="56304"/>
    <cellStyle name="Normal 94" xfId="56305"/>
    <cellStyle name="Normal 94 2" xfId="56306"/>
    <cellStyle name="Normal 94 2 2" xfId="56307"/>
    <cellStyle name="Normal 94 2 3" xfId="56308"/>
    <cellStyle name="Normal 94 3" xfId="56309"/>
    <cellStyle name="Normal 94 3 2" xfId="56310"/>
    <cellStyle name="Normal 94 3 3" xfId="56311"/>
    <cellStyle name="Normal 94 4" xfId="56312"/>
    <cellStyle name="Normal 94 5" xfId="56313"/>
    <cellStyle name="Normal 95" xfId="56314"/>
    <cellStyle name="Normal 95 2" xfId="56315"/>
    <cellStyle name="Normal 95 2 2" xfId="56316"/>
    <cellStyle name="Normal 95 2 3" xfId="56317"/>
    <cellStyle name="Normal 95 3" xfId="56318"/>
    <cellStyle name="Normal 95 3 2" xfId="56319"/>
    <cellStyle name="Normal 95 3 3" xfId="56320"/>
    <cellStyle name="Normal 95 4" xfId="56321"/>
    <cellStyle name="Normal 95 5" xfId="56322"/>
    <cellStyle name="Normal 96" xfId="56323"/>
    <cellStyle name="Normal 96 2" xfId="56324"/>
    <cellStyle name="Normal 96 2 2" xfId="56325"/>
    <cellStyle name="Normal 96 2 3" xfId="56326"/>
    <cellStyle name="Normal 96 3" xfId="56327"/>
    <cellStyle name="Normal 96 3 2" xfId="56328"/>
    <cellStyle name="Normal 96 3 3" xfId="56329"/>
    <cellStyle name="Normal 96 4" xfId="56330"/>
    <cellStyle name="Normal 96 5" xfId="56331"/>
    <cellStyle name="Normal 97" xfId="56332"/>
    <cellStyle name="Normal 97 2" xfId="56333"/>
    <cellStyle name="Normal 97 2 2" xfId="56334"/>
    <cellStyle name="Normal 97 2 3" xfId="56335"/>
    <cellStyle name="Normal 97 3" xfId="56336"/>
    <cellStyle name="Normal 97 3 2" xfId="56337"/>
    <cellStyle name="Normal 97 3 3" xfId="56338"/>
    <cellStyle name="Normal 97 4" xfId="56339"/>
    <cellStyle name="Normal 97 5" xfId="56340"/>
    <cellStyle name="Normal 98" xfId="56341"/>
    <cellStyle name="Normal 98 2" xfId="56342"/>
    <cellStyle name="Normal 98 2 2" xfId="56343"/>
    <cellStyle name="Normal 98 2 3" xfId="56344"/>
    <cellStyle name="Normal 98 3" xfId="56345"/>
    <cellStyle name="Normal 98 3 2" xfId="56346"/>
    <cellStyle name="Normal 98 3 3" xfId="56347"/>
    <cellStyle name="Normal 98 4" xfId="56348"/>
    <cellStyle name="Normal 98 5" xfId="56349"/>
    <cellStyle name="Normal 99" xfId="56350"/>
    <cellStyle name="Normal 99 2" xfId="56351"/>
    <cellStyle name="Normal 99 2 2" xfId="56352"/>
    <cellStyle name="Normal 99 2 3" xfId="56353"/>
    <cellStyle name="Normal 99 3" xfId="56354"/>
    <cellStyle name="Normal 99 3 2" xfId="56355"/>
    <cellStyle name="Normal 99 3 3" xfId="56356"/>
    <cellStyle name="Normal 99 4" xfId="56357"/>
    <cellStyle name="Normal 99 5" xfId="56358"/>
    <cellStyle name="Not Capable to Test" xfId="56359"/>
    <cellStyle name="Note 10" xfId="56360"/>
    <cellStyle name="Note 2" xfId="56361"/>
    <cellStyle name="Note 2 10" xfId="56362"/>
    <cellStyle name="Note 2 11" xfId="56363"/>
    <cellStyle name="Note 2 2" xfId="56364"/>
    <cellStyle name="Note 2 2 2" xfId="56365"/>
    <cellStyle name="Note 2 2 2 2" xfId="56366"/>
    <cellStyle name="Note 2 2 2 3" xfId="56367"/>
    <cellStyle name="Note 2 2 2 4" xfId="56368"/>
    <cellStyle name="Note 2 2 3" xfId="56369"/>
    <cellStyle name="Note 2 2 3 2" xfId="56370"/>
    <cellStyle name="Note 2 2 4" xfId="56371"/>
    <cellStyle name="Note 2 2 4 2" xfId="56372"/>
    <cellStyle name="Note 2 2 5" xfId="56373"/>
    <cellStyle name="Note 2 2 5 2" xfId="56374"/>
    <cellStyle name="Note 2 2 6" xfId="56375"/>
    <cellStyle name="Note 2 2 6 2" xfId="56376"/>
    <cellStyle name="Note 2 2 7" xfId="56377"/>
    <cellStyle name="Note 2 2 7 2" xfId="56378"/>
    <cellStyle name="Note 2 2 8" xfId="56379"/>
    <cellStyle name="Note 2 2 8 2" xfId="56380"/>
    <cellStyle name="Note 2 2 9" xfId="56381"/>
    <cellStyle name="Note 2 3" xfId="56382"/>
    <cellStyle name="Note 2 3 2" xfId="56383"/>
    <cellStyle name="Note 2 3 2 2" xfId="56384"/>
    <cellStyle name="Note 2 3 2 3" xfId="56385"/>
    <cellStyle name="Note 2 3 2 4" xfId="56386"/>
    <cellStyle name="Note 2 3 3" xfId="56387"/>
    <cellStyle name="Note 2 3 3 2" xfId="56388"/>
    <cellStyle name="Note 2 3 4" xfId="56389"/>
    <cellStyle name="Note 2 3 4 2" xfId="56390"/>
    <cellStyle name="Note 2 3 5" xfId="56391"/>
    <cellStyle name="Note 2 4" xfId="56392"/>
    <cellStyle name="Note 2 4 2" xfId="56393"/>
    <cellStyle name="Note 2 4 2 2" xfId="56394"/>
    <cellStyle name="Note 2 4 2 3" xfId="56395"/>
    <cellStyle name="Note 2 4 2 4" xfId="56396"/>
    <cellStyle name="Note 2 4 3" xfId="56397"/>
    <cellStyle name="Note 2 4 3 2" xfId="56398"/>
    <cellStyle name="Note 2 4 4" xfId="56399"/>
    <cellStyle name="Note 2 4 4 2" xfId="56400"/>
    <cellStyle name="Note 2 4 5" xfId="56401"/>
    <cellStyle name="Note 2 5" xfId="56402"/>
    <cellStyle name="Note 2 5 2" xfId="56403"/>
    <cellStyle name="Note 2 5 2 2" xfId="56404"/>
    <cellStyle name="Note 2 5 2 3" xfId="56405"/>
    <cellStyle name="Note 2 5 2 4" xfId="56406"/>
    <cellStyle name="Note 2 5 3" xfId="56407"/>
    <cellStyle name="Note 2 5 3 2" xfId="56408"/>
    <cellStyle name="Note 2 5 4" xfId="56409"/>
    <cellStyle name="Note 2 5 4 2" xfId="56410"/>
    <cellStyle name="Note 2 5 5" xfId="56411"/>
    <cellStyle name="Note 2 6" xfId="56412"/>
    <cellStyle name="Note 2 6 2" xfId="56413"/>
    <cellStyle name="Note 2 6 2 2" xfId="56414"/>
    <cellStyle name="Note 2 6 2 3" xfId="56415"/>
    <cellStyle name="Note 2 6 2 4" xfId="56416"/>
    <cellStyle name="Note 2 6 3" xfId="56417"/>
    <cellStyle name="Note 2 6 3 2" xfId="56418"/>
    <cellStyle name="Note 2 6 4" xfId="56419"/>
    <cellStyle name="Note 2 6 4 2" xfId="56420"/>
    <cellStyle name="Note 2 6 5" xfId="56421"/>
    <cellStyle name="Note 2 7" xfId="56422"/>
    <cellStyle name="Note 2 7 2" xfId="56423"/>
    <cellStyle name="Note 2 7 3" xfId="56424"/>
    <cellStyle name="Note 2 7 4" xfId="56425"/>
    <cellStyle name="Note 2 8" xfId="56426"/>
    <cellStyle name="Note 2 8 2" xfId="56427"/>
    <cellStyle name="Note 2 9" xfId="56428"/>
    <cellStyle name="Note 2 9 2" xfId="56429"/>
    <cellStyle name="Note 2 9 3" xfId="56430"/>
    <cellStyle name="Note 2 9 4" xfId="56431"/>
    <cellStyle name="Note 3" xfId="56432"/>
    <cellStyle name="Note 3 2" xfId="56433"/>
    <cellStyle name="Note 3 2 2" xfId="56434"/>
    <cellStyle name="Note 3 2 2 2" xfId="56435"/>
    <cellStyle name="Note 3 2 3" xfId="56436"/>
    <cellStyle name="Note 3 2 3 2" xfId="56437"/>
    <cellStyle name="Note 3 2 4" xfId="56438"/>
    <cellStyle name="Note 3 2 4 2" xfId="56439"/>
    <cellStyle name="Note 3 2 5" xfId="56440"/>
    <cellStyle name="Note 3 2 5 2" xfId="56441"/>
    <cellStyle name="Note 3 2 6" xfId="56442"/>
    <cellStyle name="Note 3 2 6 2" xfId="56443"/>
    <cellStyle name="Note 3 2 7" xfId="56444"/>
    <cellStyle name="Note 3 2 7 2" xfId="56445"/>
    <cellStyle name="Note 3 2 8" xfId="56446"/>
    <cellStyle name="Note 3 3" xfId="56447"/>
    <cellStyle name="Note 3 3 2" xfId="56448"/>
    <cellStyle name="Note 3 4" xfId="56449"/>
    <cellStyle name="Note 3 4 2" xfId="56450"/>
    <cellStyle name="Note 3 5" xfId="56451"/>
    <cellStyle name="Note 4" xfId="56452"/>
    <cellStyle name="Note 4 2" xfId="56453"/>
    <cellStyle name="Note 4 2 2" xfId="56454"/>
    <cellStyle name="Note 4 3" xfId="56455"/>
    <cellStyle name="Note 4 3 2" xfId="56456"/>
    <cellStyle name="Note 4 4" xfId="56457"/>
    <cellStyle name="Note 4 4 2" xfId="56458"/>
    <cellStyle name="Note 4 5" xfId="56459"/>
    <cellStyle name="Note 4 5 2" xfId="56460"/>
    <cellStyle name="Note 4 6" xfId="56461"/>
    <cellStyle name="Note 4 6 2" xfId="56462"/>
    <cellStyle name="Note 4 7" xfId="56463"/>
    <cellStyle name="Note 4 7 2" xfId="56464"/>
    <cellStyle name="Note 4 8" xfId="56465"/>
    <cellStyle name="Note 5" xfId="56466"/>
    <cellStyle name="Note 5 2" xfId="56467"/>
    <cellStyle name="Note 5 3" xfId="56468"/>
    <cellStyle name="Note 6" xfId="56469"/>
    <cellStyle name="Note 6 2" xfId="56470"/>
    <cellStyle name="Note 6 2 2" xfId="56471"/>
    <cellStyle name="Note 6 3" xfId="56472"/>
    <cellStyle name="Note 6 3 2" xfId="56473"/>
    <cellStyle name="Note 6 4" xfId="56474"/>
    <cellStyle name="Note 7" xfId="56475"/>
    <cellStyle name="Note 7 2" xfId="56476"/>
    <cellStyle name="Note 8" xfId="56477"/>
    <cellStyle name="Note 8 2" xfId="56478"/>
    <cellStyle name="Note 8 2 2" xfId="56479"/>
    <cellStyle name="Note 8 3" xfId="56480"/>
    <cellStyle name="Note 9" xfId="56481"/>
    <cellStyle name="Note 9 2" xfId="56482"/>
    <cellStyle name="oft Excel]_x000d__x000a_Comment=The open=/f lines load custom functions into the Paste Function list._x000d__x000a_Maximized=3_x000d__x000a_Basics=1_x000d__x000a_A" xfId="56483"/>
    <cellStyle name="oft Excel]_x000d__x000a_Comment=The open=/f lines load custom functions into the Paste Function list._x000d__x000a_Maximized=3_x000d__x000a_Basics=1_x000d__x000a_A 2" xfId="56484"/>
    <cellStyle name="Output 10" xfId="56485"/>
    <cellStyle name="Output 11" xfId="56486"/>
    <cellStyle name="Output 2" xfId="56487"/>
    <cellStyle name="Output 2 10" xfId="56488"/>
    <cellStyle name="Output 2 2" xfId="56489"/>
    <cellStyle name="Output 2 2 2" xfId="56490"/>
    <cellStyle name="Output 2 2 2 2" xfId="56491"/>
    <cellStyle name="Output 2 2 2 3" xfId="56492"/>
    <cellStyle name="Output 2 2 2 4" xfId="56493"/>
    <cellStyle name="Output 2 2 3" xfId="56494"/>
    <cellStyle name="Output 2 2 3 2" xfId="56495"/>
    <cellStyle name="Output 2 2 4" xfId="56496"/>
    <cellStyle name="Output 2 2 4 2" xfId="56497"/>
    <cellStyle name="Output 2 2 5" xfId="56498"/>
    <cellStyle name="Output 2 2 5 2" xfId="56499"/>
    <cellStyle name="Output 2 2 6" xfId="56500"/>
    <cellStyle name="Output 2 2 6 2" xfId="56501"/>
    <cellStyle name="Output 2 2 7" xfId="56502"/>
    <cellStyle name="Output 2 2 7 2" xfId="56503"/>
    <cellStyle name="Output 2 2 8" xfId="56504"/>
    <cellStyle name="Output 2 2 8 2" xfId="56505"/>
    <cellStyle name="Output 2 2 9" xfId="56506"/>
    <cellStyle name="Output 2 3" xfId="56507"/>
    <cellStyle name="Output 2 3 2" xfId="56508"/>
    <cellStyle name="Output 2 3 2 2" xfId="56509"/>
    <cellStyle name="Output 2 3 2 3" xfId="56510"/>
    <cellStyle name="Output 2 3 2 4" xfId="56511"/>
    <cellStyle name="Output 2 3 3" xfId="56512"/>
    <cellStyle name="Output 2 3 3 2" xfId="56513"/>
    <cellStyle name="Output 2 3 4" xfId="56514"/>
    <cellStyle name="Output 2 3 4 2" xfId="56515"/>
    <cellStyle name="Output 2 3 5" xfId="56516"/>
    <cellStyle name="Output 2 4" xfId="56517"/>
    <cellStyle name="Output 2 4 2" xfId="56518"/>
    <cellStyle name="Output 2 4 2 2" xfId="56519"/>
    <cellStyle name="Output 2 4 2 3" xfId="56520"/>
    <cellStyle name="Output 2 4 2 4" xfId="56521"/>
    <cellStyle name="Output 2 4 3" xfId="56522"/>
    <cellStyle name="Output 2 4 3 2" xfId="56523"/>
    <cellStyle name="Output 2 4 4" xfId="56524"/>
    <cellStyle name="Output 2 4 4 2" xfId="56525"/>
    <cellStyle name="Output 2 4 5" xfId="56526"/>
    <cellStyle name="Output 2 5" xfId="56527"/>
    <cellStyle name="Output 2 5 2" xfId="56528"/>
    <cellStyle name="Output 2 5 2 2" xfId="56529"/>
    <cellStyle name="Output 2 5 2 3" xfId="56530"/>
    <cellStyle name="Output 2 5 2 4" xfId="56531"/>
    <cellStyle name="Output 2 5 3" xfId="56532"/>
    <cellStyle name="Output 2 5 3 2" xfId="56533"/>
    <cellStyle name="Output 2 5 4" xfId="56534"/>
    <cellStyle name="Output 2 5 4 2" xfId="56535"/>
    <cellStyle name="Output 2 5 5" xfId="56536"/>
    <cellStyle name="Output 2 6" xfId="56537"/>
    <cellStyle name="Output 2 6 2" xfId="56538"/>
    <cellStyle name="Output 2 6 2 2" xfId="56539"/>
    <cellStyle name="Output 2 6 2 3" xfId="56540"/>
    <cellStyle name="Output 2 6 2 4" xfId="56541"/>
    <cellStyle name="Output 2 6 3" xfId="56542"/>
    <cellStyle name="Output 2 6 3 2" xfId="56543"/>
    <cellStyle name="Output 2 6 4" xfId="56544"/>
    <cellStyle name="Output 2 6 4 2" xfId="56545"/>
    <cellStyle name="Output 2 6 5" xfId="56546"/>
    <cellStyle name="Output 2 7" xfId="56547"/>
    <cellStyle name="Output 2 7 2" xfId="56548"/>
    <cellStyle name="Output 2 7 3" xfId="56549"/>
    <cellStyle name="Output 2 7 4" xfId="56550"/>
    <cellStyle name="Output 2 8" xfId="56551"/>
    <cellStyle name="Output 2 8 2" xfId="56552"/>
    <cellStyle name="Output 2 9" xfId="56553"/>
    <cellStyle name="Output 2 9 2" xfId="56554"/>
    <cellStyle name="Output 3" xfId="56555"/>
    <cellStyle name="Output 3 2" xfId="56556"/>
    <cellStyle name="Output 3 2 2" xfId="56557"/>
    <cellStyle name="Output 3 2 3" xfId="56558"/>
    <cellStyle name="Output 3 2 4" xfId="56559"/>
    <cellStyle name="Output 3 3" xfId="56560"/>
    <cellStyle name="Output 3 3 2" xfId="56561"/>
    <cellStyle name="Output 3 4" xfId="56562"/>
    <cellStyle name="Output 3 4 2" xfId="56563"/>
    <cellStyle name="Output 3 5" xfId="56564"/>
    <cellStyle name="Output 4" xfId="56565"/>
    <cellStyle name="Output 4 2" xfId="56566"/>
    <cellStyle name="Output 4 3" xfId="56567"/>
    <cellStyle name="Output 5" xfId="56568"/>
    <cellStyle name="Output 5 2" xfId="56569"/>
    <cellStyle name="Output 5 3" xfId="56570"/>
    <cellStyle name="Output 6" xfId="56571"/>
    <cellStyle name="Output 6 2" xfId="56572"/>
    <cellStyle name="Output 6 3" xfId="56573"/>
    <cellStyle name="Output 7" xfId="56574"/>
    <cellStyle name="Output 7 2" xfId="56575"/>
    <cellStyle name="Output 8" xfId="56576"/>
    <cellStyle name="Output 9" xfId="56577"/>
    <cellStyle name="Output 9 2" xfId="56578"/>
    <cellStyle name="Partially Capable to Test" xfId="56579"/>
    <cellStyle name="Percen - Style2" xfId="56580"/>
    <cellStyle name="Percen - Style2 2" xfId="56581"/>
    <cellStyle name="Percen - Style2 2 2" xfId="56582"/>
    <cellStyle name="Percen - Style2 2 3" xfId="56583"/>
    <cellStyle name="Percen - Style2 3" xfId="56584"/>
    <cellStyle name="Percen - Style2 4" xfId="56585"/>
    <cellStyle name="Percen - Style6" xfId="56586"/>
    <cellStyle name="Percen - Style6 2" xfId="56587"/>
    <cellStyle name="Percen - Style6 2 2" xfId="56588"/>
    <cellStyle name="Percen - Style6 2 3" xfId="56589"/>
    <cellStyle name="Percen - Style6 3" xfId="56590"/>
    <cellStyle name="Percen - Style6 4" xfId="56591"/>
    <cellStyle name="Percent" xfId="59028" builtinId="5"/>
    <cellStyle name="Percent [0]" xfId="56592"/>
    <cellStyle name="Percent [0] 2" xfId="56593"/>
    <cellStyle name="Percent [0] 2 2" xfId="56594"/>
    <cellStyle name="Percent [00]" xfId="56595"/>
    <cellStyle name="Percent 10" xfId="56596"/>
    <cellStyle name="Percent 10 2" xfId="56597"/>
    <cellStyle name="Percent 10 3" xfId="56598"/>
    <cellStyle name="Percent 11" xfId="56599"/>
    <cellStyle name="Percent 11 2" xfId="56600"/>
    <cellStyle name="Percent 110" xfId="56601"/>
    <cellStyle name="Percent 12" xfId="56602"/>
    <cellStyle name="Percent 12 2" xfId="56603"/>
    <cellStyle name="Percent 13" xfId="56604"/>
    <cellStyle name="Percent 13 2" xfId="56605"/>
    <cellStyle name="Percent 13 3" xfId="56606"/>
    <cellStyle name="Percent 14" xfId="56607"/>
    <cellStyle name="Percent 14 2" xfId="56608"/>
    <cellStyle name="Percent 14 3" xfId="56609"/>
    <cellStyle name="Percent 15" xfId="56610"/>
    <cellStyle name="Percent 15 2" xfId="56611"/>
    <cellStyle name="Percent 15 3" xfId="56612"/>
    <cellStyle name="Percent 16" xfId="56613"/>
    <cellStyle name="Percent 16 2" xfId="56614"/>
    <cellStyle name="Percent 17" xfId="56615"/>
    <cellStyle name="Percent 17 2" xfId="56616"/>
    <cellStyle name="Percent 18" xfId="56617"/>
    <cellStyle name="Percent 18 2" xfId="56618"/>
    <cellStyle name="Percent 19" xfId="56619"/>
    <cellStyle name="Percent 19 2" xfId="56620"/>
    <cellStyle name="Percent 2" xfId="56621"/>
    <cellStyle name="Percent 2 10" xfId="56622"/>
    <cellStyle name="Percent 2 10 2" xfId="56623"/>
    <cellStyle name="Percent 2 11" xfId="56624"/>
    <cellStyle name="Percent 2 11 2" xfId="56625"/>
    <cellStyle name="Percent 2 12" xfId="56626"/>
    <cellStyle name="Percent 2 12 2" xfId="56627"/>
    <cellStyle name="Percent 2 13" xfId="56628"/>
    <cellStyle name="Percent 2 13 2" xfId="56629"/>
    <cellStyle name="Percent 2 14" xfId="56630"/>
    <cellStyle name="Percent 2 14 2" xfId="56631"/>
    <cellStyle name="Percent 2 15" xfId="56632"/>
    <cellStyle name="Percent 2 15 2" xfId="56633"/>
    <cellStyle name="Percent 2 16" xfId="56634"/>
    <cellStyle name="Percent 2 16 2" xfId="56635"/>
    <cellStyle name="Percent 2 17" xfId="56636"/>
    <cellStyle name="Percent 2 17 2" xfId="56637"/>
    <cellStyle name="Percent 2 18" xfId="56638"/>
    <cellStyle name="Percent 2 19" xfId="56639"/>
    <cellStyle name="Percent 2 2" xfId="56640"/>
    <cellStyle name="Percent 2 2 10" xfId="56641"/>
    <cellStyle name="Percent 2 2 2" xfId="56642"/>
    <cellStyle name="Percent 2 2 2 2" xfId="56643"/>
    <cellStyle name="Percent 2 2 2 2 2" xfId="56644"/>
    <cellStyle name="Percent 2 2 2 2 3" xfId="56645"/>
    <cellStyle name="Percent 2 2 2 2 4" xfId="56646"/>
    <cellStyle name="Percent 2 2 2 2 5" xfId="56647"/>
    <cellStyle name="Percent 2 2 2 3" xfId="56648"/>
    <cellStyle name="Percent 2 2 2 4" xfId="56649"/>
    <cellStyle name="Percent 2 2 2 5" xfId="56650"/>
    <cellStyle name="Percent 2 2 2 6" xfId="56651"/>
    <cellStyle name="Percent 2 2 2 7" xfId="56652"/>
    <cellStyle name="Percent 2 2 2 8" xfId="56653"/>
    <cellStyle name="Percent 2 2 3" xfId="56654"/>
    <cellStyle name="Percent 2 2 3 2" xfId="56655"/>
    <cellStyle name="Percent 2 2 3 3" xfId="56656"/>
    <cellStyle name="Percent 2 2 3 4" xfId="56657"/>
    <cellStyle name="Percent 2 2 3 5" xfId="56658"/>
    <cellStyle name="Percent 2 2 4" xfId="56659"/>
    <cellStyle name="Percent 2 2 5" xfId="56660"/>
    <cellStyle name="Percent 2 2 6" xfId="56661"/>
    <cellStyle name="Percent 2 2 7" xfId="56662"/>
    <cellStyle name="Percent 2 2 8" xfId="56663"/>
    <cellStyle name="Percent 2 2 9" xfId="56664"/>
    <cellStyle name="Percent 2 3" xfId="56665"/>
    <cellStyle name="Percent 2 3 2" xfId="56666"/>
    <cellStyle name="Percent 2 3 2 2" xfId="56667"/>
    <cellStyle name="Percent 2 3 2 3" xfId="56668"/>
    <cellStyle name="Percent 2 3 2 4" xfId="56669"/>
    <cellStyle name="Percent 2 3 2 5" xfId="56670"/>
    <cellStyle name="Percent 2 3 3" xfId="56671"/>
    <cellStyle name="Percent 2 3 4" xfId="56672"/>
    <cellStyle name="Percent 2 3 5" xfId="56673"/>
    <cellStyle name="Percent 2 3 6" xfId="56674"/>
    <cellStyle name="Percent 2 3 7" xfId="56675"/>
    <cellStyle name="Percent 2 3 8" xfId="56676"/>
    <cellStyle name="Percent 2 4" xfId="56677"/>
    <cellStyle name="Percent 2 4 2" xfId="56678"/>
    <cellStyle name="Percent 2 4 3" xfId="56679"/>
    <cellStyle name="Percent 2 4 4" xfId="56680"/>
    <cellStyle name="Percent 2 4 5" xfId="56681"/>
    <cellStyle name="Percent 2 4 6" xfId="56682"/>
    <cellStyle name="Percent 2 4 7" xfId="56683"/>
    <cellStyle name="Percent 2 5" xfId="56684"/>
    <cellStyle name="Percent 2 5 2" xfId="56685"/>
    <cellStyle name="Percent 2 6" xfId="56686"/>
    <cellStyle name="Percent 2 6 2" xfId="56687"/>
    <cellStyle name="Percent 2 7" xfId="56688"/>
    <cellStyle name="Percent 2 7 2" xfId="56689"/>
    <cellStyle name="Percent 2 8" xfId="56690"/>
    <cellStyle name="Percent 2 8 2" xfId="56691"/>
    <cellStyle name="Percent 2 9" xfId="56692"/>
    <cellStyle name="Percent 2 9 2" xfId="56693"/>
    <cellStyle name="Percent 20" xfId="56694"/>
    <cellStyle name="Percent 20 2" xfId="56695"/>
    <cellStyle name="Percent 20 2 2" xfId="56696"/>
    <cellStyle name="Percent 21" xfId="56697"/>
    <cellStyle name="Percent 21 2" xfId="56698"/>
    <cellStyle name="Percent 21 2 2" xfId="56699"/>
    <cellStyle name="Percent 21 2 2 2" xfId="56700"/>
    <cellStyle name="Percent 21 2 3" xfId="56701"/>
    <cellStyle name="Percent 21 2 4" xfId="56702"/>
    <cellStyle name="Percent 21 3" xfId="56703"/>
    <cellStyle name="Percent 21 3 2" xfId="56704"/>
    <cellStyle name="Percent 21 3 2 2" xfId="56705"/>
    <cellStyle name="Percent 21 3 3" xfId="56706"/>
    <cellStyle name="Percent 21 3 4" xfId="56707"/>
    <cellStyle name="Percent 21 4" xfId="56708"/>
    <cellStyle name="Percent 21 4 2" xfId="56709"/>
    <cellStyle name="Percent 21 5" xfId="56710"/>
    <cellStyle name="Percent 21 6" xfId="56711"/>
    <cellStyle name="Percent 22" xfId="56712"/>
    <cellStyle name="Percent 22 2" xfId="56713"/>
    <cellStyle name="Percent 22 2 2" xfId="56714"/>
    <cellStyle name="Percent 22 2 2 2" xfId="56715"/>
    <cellStyle name="Percent 22 2 3" xfId="56716"/>
    <cellStyle name="Percent 22 2 4" xfId="56717"/>
    <cellStyle name="Percent 22 3" xfId="56718"/>
    <cellStyle name="Percent 22 3 2" xfId="56719"/>
    <cellStyle name="Percent 22 3 2 2" xfId="56720"/>
    <cellStyle name="Percent 22 3 3" xfId="56721"/>
    <cellStyle name="Percent 22 3 4" xfId="56722"/>
    <cellStyle name="Percent 22 4" xfId="56723"/>
    <cellStyle name="Percent 22 4 2" xfId="56724"/>
    <cellStyle name="Percent 22 5" xfId="56725"/>
    <cellStyle name="Percent 22 6" xfId="56726"/>
    <cellStyle name="Percent 23" xfId="56727"/>
    <cellStyle name="Percent 23 2" xfId="56728"/>
    <cellStyle name="Percent 23 2 2" xfId="56729"/>
    <cellStyle name="Percent 23 2 2 2" xfId="56730"/>
    <cellStyle name="Percent 23 2 3" xfId="56731"/>
    <cellStyle name="Percent 23 2 4" xfId="56732"/>
    <cellStyle name="Percent 23 3" xfId="56733"/>
    <cellStyle name="Percent 23 3 2" xfId="56734"/>
    <cellStyle name="Percent 23 3 2 2" xfId="56735"/>
    <cellStyle name="Percent 23 3 3" xfId="56736"/>
    <cellStyle name="Percent 23 3 4" xfId="56737"/>
    <cellStyle name="Percent 23 4" xfId="56738"/>
    <cellStyle name="Percent 23 4 2" xfId="56739"/>
    <cellStyle name="Percent 23 5" xfId="56740"/>
    <cellStyle name="Percent 23 6" xfId="56741"/>
    <cellStyle name="Percent 24" xfId="56742"/>
    <cellStyle name="Percent 24 2" xfId="56743"/>
    <cellStyle name="Percent 24 2 2" xfId="56744"/>
    <cellStyle name="Percent 24 2 2 2" xfId="56745"/>
    <cellStyle name="Percent 24 2 3" xfId="56746"/>
    <cellStyle name="Percent 24 2 4" xfId="56747"/>
    <cellStyle name="Percent 24 3" xfId="56748"/>
    <cellStyle name="Percent 24 3 2" xfId="56749"/>
    <cellStyle name="Percent 24 3 2 2" xfId="56750"/>
    <cellStyle name="Percent 24 3 3" xfId="56751"/>
    <cellStyle name="Percent 24 3 4" xfId="56752"/>
    <cellStyle name="Percent 24 4" xfId="56753"/>
    <cellStyle name="Percent 24 4 2" xfId="56754"/>
    <cellStyle name="Percent 24 5" xfId="56755"/>
    <cellStyle name="Percent 24 6" xfId="56756"/>
    <cellStyle name="Percent 25" xfId="56757"/>
    <cellStyle name="Percent 25 2" xfId="56758"/>
    <cellStyle name="Percent 26" xfId="56759"/>
    <cellStyle name="Percent 27" xfId="56760"/>
    <cellStyle name="Percent 28" xfId="56761"/>
    <cellStyle name="Percent 28 2" xfId="56762"/>
    <cellStyle name="Percent 29" xfId="56763"/>
    <cellStyle name="Percent 3" xfId="56764"/>
    <cellStyle name="Percent 3 2" xfId="56765"/>
    <cellStyle name="Percent 3 2 2" xfId="56766"/>
    <cellStyle name="Percent 3 2 3" xfId="56767"/>
    <cellStyle name="Percent 3 2 4" xfId="56768"/>
    <cellStyle name="Percent 3 2 5" xfId="56769"/>
    <cellStyle name="Percent 3 3" xfId="56770"/>
    <cellStyle name="Percent 3 3 2" xfId="56771"/>
    <cellStyle name="Percent 3 4" xfId="56772"/>
    <cellStyle name="Percent 3 4 2" xfId="56773"/>
    <cellStyle name="Percent 3 4 2 2" xfId="56774"/>
    <cellStyle name="Percent 3 4 2 2 2" xfId="56775"/>
    <cellStyle name="Percent 3 4 2 2 4" xfId="56776"/>
    <cellStyle name="Percent 3 4 2 3" xfId="56777"/>
    <cellStyle name="Percent 3 4 3" xfId="56778"/>
    <cellStyle name="Percent 3 4 3 2" xfId="56779"/>
    <cellStyle name="Percent 3 4 4" xfId="56780"/>
    <cellStyle name="Percent 3 5" xfId="56781"/>
    <cellStyle name="Percent 3 5 2" xfId="56782"/>
    <cellStyle name="Percent 3 5 3" xfId="56783"/>
    <cellStyle name="Percent 3 6" xfId="56784"/>
    <cellStyle name="Percent 3 6 2" xfId="56785"/>
    <cellStyle name="Percent 3 6 3" xfId="56786"/>
    <cellStyle name="Percent 3 7" xfId="56787"/>
    <cellStyle name="Percent 3 8" xfId="56788"/>
    <cellStyle name="Percent 30" xfId="56789"/>
    <cellStyle name="Percent 31" xfId="56790"/>
    <cellStyle name="Percent 32" xfId="56791"/>
    <cellStyle name="Percent 32 2" xfId="56792"/>
    <cellStyle name="Percent 32 2 2" xfId="56793"/>
    <cellStyle name="Percent 32 3" xfId="56794"/>
    <cellStyle name="Percent 32 4" xfId="56795"/>
    <cellStyle name="Percent 33" xfId="56796"/>
    <cellStyle name="Percent 34" xfId="56797"/>
    <cellStyle name="Percent 34 2" xfId="56798"/>
    <cellStyle name="Percent 34 3" xfId="56799"/>
    <cellStyle name="Percent 35" xfId="56800"/>
    <cellStyle name="Percent 35 2" xfId="56801"/>
    <cellStyle name="Percent 36" xfId="56802"/>
    <cellStyle name="Percent 37" xfId="56803"/>
    <cellStyle name="Percent 38" xfId="56804"/>
    <cellStyle name="Percent 39" xfId="56805"/>
    <cellStyle name="Percent 4" xfId="56806"/>
    <cellStyle name="Percent 4 2" xfId="56807"/>
    <cellStyle name="Percent 4 2 2" xfId="56808"/>
    <cellStyle name="Percent 4 2 2 2" xfId="56809"/>
    <cellStyle name="Percent 4 2 3" xfId="56810"/>
    <cellStyle name="Percent 4 2 4" xfId="56811"/>
    <cellStyle name="Percent 4 2 5" xfId="56812"/>
    <cellStyle name="Percent 4 3" xfId="56813"/>
    <cellStyle name="Percent 4 4" xfId="56814"/>
    <cellStyle name="Percent 4 5" xfId="56815"/>
    <cellStyle name="Percent 4 6" xfId="56816"/>
    <cellStyle name="Percent 4 7" xfId="56817"/>
    <cellStyle name="Percent 4 8" xfId="56818"/>
    <cellStyle name="Percent 4 9" xfId="56819"/>
    <cellStyle name="Percent 40" xfId="56820"/>
    <cellStyle name="Percent 41" xfId="56821"/>
    <cellStyle name="Percent 42" xfId="56822"/>
    <cellStyle name="Percent 43" xfId="56823"/>
    <cellStyle name="Percent 44" xfId="56824"/>
    <cellStyle name="Percent 45" xfId="56825"/>
    <cellStyle name="Percent 45 2" xfId="56826"/>
    <cellStyle name="Percent 46" xfId="56827"/>
    <cellStyle name="Percent 47" xfId="56828"/>
    <cellStyle name="Percent 48" xfId="56829"/>
    <cellStyle name="Percent 49" xfId="56830"/>
    <cellStyle name="Percent 5" xfId="56831"/>
    <cellStyle name="Percent 5 2" xfId="56832"/>
    <cellStyle name="Percent 5 2 2" xfId="56833"/>
    <cellStyle name="Percent 5 2 2 2" xfId="56834"/>
    <cellStyle name="Percent 5 2 2 3" xfId="56835"/>
    <cellStyle name="Percent 5 2 3" xfId="56836"/>
    <cellStyle name="Percent 5 2 4" xfId="56837"/>
    <cellStyle name="Percent 5 2 5" xfId="56838"/>
    <cellStyle name="Percent 5 3" xfId="56839"/>
    <cellStyle name="Percent 5 3 2" xfId="56840"/>
    <cellStyle name="Percent 5 3 3" xfId="56841"/>
    <cellStyle name="Percent 5 3 4" xfId="56842"/>
    <cellStyle name="Percent 5 4" xfId="56843"/>
    <cellStyle name="Percent 5 4 2" xfId="56844"/>
    <cellStyle name="Percent 5 5" xfId="56845"/>
    <cellStyle name="Percent 5 6" xfId="56846"/>
    <cellStyle name="Percent 50" xfId="56847"/>
    <cellStyle name="Percent 51" xfId="56848"/>
    <cellStyle name="Percent 52" xfId="56849"/>
    <cellStyle name="Percent 53" xfId="56850"/>
    <cellStyle name="Percent 54" xfId="56851"/>
    <cellStyle name="Percent 55" xfId="56852"/>
    <cellStyle name="Percent 55 2" xfId="56853"/>
    <cellStyle name="Percent 55 3" xfId="56854"/>
    <cellStyle name="Percent 56" xfId="56855"/>
    <cellStyle name="Percent 57" xfId="56856"/>
    <cellStyle name="Percent 58" xfId="56857"/>
    <cellStyle name="Percent 59" xfId="56858"/>
    <cellStyle name="Percent 6" xfId="56859"/>
    <cellStyle name="Percent 6 2" xfId="56860"/>
    <cellStyle name="Percent 6 2 2" xfId="56861"/>
    <cellStyle name="Percent 6 3" xfId="56862"/>
    <cellStyle name="Percent 6 4" xfId="56863"/>
    <cellStyle name="Percent 60" xfId="56864"/>
    <cellStyle name="Percent 61" xfId="56865"/>
    <cellStyle name="Percent 62" xfId="56866"/>
    <cellStyle name="Percent 63" xfId="56867"/>
    <cellStyle name="Percent 64" xfId="56868"/>
    <cellStyle name="Percent 65" xfId="56869"/>
    <cellStyle name="Percent 66" xfId="56870"/>
    <cellStyle name="Percent 67" xfId="56871"/>
    <cellStyle name="Percent 7" xfId="56872"/>
    <cellStyle name="Percent 7 2" xfId="56873"/>
    <cellStyle name="Percent 8" xfId="56874"/>
    <cellStyle name="Percent 8 2" xfId="56875"/>
    <cellStyle name="Percent 8 2 2" xfId="56876"/>
    <cellStyle name="Percent 9" xfId="56877"/>
    <cellStyle name="Percent 9 2" xfId="56878"/>
    <cellStyle name="Percent 9 3" xfId="56879"/>
    <cellStyle name="PrePop Currency (0)" xfId="56880"/>
    <cellStyle name="PrePop Currency (2)" xfId="56881"/>
    <cellStyle name="PrePop Units (0)" xfId="56882"/>
    <cellStyle name="PrePop Units (1)" xfId="56883"/>
    <cellStyle name="PrePop Units (2)" xfId="56884"/>
    <cellStyle name="Product Header" xfId="56885"/>
    <cellStyle name="Product Header 2" xfId="56886"/>
    <cellStyle name="Product Header 3" xfId="56887"/>
    <cellStyle name="PROJ_NUM" xfId="56888"/>
    <cellStyle name="PSChar" xfId="56889"/>
    <cellStyle name="PSChar 2" xfId="56890"/>
    <cellStyle name="PSChar 2 2" xfId="56891"/>
    <cellStyle name="PSChar 2 2 2" xfId="56892"/>
    <cellStyle name="PSChar 2 2 2 2" xfId="56893"/>
    <cellStyle name="PSChar 2 2 2 3" xfId="56894"/>
    <cellStyle name="PSChar 2 2 3" xfId="56895"/>
    <cellStyle name="PSChar 2 2 4" xfId="56896"/>
    <cellStyle name="PSChar 2 3" xfId="56897"/>
    <cellStyle name="PSChar 2 3 2" xfId="56898"/>
    <cellStyle name="PSChar 2 3 3" xfId="56899"/>
    <cellStyle name="PSChar 2 4" xfId="56900"/>
    <cellStyle name="PSChar 2 5" xfId="56901"/>
    <cellStyle name="PSChar 3" xfId="56902"/>
    <cellStyle name="PSChar 3 2" xfId="56903"/>
    <cellStyle name="PSChar 3 3" xfId="56904"/>
    <cellStyle name="PSChar 4" xfId="56905"/>
    <cellStyle name="PSChar 5" xfId="56906"/>
    <cellStyle name="PSDate" xfId="56907"/>
    <cellStyle name="PSDate 2" xfId="56908"/>
    <cellStyle name="PSDate 2 2" xfId="56909"/>
    <cellStyle name="PSDec" xfId="56910"/>
    <cellStyle name="PSDec 2" xfId="56911"/>
    <cellStyle name="PSDec 2 2" xfId="56912"/>
    <cellStyle name="PSHeading" xfId="56913"/>
    <cellStyle name="PSHeading 2" xfId="56914"/>
    <cellStyle name="PSHeading 2 2" xfId="56915"/>
    <cellStyle name="PSHeading 2 2 2" xfId="56916"/>
    <cellStyle name="PSHeading 2 2 2 2" xfId="56917"/>
    <cellStyle name="PSHeading 2 2 2 3" xfId="56918"/>
    <cellStyle name="PSHeading 2 2 3" xfId="56919"/>
    <cellStyle name="PSHeading 2 2 3 2" xfId="56920"/>
    <cellStyle name="PSHeading 2 2 4" xfId="56921"/>
    <cellStyle name="PSHeading 2 2 4 2" xfId="56922"/>
    <cellStyle name="PSHeading 2 2 5" xfId="56923"/>
    <cellStyle name="PSHeading 2 3" xfId="56924"/>
    <cellStyle name="PSHeading 2 3 2" xfId="56925"/>
    <cellStyle name="PSHeading 2 3 3" xfId="56926"/>
    <cellStyle name="PSHeading 2 4" xfId="56927"/>
    <cellStyle name="PSHeading 2 4 2" xfId="56928"/>
    <cellStyle name="PSHeading 2 5" xfId="56929"/>
    <cellStyle name="PSHeading 2 5 2" xfId="56930"/>
    <cellStyle name="PSHeading 2 6" xfId="56931"/>
    <cellStyle name="PSHeading 3" xfId="56932"/>
    <cellStyle name="PSHeading 3 2" xfId="56933"/>
    <cellStyle name="PSHeading 3 3" xfId="56934"/>
    <cellStyle name="PSHeading 4" xfId="56935"/>
    <cellStyle name="PSHeading 4 2" xfId="56936"/>
    <cellStyle name="PSHeading 5" xfId="56937"/>
    <cellStyle name="PSHeading 5 2" xfId="56938"/>
    <cellStyle name="PSHeading 6" xfId="56939"/>
    <cellStyle name="PSInt" xfId="56940"/>
    <cellStyle name="PSInt 2" xfId="56941"/>
    <cellStyle name="PSInt 2 2" xfId="56942"/>
    <cellStyle name="PSSpacer" xfId="56943"/>
    <cellStyle name="PSSpacer 2" xfId="56944"/>
    <cellStyle name="PSSpacer 2 2" xfId="56945"/>
    <cellStyle name="PSSpacer 2 2 2" xfId="56946"/>
    <cellStyle name="PSSpacer 2 2 2 2" xfId="56947"/>
    <cellStyle name="PSSpacer 2 2 2 3" xfId="56948"/>
    <cellStyle name="PSSpacer 2 2 3" xfId="56949"/>
    <cellStyle name="PSSpacer 2 2 4" xfId="56950"/>
    <cellStyle name="PSSpacer 2 3" xfId="56951"/>
    <cellStyle name="PSSpacer 2 3 2" xfId="56952"/>
    <cellStyle name="PSSpacer 2 3 3" xfId="56953"/>
    <cellStyle name="PSSpacer 2 4" xfId="56954"/>
    <cellStyle name="PSSpacer 2 5" xfId="56955"/>
    <cellStyle name="PSSpacer 3" xfId="56956"/>
    <cellStyle name="PSSpacer 3 2" xfId="56957"/>
    <cellStyle name="PSSpacer 3 3" xfId="56958"/>
    <cellStyle name="PSSpacer 4" xfId="56959"/>
    <cellStyle name="PSSpacer 5" xfId="56960"/>
    <cellStyle name="results" xfId="56961"/>
    <cellStyle name="results 2" xfId="56962"/>
    <cellStyle name="results 3" xfId="56963"/>
    <cellStyle name="RISKbigPercent" xfId="56964"/>
    <cellStyle name="RISKblandrEdge" xfId="56965"/>
    <cellStyle name="RISKblCorner" xfId="56966"/>
    <cellStyle name="RISKbottomEdge" xfId="56967"/>
    <cellStyle name="RISKbrCorner" xfId="56968"/>
    <cellStyle name="RISKdarkBoxed" xfId="56969"/>
    <cellStyle name="RISKdarkShade" xfId="56970"/>
    <cellStyle name="RISKdbottomEdge" xfId="56971"/>
    <cellStyle name="RISKdrightEdge" xfId="56972"/>
    <cellStyle name="RISKdurationTime" xfId="56973"/>
    <cellStyle name="RISKinNumber" xfId="56974"/>
    <cellStyle name="RISKinNumber 2" xfId="56975"/>
    <cellStyle name="RISKlandrEdge" xfId="56976"/>
    <cellStyle name="RISKleftEdge" xfId="56977"/>
    <cellStyle name="RISKlightBoxed" xfId="56978"/>
    <cellStyle name="RISKltandbEdge" xfId="56979"/>
    <cellStyle name="RISKnormBoxed" xfId="56980"/>
    <cellStyle name="RISKnormCenter" xfId="56981"/>
    <cellStyle name="RISKnormHeading" xfId="56982"/>
    <cellStyle name="RISKnormItal" xfId="56983"/>
    <cellStyle name="RISKnormLabel" xfId="56984"/>
    <cellStyle name="RISKnormShade" xfId="56985"/>
    <cellStyle name="RISKnormTitle" xfId="56986"/>
    <cellStyle name="RISKoutNumber" xfId="56987"/>
    <cellStyle name="RISKoutNumber 2" xfId="56988"/>
    <cellStyle name="RISKrightEdge" xfId="56989"/>
    <cellStyle name="RISKrtandbEdge" xfId="56990"/>
    <cellStyle name="RISKssTime" xfId="56991"/>
    <cellStyle name="RISKtandbEdge" xfId="56992"/>
    <cellStyle name="RISKtlandrEdge" xfId="56993"/>
    <cellStyle name="RISKtlCorner" xfId="56994"/>
    <cellStyle name="RISKtopEdge" xfId="56995"/>
    <cellStyle name="RISKtrCorner" xfId="56996"/>
    <cellStyle name="Row" xfId="56997"/>
    <cellStyle name="Row 2" xfId="56998"/>
    <cellStyle name="SAPBEXaggData" xfId="56999"/>
    <cellStyle name="SAPBEXaggData 10" xfId="57000"/>
    <cellStyle name="SAPBEXaggData 10 2" xfId="57001"/>
    <cellStyle name="SAPBEXaggData 10 2 2" xfId="57002"/>
    <cellStyle name="SAPBEXaggData 10 3" xfId="57003"/>
    <cellStyle name="SAPBEXaggData 11" xfId="57004"/>
    <cellStyle name="SAPBEXaggData 11 2" xfId="57005"/>
    <cellStyle name="SAPBEXaggData 11 2 2" xfId="57006"/>
    <cellStyle name="SAPBEXaggData 11 3" xfId="57007"/>
    <cellStyle name="SAPBEXaggData 12" xfId="57008"/>
    <cellStyle name="SAPBEXaggData 12 2" xfId="57009"/>
    <cellStyle name="SAPBEXaggData 12 2 2" xfId="57010"/>
    <cellStyle name="SAPBEXaggData 12 3" xfId="57011"/>
    <cellStyle name="SAPBEXaggData 13" xfId="57012"/>
    <cellStyle name="SAPBEXaggData 13 2" xfId="57013"/>
    <cellStyle name="SAPBEXaggData 14" xfId="57014"/>
    <cellStyle name="SAPBEXaggData 2" xfId="57015"/>
    <cellStyle name="SAPBEXaggData 2 10" xfId="57016"/>
    <cellStyle name="SAPBEXaggData 2 2" xfId="57017"/>
    <cellStyle name="SAPBEXaggData 2 2 2" xfId="57018"/>
    <cellStyle name="SAPBEXaggData 2 2 2 2" xfId="57019"/>
    <cellStyle name="SAPBEXaggData 2 2 3" xfId="57020"/>
    <cellStyle name="SAPBEXaggData 2 3" xfId="57021"/>
    <cellStyle name="SAPBEXaggData 2 3 2" xfId="57022"/>
    <cellStyle name="SAPBEXaggData 2 3 2 2" xfId="57023"/>
    <cellStyle name="SAPBEXaggData 2 3 3" xfId="57024"/>
    <cellStyle name="SAPBEXaggData 2 4" xfId="57025"/>
    <cellStyle name="SAPBEXaggData 2 4 2" xfId="57026"/>
    <cellStyle name="SAPBEXaggData 2 4 2 2" xfId="57027"/>
    <cellStyle name="SAPBEXaggData 2 4 3" xfId="57028"/>
    <cellStyle name="SAPBEXaggData 2 5" xfId="57029"/>
    <cellStyle name="SAPBEXaggData 2 5 2" xfId="57030"/>
    <cellStyle name="SAPBEXaggData 2 5 2 2" xfId="57031"/>
    <cellStyle name="SAPBEXaggData 2 5 3" xfId="57032"/>
    <cellStyle name="SAPBEXaggData 2 6" xfId="57033"/>
    <cellStyle name="SAPBEXaggData 2 6 2" xfId="57034"/>
    <cellStyle name="SAPBEXaggData 2 6 2 2" xfId="57035"/>
    <cellStyle name="SAPBEXaggData 2 6 3" xfId="57036"/>
    <cellStyle name="SAPBEXaggData 2 7" xfId="57037"/>
    <cellStyle name="SAPBEXaggData 2 7 2" xfId="57038"/>
    <cellStyle name="SAPBEXaggData 2 7 2 2" xfId="57039"/>
    <cellStyle name="SAPBEXaggData 2 7 3" xfId="57040"/>
    <cellStyle name="SAPBEXaggData 2 8" xfId="57041"/>
    <cellStyle name="SAPBEXaggData 2 8 2" xfId="57042"/>
    <cellStyle name="SAPBEXaggData 2 8 2 2" xfId="57043"/>
    <cellStyle name="SAPBEXaggData 2 8 3" xfId="57044"/>
    <cellStyle name="SAPBEXaggData 2 9" xfId="57045"/>
    <cellStyle name="SAPBEXaggData 2 9 2" xfId="57046"/>
    <cellStyle name="SAPBEXaggData 3" xfId="57047"/>
    <cellStyle name="SAPBEXaggData 3 2" xfId="57048"/>
    <cellStyle name="SAPBEXaggData 3 2 2" xfId="57049"/>
    <cellStyle name="SAPBEXaggData 3 3" xfId="57050"/>
    <cellStyle name="SAPBEXaggData 4" xfId="57051"/>
    <cellStyle name="SAPBEXaggData 4 2" xfId="57052"/>
    <cellStyle name="SAPBEXaggData 4 2 2" xfId="57053"/>
    <cellStyle name="SAPBEXaggData 4 3" xfId="57054"/>
    <cellStyle name="SAPBEXaggData 5" xfId="57055"/>
    <cellStyle name="SAPBEXaggData 5 2" xfId="57056"/>
    <cellStyle name="SAPBEXaggData 5 2 2" xfId="57057"/>
    <cellStyle name="SAPBEXaggData 5 3" xfId="57058"/>
    <cellStyle name="SAPBEXaggData 6" xfId="57059"/>
    <cellStyle name="SAPBEXaggData 6 2" xfId="57060"/>
    <cellStyle name="SAPBEXaggData 6 2 2" xfId="57061"/>
    <cellStyle name="SAPBEXaggData 6 3" xfId="57062"/>
    <cellStyle name="SAPBEXaggData 7" xfId="57063"/>
    <cellStyle name="SAPBEXaggData 7 2" xfId="57064"/>
    <cellStyle name="SAPBEXaggData 7 2 2" xfId="57065"/>
    <cellStyle name="SAPBEXaggData 7 3" xfId="57066"/>
    <cellStyle name="SAPBEXaggData 8" xfId="57067"/>
    <cellStyle name="SAPBEXaggData 8 2" xfId="57068"/>
    <cellStyle name="SAPBEXaggData 8 2 2" xfId="57069"/>
    <cellStyle name="SAPBEXaggData 8 3" xfId="57070"/>
    <cellStyle name="SAPBEXaggData 9" xfId="57071"/>
    <cellStyle name="SAPBEXaggData 9 2" xfId="57072"/>
    <cellStyle name="SAPBEXaggData 9 2 2" xfId="57073"/>
    <cellStyle name="SAPBEXaggData 9 3" xfId="57074"/>
    <cellStyle name="SAPBEXaggDataEmph" xfId="57075"/>
    <cellStyle name="SAPBEXaggDataEmph 10" xfId="57076"/>
    <cellStyle name="SAPBEXaggDataEmph 10 2" xfId="57077"/>
    <cellStyle name="SAPBEXaggDataEmph 10 2 2" xfId="57078"/>
    <cellStyle name="SAPBEXaggDataEmph 10 3" xfId="57079"/>
    <cellStyle name="SAPBEXaggDataEmph 11" xfId="57080"/>
    <cellStyle name="SAPBEXaggDataEmph 11 2" xfId="57081"/>
    <cellStyle name="SAPBEXaggDataEmph 11 2 2" xfId="57082"/>
    <cellStyle name="SAPBEXaggDataEmph 11 3" xfId="57083"/>
    <cellStyle name="SAPBEXaggDataEmph 12" xfId="57084"/>
    <cellStyle name="SAPBEXaggDataEmph 12 2" xfId="57085"/>
    <cellStyle name="SAPBEXaggDataEmph 13" xfId="57086"/>
    <cellStyle name="SAPBEXaggDataEmph 2" xfId="57087"/>
    <cellStyle name="SAPBEXaggDataEmph 2 2" xfId="57088"/>
    <cellStyle name="SAPBEXaggDataEmph 2 2 2" xfId="57089"/>
    <cellStyle name="SAPBEXaggDataEmph 2 3" xfId="57090"/>
    <cellStyle name="SAPBEXaggDataEmph 3" xfId="57091"/>
    <cellStyle name="SAPBEXaggDataEmph 3 2" xfId="57092"/>
    <cellStyle name="SAPBEXaggDataEmph 3 2 2" xfId="57093"/>
    <cellStyle name="SAPBEXaggDataEmph 3 3" xfId="57094"/>
    <cellStyle name="SAPBEXaggDataEmph 4" xfId="57095"/>
    <cellStyle name="SAPBEXaggDataEmph 4 2" xfId="57096"/>
    <cellStyle name="SAPBEXaggDataEmph 4 2 2" xfId="57097"/>
    <cellStyle name="SAPBEXaggDataEmph 4 3" xfId="57098"/>
    <cellStyle name="SAPBEXaggDataEmph 5" xfId="57099"/>
    <cellStyle name="SAPBEXaggDataEmph 5 2" xfId="57100"/>
    <cellStyle name="SAPBEXaggDataEmph 5 2 2" xfId="57101"/>
    <cellStyle name="SAPBEXaggDataEmph 5 3" xfId="57102"/>
    <cellStyle name="SAPBEXaggDataEmph 6" xfId="57103"/>
    <cellStyle name="SAPBEXaggDataEmph 6 2" xfId="57104"/>
    <cellStyle name="SAPBEXaggDataEmph 6 2 2" xfId="57105"/>
    <cellStyle name="SAPBEXaggDataEmph 6 3" xfId="57106"/>
    <cellStyle name="SAPBEXaggDataEmph 7" xfId="57107"/>
    <cellStyle name="SAPBEXaggDataEmph 7 2" xfId="57108"/>
    <cellStyle name="SAPBEXaggDataEmph 7 2 2" xfId="57109"/>
    <cellStyle name="SAPBEXaggDataEmph 7 3" xfId="57110"/>
    <cellStyle name="SAPBEXaggDataEmph 8" xfId="57111"/>
    <cellStyle name="SAPBEXaggDataEmph 8 2" xfId="57112"/>
    <cellStyle name="SAPBEXaggDataEmph 8 2 2" xfId="57113"/>
    <cellStyle name="SAPBEXaggDataEmph 8 3" xfId="57114"/>
    <cellStyle name="SAPBEXaggDataEmph 9" xfId="57115"/>
    <cellStyle name="SAPBEXaggDataEmph 9 2" xfId="57116"/>
    <cellStyle name="SAPBEXaggDataEmph 9 2 2" xfId="57117"/>
    <cellStyle name="SAPBEXaggDataEmph 9 3" xfId="57118"/>
    <cellStyle name="SAPBEXaggItem" xfId="57119"/>
    <cellStyle name="SAPBEXaggItem 10" xfId="57120"/>
    <cellStyle name="SAPBEXaggItem 10 2" xfId="57121"/>
    <cellStyle name="SAPBEXaggItem 10 2 2" xfId="57122"/>
    <cellStyle name="SAPBEXaggItem 10 3" xfId="57123"/>
    <cellStyle name="SAPBEXaggItem 11" xfId="57124"/>
    <cellStyle name="SAPBEXaggItem 11 2" xfId="57125"/>
    <cellStyle name="SAPBEXaggItem 11 2 2" xfId="57126"/>
    <cellStyle name="SAPBEXaggItem 11 3" xfId="57127"/>
    <cellStyle name="SAPBEXaggItem 12" xfId="57128"/>
    <cellStyle name="SAPBEXaggItem 12 2" xfId="57129"/>
    <cellStyle name="SAPBEXaggItem 13" xfId="57130"/>
    <cellStyle name="SAPBEXaggItem 2" xfId="57131"/>
    <cellStyle name="SAPBEXaggItem 2 2" xfId="57132"/>
    <cellStyle name="SAPBEXaggItem 2 2 2" xfId="57133"/>
    <cellStyle name="SAPBEXaggItem 2 3" xfId="57134"/>
    <cellStyle name="SAPBEXaggItem 3" xfId="57135"/>
    <cellStyle name="SAPBEXaggItem 3 2" xfId="57136"/>
    <cellStyle name="SAPBEXaggItem 3 2 2" xfId="57137"/>
    <cellStyle name="SAPBEXaggItem 3 3" xfId="57138"/>
    <cellStyle name="SAPBEXaggItem 4" xfId="57139"/>
    <cellStyle name="SAPBEXaggItem 4 2" xfId="57140"/>
    <cellStyle name="SAPBEXaggItem 4 2 2" xfId="57141"/>
    <cellStyle name="SAPBEXaggItem 4 3" xfId="57142"/>
    <cellStyle name="SAPBEXaggItem 5" xfId="57143"/>
    <cellStyle name="SAPBEXaggItem 5 2" xfId="57144"/>
    <cellStyle name="SAPBEXaggItem 5 2 2" xfId="57145"/>
    <cellStyle name="SAPBEXaggItem 5 3" xfId="57146"/>
    <cellStyle name="SAPBEXaggItem 6" xfId="57147"/>
    <cellStyle name="SAPBEXaggItem 6 2" xfId="57148"/>
    <cellStyle name="SAPBEXaggItem 6 2 2" xfId="57149"/>
    <cellStyle name="SAPBEXaggItem 6 3" xfId="57150"/>
    <cellStyle name="SAPBEXaggItem 7" xfId="57151"/>
    <cellStyle name="SAPBEXaggItem 7 2" xfId="57152"/>
    <cellStyle name="SAPBEXaggItem 7 2 2" xfId="57153"/>
    <cellStyle name="SAPBEXaggItem 7 3" xfId="57154"/>
    <cellStyle name="SAPBEXaggItem 8" xfId="57155"/>
    <cellStyle name="SAPBEXaggItem 8 2" xfId="57156"/>
    <cellStyle name="SAPBEXaggItem 8 2 2" xfId="57157"/>
    <cellStyle name="SAPBEXaggItem 8 3" xfId="57158"/>
    <cellStyle name="SAPBEXaggItem 9" xfId="57159"/>
    <cellStyle name="SAPBEXaggItem 9 2" xfId="57160"/>
    <cellStyle name="SAPBEXaggItem 9 2 2" xfId="57161"/>
    <cellStyle name="SAPBEXaggItem 9 3" xfId="57162"/>
    <cellStyle name="SAPBEXaggItemX" xfId="57163"/>
    <cellStyle name="SAPBEXchaText" xfId="57164"/>
    <cellStyle name="SAPBEXchaText 2" xfId="57165"/>
    <cellStyle name="SAPBEXexcBad7" xfId="57166"/>
    <cellStyle name="SAPBEXexcBad7 10" xfId="57167"/>
    <cellStyle name="SAPBEXexcBad7 10 2" xfId="57168"/>
    <cellStyle name="SAPBEXexcBad7 10 2 2" xfId="57169"/>
    <cellStyle name="SAPBEXexcBad7 10 3" xfId="57170"/>
    <cellStyle name="SAPBEXexcBad7 11" xfId="57171"/>
    <cellStyle name="SAPBEXexcBad7 11 2" xfId="57172"/>
    <cellStyle name="SAPBEXexcBad7 11 2 2" xfId="57173"/>
    <cellStyle name="SAPBEXexcBad7 11 3" xfId="57174"/>
    <cellStyle name="SAPBEXexcBad7 12" xfId="57175"/>
    <cellStyle name="SAPBEXexcBad7 12 2" xfId="57176"/>
    <cellStyle name="SAPBEXexcBad7 12 2 2" xfId="57177"/>
    <cellStyle name="SAPBEXexcBad7 12 3" xfId="57178"/>
    <cellStyle name="SAPBEXexcBad7 13" xfId="57179"/>
    <cellStyle name="SAPBEXexcBad7 13 2" xfId="57180"/>
    <cellStyle name="SAPBEXexcBad7 14" xfId="57181"/>
    <cellStyle name="SAPBEXexcBad7 2" xfId="57182"/>
    <cellStyle name="SAPBEXexcBad7 2 10" xfId="57183"/>
    <cellStyle name="SAPBEXexcBad7 2 2" xfId="57184"/>
    <cellStyle name="SAPBEXexcBad7 2 2 2" xfId="57185"/>
    <cellStyle name="SAPBEXexcBad7 2 2 2 2" xfId="57186"/>
    <cellStyle name="SAPBEXexcBad7 2 2 3" xfId="57187"/>
    <cellStyle name="SAPBEXexcBad7 2 3" xfId="57188"/>
    <cellStyle name="SAPBEXexcBad7 2 3 2" xfId="57189"/>
    <cellStyle name="SAPBEXexcBad7 2 3 2 2" xfId="57190"/>
    <cellStyle name="SAPBEXexcBad7 2 3 3" xfId="57191"/>
    <cellStyle name="SAPBEXexcBad7 2 4" xfId="57192"/>
    <cellStyle name="SAPBEXexcBad7 2 4 2" xfId="57193"/>
    <cellStyle name="SAPBEXexcBad7 2 4 2 2" xfId="57194"/>
    <cellStyle name="SAPBEXexcBad7 2 4 3" xfId="57195"/>
    <cellStyle name="SAPBEXexcBad7 2 5" xfId="57196"/>
    <cellStyle name="SAPBEXexcBad7 2 5 2" xfId="57197"/>
    <cellStyle name="SAPBEXexcBad7 2 5 2 2" xfId="57198"/>
    <cellStyle name="SAPBEXexcBad7 2 5 3" xfId="57199"/>
    <cellStyle name="SAPBEXexcBad7 2 6" xfId="57200"/>
    <cellStyle name="SAPBEXexcBad7 2 6 2" xfId="57201"/>
    <cellStyle name="SAPBEXexcBad7 2 6 2 2" xfId="57202"/>
    <cellStyle name="SAPBEXexcBad7 2 6 3" xfId="57203"/>
    <cellStyle name="SAPBEXexcBad7 2 7" xfId="57204"/>
    <cellStyle name="SAPBEXexcBad7 2 7 2" xfId="57205"/>
    <cellStyle name="SAPBEXexcBad7 2 7 2 2" xfId="57206"/>
    <cellStyle name="SAPBEXexcBad7 2 7 3" xfId="57207"/>
    <cellStyle name="SAPBEXexcBad7 2 8" xfId="57208"/>
    <cellStyle name="SAPBEXexcBad7 2 8 2" xfId="57209"/>
    <cellStyle name="SAPBEXexcBad7 2 8 2 2" xfId="57210"/>
    <cellStyle name="SAPBEXexcBad7 2 8 3" xfId="57211"/>
    <cellStyle name="SAPBEXexcBad7 2 9" xfId="57212"/>
    <cellStyle name="SAPBEXexcBad7 2 9 2" xfId="57213"/>
    <cellStyle name="SAPBEXexcBad7 3" xfId="57214"/>
    <cellStyle name="SAPBEXexcBad7 3 2" xfId="57215"/>
    <cellStyle name="SAPBEXexcBad7 3 2 2" xfId="57216"/>
    <cellStyle name="SAPBEXexcBad7 3 3" xfId="57217"/>
    <cellStyle name="SAPBEXexcBad7 4" xfId="57218"/>
    <cellStyle name="SAPBEXexcBad7 4 2" xfId="57219"/>
    <cellStyle name="SAPBEXexcBad7 4 2 2" xfId="57220"/>
    <cellStyle name="SAPBEXexcBad7 4 3" xfId="57221"/>
    <cellStyle name="SAPBEXexcBad7 5" xfId="57222"/>
    <cellStyle name="SAPBEXexcBad7 5 2" xfId="57223"/>
    <cellStyle name="SAPBEXexcBad7 5 2 2" xfId="57224"/>
    <cellStyle name="SAPBEXexcBad7 5 3" xfId="57225"/>
    <cellStyle name="SAPBEXexcBad7 6" xfId="57226"/>
    <cellStyle name="SAPBEXexcBad7 6 2" xfId="57227"/>
    <cellStyle name="SAPBEXexcBad7 6 2 2" xfId="57228"/>
    <cellStyle name="SAPBEXexcBad7 6 3" xfId="57229"/>
    <cellStyle name="SAPBEXexcBad7 7" xfId="57230"/>
    <cellStyle name="SAPBEXexcBad7 7 2" xfId="57231"/>
    <cellStyle name="SAPBEXexcBad7 7 2 2" xfId="57232"/>
    <cellStyle name="SAPBEXexcBad7 7 3" xfId="57233"/>
    <cellStyle name="SAPBEXexcBad7 8" xfId="57234"/>
    <cellStyle name="SAPBEXexcBad7 8 2" xfId="57235"/>
    <cellStyle name="SAPBEXexcBad7 8 2 2" xfId="57236"/>
    <cellStyle name="SAPBEXexcBad7 8 3" xfId="57237"/>
    <cellStyle name="SAPBEXexcBad7 9" xfId="57238"/>
    <cellStyle name="SAPBEXexcBad7 9 2" xfId="57239"/>
    <cellStyle name="SAPBEXexcBad7 9 2 2" xfId="57240"/>
    <cellStyle name="SAPBEXexcBad7 9 3" xfId="57241"/>
    <cellStyle name="SAPBEXexcBad8" xfId="57242"/>
    <cellStyle name="SAPBEXexcBad8 10" xfId="57243"/>
    <cellStyle name="SAPBEXexcBad8 10 2" xfId="57244"/>
    <cellStyle name="SAPBEXexcBad8 10 2 2" xfId="57245"/>
    <cellStyle name="SAPBEXexcBad8 10 3" xfId="57246"/>
    <cellStyle name="SAPBEXexcBad8 11" xfId="57247"/>
    <cellStyle name="SAPBEXexcBad8 11 2" xfId="57248"/>
    <cellStyle name="SAPBEXexcBad8 11 2 2" xfId="57249"/>
    <cellStyle name="SAPBEXexcBad8 11 3" xfId="57250"/>
    <cellStyle name="SAPBEXexcBad8 12" xfId="57251"/>
    <cellStyle name="SAPBEXexcBad8 12 2" xfId="57252"/>
    <cellStyle name="SAPBEXexcBad8 12 2 2" xfId="57253"/>
    <cellStyle name="SAPBEXexcBad8 12 3" xfId="57254"/>
    <cellStyle name="SAPBEXexcBad8 13" xfId="57255"/>
    <cellStyle name="SAPBEXexcBad8 13 2" xfId="57256"/>
    <cellStyle name="SAPBEXexcBad8 14" xfId="57257"/>
    <cellStyle name="SAPBEXexcBad8 2" xfId="57258"/>
    <cellStyle name="SAPBEXexcBad8 2 10" xfId="57259"/>
    <cellStyle name="SAPBEXexcBad8 2 2" xfId="57260"/>
    <cellStyle name="SAPBEXexcBad8 2 2 2" xfId="57261"/>
    <cellStyle name="SAPBEXexcBad8 2 2 2 2" xfId="57262"/>
    <cellStyle name="SAPBEXexcBad8 2 2 3" xfId="57263"/>
    <cellStyle name="SAPBEXexcBad8 2 3" xfId="57264"/>
    <cellStyle name="SAPBEXexcBad8 2 3 2" xfId="57265"/>
    <cellStyle name="SAPBEXexcBad8 2 3 2 2" xfId="57266"/>
    <cellStyle name="SAPBEXexcBad8 2 3 3" xfId="57267"/>
    <cellStyle name="SAPBEXexcBad8 2 4" xfId="57268"/>
    <cellStyle name="SAPBEXexcBad8 2 4 2" xfId="57269"/>
    <cellStyle name="SAPBEXexcBad8 2 4 2 2" xfId="57270"/>
    <cellStyle name="SAPBEXexcBad8 2 4 3" xfId="57271"/>
    <cellStyle name="SAPBEXexcBad8 2 5" xfId="57272"/>
    <cellStyle name="SAPBEXexcBad8 2 5 2" xfId="57273"/>
    <cellStyle name="SAPBEXexcBad8 2 5 2 2" xfId="57274"/>
    <cellStyle name="SAPBEXexcBad8 2 5 3" xfId="57275"/>
    <cellStyle name="SAPBEXexcBad8 2 6" xfId="57276"/>
    <cellStyle name="SAPBEXexcBad8 2 6 2" xfId="57277"/>
    <cellStyle name="SAPBEXexcBad8 2 6 2 2" xfId="57278"/>
    <cellStyle name="SAPBEXexcBad8 2 6 3" xfId="57279"/>
    <cellStyle name="SAPBEXexcBad8 2 7" xfId="57280"/>
    <cellStyle name="SAPBEXexcBad8 2 7 2" xfId="57281"/>
    <cellStyle name="SAPBEXexcBad8 2 7 2 2" xfId="57282"/>
    <cellStyle name="SAPBEXexcBad8 2 7 3" xfId="57283"/>
    <cellStyle name="SAPBEXexcBad8 2 8" xfId="57284"/>
    <cellStyle name="SAPBEXexcBad8 2 8 2" xfId="57285"/>
    <cellStyle name="SAPBEXexcBad8 2 8 2 2" xfId="57286"/>
    <cellStyle name="SAPBEXexcBad8 2 8 3" xfId="57287"/>
    <cellStyle name="SAPBEXexcBad8 2 9" xfId="57288"/>
    <cellStyle name="SAPBEXexcBad8 2 9 2" xfId="57289"/>
    <cellStyle name="SAPBEXexcBad8 3" xfId="57290"/>
    <cellStyle name="SAPBEXexcBad8 3 2" xfId="57291"/>
    <cellStyle name="SAPBEXexcBad8 3 2 2" xfId="57292"/>
    <cellStyle name="SAPBEXexcBad8 3 3" xfId="57293"/>
    <cellStyle name="SAPBEXexcBad8 4" xfId="57294"/>
    <cellStyle name="SAPBEXexcBad8 4 2" xfId="57295"/>
    <cellStyle name="SAPBEXexcBad8 4 2 2" xfId="57296"/>
    <cellStyle name="SAPBEXexcBad8 4 3" xfId="57297"/>
    <cellStyle name="SAPBEXexcBad8 5" xfId="57298"/>
    <cellStyle name="SAPBEXexcBad8 5 2" xfId="57299"/>
    <cellStyle name="SAPBEXexcBad8 5 2 2" xfId="57300"/>
    <cellStyle name="SAPBEXexcBad8 5 3" xfId="57301"/>
    <cellStyle name="SAPBEXexcBad8 6" xfId="57302"/>
    <cellStyle name="SAPBEXexcBad8 6 2" xfId="57303"/>
    <cellStyle name="SAPBEXexcBad8 6 2 2" xfId="57304"/>
    <cellStyle name="SAPBEXexcBad8 6 3" xfId="57305"/>
    <cellStyle name="SAPBEXexcBad8 7" xfId="57306"/>
    <cellStyle name="SAPBEXexcBad8 7 2" xfId="57307"/>
    <cellStyle name="SAPBEXexcBad8 7 2 2" xfId="57308"/>
    <cellStyle name="SAPBEXexcBad8 7 3" xfId="57309"/>
    <cellStyle name="SAPBEXexcBad8 8" xfId="57310"/>
    <cellStyle name="SAPBEXexcBad8 8 2" xfId="57311"/>
    <cellStyle name="SAPBEXexcBad8 8 2 2" xfId="57312"/>
    <cellStyle name="SAPBEXexcBad8 8 3" xfId="57313"/>
    <cellStyle name="SAPBEXexcBad8 9" xfId="57314"/>
    <cellStyle name="SAPBEXexcBad8 9 2" xfId="57315"/>
    <cellStyle name="SAPBEXexcBad8 9 2 2" xfId="57316"/>
    <cellStyle name="SAPBEXexcBad8 9 3" xfId="57317"/>
    <cellStyle name="SAPBEXexcBad9" xfId="57318"/>
    <cellStyle name="SAPBEXexcBad9 10" xfId="57319"/>
    <cellStyle name="SAPBEXexcBad9 10 2" xfId="57320"/>
    <cellStyle name="SAPBEXexcBad9 10 2 2" xfId="57321"/>
    <cellStyle name="SAPBEXexcBad9 10 3" xfId="57322"/>
    <cellStyle name="SAPBEXexcBad9 11" xfId="57323"/>
    <cellStyle name="SAPBEXexcBad9 11 2" xfId="57324"/>
    <cellStyle name="SAPBEXexcBad9 11 2 2" xfId="57325"/>
    <cellStyle name="SAPBEXexcBad9 11 3" xfId="57326"/>
    <cellStyle name="SAPBEXexcBad9 12" xfId="57327"/>
    <cellStyle name="SAPBEXexcBad9 12 2" xfId="57328"/>
    <cellStyle name="SAPBEXexcBad9 13" xfId="57329"/>
    <cellStyle name="SAPBEXexcBad9 2" xfId="57330"/>
    <cellStyle name="SAPBEXexcBad9 2 2" xfId="57331"/>
    <cellStyle name="SAPBEXexcBad9 2 2 2" xfId="57332"/>
    <cellStyle name="SAPBEXexcBad9 2 3" xfId="57333"/>
    <cellStyle name="SAPBEXexcBad9 3" xfId="57334"/>
    <cellStyle name="SAPBEXexcBad9 3 2" xfId="57335"/>
    <cellStyle name="SAPBEXexcBad9 3 2 2" xfId="57336"/>
    <cellStyle name="SAPBEXexcBad9 3 3" xfId="57337"/>
    <cellStyle name="SAPBEXexcBad9 4" xfId="57338"/>
    <cellStyle name="SAPBEXexcBad9 4 2" xfId="57339"/>
    <cellStyle name="SAPBEXexcBad9 4 2 2" xfId="57340"/>
    <cellStyle name="SAPBEXexcBad9 4 3" xfId="57341"/>
    <cellStyle name="SAPBEXexcBad9 5" xfId="57342"/>
    <cellStyle name="SAPBEXexcBad9 5 2" xfId="57343"/>
    <cellStyle name="SAPBEXexcBad9 5 2 2" xfId="57344"/>
    <cellStyle name="SAPBEXexcBad9 5 3" xfId="57345"/>
    <cellStyle name="SAPBEXexcBad9 6" xfId="57346"/>
    <cellStyle name="SAPBEXexcBad9 6 2" xfId="57347"/>
    <cellStyle name="SAPBEXexcBad9 6 2 2" xfId="57348"/>
    <cellStyle name="SAPBEXexcBad9 6 3" xfId="57349"/>
    <cellStyle name="SAPBEXexcBad9 7" xfId="57350"/>
    <cellStyle name="SAPBEXexcBad9 7 2" xfId="57351"/>
    <cellStyle name="SAPBEXexcBad9 7 2 2" xfId="57352"/>
    <cellStyle name="SAPBEXexcBad9 7 3" xfId="57353"/>
    <cellStyle name="SAPBEXexcBad9 8" xfId="57354"/>
    <cellStyle name="SAPBEXexcBad9 8 2" xfId="57355"/>
    <cellStyle name="SAPBEXexcBad9 8 2 2" xfId="57356"/>
    <cellStyle name="SAPBEXexcBad9 8 3" xfId="57357"/>
    <cellStyle name="SAPBEXexcBad9 9" xfId="57358"/>
    <cellStyle name="SAPBEXexcBad9 9 2" xfId="57359"/>
    <cellStyle name="SAPBEXexcBad9 9 2 2" xfId="57360"/>
    <cellStyle name="SAPBEXexcBad9 9 3" xfId="57361"/>
    <cellStyle name="SAPBEXexcCritical4" xfId="57362"/>
    <cellStyle name="SAPBEXexcCritical4 10" xfId="57363"/>
    <cellStyle name="SAPBEXexcCritical4 10 2" xfId="57364"/>
    <cellStyle name="SAPBEXexcCritical4 10 2 2" xfId="57365"/>
    <cellStyle name="SAPBEXexcCritical4 10 3" xfId="57366"/>
    <cellStyle name="SAPBEXexcCritical4 11" xfId="57367"/>
    <cellStyle name="SAPBEXexcCritical4 11 2" xfId="57368"/>
    <cellStyle name="SAPBEXexcCritical4 11 2 2" xfId="57369"/>
    <cellStyle name="SAPBEXexcCritical4 11 3" xfId="57370"/>
    <cellStyle name="SAPBEXexcCritical4 12" xfId="57371"/>
    <cellStyle name="SAPBEXexcCritical4 12 2" xfId="57372"/>
    <cellStyle name="SAPBEXexcCritical4 12 2 2" xfId="57373"/>
    <cellStyle name="SAPBEXexcCritical4 12 3" xfId="57374"/>
    <cellStyle name="SAPBEXexcCritical4 13" xfId="57375"/>
    <cellStyle name="SAPBEXexcCritical4 13 2" xfId="57376"/>
    <cellStyle name="SAPBEXexcCritical4 14" xfId="57377"/>
    <cellStyle name="SAPBEXexcCritical4 2" xfId="57378"/>
    <cellStyle name="SAPBEXexcCritical4 2 10" xfId="57379"/>
    <cellStyle name="SAPBEXexcCritical4 2 2" xfId="57380"/>
    <cellStyle name="SAPBEXexcCritical4 2 2 2" xfId="57381"/>
    <cellStyle name="SAPBEXexcCritical4 2 2 2 2" xfId="57382"/>
    <cellStyle name="SAPBEXexcCritical4 2 2 3" xfId="57383"/>
    <cellStyle name="SAPBEXexcCritical4 2 3" xfId="57384"/>
    <cellStyle name="SAPBEXexcCritical4 2 3 2" xfId="57385"/>
    <cellStyle name="SAPBEXexcCritical4 2 3 2 2" xfId="57386"/>
    <cellStyle name="SAPBEXexcCritical4 2 3 3" xfId="57387"/>
    <cellStyle name="SAPBEXexcCritical4 2 4" xfId="57388"/>
    <cellStyle name="SAPBEXexcCritical4 2 4 2" xfId="57389"/>
    <cellStyle name="SAPBEXexcCritical4 2 4 2 2" xfId="57390"/>
    <cellStyle name="SAPBEXexcCritical4 2 4 3" xfId="57391"/>
    <cellStyle name="SAPBEXexcCritical4 2 5" xfId="57392"/>
    <cellStyle name="SAPBEXexcCritical4 2 5 2" xfId="57393"/>
    <cellStyle name="SAPBEXexcCritical4 2 5 2 2" xfId="57394"/>
    <cellStyle name="SAPBEXexcCritical4 2 5 3" xfId="57395"/>
    <cellStyle name="SAPBEXexcCritical4 2 6" xfId="57396"/>
    <cellStyle name="SAPBEXexcCritical4 2 6 2" xfId="57397"/>
    <cellStyle name="SAPBEXexcCritical4 2 6 2 2" xfId="57398"/>
    <cellStyle name="SAPBEXexcCritical4 2 6 3" xfId="57399"/>
    <cellStyle name="SAPBEXexcCritical4 2 7" xfId="57400"/>
    <cellStyle name="SAPBEXexcCritical4 2 7 2" xfId="57401"/>
    <cellStyle name="SAPBEXexcCritical4 2 7 2 2" xfId="57402"/>
    <cellStyle name="SAPBEXexcCritical4 2 7 3" xfId="57403"/>
    <cellStyle name="SAPBEXexcCritical4 2 8" xfId="57404"/>
    <cellStyle name="SAPBEXexcCritical4 2 8 2" xfId="57405"/>
    <cellStyle name="SAPBEXexcCritical4 2 8 2 2" xfId="57406"/>
    <cellStyle name="SAPBEXexcCritical4 2 8 3" xfId="57407"/>
    <cellStyle name="SAPBEXexcCritical4 2 9" xfId="57408"/>
    <cellStyle name="SAPBEXexcCritical4 2 9 2" xfId="57409"/>
    <cellStyle name="SAPBEXexcCritical4 3" xfId="57410"/>
    <cellStyle name="SAPBEXexcCritical4 3 2" xfId="57411"/>
    <cellStyle name="SAPBEXexcCritical4 3 2 2" xfId="57412"/>
    <cellStyle name="SAPBEXexcCritical4 3 3" xfId="57413"/>
    <cellStyle name="SAPBEXexcCritical4 4" xfId="57414"/>
    <cellStyle name="SAPBEXexcCritical4 4 2" xfId="57415"/>
    <cellStyle name="SAPBEXexcCritical4 4 2 2" xfId="57416"/>
    <cellStyle name="SAPBEXexcCritical4 4 3" xfId="57417"/>
    <cellStyle name="SAPBEXexcCritical4 5" xfId="57418"/>
    <cellStyle name="SAPBEXexcCritical4 5 2" xfId="57419"/>
    <cellStyle name="SAPBEXexcCritical4 5 2 2" xfId="57420"/>
    <cellStyle name="SAPBEXexcCritical4 5 3" xfId="57421"/>
    <cellStyle name="SAPBEXexcCritical4 6" xfId="57422"/>
    <cellStyle name="SAPBEXexcCritical4 6 2" xfId="57423"/>
    <cellStyle name="SAPBEXexcCritical4 6 2 2" xfId="57424"/>
    <cellStyle name="SAPBEXexcCritical4 6 3" xfId="57425"/>
    <cellStyle name="SAPBEXexcCritical4 7" xfId="57426"/>
    <cellStyle name="SAPBEXexcCritical4 7 2" xfId="57427"/>
    <cellStyle name="SAPBEXexcCritical4 7 2 2" xfId="57428"/>
    <cellStyle name="SAPBEXexcCritical4 7 3" xfId="57429"/>
    <cellStyle name="SAPBEXexcCritical4 8" xfId="57430"/>
    <cellStyle name="SAPBEXexcCritical4 8 2" xfId="57431"/>
    <cellStyle name="SAPBEXexcCritical4 8 2 2" xfId="57432"/>
    <cellStyle name="SAPBEXexcCritical4 8 3" xfId="57433"/>
    <cellStyle name="SAPBEXexcCritical4 9" xfId="57434"/>
    <cellStyle name="SAPBEXexcCritical4 9 2" xfId="57435"/>
    <cellStyle name="SAPBEXexcCritical4 9 2 2" xfId="57436"/>
    <cellStyle name="SAPBEXexcCritical4 9 3" xfId="57437"/>
    <cellStyle name="SAPBEXexcCritical5" xfId="57438"/>
    <cellStyle name="SAPBEXexcCritical5 10" xfId="57439"/>
    <cellStyle name="SAPBEXexcCritical5 10 2" xfId="57440"/>
    <cellStyle name="SAPBEXexcCritical5 10 2 2" xfId="57441"/>
    <cellStyle name="SAPBEXexcCritical5 10 3" xfId="57442"/>
    <cellStyle name="SAPBEXexcCritical5 11" xfId="57443"/>
    <cellStyle name="SAPBEXexcCritical5 11 2" xfId="57444"/>
    <cellStyle name="SAPBEXexcCritical5 11 2 2" xfId="57445"/>
    <cellStyle name="SAPBEXexcCritical5 11 3" xfId="57446"/>
    <cellStyle name="SAPBEXexcCritical5 12" xfId="57447"/>
    <cellStyle name="SAPBEXexcCritical5 12 2" xfId="57448"/>
    <cellStyle name="SAPBEXexcCritical5 12 2 2" xfId="57449"/>
    <cellStyle name="SAPBEXexcCritical5 12 3" xfId="57450"/>
    <cellStyle name="SAPBEXexcCritical5 13" xfId="57451"/>
    <cellStyle name="SAPBEXexcCritical5 13 2" xfId="57452"/>
    <cellStyle name="SAPBEXexcCritical5 14" xfId="57453"/>
    <cellStyle name="SAPBEXexcCritical5 2" xfId="57454"/>
    <cellStyle name="SAPBEXexcCritical5 2 10" xfId="57455"/>
    <cellStyle name="SAPBEXexcCritical5 2 2" xfId="57456"/>
    <cellStyle name="SAPBEXexcCritical5 2 2 2" xfId="57457"/>
    <cellStyle name="SAPBEXexcCritical5 2 2 2 2" xfId="57458"/>
    <cellStyle name="SAPBEXexcCritical5 2 2 3" xfId="57459"/>
    <cellStyle name="SAPBEXexcCritical5 2 3" xfId="57460"/>
    <cellStyle name="SAPBEXexcCritical5 2 3 2" xfId="57461"/>
    <cellStyle name="SAPBEXexcCritical5 2 3 2 2" xfId="57462"/>
    <cellStyle name="SAPBEXexcCritical5 2 3 3" xfId="57463"/>
    <cellStyle name="SAPBEXexcCritical5 2 4" xfId="57464"/>
    <cellStyle name="SAPBEXexcCritical5 2 4 2" xfId="57465"/>
    <cellStyle name="SAPBEXexcCritical5 2 4 2 2" xfId="57466"/>
    <cellStyle name="SAPBEXexcCritical5 2 4 3" xfId="57467"/>
    <cellStyle name="SAPBEXexcCritical5 2 5" xfId="57468"/>
    <cellStyle name="SAPBEXexcCritical5 2 5 2" xfId="57469"/>
    <cellStyle name="SAPBEXexcCritical5 2 5 2 2" xfId="57470"/>
    <cellStyle name="SAPBEXexcCritical5 2 5 3" xfId="57471"/>
    <cellStyle name="SAPBEXexcCritical5 2 6" xfId="57472"/>
    <cellStyle name="SAPBEXexcCritical5 2 6 2" xfId="57473"/>
    <cellStyle name="SAPBEXexcCritical5 2 6 2 2" xfId="57474"/>
    <cellStyle name="SAPBEXexcCritical5 2 6 3" xfId="57475"/>
    <cellStyle name="SAPBEXexcCritical5 2 7" xfId="57476"/>
    <cellStyle name="SAPBEXexcCritical5 2 7 2" xfId="57477"/>
    <cellStyle name="SAPBEXexcCritical5 2 7 2 2" xfId="57478"/>
    <cellStyle name="SAPBEXexcCritical5 2 7 3" xfId="57479"/>
    <cellStyle name="SAPBEXexcCritical5 2 8" xfId="57480"/>
    <cellStyle name="SAPBEXexcCritical5 2 8 2" xfId="57481"/>
    <cellStyle name="SAPBEXexcCritical5 2 8 2 2" xfId="57482"/>
    <cellStyle name="SAPBEXexcCritical5 2 8 3" xfId="57483"/>
    <cellStyle name="SAPBEXexcCritical5 2 9" xfId="57484"/>
    <cellStyle name="SAPBEXexcCritical5 2 9 2" xfId="57485"/>
    <cellStyle name="SAPBEXexcCritical5 3" xfId="57486"/>
    <cellStyle name="SAPBEXexcCritical5 3 2" xfId="57487"/>
    <cellStyle name="SAPBEXexcCritical5 3 2 2" xfId="57488"/>
    <cellStyle name="SAPBEXexcCritical5 3 3" xfId="57489"/>
    <cellStyle name="SAPBEXexcCritical5 4" xfId="57490"/>
    <cellStyle name="SAPBEXexcCritical5 4 2" xfId="57491"/>
    <cellStyle name="SAPBEXexcCritical5 4 2 2" xfId="57492"/>
    <cellStyle name="SAPBEXexcCritical5 4 3" xfId="57493"/>
    <cellStyle name="SAPBEXexcCritical5 5" xfId="57494"/>
    <cellStyle name="SAPBEXexcCritical5 5 2" xfId="57495"/>
    <cellStyle name="SAPBEXexcCritical5 5 2 2" xfId="57496"/>
    <cellStyle name="SAPBEXexcCritical5 5 3" xfId="57497"/>
    <cellStyle name="SAPBEXexcCritical5 6" xfId="57498"/>
    <cellStyle name="SAPBEXexcCritical5 6 2" xfId="57499"/>
    <cellStyle name="SAPBEXexcCritical5 6 2 2" xfId="57500"/>
    <cellStyle name="SAPBEXexcCritical5 6 3" xfId="57501"/>
    <cellStyle name="SAPBEXexcCritical5 7" xfId="57502"/>
    <cellStyle name="SAPBEXexcCritical5 7 2" xfId="57503"/>
    <cellStyle name="SAPBEXexcCritical5 7 2 2" xfId="57504"/>
    <cellStyle name="SAPBEXexcCritical5 7 3" xfId="57505"/>
    <cellStyle name="SAPBEXexcCritical5 8" xfId="57506"/>
    <cellStyle name="SAPBEXexcCritical5 8 2" xfId="57507"/>
    <cellStyle name="SAPBEXexcCritical5 8 2 2" xfId="57508"/>
    <cellStyle name="SAPBEXexcCritical5 8 3" xfId="57509"/>
    <cellStyle name="SAPBEXexcCritical5 9" xfId="57510"/>
    <cellStyle name="SAPBEXexcCritical5 9 2" xfId="57511"/>
    <cellStyle name="SAPBEXexcCritical5 9 2 2" xfId="57512"/>
    <cellStyle name="SAPBEXexcCritical5 9 3" xfId="57513"/>
    <cellStyle name="SAPBEXexcCritical6" xfId="57514"/>
    <cellStyle name="SAPBEXexcCritical6 10" xfId="57515"/>
    <cellStyle name="SAPBEXexcCritical6 10 2" xfId="57516"/>
    <cellStyle name="SAPBEXexcCritical6 10 2 2" xfId="57517"/>
    <cellStyle name="SAPBEXexcCritical6 10 3" xfId="57518"/>
    <cellStyle name="SAPBEXexcCritical6 11" xfId="57519"/>
    <cellStyle name="SAPBEXexcCritical6 11 2" xfId="57520"/>
    <cellStyle name="SAPBEXexcCritical6 11 2 2" xfId="57521"/>
    <cellStyle name="SAPBEXexcCritical6 11 3" xfId="57522"/>
    <cellStyle name="SAPBEXexcCritical6 12" xfId="57523"/>
    <cellStyle name="SAPBEXexcCritical6 12 2" xfId="57524"/>
    <cellStyle name="SAPBEXexcCritical6 12 2 2" xfId="57525"/>
    <cellStyle name="SAPBEXexcCritical6 12 3" xfId="57526"/>
    <cellStyle name="SAPBEXexcCritical6 13" xfId="57527"/>
    <cellStyle name="SAPBEXexcCritical6 13 2" xfId="57528"/>
    <cellStyle name="SAPBEXexcCritical6 14" xfId="57529"/>
    <cellStyle name="SAPBEXexcCritical6 2" xfId="57530"/>
    <cellStyle name="SAPBEXexcCritical6 2 10" xfId="57531"/>
    <cellStyle name="SAPBEXexcCritical6 2 2" xfId="57532"/>
    <cellStyle name="SAPBEXexcCritical6 2 2 2" xfId="57533"/>
    <cellStyle name="SAPBEXexcCritical6 2 2 2 2" xfId="57534"/>
    <cellStyle name="SAPBEXexcCritical6 2 2 3" xfId="57535"/>
    <cellStyle name="SAPBEXexcCritical6 2 3" xfId="57536"/>
    <cellStyle name="SAPBEXexcCritical6 2 3 2" xfId="57537"/>
    <cellStyle name="SAPBEXexcCritical6 2 3 2 2" xfId="57538"/>
    <cellStyle name="SAPBEXexcCritical6 2 3 3" xfId="57539"/>
    <cellStyle name="SAPBEXexcCritical6 2 4" xfId="57540"/>
    <cellStyle name="SAPBEXexcCritical6 2 4 2" xfId="57541"/>
    <cellStyle name="SAPBEXexcCritical6 2 4 2 2" xfId="57542"/>
    <cellStyle name="SAPBEXexcCritical6 2 4 3" xfId="57543"/>
    <cellStyle name="SAPBEXexcCritical6 2 5" xfId="57544"/>
    <cellStyle name="SAPBEXexcCritical6 2 5 2" xfId="57545"/>
    <cellStyle name="SAPBEXexcCritical6 2 5 2 2" xfId="57546"/>
    <cellStyle name="SAPBEXexcCritical6 2 5 3" xfId="57547"/>
    <cellStyle name="SAPBEXexcCritical6 2 6" xfId="57548"/>
    <cellStyle name="SAPBEXexcCritical6 2 6 2" xfId="57549"/>
    <cellStyle name="SAPBEXexcCritical6 2 6 2 2" xfId="57550"/>
    <cellStyle name="SAPBEXexcCritical6 2 6 3" xfId="57551"/>
    <cellStyle name="SAPBEXexcCritical6 2 7" xfId="57552"/>
    <cellStyle name="SAPBEXexcCritical6 2 7 2" xfId="57553"/>
    <cellStyle name="SAPBEXexcCritical6 2 7 2 2" xfId="57554"/>
    <cellStyle name="SAPBEXexcCritical6 2 7 3" xfId="57555"/>
    <cellStyle name="SAPBEXexcCritical6 2 8" xfId="57556"/>
    <cellStyle name="SAPBEXexcCritical6 2 8 2" xfId="57557"/>
    <cellStyle name="SAPBEXexcCritical6 2 8 2 2" xfId="57558"/>
    <cellStyle name="SAPBEXexcCritical6 2 8 3" xfId="57559"/>
    <cellStyle name="SAPBEXexcCritical6 2 9" xfId="57560"/>
    <cellStyle name="SAPBEXexcCritical6 2 9 2" xfId="57561"/>
    <cellStyle name="SAPBEXexcCritical6 3" xfId="57562"/>
    <cellStyle name="SAPBEXexcCritical6 3 2" xfId="57563"/>
    <cellStyle name="SAPBEXexcCritical6 3 2 2" xfId="57564"/>
    <cellStyle name="SAPBEXexcCritical6 3 3" xfId="57565"/>
    <cellStyle name="SAPBEXexcCritical6 4" xfId="57566"/>
    <cellStyle name="SAPBEXexcCritical6 4 2" xfId="57567"/>
    <cellStyle name="SAPBEXexcCritical6 4 2 2" xfId="57568"/>
    <cellStyle name="SAPBEXexcCritical6 4 3" xfId="57569"/>
    <cellStyle name="SAPBEXexcCritical6 5" xfId="57570"/>
    <cellStyle name="SAPBEXexcCritical6 5 2" xfId="57571"/>
    <cellStyle name="SAPBEXexcCritical6 5 2 2" xfId="57572"/>
    <cellStyle name="SAPBEXexcCritical6 5 3" xfId="57573"/>
    <cellStyle name="SAPBEXexcCritical6 6" xfId="57574"/>
    <cellStyle name="SAPBEXexcCritical6 6 2" xfId="57575"/>
    <cellStyle name="SAPBEXexcCritical6 6 2 2" xfId="57576"/>
    <cellStyle name="SAPBEXexcCritical6 6 3" xfId="57577"/>
    <cellStyle name="SAPBEXexcCritical6 7" xfId="57578"/>
    <cellStyle name="SAPBEXexcCritical6 7 2" xfId="57579"/>
    <cellStyle name="SAPBEXexcCritical6 7 2 2" xfId="57580"/>
    <cellStyle name="SAPBEXexcCritical6 7 3" xfId="57581"/>
    <cellStyle name="SAPBEXexcCritical6 8" xfId="57582"/>
    <cellStyle name="SAPBEXexcCritical6 8 2" xfId="57583"/>
    <cellStyle name="SAPBEXexcCritical6 8 2 2" xfId="57584"/>
    <cellStyle name="SAPBEXexcCritical6 8 3" xfId="57585"/>
    <cellStyle name="SAPBEXexcCritical6 9" xfId="57586"/>
    <cellStyle name="SAPBEXexcCritical6 9 2" xfId="57587"/>
    <cellStyle name="SAPBEXexcCritical6 9 2 2" xfId="57588"/>
    <cellStyle name="SAPBEXexcCritical6 9 3" xfId="57589"/>
    <cellStyle name="SAPBEXexcGood1" xfId="57590"/>
    <cellStyle name="SAPBEXexcGood1 10" xfId="57591"/>
    <cellStyle name="SAPBEXexcGood1 10 2" xfId="57592"/>
    <cellStyle name="SAPBEXexcGood1 10 2 2" xfId="57593"/>
    <cellStyle name="SAPBEXexcGood1 10 3" xfId="57594"/>
    <cellStyle name="SAPBEXexcGood1 11" xfId="57595"/>
    <cellStyle name="SAPBEXexcGood1 11 2" xfId="57596"/>
    <cellStyle name="SAPBEXexcGood1 11 2 2" xfId="57597"/>
    <cellStyle name="SAPBEXexcGood1 11 3" xfId="57598"/>
    <cellStyle name="SAPBEXexcGood1 12" xfId="57599"/>
    <cellStyle name="SAPBEXexcGood1 12 2" xfId="57600"/>
    <cellStyle name="SAPBEXexcGood1 12 2 2" xfId="57601"/>
    <cellStyle name="SAPBEXexcGood1 12 3" xfId="57602"/>
    <cellStyle name="SAPBEXexcGood1 13" xfId="57603"/>
    <cellStyle name="SAPBEXexcGood1 13 2" xfId="57604"/>
    <cellStyle name="SAPBEXexcGood1 14" xfId="57605"/>
    <cellStyle name="SAPBEXexcGood1 2" xfId="57606"/>
    <cellStyle name="SAPBEXexcGood1 2 10" xfId="57607"/>
    <cellStyle name="SAPBEXexcGood1 2 2" xfId="57608"/>
    <cellStyle name="SAPBEXexcGood1 2 2 2" xfId="57609"/>
    <cellStyle name="SAPBEXexcGood1 2 2 2 2" xfId="57610"/>
    <cellStyle name="SAPBEXexcGood1 2 2 3" xfId="57611"/>
    <cellStyle name="SAPBEXexcGood1 2 3" xfId="57612"/>
    <cellStyle name="SAPBEXexcGood1 2 3 2" xfId="57613"/>
    <cellStyle name="SAPBEXexcGood1 2 3 2 2" xfId="57614"/>
    <cellStyle name="SAPBEXexcGood1 2 3 3" xfId="57615"/>
    <cellStyle name="SAPBEXexcGood1 2 4" xfId="57616"/>
    <cellStyle name="SAPBEXexcGood1 2 4 2" xfId="57617"/>
    <cellStyle name="SAPBEXexcGood1 2 4 2 2" xfId="57618"/>
    <cellStyle name="SAPBEXexcGood1 2 4 3" xfId="57619"/>
    <cellStyle name="SAPBEXexcGood1 2 5" xfId="57620"/>
    <cellStyle name="SAPBEXexcGood1 2 5 2" xfId="57621"/>
    <cellStyle name="SAPBEXexcGood1 2 5 2 2" xfId="57622"/>
    <cellStyle name="SAPBEXexcGood1 2 5 3" xfId="57623"/>
    <cellStyle name="SAPBEXexcGood1 2 6" xfId="57624"/>
    <cellStyle name="SAPBEXexcGood1 2 6 2" xfId="57625"/>
    <cellStyle name="SAPBEXexcGood1 2 6 2 2" xfId="57626"/>
    <cellStyle name="SAPBEXexcGood1 2 6 3" xfId="57627"/>
    <cellStyle name="SAPBEXexcGood1 2 7" xfId="57628"/>
    <cellStyle name="SAPBEXexcGood1 2 7 2" xfId="57629"/>
    <cellStyle name="SAPBEXexcGood1 2 7 2 2" xfId="57630"/>
    <cellStyle name="SAPBEXexcGood1 2 7 3" xfId="57631"/>
    <cellStyle name="SAPBEXexcGood1 2 8" xfId="57632"/>
    <cellStyle name="SAPBEXexcGood1 2 8 2" xfId="57633"/>
    <cellStyle name="SAPBEXexcGood1 2 8 2 2" xfId="57634"/>
    <cellStyle name="SAPBEXexcGood1 2 8 3" xfId="57635"/>
    <cellStyle name="SAPBEXexcGood1 2 9" xfId="57636"/>
    <cellStyle name="SAPBEXexcGood1 2 9 2" xfId="57637"/>
    <cellStyle name="SAPBEXexcGood1 3" xfId="57638"/>
    <cellStyle name="SAPBEXexcGood1 3 2" xfId="57639"/>
    <cellStyle name="SAPBEXexcGood1 3 2 2" xfId="57640"/>
    <cellStyle name="SAPBEXexcGood1 3 3" xfId="57641"/>
    <cellStyle name="SAPBEXexcGood1 4" xfId="57642"/>
    <cellStyle name="SAPBEXexcGood1 4 2" xfId="57643"/>
    <cellStyle name="SAPBEXexcGood1 4 2 2" xfId="57644"/>
    <cellStyle name="SAPBEXexcGood1 4 3" xfId="57645"/>
    <cellStyle name="SAPBEXexcGood1 5" xfId="57646"/>
    <cellStyle name="SAPBEXexcGood1 5 2" xfId="57647"/>
    <cellStyle name="SAPBEXexcGood1 5 2 2" xfId="57648"/>
    <cellStyle name="SAPBEXexcGood1 5 3" xfId="57649"/>
    <cellStyle name="SAPBEXexcGood1 6" xfId="57650"/>
    <cellStyle name="SAPBEXexcGood1 6 2" xfId="57651"/>
    <cellStyle name="SAPBEXexcGood1 6 2 2" xfId="57652"/>
    <cellStyle name="SAPBEXexcGood1 6 3" xfId="57653"/>
    <cellStyle name="SAPBEXexcGood1 7" xfId="57654"/>
    <cellStyle name="SAPBEXexcGood1 7 2" xfId="57655"/>
    <cellStyle name="SAPBEXexcGood1 7 2 2" xfId="57656"/>
    <cellStyle name="SAPBEXexcGood1 7 3" xfId="57657"/>
    <cellStyle name="SAPBEXexcGood1 8" xfId="57658"/>
    <cellStyle name="SAPBEXexcGood1 8 2" xfId="57659"/>
    <cellStyle name="SAPBEXexcGood1 8 2 2" xfId="57660"/>
    <cellStyle name="SAPBEXexcGood1 8 3" xfId="57661"/>
    <cellStyle name="SAPBEXexcGood1 9" xfId="57662"/>
    <cellStyle name="SAPBEXexcGood1 9 2" xfId="57663"/>
    <cellStyle name="SAPBEXexcGood1 9 2 2" xfId="57664"/>
    <cellStyle name="SAPBEXexcGood1 9 3" xfId="57665"/>
    <cellStyle name="SAPBEXexcGood2" xfId="57666"/>
    <cellStyle name="SAPBEXexcGood2 10" xfId="57667"/>
    <cellStyle name="SAPBEXexcGood2 10 2" xfId="57668"/>
    <cellStyle name="SAPBEXexcGood2 10 2 2" xfId="57669"/>
    <cellStyle name="SAPBEXexcGood2 10 3" xfId="57670"/>
    <cellStyle name="SAPBEXexcGood2 11" xfId="57671"/>
    <cellStyle name="SAPBEXexcGood2 11 2" xfId="57672"/>
    <cellStyle name="SAPBEXexcGood2 11 2 2" xfId="57673"/>
    <cellStyle name="SAPBEXexcGood2 11 3" xfId="57674"/>
    <cellStyle name="SAPBEXexcGood2 12" xfId="57675"/>
    <cellStyle name="SAPBEXexcGood2 12 2" xfId="57676"/>
    <cellStyle name="SAPBEXexcGood2 12 2 2" xfId="57677"/>
    <cellStyle name="SAPBEXexcGood2 12 3" xfId="57678"/>
    <cellStyle name="SAPBEXexcGood2 13" xfId="57679"/>
    <cellStyle name="SAPBEXexcGood2 13 2" xfId="57680"/>
    <cellStyle name="SAPBEXexcGood2 14" xfId="57681"/>
    <cellStyle name="SAPBEXexcGood2 2" xfId="57682"/>
    <cellStyle name="SAPBEXexcGood2 2 10" xfId="57683"/>
    <cellStyle name="SAPBEXexcGood2 2 2" xfId="57684"/>
    <cellStyle name="SAPBEXexcGood2 2 2 2" xfId="57685"/>
    <cellStyle name="SAPBEXexcGood2 2 2 2 2" xfId="57686"/>
    <cellStyle name="SAPBEXexcGood2 2 2 3" xfId="57687"/>
    <cellStyle name="SAPBEXexcGood2 2 3" xfId="57688"/>
    <cellStyle name="SAPBEXexcGood2 2 3 2" xfId="57689"/>
    <cellStyle name="SAPBEXexcGood2 2 3 2 2" xfId="57690"/>
    <cellStyle name="SAPBEXexcGood2 2 3 3" xfId="57691"/>
    <cellStyle name="SAPBEXexcGood2 2 4" xfId="57692"/>
    <cellStyle name="SAPBEXexcGood2 2 4 2" xfId="57693"/>
    <cellStyle name="SAPBEXexcGood2 2 4 2 2" xfId="57694"/>
    <cellStyle name="SAPBEXexcGood2 2 4 3" xfId="57695"/>
    <cellStyle name="SAPBEXexcGood2 2 5" xfId="57696"/>
    <cellStyle name="SAPBEXexcGood2 2 5 2" xfId="57697"/>
    <cellStyle name="SAPBEXexcGood2 2 5 2 2" xfId="57698"/>
    <cellStyle name="SAPBEXexcGood2 2 5 3" xfId="57699"/>
    <cellStyle name="SAPBEXexcGood2 2 6" xfId="57700"/>
    <cellStyle name="SAPBEXexcGood2 2 6 2" xfId="57701"/>
    <cellStyle name="SAPBEXexcGood2 2 6 2 2" xfId="57702"/>
    <cellStyle name="SAPBEXexcGood2 2 6 3" xfId="57703"/>
    <cellStyle name="SAPBEXexcGood2 2 7" xfId="57704"/>
    <cellStyle name="SAPBEXexcGood2 2 7 2" xfId="57705"/>
    <cellStyle name="SAPBEXexcGood2 2 7 2 2" xfId="57706"/>
    <cellStyle name="SAPBEXexcGood2 2 7 3" xfId="57707"/>
    <cellStyle name="SAPBEXexcGood2 2 8" xfId="57708"/>
    <cellStyle name="SAPBEXexcGood2 2 8 2" xfId="57709"/>
    <cellStyle name="SAPBEXexcGood2 2 8 2 2" xfId="57710"/>
    <cellStyle name="SAPBEXexcGood2 2 8 3" xfId="57711"/>
    <cellStyle name="SAPBEXexcGood2 2 9" xfId="57712"/>
    <cellStyle name="SAPBEXexcGood2 2 9 2" xfId="57713"/>
    <cellStyle name="SAPBEXexcGood2 3" xfId="57714"/>
    <cellStyle name="SAPBEXexcGood2 3 2" xfId="57715"/>
    <cellStyle name="SAPBEXexcGood2 3 2 2" xfId="57716"/>
    <cellStyle name="SAPBEXexcGood2 3 3" xfId="57717"/>
    <cellStyle name="SAPBEXexcGood2 4" xfId="57718"/>
    <cellStyle name="SAPBEXexcGood2 4 2" xfId="57719"/>
    <cellStyle name="SAPBEXexcGood2 4 2 2" xfId="57720"/>
    <cellStyle name="SAPBEXexcGood2 4 3" xfId="57721"/>
    <cellStyle name="SAPBEXexcGood2 5" xfId="57722"/>
    <cellStyle name="SAPBEXexcGood2 5 2" xfId="57723"/>
    <cellStyle name="SAPBEXexcGood2 5 2 2" xfId="57724"/>
    <cellStyle name="SAPBEXexcGood2 5 3" xfId="57725"/>
    <cellStyle name="SAPBEXexcGood2 6" xfId="57726"/>
    <cellStyle name="SAPBEXexcGood2 6 2" xfId="57727"/>
    <cellStyle name="SAPBEXexcGood2 6 2 2" xfId="57728"/>
    <cellStyle name="SAPBEXexcGood2 6 3" xfId="57729"/>
    <cellStyle name="SAPBEXexcGood2 7" xfId="57730"/>
    <cellStyle name="SAPBEXexcGood2 7 2" xfId="57731"/>
    <cellStyle name="SAPBEXexcGood2 7 2 2" xfId="57732"/>
    <cellStyle name="SAPBEXexcGood2 7 3" xfId="57733"/>
    <cellStyle name="SAPBEXexcGood2 8" xfId="57734"/>
    <cellStyle name="SAPBEXexcGood2 8 2" xfId="57735"/>
    <cellStyle name="SAPBEXexcGood2 8 2 2" xfId="57736"/>
    <cellStyle name="SAPBEXexcGood2 8 3" xfId="57737"/>
    <cellStyle name="SAPBEXexcGood2 9" xfId="57738"/>
    <cellStyle name="SAPBEXexcGood2 9 2" xfId="57739"/>
    <cellStyle name="SAPBEXexcGood2 9 2 2" xfId="57740"/>
    <cellStyle name="SAPBEXexcGood2 9 3" xfId="57741"/>
    <cellStyle name="SAPBEXexcGood3" xfId="57742"/>
    <cellStyle name="SAPBEXexcGood3 10" xfId="57743"/>
    <cellStyle name="SAPBEXexcGood3 10 2" xfId="57744"/>
    <cellStyle name="SAPBEXexcGood3 10 2 2" xfId="57745"/>
    <cellStyle name="SAPBEXexcGood3 10 3" xfId="57746"/>
    <cellStyle name="SAPBEXexcGood3 11" xfId="57747"/>
    <cellStyle name="SAPBEXexcGood3 11 2" xfId="57748"/>
    <cellStyle name="SAPBEXexcGood3 11 2 2" xfId="57749"/>
    <cellStyle name="SAPBEXexcGood3 11 3" xfId="57750"/>
    <cellStyle name="SAPBEXexcGood3 12" xfId="57751"/>
    <cellStyle name="SAPBEXexcGood3 12 2" xfId="57752"/>
    <cellStyle name="SAPBEXexcGood3 12 2 2" xfId="57753"/>
    <cellStyle name="SAPBEXexcGood3 12 3" xfId="57754"/>
    <cellStyle name="SAPBEXexcGood3 13" xfId="57755"/>
    <cellStyle name="SAPBEXexcGood3 13 2" xfId="57756"/>
    <cellStyle name="SAPBEXexcGood3 14" xfId="57757"/>
    <cellStyle name="SAPBEXexcGood3 2" xfId="57758"/>
    <cellStyle name="SAPBEXexcGood3 2 10" xfId="57759"/>
    <cellStyle name="SAPBEXexcGood3 2 2" xfId="57760"/>
    <cellStyle name="SAPBEXexcGood3 2 2 2" xfId="57761"/>
    <cellStyle name="SAPBEXexcGood3 2 2 2 2" xfId="57762"/>
    <cellStyle name="SAPBEXexcGood3 2 2 3" xfId="57763"/>
    <cellStyle name="SAPBEXexcGood3 2 3" xfId="57764"/>
    <cellStyle name="SAPBEXexcGood3 2 3 2" xfId="57765"/>
    <cellStyle name="SAPBEXexcGood3 2 3 2 2" xfId="57766"/>
    <cellStyle name="SAPBEXexcGood3 2 3 3" xfId="57767"/>
    <cellStyle name="SAPBEXexcGood3 2 4" xfId="57768"/>
    <cellStyle name="SAPBEXexcGood3 2 4 2" xfId="57769"/>
    <cellStyle name="SAPBEXexcGood3 2 4 2 2" xfId="57770"/>
    <cellStyle name="SAPBEXexcGood3 2 4 3" xfId="57771"/>
    <cellStyle name="SAPBEXexcGood3 2 5" xfId="57772"/>
    <cellStyle name="SAPBEXexcGood3 2 5 2" xfId="57773"/>
    <cellStyle name="SAPBEXexcGood3 2 5 2 2" xfId="57774"/>
    <cellStyle name="SAPBEXexcGood3 2 5 3" xfId="57775"/>
    <cellStyle name="SAPBEXexcGood3 2 6" xfId="57776"/>
    <cellStyle name="SAPBEXexcGood3 2 6 2" xfId="57777"/>
    <cellStyle name="SAPBEXexcGood3 2 6 2 2" xfId="57778"/>
    <cellStyle name="SAPBEXexcGood3 2 6 3" xfId="57779"/>
    <cellStyle name="SAPBEXexcGood3 2 7" xfId="57780"/>
    <cellStyle name="SAPBEXexcGood3 2 7 2" xfId="57781"/>
    <cellStyle name="SAPBEXexcGood3 2 7 2 2" xfId="57782"/>
    <cellStyle name="SAPBEXexcGood3 2 7 3" xfId="57783"/>
    <cellStyle name="SAPBEXexcGood3 2 8" xfId="57784"/>
    <cellStyle name="SAPBEXexcGood3 2 8 2" xfId="57785"/>
    <cellStyle name="SAPBEXexcGood3 2 8 2 2" xfId="57786"/>
    <cellStyle name="SAPBEXexcGood3 2 8 3" xfId="57787"/>
    <cellStyle name="SAPBEXexcGood3 2 9" xfId="57788"/>
    <cellStyle name="SAPBEXexcGood3 2 9 2" xfId="57789"/>
    <cellStyle name="SAPBEXexcGood3 3" xfId="57790"/>
    <cellStyle name="SAPBEXexcGood3 3 2" xfId="57791"/>
    <cellStyle name="SAPBEXexcGood3 3 2 2" xfId="57792"/>
    <cellStyle name="SAPBEXexcGood3 3 3" xfId="57793"/>
    <cellStyle name="SAPBEXexcGood3 4" xfId="57794"/>
    <cellStyle name="SAPBEXexcGood3 4 2" xfId="57795"/>
    <cellStyle name="SAPBEXexcGood3 4 2 2" xfId="57796"/>
    <cellStyle name="SAPBEXexcGood3 4 3" xfId="57797"/>
    <cellStyle name="SAPBEXexcGood3 5" xfId="57798"/>
    <cellStyle name="SAPBEXexcGood3 5 2" xfId="57799"/>
    <cellStyle name="SAPBEXexcGood3 5 2 2" xfId="57800"/>
    <cellStyle name="SAPBEXexcGood3 5 3" xfId="57801"/>
    <cellStyle name="SAPBEXexcGood3 6" xfId="57802"/>
    <cellStyle name="SAPBEXexcGood3 6 2" xfId="57803"/>
    <cellStyle name="SAPBEXexcGood3 6 2 2" xfId="57804"/>
    <cellStyle name="SAPBEXexcGood3 6 3" xfId="57805"/>
    <cellStyle name="SAPBEXexcGood3 7" xfId="57806"/>
    <cellStyle name="SAPBEXexcGood3 7 2" xfId="57807"/>
    <cellStyle name="SAPBEXexcGood3 7 2 2" xfId="57808"/>
    <cellStyle name="SAPBEXexcGood3 7 3" xfId="57809"/>
    <cellStyle name="SAPBEXexcGood3 8" xfId="57810"/>
    <cellStyle name="SAPBEXexcGood3 8 2" xfId="57811"/>
    <cellStyle name="SAPBEXexcGood3 8 2 2" xfId="57812"/>
    <cellStyle name="SAPBEXexcGood3 8 3" xfId="57813"/>
    <cellStyle name="SAPBEXexcGood3 9" xfId="57814"/>
    <cellStyle name="SAPBEXexcGood3 9 2" xfId="57815"/>
    <cellStyle name="SAPBEXexcGood3 9 2 2" xfId="57816"/>
    <cellStyle name="SAPBEXexcGood3 9 3" xfId="57817"/>
    <cellStyle name="SAPBEXfilterDrill" xfId="57818"/>
    <cellStyle name="SAPBEXfilterDrill 2" xfId="57819"/>
    <cellStyle name="SAPBEXfilterDrill 2 2" xfId="57820"/>
    <cellStyle name="SAPBEXfilterDrill 3" xfId="57821"/>
    <cellStyle name="SAPBEXfilterDrill 3 2" xfId="57822"/>
    <cellStyle name="SAPBEXfilterDrill 4" xfId="57823"/>
    <cellStyle name="SAPBEXfilterDrill 5" xfId="57824"/>
    <cellStyle name="SAPBEXfilterDrill 6" xfId="57825"/>
    <cellStyle name="SAPBEXfilterDrill 7" xfId="57826"/>
    <cellStyle name="SAPBEXfilterDrill 8" xfId="57827"/>
    <cellStyle name="SAPBEXfilterDrill 9" xfId="57828"/>
    <cellStyle name="SAPBEXfilterItem" xfId="57829"/>
    <cellStyle name="SAPBEXfilterItem 2" xfId="57830"/>
    <cellStyle name="SAPBEXfilterItem 3" xfId="57831"/>
    <cellStyle name="SAPBEXfilterItem 4" xfId="57832"/>
    <cellStyle name="SAPBEXfilterItem 5" xfId="57833"/>
    <cellStyle name="SAPBEXfilterItem 6" xfId="57834"/>
    <cellStyle name="SAPBEXfilterItem 7" xfId="57835"/>
    <cellStyle name="SAPBEXfilterItem 8" xfId="57836"/>
    <cellStyle name="SAPBEXfilterItem 9" xfId="57837"/>
    <cellStyle name="SAPBEXfilterText" xfId="57838"/>
    <cellStyle name="SAPBEXfilterText 2" xfId="57839"/>
    <cellStyle name="SAPBEXfilterText 3" xfId="57840"/>
    <cellStyle name="SAPBEXformats" xfId="57841"/>
    <cellStyle name="SAPBEXformats 10" xfId="57842"/>
    <cellStyle name="SAPBEXformats 10 2" xfId="57843"/>
    <cellStyle name="SAPBEXformats 10 2 2" xfId="57844"/>
    <cellStyle name="SAPBEXformats 10 3" xfId="57845"/>
    <cellStyle name="SAPBEXformats 11" xfId="57846"/>
    <cellStyle name="SAPBEXformats 11 2" xfId="57847"/>
    <cellStyle name="SAPBEXformats 11 2 2" xfId="57848"/>
    <cellStyle name="SAPBEXformats 11 3" xfId="57849"/>
    <cellStyle name="SAPBEXformats 12" xfId="57850"/>
    <cellStyle name="SAPBEXformats 12 2" xfId="57851"/>
    <cellStyle name="SAPBEXformats 12 2 2" xfId="57852"/>
    <cellStyle name="SAPBEXformats 12 3" xfId="57853"/>
    <cellStyle name="SAPBEXformats 13" xfId="57854"/>
    <cellStyle name="SAPBEXformats 13 2" xfId="57855"/>
    <cellStyle name="SAPBEXformats 14" xfId="57856"/>
    <cellStyle name="SAPBEXformats 2" xfId="57857"/>
    <cellStyle name="SAPBEXformats 2 10" xfId="57858"/>
    <cellStyle name="SAPBEXformats 2 2" xfId="57859"/>
    <cellStyle name="SAPBEXformats 2 2 2" xfId="57860"/>
    <cellStyle name="SAPBEXformats 2 2 2 2" xfId="57861"/>
    <cellStyle name="SAPBEXformats 2 2 3" xfId="57862"/>
    <cellStyle name="SAPBEXformats 2 3" xfId="57863"/>
    <cellStyle name="SAPBEXformats 2 3 2" xfId="57864"/>
    <cellStyle name="SAPBEXformats 2 3 2 2" xfId="57865"/>
    <cellStyle name="SAPBEXformats 2 3 3" xfId="57866"/>
    <cellStyle name="SAPBEXformats 2 4" xfId="57867"/>
    <cellStyle name="SAPBEXformats 2 4 2" xfId="57868"/>
    <cellStyle name="SAPBEXformats 2 4 2 2" xfId="57869"/>
    <cellStyle name="SAPBEXformats 2 4 3" xfId="57870"/>
    <cellStyle name="SAPBEXformats 2 5" xfId="57871"/>
    <cellStyle name="SAPBEXformats 2 5 2" xfId="57872"/>
    <cellStyle name="SAPBEXformats 2 5 2 2" xfId="57873"/>
    <cellStyle name="SAPBEXformats 2 5 3" xfId="57874"/>
    <cellStyle name="SAPBEXformats 2 6" xfId="57875"/>
    <cellStyle name="SAPBEXformats 2 6 2" xfId="57876"/>
    <cellStyle name="SAPBEXformats 2 6 2 2" xfId="57877"/>
    <cellStyle name="SAPBEXformats 2 6 3" xfId="57878"/>
    <cellStyle name="SAPBEXformats 2 7" xfId="57879"/>
    <cellStyle name="SAPBEXformats 2 7 2" xfId="57880"/>
    <cellStyle name="SAPBEXformats 2 7 2 2" xfId="57881"/>
    <cellStyle name="SAPBEXformats 2 7 3" xfId="57882"/>
    <cellStyle name="SAPBEXformats 2 8" xfId="57883"/>
    <cellStyle name="SAPBEXformats 2 8 2" xfId="57884"/>
    <cellStyle name="SAPBEXformats 2 8 2 2" xfId="57885"/>
    <cellStyle name="SAPBEXformats 2 8 3" xfId="57886"/>
    <cellStyle name="SAPBEXformats 2 9" xfId="57887"/>
    <cellStyle name="SAPBEXformats 2 9 2" xfId="57888"/>
    <cellStyle name="SAPBEXformats 3" xfId="57889"/>
    <cellStyle name="SAPBEXformats 3 2" xfId="57890"/>
    <cellStyle name="SAPBEXformats 3 2 2" xfId="57891"/>
    <cellStyle name="SAPBEXformats 3 3" xfId="57892"/>
    <cellStyle name="SAPBEXformats 4" xfId="57893"/>
    <cellStyle name="SAPBEXformats 4 2" xfId="57894"/>
    <cellStyle name="SAPBEXformats 4 2 2" xfId="57895"/>
    <cellStyle name="SAPBEXformats 4 3" xfId="57896"/>
    <cellStyle name="SAPBEXformats 5" xfId="57897"/>
    <cellStyle name="SAPBEXformats 5 2" xfId="57898"/>
    <cellStyle name="SAPBEXformats 5 2 2" xfId="57899"/>
    <cellStyle name="SAPBEXformats 5 3" xfId="57900"/>
    <cellStyle name="SAPBEXformats 6" xfId="57901"/>
    <cellStyle name="SAPBEXformats 6 2" xfId="57902"/>
    <cellStyle name="SAPBEXformats 6 2 2" xfId="57903"/>
    <cellStyle name="SAPBEXformats 6 3" xfId="57904"/>
    <cellStyle name="SAPBEXformats 7" xfId="57905"/>
    <cellStyle name="SAPBEXformats 7 2" xfId="57906"/>
    <cellStyle name="SAPBEXformats 7 2 2" xfId="57907"/>
    <cellStyle name="SAPBEXformats 7 3" xfId="57908"/>
    <cellStyle name="SAPBEXformats 8" xfId="57909"/>
    <cellStyle name="SAPBEXformats 8 2" xfId="57910"/>
    <cellStyle name="SAPBEXformats 8 2 2" xfId="57911"/>
    <cellStyle name="SAPBEXformats 8 3" xfId="57912"/>
    <cellStyle name="SAPBEXformats 9" xfId="57913"/>
    <cellStyle name="SAPBEXformats 9 2" xfId="57914"/>
    <cellStyle name="SAPBEXformats 9 2 2" xfId="57915"/>
    <cellStyle name="SAPBEXformats 9 3" xfId="57916"/>
    <cellStyle name="SAPBEXheaderItem" xfId="57917"/>
    <cellStyle name="SAPBEXheaderItem 2" xfId="57918"/>
    <cellStyle name="SAPBEXheaderText" xfId="57919"/>
    <cellStyle name="SAPBEXheaderText 2" xfId="57920"/>
    <cellStyle name="SAPBEXHLevel0" xfId="57921"/>
    <cellStyle name="SAPBEXHLevel0X" xfId="57922"/>
    <cellStyle name="SAPBEXHLevel1" xfId="57923"/>
    <cellStyle name="SAPBEXHLevel1X" xfId="57924"/>
    <cellStyle name="SAPBEXHLevel2" xfId="57925"/>
    <cellStyle name="SAPBEXHLevel2X" xfId="57926"/>
    <cellStyle name="SAPBEXHLevel3" xfId="57927"/>
    <cellStyle name="SAPBEXHLevel3X" xfId="57928"/>
    <cellStyle name="SAPBEXinputData" xfId="57929"/>
    <cellStyle name="SAPBEXinputData 2" xfId="57930"/>
    <cellStyle name="SAPBEXItemHeader" xfId="57931"/>
    <cellStyle name="SAPBEXresData" xfId="57932"/>
    <cellStyle name="SAPBEXresData 10" xfId="57933"/>
    <cellStyle name="SAPBEXresData 10 2" xfId="57934"/>
    <cellStyle name="SAPBEXresData 10 2 2" xfId="57935"/>
    <cellStyle name="SAPBEXresData 10 3" xfId="57936"/>
    <cellStyle name="SAPBEXresData 11" xfId="57937"/>
    <cellStyle name="SAPBEXresData 11 2" xfId="57938"/>
    <cellStyle name="SAPBEXresData 11 2 2" xfId="57939"/>
    <cellStyle name="SAPBEXresData 11 3" xfId="57940"/>
    <cellStyle name="SAPBEXresData 12" xfId="57941"/>
    <cellStyle name="SAPBEXresData 12 2" xfId="57942"/>
    <cellStyle name="SAPBEXresData 12 2 2" xfId="57943"/>
    <cellStyle name="SAPBEXresData 12 3" xfId="57944"/>
    <cellStyle name="SAPBEXresData 13" xfId="57945"/>
    <cellStyle name="SAPBEXresData 13 2" xfId="57946"/>
    <cellStyle name="SAPBEXresData 14" xfId="57947"/>
    <cellStyle name="SAPBEXresData 2" xfId="57948"/>
    <cellStyle name="SAPBEXresData 2 10" xfId="57949"/>
    <cellStyle name="SAPBEXresData 2 2" xfId="57950"/>
    <cellStyle name="SAPBEXresData 2 2 2" xfId="57951"/>
    <cellStyle name="SAPBEXresData 2 2 2 2" xfId="57952"/>
    <cellStyle name="SAPBEXresData 2 2 3" xfId="57953"/>
    <cellStyle name="SAPBEXresData 2 3" xfId="57954"/>
    <cellStyle name="SAPBEXresData 2 3 2" xfId="57955"/>
    <cellStyle name="SAPBEXresData 2 3 2 2" xfId="57956"/>
    <cellStyle name="SAPBEXresData 2 3 3" xfId="57957"/>
    <cellStyle name="SAPBEXresData 2 4" xfId="57958"/>
    <cellStyle name="SAPBEXresData 2 4 2" xfId="57959"/>
    <cellStyle name="SAPBEXresData 2 4 2 2" xfId="57960"/>
    <cellStyle name="SAPBEXresData 2 4 3" xfId="57961"/>
    <cellStyle name="SAPBEXresData 2 5" xfId="57962"/>
    <cellStyle name="SAPBEXresData 2 5 2" xfId="57963"/>
    <cellStyle name="SAPBEXresData 2 5 2 2" xfId="57964"/>
    <cellStyle name="SAPBEXresData 2 5 3" xfId="57965"/>
    <cellStyle name="SAPBEXresData 2 6" xfId="57966"/>
    <cellStyle name="SAPBEXresData 2 6 2" xfId="57967"/>
    <cellStyle name="SAPBEXresData 2 6 2 2" xfId="57968"/>
    <cellStyle name="SAPBEXresData 2 6 3" xfId="57969"/>
    <cellStyle name="SAPBEXresData 2 7" xfId="57970"/>
    <cellStyle name="SAPBEXresData 2 7 2" xfId="57971"/>
    <cellStyle name="SAPBEXresData 2 7 2 2" xfId="57972"/>
    <cellStyle name="SAPBEXresData 2 7 3" xfId="57973"/>
    <cellStyle name="SAPBEXresData 2 8" xfId="57974"/>
    <cellStyle name="SAPBEXresData 2 8 2" xfId="57975"/>
    <cellStyle name="SAPBEXresData 2 8 2 2" xfId="57976"/>
    <cellStyle name="SAPBEXresData 2 8 3" xfId="57977"/>
    <cellStyle name="SAPBEXresData 2 9" xfId="57978"/>
    <cellStyle name="SAPBEXresData 2 9 2" xfId="57979"/>
    <cellStyle name="SAPBEXresData 3" xfId="57980"/>
    <cellStyle name="SAPBEXresData 3 2" xfId="57981"/>
    <cellStyle name="SAPBEXresData 3 2 2" xfId="57982"/>
    <cellStyle name="SAPBEXresData 3 3" xfId="57983"/>
    <cellStyle name="SAPBEXresData 4" xfId="57984"/>
    <cellStyle name="SAPBEXresData 4 2" xfId="57985"/>
    <cellStyle name="SAPBEXresData 4 2 2" xfId="57986"/>
    <cellStyle name="SAPBEXresData 4 3" xfId="57987"/>
    <cellStyle name="SAPBEXresData 5" xfId="57988"/>
    <cellStyle name="SAPBEXresData 5 2" xfId="57989"/>
    <cellStyle name="SAPBEXresData 5 2 2" xfId="57990"/>
    <cellStyle name="SAPBEXresData 5 3" xfId="57991"/>
    <cellStyle name="SAPBEXresData 6" xfId="57992"/>
    <cellStyle name="SAPBEXresData 6 2" xfId="57993"/>
    <cellStyle name="SAPBEXresData 6 2 2" xfId="57994"/>
    <cellStyle name="SAPBEXresData 6 3" xfId="57995"/>
    <cellStyle name="SAPBEXresData 7" xfId="57996"/>
    <cellStyle name="SAPBEXresData 7 2" xfId="57997"/>
    <cellStyle name="SAPBEXresData 7 2 2" xfId="57998"/>
    <cellStyle name="SAPBEXresData 7 3" xfId="57999"/>
    <cellStyle name="SAPBEXresData 8" xfId="58000"/>
    <cellStyle name="SAPBEXresData 8 2" xfId="58001"/>
    <cellStyle name="SAPBEXresData 8 2 2" xfId="58002"/>
    <cellStyle name="SAPBEXresData 8 3" xfId="58003"/>
    <cellStyle name="SAPBEXresData 9" xfId="58004"/>
    <cellStyle name="SAPBEXresData 9 2" xfId="58005"/>
    <cellStyle name="SAPBEXresData 9 2 2" xfId="58006"/>
    <cellStyle name="SAPBEXresData 9 3" xfId="58007"/>
    <cellStyle name="SAPBEXresDataEmph" xfId="58008"/>
    <cellStyle name="SAPBEXresDataEmph 10" xfId="58009"/>
    <cellStyle name="SAPBEXresDataEmph 10 2" xfId="58010"/>
    <cellStyle name="SAPBEXresDataEmph 10 2 2" xfId="58011"/>
    <cellStyle name="SAPBEXresDataEmph 10 3" xfId="58012"/>
    <cellStyle name="SAPBEXresDataEmph 11" xfId="58013"/>
    <cellStyle name="SAPBEXresDataEmph 11 2" xfId="58014"/>
    <cellStyle name="SAPBEXresDataEmph 11 2 2" xfId="58015"/>
    <cellStyle name="SAPBEXresDataEmph 11 3" xfId="58016"/>
    <cellStyle name="SAPBEXresDataEmph 12" xfId="58017"/>
    <cellStyle name="SAPBEXresDataEmph 12 2" xfId="58018"/>
    <cellStyle name="SAPBEXresDataEmph 13" xfId="58019"/>
    <cellStyle name="SAPBEXresDataEmph 2" xfId="58020"/>
    <cellStyle name="SAPBEXresDataEmph 2 2" xfId="58021"/>
    <cellStyle name="SAPBEXresDataEmph 2 2 2" xfId="58022"/>
    <cellStyle name="SAPBEXresDataEmph 2 3" xfId="58023"/>
    <cellStyle name="SAPBEXresDataEmph 3" xfId="58024"/>
    <cellStyle name="SAPBEXresDataEmph 3 2" xfId="58025"/>
    <cellStyle name="SAPBEXresDataEmph 3 2 2" xfId="58026"/>
    <cellStyle name="SAPBEXresDataEmph 3 3" xfId="58027"/>
    <cellStyle name="SAPBEXresDataEmph 4" xfId="58028"/>
    <cellStyle name="SAPBEXresDataEmph 4 2" xfId="58029"/>
    <cellStyle name="SAPBEXresDataEmph 4 2 2" xfId="58030"/>
    <cellStyle name="SAPBEXresDataEmph 4 3" xfId="58031"/>
    <cellStyle name="SAPBEXresDataEmph 5" xfId="58032"/>
    <cellStyle name="SAPBEXresDataEmph 5 2" xfId="58033"/>
    <cellStyle name="SAPBEXresDataEmph 5 2 2" xfId="58034"/>
    <cellStyle name="SAPBEXresDataEmph 5 3" xfId="58035"/>
    <cellStyle name="SAPBEXresDataEmph 6" xfId="58036"/>
    <cellStyle name="SAPBEXresDataEmph 6 2" xfId="58037"/>
    <cellStyle name="SAPBEXresDataEmph 6 2 2" xfId="58038"/>
    <cellStyle name="SAPBEXresDataEmph 6 3" xfId="58039"/>
    <cellStyle name="SAPBEXresDataEmph 7" xfId="58040"/>
    <cellStyle name="SAPBEXresDataEmph 7 2" xfId="58041"/>
    <cellStyle name="SAPBEXresDataEmph 7 2 2" xfId="58042"/>
    <cellStyle name="SAPBEXresDataEmph 7 3" xfId="58043"/>
    <cellStyle name="SAPBEXresDataEmph 8" xfId="58044"/>
    <cellStyle name="SAPBEXresDataEmph 8 2" xfId="58045"/>
    <cellStyle name="SAPBEXresDataEmph 8 2 2" xfId="58046"/>
    <cellStyle name="SAPBEXresDataEmph 8 3" xfId="58047"/>
    <cellStyle name="SAPBEXresDataEmph 9" xfId="58048"/>
    <cellStyle name="SAPBEXresDataEmph 9 2" xfId="58049"/>
    <cellStyle name="SAPBEXresDataEmph 9 2 2" xfId="58050"/>
    <cellStyle name="SAPBEXresDataEmph 9 3" xfId="58051"/>
    <cellStyle name="SAPBEXresItem" xfId="58052"/>
    <cellStyle name="SAPBEXresItem 10" xfId="58053"/>
    <cellStyle name="SAPBEXresItem 10 2" xfId="58054"/>
    <cellStyle name="SAPBEXresItem 10 2 2" xfId="58055"/>
    <cellStyle name="SAPBEXresItem 10 3" xfId="58056"/>
    <cellStyle name="SAPBEXresItem 11" xfId="58057"/>
    <cellStyle name="SAPBEXresItem 11 2" xfId="58058"/>
    <cellStyle name="SAPBEXresItem 11 2 2" xfId="58059"/>
    <cellStyle name="SAPBEXresItem 11 3" xfId="58060"/>
    <cellStyle name="SAPBEXresItem 12" xfId="58061"/>
    <cellStyle name="SAPBEXresItem 12 2" xfId="58062"/>
    <cellStyle name="SAPBEXresItem 12 2 2" xfId="58063"/>
    <cellStyle name="SAPBEXresItem 12 3" xfId="58064"/>
    <cellStyle name="SAPBEXresItem 13" xfId="58065"/>
    <cellStyle name="SAPBEXresItem 13 2" xfId="58066"/>
    <cellStyle name="SAPBEXresItem 14" xfId="58067"/>
    <cellStyle name="SAPBEXresItem 2" xfId="58068"/>
    <cellStyle name="SAPBEXresItem 2 10" xfId="58069"/>
    <cellStyle name="SAPBEXresItem 2 2" xfId="58070"/>
    <cellStyle name="SAPBEXresItem 2 2 2" xfId="58071"/>
    <cellStyle name="SAPBEXresItem 2 2 2 2" xfId="58072"/>
    <cellStyle name="SAPBEXresItem 2 2 3" xfId="58073"/>
    <cellStyle name="SAPBEXresItem 2 3" xfId="58074"/>
    <cellStyle name="SAPBEXresItem 2 3 2" xfId="58075"/>
    <cellStyle name="SAPBEXresItem 2 3 2 2" xfId="58076"/>
    <cellStyle name="SAPBEXresItem 2 3 3" xfId="58077"/>
    <cellStyle name="SAPBEXresItem 2 4" xfId="58078"/>
    <cellStyle name="SAPBEXresItem 2 4 2" xfId="58079"/>
    <cellStyle name="SAPBEXresItem 2 4 2 2" xfId="58080"/>
    <cellStyle name="SAPBEXresItem 2 4 3" xfId="58081"/>
    <cellStyle name="SAPBEXresItem 2 5" xfId="58082"/>
    <cellStyle name="SAPBEXresItem 2 5 2" xfId="58083"/>
    <cellStyle name="SAPBEXresItem 2 5 2 2" xfId="58084"/>
    <cellStyle name="SAPBEXresItem 2 5 3" xfId="58085"/>
    <cellStyle name="SAPBEXresItem 2 6" xfId="58086"/>
    <cellStyle name="SAPBEXresItem 2 6 2" xfId="58087"/>
    <cellStyle name="SAPBEXresItem 2 6 2 2" xfId="58088"/>
    <cellStyle name="SAPBEXresItem 2 6 3" xfId="58089"/>
    <cellStyle name="SAPBEXresItem 2 7" xfId="58090"/>
    <cellStyle name="SAPBEXresItem 2 7 2" xfId="58091"/>
    <cellStyle name="SAPBEXresItem 2 7 2 2" xfId="58092"/>
    <cellStyle name="SAPBEXresItem 2 7 3" xfId="58093"/>
    <cellStyle name="SAPBEXresItem 2 8" xfId="58094"/>
    <cellStyle name="SAPBEXresItem 2 8 2" xfId="58095"/>
    <cellStyle name="SAPBEXresItem 2 8 2 2" xfId="58096"/>
    <cellStyle name="SAPBEXresItem 2 8 3" xfId="58097"/>
    <cellStyle name="SAPBEXresItem 2 9" xfId="58098"/>
    <cellStyle name="SAPBEXresItem 2 9 2" xfId="58099"/>
    <cellStyle name="SAPBEXresItem 3" xfId="58100"/>
    <cellStyle name="SAPBEXresItem 3 2" xfId="58101"/>
    <cellStyle name="SAPBEXresItem 3 2 2" xfId="58102"/>
    <cellStyle name="SAPBEXresItem 3 3" xfId="58103"/>
    <cellStyle name="SAPBEXresItem 4" xfId="58104"/>
    <cellStyle name="SAPBEXresItem 4 2" xfId="58105"/>
    <cellStyle name="SAPBEXresItem 4 2 2" xfId="58106"/>
    <cellStyle name="SAPBEXresItem 4 3" xfId="58107"/>
    <cellStyle name="SAPBEXresItem 5" xfId="58108"/>
    <cellStyle name="SAPBEXresItem 5 2" xfId="58109"/>
    <cellStyle name="SAPBEXresItem 5 2 2" xfId="58110"/>
    <cellStyle name="SAPBEXresItem 5 3" xfId="58111"/>
    <cellStyle name="SAPBEXresItem 6" xfId="58112"/>
    <cellStyle name="SAPBEXresItem 6 2" xfId="58113"/>
    <cellStyle name="SAPBEXresItem 6 2 2" xfId="58114"/>
    <cellStyle name="SAPBEXresItem 6 3" xfId="58115"/>
    <cellStyle name="SAPBEXresItem 7" xfId="58116"/>
    <cellStyle name="SAPBEXresItem 7 2" xfId="58117"/>
    <cellStyle name="SAPBEXresItem 7 2 2" xfId="58118"/>
    <cellStyle name="SAPBEXresItem 7 3" xfId="58119"/>
    <cellStyle name="SAPBEXresItem 8" xfId="58120"/>
    <cellStyle name="SAPBEXresItem 8 2" xfId="58121"/>
    <cellStyle name="SAPBEXresItem 8 2 2" xfId="58122"/>
    <cellStyle name="SAPBEXresItem 8 3" xfId="58123"/>
    <cellStyle name="SAPBEXresItem 9" xfId="58124"/>
    <cellStyle name="SAPBEXresItem 9 2" xfId="58125"/>
    <cellStyle name="SAPBEXresItem 9 2 2" xfId="58126"/>
    <cellStyle name="SAPBEXresItem 9 3" xfId="58127"/>
    <cellStyle name="SAPBEXresItemX" xfId="58128"/>
    <cellStyle name="SAPBEXstdData" xfId="58129"/>
    <cellStyle name="SAPBEXstdData 10" xfId="58130"/>
    <cellStyle name="SAPBEXstdData 10 2" xfId="58131"/>
    <cellStyle name="SAPBEXstdData 10 2 2" xfId="58132"/>
    <cellStyle name="SAPBEXstdData 10 3" xfId="58133"/>
    <cellStyle name="SAPBEXstdData 11" xfId="58134"/>
    <cellStyle name="SAPBEXstdData 11 2" xfId="58135"/>
    <cellStyle name="SAPBEXstdData 11 2 2" xfId="58136"/>
    <cellStyle name="SAPBEXstdData 11 3" xfId="58137"/>
    <cellStyle name="SAPBEXstdData 12" xfId="58138"/>
    <cellStyle name="SAPBEXstdData 12 2" xfId="58139"/>
    <cellStyle name="SAPBEXstdData 13" xfId="58140"/>
    <cellStyle name="SAPBEXstdData 2" xfId="58141"/>
    <cellStyle name="SAPBEXstdData 2 2" xfId="58142"/>
    <cellStyle name="SAPBEXstdData 2 2 2" xfId="58143"/>
    <cellStyle name="SAPBEXstdData 2 3" xfId="58144"/>
    <cellStyle name="SAPBEXstdData 3" xfId="58145"/>
    <cellStyle name="SAPBEXstdData 3 2" xfId="58146"/>
    <cellStyle name="SAPBEXstdData 3 2 2" xfId="58147"/>
    <cellStyle name="SAPBEXstdData 3 3" xfId="58148"/>
    <cellStyle name="SAPBEXstdData 4" xfId="58149"/>
    <cellStyle name="SAPBEXstdData 4 2" xfId="58150"/>
    <cellStyle name="SAPBEXstdData 4 2 2" xfId="58151"/>
    <cellStyle name="SAPBEXstdData 4 3" xfId="58152"/>
    <cellStyle name="SAPBEXstdData 5" xfId="58153"/>
    <cellStyle name="SAPBEXstdData 5 2" xfId="58154"/>
    <cellStyle name="SAPBEXstdData 5 2 2" xfId="58155"/>
    <cellStyle name="SAPBEXstdData 5 3" xfId="58156"/>
    <cellStyle name="SAPBEXstdData 6" xfId="58157"/>
    <cellStyle name="SAPBEXstdData 6 2" xfId="58158"/>
    <cellStyle name="SAPBEXstdData 6 2 2" xfId="58159"/>
    <cellStyle name="SAPBEXstdData 6 3" xfId="58160"/>
    <cellStyle name="SAPBEXstdData 7" xfId="58161"/>
    <cellStyle name="SAPBEXstdData 7 2" xfId="58162"/>
    <cellStyle name="SAPBEXstdData 7 2 2" xfId="58163"/>
    <cellStyle name="SAPBEXstdData 7 3" xfId="58164"/>
    <cellStyle name="SAPBEXstdData 8" xfId="58165"/>
    <cellStyle name="SAPBEXstdData 8 2" xfId="58166"/>
    <cellStyle name="SAPBEXstdData 8 2 2" xfId="58167"/>
    <cellStyle name="SAPBEXstdData 8 3" xfId="58168"/>
    <cellStyle name="SAPBEXstdData 9" xfId="58169"/>
    <cellStyle name="SAPBEXstdData 9 2" xfId="58170"/>
    <cellStyle name="SAPBEXstdData 9 2 2" xfId="58171"/>
    <cellStyle name="SAPBEXstdData 9 3" xfId="58172"/>
    <cellStyle name="SAPBEXstdDataEmph" xfId="58173"/>
    <cellStyle name="SAPBEXstdDataEmph 10" xfId="58174"/>
    <cellStyle name="SAPBEXstdDataEmph 10 2" xfId="58175"/>
    <cellStyle name="SAPBEXstdDataEmph 10 2 2" xfId="58176"/>
    <cellStyle name="SAPBEXstdDataEmph 10 3" xfId="58177"/>
    <cellStyle name="SAPBEXstdDataEmph 11" xfId="58178"/>
    <cellStyle name="SAPBEXstdDataEmph 11 2" xfId="58179"/>
    <cellStyle name="SAPBEXstdDataEmph 11 2 2" xfId="58180"/>
    <cellStyle name="SAPBEXstdDataEmph 11 3" xfId="58181"/>
    <cellStyle name="SAPBEXstdDataEmph 12" xfId="58182"/>
    <cellStyle name="SAPBEXstdDataEmph 12 2" xfId="58183"/>
    <cellStyle name="SAPBEXstdDataEmph 13" xfId="58184"/>
    <cellStyle name="SAPBEXstdDataEmph 2" xfId="58185"/>
    <cellStyle name="SAPBEXstdDataEmph 2 2" xfId="58186"/>
    <cellStyle name="SAPBEXstdDataEmph 2 2 2" xfId="58187"/>
    <cellStyle name="SAPBEXstdDataEmph 2 3" xfId="58188"/>
    <cellStyle name="SAPBEXstdDataEmph 3" xfId="58189"/>
    <cellStyle name="SAPBEXstdDataEmph 3 2" xfId="58190"/>
    <cellStyle name="SAPBEXstdDataEmph 3 2 2" xfId="58191"/>
    <cellStyle name="SAPBEXstdDataEmph 3 3" xfId="58192"/>
    <cellStyle name="SAPBEXstdDataEmph 4" xfId="58193"/>
    <cellStyle name="SAPBEXstdDataEmph 4 2" xfId="58194"/>
    <cellStyle name="SAPBEXstdDataEmph 4 2 2" xfId="58195"/>
    <cellStyle name="SAPBEXstdDataEmph 4 3" xfId="58196"/>
    <cellStyle name="SAPBEXstdDataEmph 5" xfId="58197"/>
    <cellStyle name="SAPBEXstdDataEmph 5 2" xfId="58198"/>
    <cellStyle name="SAPBEXstdDataEmph 5 2 2" xfId="58199"/>
    <cellStyle name="SAPBEXstdDataEmph 5 3" xfId="58200"/>
    <cellStyle name="SAPBEXstdDataEmph 6" xfId="58201"/>
    <cellStyle name="SAPBEXstdDataEmph 6 2" xfId="58202"/>
    <cellStyle name="SAPBEXstdDataEmph 6 2 2" xfId="58203"/>
    <cellStyle name="SAPBEXstdDataEmph 6 3" xfId="58204"/>
    <cellStyle name="SAPBEXstdDataEmph 7" xfId="58205"/>
    <cellStyle name="SAPBEXstdDataEmph 7 2" xfId="58206"/>
    <cellStyle name="SAPBEXstdDataEmph 7 2 2" xfId="58207"/>
    <cellStyle name="SAPBEXstdDataEmph 7 3" xfId="58208"/>
    <cellStyle name="SAPBEXstdDataEmph 8" xfId="58209"/>
    <cellStyle name="SAPBEXstdDataEmph 8 2" xfId="58210"/>
    <cellStyle name="SAPBEXstdDataEmph 8 2 2" xfId="58211"/>
    <cellStyle name="SAPBEXstdDataEmph 8 3" xfId="58212"/>
    <cellStyle name="SAPBEXstdDataEmph 9" xfId="58213"/>
    <cellStyle name="SAPBEXstdDataEmph 9 2" xfId="58214"/>
    <cellStyle name="SAPBEXstdDataEmph 9 2 2" xfId="58215"/>
    <cellStyle name="SAPBEXstdDataEmph 9 3" xfId="58216"/>
    <cellStyle name="SAPBEXstdItem" xfId="58217"/>
    <cellStyle name="SAPBEXstdItem 10" xfId="58218"/>
    <cellStyle name="SAPBEXstdItem 10 2" xfId="58219"/>
    <cellStyle name="SAPBEXstdItem 10 2 2" xfId="58220"/>
    <cellStyle name="SAPBEXstdItem 10 3" xfId="58221"/>
    <cellStyle name="SAPBEXstdItem 11" xfId="58222"/>
    <cellStyle name="SAPBEXstdItem 11 2" xfId="58223"/>
    <cellStyle name="SAPBEXstdItem 11 2 2" xfId="58224"/>
    <cellStyle name="SAPBEXstdItem 11 3" xfId="58225"/>
    <cellStyle name="SAPBEXstdItem 12" xfId="58226"/>
    <cellStyle name="SAPBEXstdItem 12 2" xfId="58227"/>
    <cellStyle name="SAPBEXstdItem 13" xfId="58228"/>
    <cellStyle name="SAPBEXstdItem 2" xfId="58229"/>
    <cellStyle name="SAPBEXstdItem 2 2" xfId="58230"/>
    <cellStyle name="SAPBEXstdItem 2 2 2" xfId="58231"/>
    <cellStyle name="SAPBEXstdItem 2 3" xfId="58232"/>
    <cellStyle name="SAPBEXstdItem 3" xfId="58233"/>
    <cellStyle name="SAPBEXstdItem 3 2" xfId="58234"/>
    <cellStyle name="SAPBEXstdItem 3 2 2" xfId="58235"/>
    <cellStyle name="SAPBEXstdItem 3 3" xfId="58236"/>
    <cellStyle name="SAPBEXstdItem 4" xfId="58237"/>
    <cellStyle name="SAPBEXstdItem 4 2" xfId="58238"/>
    <cellStyle name="SAPBEXstdItem 4 2 2" xfId="58239"/>
    <cellStyle name="SAPBEXstdItem 4 3" xfId="58240"/>
    <cellStyle name="SAPBEXstdItem 5" xfId="58241"/>
    <cellStyle name="SAPBEXstdItem 5 2" xfId="58242"/>
    <cellStyle name="SAPBEXstdItem 5 2 2" xfId="58243"/>
    <cellStyle name="SAPBEXstdItem 5 3" xfId="58244"/>
    <cellStyle name="SAPBEXstdItem 6" xfId="58245"/>
    <cellStyle name="SAPBEXstdItem 6 2" xfId="58246"/>
    <cellStyle name="SAPBEXstdItem 6 2 2" xfId="58247"/>
    <cellStyle name="SAPBEXstdItem 6 3" xfId="58248"/>
    <cellStyle name="SAPBEXstdItem 7" xfId="58249"/>
    <cellStyle name="SAPBEXstdItem 7 2" xfId="58250"/>
    <cellStyle name="SAPBEXstdItem 7 2 2" xfId="58251"/>
    <cellStyle name="SAPBEXstdItem 7 3" xfId="58252"/>
    <cellStyle name="SAPBEXstdItem 8" xfId="58253"/>
    <cellStyle name="SAPBEXstdItem 8 2" xfId="58254"/>
    <cellStyle name="SAPBEXstdItem 8 2 2" xfId="58255"/>
    <cellStyle name="SAPBEXstdItem 8 3" xfId="58256"/>
    <cellStyle name="SAPBEXstdItem 9" xfId="58257"/>
    <cellStyle name="SAPBEXstdItem 9 2" xfId="58258"/>
    <cellStyle name="SAPBEXstdItem 9 2 2" xfId="58259"/>
    <cellStyle name="SAPBEXstdItem 9 3" xfId="58260"/>
    <cellStyle name="SAPBEXstdItemX" xfId="58261"/>
    <cellStyle name="SAPBEXtitle" xfId="58262"/>
    <cellStyle name="SAPBEXtitle 10" xfId="58263"/>
    <cellStyle name="SAPBEXtitle 10 2" xfId="58264"/>
    <cellStyle name="SAPBEXtitle 10 2 2" xfId="58265"/>
    <cellStyle name="SAPBEXtitle 10 3" xfId="58266"/>
    <cellStyle name="SAPBEXtitle 11" xfId="58267"/>
    <cellStyle name="SAPBEXtitle 11 2" xfId="58268"/>
    <cellStyle name="SAPBEXtitle 11 2 2" xfId="58269"/>
    <cellStyle name="SAPBEXtitle 11 3" xfId="58270"/>
    <cellStyle name="SAPBEXtitle 12" xfId="58271"/>
    <cellStyle name="SAPBEXtitle 12 2" xfId="58272"/>
    <cellStyle name="SAPBEXtitle 13" xfId="58273"/>
    <cellStyle name="SAPBEXtitle 2" xfId="58274"/>
    <cellStyle name="SAPBEXtitle 2 2" xfId="58275"/>
    <cellStyle name="SAPBEXtitle 2 2 2" xfId="58276"/>
    <cellStyle name="SAPBEXtitle 2 3" xfId="58277"/>
    <cellStyle name="SAPBEXtitle 3" xfId="58278"/>
    <cellStyle name="SAPBEXtitle 3 2" xfId="58279"/>
    <cellStyle name="SAPBEXtitle 3 2 2" xfId="58280"/>
    <cellStyle name="SAPBEXtitle 3 3" xfId="58281"/>
    <cellStyle name="SAPBEXtitle 4" xfId="58282"/>
    <cellStyle name="SAPBEXtitle 4 2" xfId="58283"/>
    <cellStyle name="SAPBEXtitle 4 2 2" xfId="58284"/>
    <cellStyle name="SAPBEXtitle 4 3" xfId="58285"/>
    <cellStyle name="SAPBEXtitle 5" xfId="58286"/>
    <cellStyle name="SAPBEXtitle 5 2" xfId="58287"/>
    <cellStyle name="SAPBEXtitle 5 2 2" xfId="58288"/>
    <cellStyle name="SAPBEXtitle 5 3" xfId="58289"/>
    <cellStyle name="SAPBEXtitle 6" xfId="58290"/>
    <cellStyle name="SAPBEXtitle 6 2" xfId="58291"/>
    <cellStyle name="SAPBEXtitle 6 2 2" xfId="58292"/>
    <cellStyle name="SAPBEXtitle 6 3" xfId="58293"/>
    <cellStyle name="SAPBEXtitle 7" xfId="58294"/>
    <cellStyle name="SAPBEXtitle 7 2" xfId="58295"/>
    <cellStyle name="SAPBEXtitle 7 2 2" xfId="58296"/>
    <cellStyle name="SAPBEXtitle 7 3" xfId="58297"/>
    <cellStyle name="SAPBEXtitle 8" xfId="58298"/>
    <cellStyle name="SAPBEXtitle 8 2" xfId="58299"/>
    <cellStyle name="SAPBEXtitle 8 2 2" xfId="58300"/>
    <cellStyle name="SAPBEXtitle 8 3" xfId="58301"/>
    <cellStyle name="SAPBEXtitle 9" xfId="58302"/>
    <cellStyle name="SAPBEXtitle 9 2" xfId="58303"/>
    <cellStyle name="SAPBEXtitle 9 2 2" xfId="58304"/>
    <cellStyle name="SAPBEXtitle 9 3" xfId="58305"/>
    <cellStyle name="SAPBEXunassignedItem" xfId="58306"/>
    <cellStyle name="SAPBEXundefined" xfId="58307"/>
    <cellStyle name="SAPBEXundefined 10" xfId="58308"/>
    <cellStyle name="SAPBEXundefined 10 2" xfId="58309"/>
    <cellStyle name="SAPBEXundefined 10 2 2" xfId="58310"/>
    <cellStyle name="SAPBEXundefined 10 3" xfId="58311"/>
    <cellStyle name="SAPBEXundefined 11" xfId="58312"/>
    <cellStyle name="SAPBEXundefined 11 2" xfId="58313"/>
    <cellStyle name="SAPBEXundefined 11 2 2" xfId="58314"/>
    <cellStyle name="SAPBEXundefined 11 3" xfId="58315"/>
    <cellStyle name="SAPBEXundefined 12" xfId="58316"/>
    <cellStyle name="SAPBEXundefined 12 2" xfId="58317"/>
    <cellStyle name="SAPBEXundefined 13" xfId="58318"/>
    <cellStyle name="SAPBEXundefined 2" xfId="58319"/>
    <cellStyle name="SAPBEXundefined 2 2" xfId="58320"/>
    <cellStyle name="SAPBEXundefined 2 2 2" xfId="58321"/>
    <cellStyle name="SAPBEXundefined 2 3" xfId="58322"/>
    <cellStyle name="SAPBEXundefined 3" xfId="58323"/>
    <cellStyle name="SAPBEXundefined 3 2" xfId="58324"/>
    <cellStyle name="SAPBEXundefined 3 2 2" xfId="58325"/>
    <cellStyle name="SAPBEXundefined 3 3" xfId="58326"/>
    <cellStyle name="SAPBEXundefined 4" xfId="58327"/>
    <cellStyle name="SAPBEXundefined 4 2" xfId="58328"/>
    <cellStyle name="SAPBEXundefined 4 2 2" xfId="58329"/>
    <cellStyle name="SAPBEXundefined 4 3" xfId="58330"/>
    <cellStyle name="SAPBEXundefined 5" xfId="58331"/>
    <cellStyle name="SAPBEXundefined 5 2" xfId="58332"/>
    <cellStyle name="SAPBEXundefined 5 2 2" xfId="58333"/>
    <cellStyle name="SAPBEXundefined 5 3" xfId="58334"/>
    <cellStyle name="SAPBEXundefined 6" xfId="58335"/>
    <cellStyle name="SAPBEXundefined 6 2" xfId="58336"/>
    <cellStyle name="SAPBEXundefined 6 2 2" xfId="58337"/>
    <cellStyle name="SAPBEXundefined 6 3" xfId="58338"/>
    <cellStyle name="SAPBEXundefined 7" xfId="58339"/>
    <cellStyle name="SAPBEXundefined 7 2" xfId="58340"/>
    <cellStyle name="SAPBEXundefined 7 2 2" xfId="58341"/>
    <cellStyle name="SAPBEXundefined 7 3" xfId="58342"/>
    <cellStyle name="SAPBEXundefined 8" xfId="58343"/>
    <cellStyle name="SAPBEXundefined 8 2" xfId="58344"/>
    <cellStyle name="SAPBEXundefined 8 2 2" xfId="58345"/>
    <cellStyle name="SAPBEXundefined 8 3" xfId="58346"/>
    <cellStyle name="SAPBEXundefined 9" xfId="58347"/>
    <cellStyle name="SAPBEXundefined 9 2" xfId="58348"/>
    <cellStyle name="SAPBEXundefined 9 2 2" xfId="58349"/>
    <cellStyle name="SAPBEXundefined 9 3" xfId="58350"/>
    <cellStyle name="SHARON" xfId="58351"/>
    <cellStyle name="Sheet Title" xfId="58352"/>
    <cellStyle name="Short $" xfId="58353"/>
    <cellStyle name="spcblack" xfId="58354"/>
    <cellStyle name="status" xfId="58355"/>
    <cellStyle name="status 2" xfId="58356"/>
    <cellStyle name="status 2 2" xfId="58357"/>
    <cellStyle name="status 2 2 2" xfId="58358"/>
    <cellStyle name="status 2 2 2 2" xfId="58359"/>
    <cellStyle name="status 2 2 2 3" xfId="58360"/>
    <cellStyle name="status 2 2 3" xfId="58361"/>
    <cellStyle name="status 2 2 4" xfId="58362"/>
    <cellStyle name="status 2 3" xfId="58363"/>
    <cellStyle name="status 2 3 2" xfId="58364"/>
    <cellStyle name="status 2 3 3" xfId="58365"/>
    <cellStyle name="status 2 4" xfId="58366"/>
    <cellStyle name="status 2 5" xfId="58367"/>
    <cellStyle name="status 3" xfId="58368"/>
    <cellStyle name="status 3 2" xfId="58369"/>
    <cellStyle name="status 3 3" xfId="58370"/>
    <cellStyle name="status 4" xfId="58371"/>
    <cellStyle name="status 5" xfId="58372"/>
    <cellStyle name="Style 1" xfId="58373"/>
    <cellStyle name="Style 10" xfId="58374"/>
    <cellStyle name="Style 10 10" xfId="58375"/>
    <cellStyle name="Style 10 11" xfId="58376"/>
    <cellStyle name="Style 10 12" xfId="58377"/>
    <cellStyle name="Style 10 2" xfId="58378"/>
    <cellStyle name="Style 10 2 2" xfId="58379"/>
    <cellStyle name="Style 10 2 2 2" xfId="58380"/>
    <cellStyle name="Style 10 2 2 2 2" xfId="58381"/>
    <cellStyle name="Style 10 2 2 2 3" xfId="58382"/>
    <cellStyle name="Style 10 2 2 3" xfId="58383"/>
    <cellStyle name="Style 10 2 2 3 2" xfId="58384"/>
    <cellStyle name="Style 10 2 2 3 3" xfId="58385"/>
    <cellStyle name="Style 10 2 2 4" xfId="58386"/>
    <cellStyle name="Style 10 2 2 5" xfId="58387"/>
    <cellStyle name="Style 10 2 3" xfId="58388"/>
    <cellStyle name="Style 10 2 3 2" xfId="58389"/>
    <cellStyle name="Style 10 2 3 3" xfId="58390"/>
    <cellStyle name="Style 10 2 4" xfId="58391"/>
    <cellStyle name="Style 10 2 4 2" xfId="58392"/>
    <cellStyle name="Style 10 2 4 3" xfId="58393"/>
    <cellStyle name="Style 10 2 5" xfId="58394"/>
    <cellStyle name="Style 10 2 6" xfId="58395"/>
    <cellStyle name="Style 10 3" xfId="58396"/>
    <cellStyle name="Style 10 3 2" xfId="58397"/>
    <cellStyle name="Style 10 3 2 2" xfId="58398"/>
    <cellStyle name="Style 10 3 2 3" xfId="58399"/>
    <cellStyle name="Style 10 3 3" xfId="58400"/>
    <cellStyle name="Style 10 3 3 2" xfId="58401"/>
    <cellStyle name="Style 10 3 3 3" xfId="58402"/>
    <cellStyle name="Style 10 3 4" xfId="58403"/>
    <cellStyle name="Style 10 3 5" xfId="58404"/>
    <cellStyle name="Style 10 4" xfId="58405"/>
    <cellStyle name="Style 10 4 2" xfId="58406"/>
    <cellStyle name="Style 10 4 2 2" xfId="58407"/>
    <cellStyle name="Style 10 4 2 2 2" xfId="58408"/>
    <cellStyle name="Style 10 4 2 2 3" xfId="58409"/>
    <cellStyle name="Style 10 4 2 3" xfId="58410"/>
    <cellStyle name="Style 10 4 2 3 2" xfId="58411"/>
    <cellStyle name="Style 10 4 2 3 3" xfId="58412"/>
    <cellStyle name="Style 10 4 2 4" xfId="58413"/>
    <cellStyle name="Style 10 4 2 5" xfId="58414"/>
    <cellStyle name="Style 10 4 3" xfId="58415"/>
    <cellStyle name="Style 10 4 3 2" xfId="58416"/>
    <cellStyle name="Style 10 4 3 3" xfId="58417"/>
    <cellStyle name="Style 10 4 4" xfId="58418"/>
    <cellStyle name="Style 10 4 4 2" xfId="58419"/>
    <cellStyle name="Style 10 4 4 3" xfId="58420"/>
    <cellStyle name="Style 10 4 5" xfId="58421"/>
    <cellStyle name="Style 10 4 6" xfId="58422"/>
    <cellStyle name="Style 10 5" xfId="58423"/>
    <cellStyle name="Style 10 5 2" xfId="58424"/>
    <cellStyle name="Style 10 5 3" xfId="58425"/>
    <cellStyle name="Style 10 6" xfId="58426"/>
    <cellStyle name="Style 10 6 2" xfId="58427"/>
    <cellStyle name="Style 10 6 3" xfId="58428"/>
    <cellStyle name="Style 10 7" xfId="58429"/>
    <cellStyle name="Style 10 8" xfId="58430"/>
    <cellStyle name="Style 10 9" xfId="58431"/>
    <cellStyle name="Style 11" xfId="58432"/>
    <cellStyle name="Style 11 10" xfId="58433"/>
    <cellStyle name="Style 11 11" xfId="58434"/>
    <cellStyle name="Style 11 12" xfId="58435"/>
    <cellStyle name="Style 11 2" xfId="58436"/>
    <cellStyle name="Style 11 2 2" xfId="58437"/>
    <cellStyle name="Style 11 2 2 2" xfId="58438"/>
    <cellStyle name="Style 11 2 2 2 2" xfId="58439"/>
    <cellStyle name="Style 11 2 2 2 3" xfId="58440"/>
    <cellStyle name="Style 11 2 2 3" xfId="58441"/>
    <cellStyle name="Style 11 2 2 3 2" xfId="58442"/>
    <cellStyle name="Style 11 2 2 3 3" xfId="58443"/>
    <cellStyle name="Style 11 2 2 4" xfId="58444"/>
    <cellStyle name="Style 11 2 2 5" xfId="58445"/>
    <cellStyle name="Style 11 2 3" xfId="58446"/>
    <cellStyle name="Style 11 2 3 2" xfId="58447"/>
    <cellStyle name="Style 11 2 3 3" xfId="58448"/>
    <cellStyle name="Style 11 2 4" xfId="58449"/>
    <cellStyle name="Style 11 2 4 2" xfId="58450"/>
    <cellStyle name="Style 11 2 4 3" xfId="58451"/>
    <cellStyle name="Style 11 2 5" xfId="58452"/>
    <cellStyle name="Style 11 2 6" xfId="58453"/>
    <cellStyle name="Style 11 3" xfId="58454"/>
    <cellStyle name="Style 11 3 2" xfId="58455"/>
    <cellStyle name="Style 11 3 2 2" xfId="58456"/>
    <cellStyle name="Style 11 3 2 3" xfId="58457"/>
    <cellStyle name="Style 11 3 3" xfId="58458"/>
    <cellStyle name="Style 11 3 3 2" xfId="58459"/>
    <cellStyle name="Style 11 3 3 3" xfId="58460"/>
    <cellStyle name="Style 11 3 4" xfId="58461"/>
    <cellStyle name="Style 11 3 5" xfId="58462"/>
    <cellStyle name="Style 11 4" xfId="58463"/>
    <cellStyle name="Style 11 4 2" xfId="58464"/>
    <cellStyle name="Style 11 4 2 2" xfId="58465"/>
    <cellStyle name="Style 11 4 2 2 2" xfId="58466"/>
    <cellStyle name="Style 11 4 2 2 3" xfId="58467"/>
    <cellStyle name="Style 11 4 2 3" xfId="58468"/>
    <cellStyle name="Style 11 4 2 3 2" xfId="58469"/>
    <cellStyle name="Style 11 4 2 3 3" xfId="58470"/>
    <cellStyle name="Style 11 4 2 4" xfId="58471"/>
    <cellStyle name="Style 11 4 2 5" xfId="58472"/>
    <cellStyle name="Style 11 4 3" xfId="58473"/>
    <cellStyle name="Style 11 4 3 2" xfId="58474"/>
    <cellStyle name="Style 11 4 3 3" xfId="58475"/>
    <cellStyle name="Style 11 4 4" xfId="58476"/>
    <cellStyle name="Style 11 4 4 2" xfId="58477"/>
    <cellStyle name="Style 11 4 4 3" xfId="58478"/>
    <cellStyle name="Style 11 4 5" xfId="58479"/>
    <cellStyle name="Style 11 4 6" xfId="58480"/>
    <cellStyle name="Style 11 5" xfId="58481"/>
    <cellStyle name="Style 11 5 2" xfId="58482"/>
    <cellStyle name="Style 11 5 3" xfId="58483"/>
    <cellStyle name="Style 11 6" xfId="58484"/>
    <cellStyle name="Style 11 6 2" xfId="58485"/>
    <cellStyle name="Style 11 6 3" xfId="58486"/>
    <cellStyle name="Style 11 7" xfId="58487"/>
    <cellStyle name="Style 11 8" xfId="58488"/>
    <cellStyle name="Style 11 9" xfId="58489"/>
    <cellStyle name="Style 12" xfId="58490"/>
    <cellStyle name="Style 12 2" xfId="58491"/>
    <cellStyle name="Style 12 2 2" xfId="58492"/>
    <cellStyle name="Style 12 2 3" xfId="58493"/>
    <cellStyle name="Style 12 3" xfId="58494"/>
    <cellStyle name="Style 12 3 2" xfId="58495"/>
    <cellStyle name="Style 12 3 3" xfId="58496"/>
    <cellStyle name="Style 12 4" xfId="58497"/>
    <cellStyle name="Style 12 5" xfId="58498"/>
    <cellStyle name="Style 13" xfId="58499"/>
    <cellStyle name="Style 13 2" xfId="58500"/>
    <cellStyle name="Style 13 3" xfId="58501"/>
    <cellStyle name="Style 14" xfId="58502"/>
    <cellStyle name="Style 14 2" xfId="58503"/>
    <cellStyle name="Style 14 3" xfId="58504"/>
    <cellStyle name="Style 15" xfId="58505"/>
    <cellStyle name="Style 16" xfId="58506"/>
    <cellStyle name="Style 17" xfId="58507"/>
    <cellStyle name="Style 18" xfId="58508"/>
    <cellStyle name="Style 19" xfId="58509"/>
    <cellStyle name="Style 19 2" xfId="58510"/>
    <cellStyle name="Style 19 3" xfId="58511"/>
    <cellStyle name="Style 2" xfId="58512"/>
    <cellStyle name="Style 20" xfId="58513"/>
    <cellStyle name="Style 20 2" xfId="58514"/>
    <cellStyle name="Style 20 3" xfId="58515"/>
    <cellStyle name="Style 21" xfId="58516"/>
    <cellStyle name="Style 21 2" xfId="58517"/>
    <cellStyle name="Style 21 3" xfId="58518"/>
    <cellStyle name="Style 22" xfId="58519"/>
    <cellStyle name="Style 22 2" xfId="58520"/>
    <cellStyle name="Style 22 3" xfId="58521"/>
    <cellStyle name="Style 3" xfId="58522"/>
    <cellStyle name="Style 4" xfId="58523"/>
    <cellStyle name="Style 4 10" xfId="58524"/>
    <cellStyle name="Style 4 11" xfId="58525"/>
    <cellStyle name="Style 4 12" xfId="58526"/>
    <cellStyle name="Style 4 2" xfId="58527"/>
    <cellStyle name="Style 4 2 2" xfId="58528"/>
    <cellStyle name="Style 4 2 2 2" xfId="58529"/>
    <cellStyle name="Style 4 2 2 2 2" xfId="58530"/>
    <cellStyle name="Style 4 2 2 2 3" xfId="58531"/>
    <cellStyle name="Style 4 2 2 3" xfId="58532"/>
    <cellStyle name="Style 4 2 2 3 2" xfId="58533"/>
    <cellStyle name="Style 4 2 2 3 3" xfId="58534"/>
    <cellStyle name="Style 4 2 2 4" xfId="58535"/>
    <cellStyle name="Style 4 2 2 5" xfId="58536"/>
    <cellStyle name="Style 4 2 3" xfId="58537"/>
    <cellStyle name="Style 4 2 3 2" xfId="58538"/>
    <cellStyle name="Style 4 2 3 3" xfId="58539"/>
    <cellStyle name="Style 4 2 4" xfId="58540"/>
    <cellStyle name="Style 4 2 4 2" xfId="58541"/>
    <cellStyle name="Style 4 2 4 3" xfId="58542"/>
    <cellStyle name="Style 4 2 5" xfId="58543"/>
    <cellStyle name="Style 4 2 6" xfId="58544"/>
    <cellStyle name="Style 4 3" xfId="58545"/>
    <cellStyle name="Style 4 3 2" xfId="58546"/>
    <cellStyle name="Style 4 3 2 2" xfId="58547"/>
    <cellStyle name="Style 4 3 2 3" xfId="58548"/>
    <cellStyle name="Style 4 3 3" xfId="58549"/>
    <cellStyle name="Style 4 3 3 2" xfId="58550"/>
    <cellStyle name="Style 4 3 3 3" xfId="58551"/>
    <cellStyle name="Style 4 3 4" xfId="58552"/>
    <cellStyle name="Style 4 3 5" xfId="58553"/>
    <cellStyle name="Style 4 4" xfId="58554"/>
    <cellStyle name="Style 4 4 2" xfId="58555"/>
    <cellStyle name="Style 4 4 2 2" xfId="58556"/>
    <cellStyle name="Style 4 4 2 2 2" xfId="58557"/>
    <cellStyle name="Style 4 4 2 2 3" xfId="58558"/>
    <cellStyle name="Style 4 4 2 3" xfId="58559"/>
    <cellStyle name="Style 4 4 2 3 2" xfId="58560"/>
    <cellStyle name="Style 4 4 2 3 3" xfId="58561"/>
    <cellStyle name="Style 4 4 2 4" xfId="58562"/>
    <cellStyle name="Style 4 4 2 5" xfId="58563"/>
    <cellStyle name="Style 4 4 3" xfId="58564"/>
    <cellStyle name="Style 4 4 3 2" xfId="58565"/>
    <cellStyle name="Style 4 4 3 3" xfId="58566"/>
    <cellStyle name="Style 4 4 4" xfId="58567"/>
    <cellStyle name="Style 4 4 4 2" xfId="58568"/>
    <cellStyle name="Style 4 4 4 3" xfId="58569"/>
    <cellStyle name="Style 4 4 5" xfId="58570"/>
    <cellStyle name="Style 4 4 6" xfId="58571"/>
    <cellStyle name="Style 4 5" xfId="58572"/>
    <cellStyle name="Style 4 5 2" xfId="58573"/>
    <cellStyle name="Style 4 5 3" xfId="58574"/>
    <cellStyle name="Style 4 6" xfId="58575"/>
    <cellStyle name="Style 4 6 2" xfId="58576"/>
    <cellStyle name="Style 4 6 3" xfId="58577"/>
    <cellStyle name="Style 4 7" xfId="58578"/>
    <cellStyle name="Style 4 8" xfId="58579"/>
    <cellStyle name="Style 4 9" xfId="58580"/>
    <cellStyle name="Style 5" xfId="58581"/>
    <cellStyle name="Style 5 10" xfId="58582"/>
    <cellStyle name="Style 5 11" xfId="58583"/>
    <cellStyle name="Style 5 12" xfId="58584"/>
    <cellStyle name="Style 5 2" xfId="58585"/>
    <cellStyle name="Style 5 2 2" xfId="58586"/>
    <cellStyle name="Style 5 2 2 2" xfId="58587"/>
    <cellStyle name="Style 5 2 2 2 2" xfId="58588"/>
    <cellStyle name="Style 5 2 2 2 3" xfId="58589"/>
    <cellStyle name="Style 5 2 2 3" xfId="58590"/>
    <cellStyle name="Style 5 2 2 3 2" xfId="58591"/>
    <cellStyle name="Style 5 2 2 3 3" xfId="58592"/>
    <cellStyle name="Style 5 2 2 4" xfId="58593"/>
    <cellStyle name="Style 5 2 2 5" xfId="58594"/>
    <cellStyle name="Style 5 2 3" xfId="58595"/>
    <cellStyle name="Style 5 2 3 2" xfId="58596"/>
    <cellStyle name="Style 5 2 3 3" xfId="58597"/>
    <cellStyle name="Style 5 2 4" xfId="58598"/>
    <cellStyle name="Style 5 2 4 2" xfId="58599"/>
    <cellStyle name="Style 5 2 4 3" xfId="58600"/>
    <cellStyle name="Style 5 2 5" xfId="58601"/>
    <cellStyle name="Style 5 2 6" xfId="58602"/>
    <cellStyle name="Style 5 3" xfId="58603"/>
    <cellStyle name="Style 5 3 2" xfId="58604"/>
    <cellStyle name="Style 5 3 2 2" xfId="58605"/>
    <cellStyle name="Style 5 3 2 3" xfId="58606"/>
    <cellStyle name="Style 5 3 3" xfId="58607"/>
    <cellStyle name="Style 5 3 3 2" xfId="58608"/>
    <cellStyle name="Style 5 3 3 3" xfId="58609"/>
    <cellStyle name="Style 5 3 4" xfId="58610"/>
    <cellStyle name="Style 5 3 5" xfId="58611"/>
    <cellStyle name="Style 5 4" xfId="58612"/>
    <cellStyle name="Style 5 4 2" xfId="58613"/>
    <cellStyle name="Style 5 4 2 2" xfId="58614"/>
    <cellStyle name="Style 5 4 2 2 2" xfId="58615"/>
    <cellStyle name="Style 5 4 2 2 3" xfId="58616"/>
    <cellStyle name="Style 5 4 2 3" xfId="58617"/>
    <cellStyle name="Style 5 4 2 3 2" xfId="58618"/>
    <cellStyle name="Style 5 4 2 3 3" xfId="58619"/>
    <cellStyle name="Style 5 4 2 4" xfId="58620"/>
    <cellStyle name="Style 5 4 2 5" xfId="58621"/>
    <cellStyle name="Style 5 4 3" xfId="58622"/>
    <cellStyle name="Style 5 4 3 2" xfId="58623"/>
    <cellStyle name="Style 5 4 3 3" xfId="58624"/>
    <cellStyle name="Style 5 4 4" xfId="58625"/>
    <cellStyle name="Style 5 4 4 2" xfId="58626"/>
    <cellStyle name="Style 5 4 4 3" xfId="58627"/>
    <cellStyle name="Style 5 4 5" xfId="58628"/>
    <cellStyle name="Style 5 4 6" xfId="58629"/>
    <cellStyle name="Style 5 5" xfId="58630"/>
    <cellStyle name="Style 5 5 2" xfId="58631"/>
    <cellStyle name="Style 5 5 3" xfId="58632"/>
    <cellStyle name="Style 5 6" xfId="58633"/>
    <cellStyle name="Style 5 6 2" xfId="58634"/>
    <cellStyle name="Style 5 6 3" xfId="58635"/>
    <cellStyle name="Style 5 7" xfId="58636"/>
    <cellStyle name="Style 5 8" xfId="58637"/>
    <cellStyle name="Style 5 9" xfId="58638"/>
    <cellStyle name="Style 6" xfId="58639"/>
    <cellStyle name="Style 6 10" xfId="58640"/>
    <cellStyle name="Style 6 11" xfId="58641"/>
    <cellStyle name="Style 6 12" xfId="58642"/>
    <cellStyle name="Style 6 2" xfId="58643"/>
    <cellStyle name="Style 6 2 2" xfId="58644"/>
    <cellStyle name="Style 6 2 2 2" xfId="58645"/>
    <cellStyle name="Style 6 2 2 2 2" xfId="58646"/>
    <cellStyle name="Style 6 2 2 2 3" xfId="58647"/>
    <cellStyle name="Style 6 2 2 3" xfId="58648"/>
    <cellStyle name="Style 6 2 2 3 2" xfId="58649"/>
    <cellStyle name="Style 6 2 2 3 3" xfId="58650"/>
    <cellStyle name="Style 6 2 2 4" xfId="58651"/>
    <cellStyle name="Style 6 2 2 5" xfId="58652"/>
    <cellStyle name="Style 6 2 3" xfId="58653"/>
    <cellStyle name="Style 6 2 3 2" xfId="58654"/>
    <cellStyle name="Style 6 2 3 3" xfId="58655"/>
    <cellStyle name="Style 6 2 4" xfId="58656"/>
    <cellStyle name="Style 6 2 4 2" xfId="58657"/>
    <cellStyle name="Style 6 2 4 3" xfId="58658"/>
    <cellStyle name="Style 6 2 5" xfId="58659"/>
    <cellStyle name="Style 6 2 6" xfId="58660"/>
    <cellStyle name="Style 6 3" xfId="58661"/>
    <cellStyle name="Style 6 3 2" xfId="58662"/>
    <cellStyle name="Style 6 3 2 2" xfId="58663"/>
    <cellStyle name="Style 6 3 2 3" xfId="58664"/>
    <cellStyle name="Style 6 3 3" xfId="58665"/>
    <cellStyle name="Style 6 3 3 2" xfId="58666"/>
    <cellStyle name="Style 6 3 3 3" xfId="58667"/>
    <cellStyle name="Style 6 3 4" xfId="58668"/>
    <cellStyle name="Style 6 3 5" xfId="58669"/>
    <cellStyle name="Style 6 4" xfId="58670"/>
    <cellStyle name="Style 6 4 2" xfId="58671"/>
    <cellStyle name="Style 6 4 2 2" xfId="58672"/>
    <cellStyle name="Style 6 4 2 2 2" xfId="58673"/>
    <cellStyle name="Style 6 4 2 2 3" xfId="58674"/>
    <cellStyle name="Style 6 4 2 3" xfId="58675"/>
    <cellStyle name="Style 6 4 2 3 2" xfId="58676"/>
    <cellStyle name="Style 6 4 2 3 3" xfId="58677"/>
    <cellStyle name="Style 6 4 2 4" xfId="58678"/>
    <cellStyle name="Style 6 4 2 5" xfId="58679"/>
    <cellStyle name="Style 6 4 3" xfId="58680"/>
    <cellStyle name="Style 6 4 3 2" xfId="58681"/>
    <cellStyle name="Style 6 4 3 3" xfId="58682"/>
    <cellStyle name="Style 6 4 4" xfId="58683"/>
    <cellStyle name="Style 6 4 4 2" xfId="58684"/>
    <cellStyle name="Style 6 4 4 3" xfId="58685"/>
    <cellStyle name="Style 6 4 5" xfId="58686"/>
    <cellStyle name="Style 6 4 6" xfId="58687"/>
    <cellStyle name="Style 6 5" xfId="58688"/>
    <cellStyle name="Style 6 5 2" xfId="58689"/>
    <cellStyle name="Style 6 5 3" xfId="58690"/>
    <cellStyle name="Style 6 6" xfId="58691"/>
    <cellStyle name="Style 6 6 2" xfId="58692"/>
    <cellStyle name="Style 6 6 3" xfId="58693"/>
    <cellStyle name="Style 6 7" xfId="58694"/>
    <cellStyle name="Style 6 8" xfId="58695"/>
    <cellStyle name="Style 6 9" xfId="58696"/>
    <cellStyle name="Style 7" xfId="58697"/>
    <cellStyle name="Style 7 10" xfId="58698"/>
    <cellStyle name="Style 7 11" xfId="58699"/>
    <cellStyle name="Style 7 12" xfId="58700"/>
    <cellStyle name="Style 7 2" xfId="58701"/>
    <cellStyle name="Style 7 2 2" xfId="58702"/>
    <cellStyle name="Style 7 2 2 2" xfId="58703"/>
    <cellStyle name="Style 7 2 2 2 2" xfId="58704"/>
    <cellStyle name="Style 7 2 2 2 3" xfId="58705"/>
    <cellStyle name="Style 7 2 2 3" xfId="58706"/>
    <cellStyle name="Style 7 2 2 3 2" xfId="58707"/>
    <cellStyle name="Style 7 2 2 3 3" xfId="58708"/>
    <cellStyle name="Style 7 2 2 4" xfId="58709"/>
    <cellStyle name="Style 7 2 2 5" xfId="58710"/>
    <cellStyle name="Style 7 2 3" xfId="58711"/>
    <cellStyle name="Style 7 2 3 2" xfId="58712"/>
    <cellStyle name="Style 7 2 3 3" xfId="58713"/>
    <cellStyle name="Style 7 2 4" xfId="58714"/>
    <cellStyle name="Style 7 2 4 2" xfId="58715"/>
    <cellStyle name="Style 7 2 4 3" xfId="58716"/>
    <cellStyle name="Style 7 2 5" xfId="58717"/>
    <cellStyle name="Style 7 2 6" xfId="58718"/>
    <cellStyle name="Style 7 3" xfId="58719"/>
    <cellStyle name="Style 7 3 2" xfId="58720"/>
    <cellStyle name="Style 7 3 2 2" xfId="58721"/>
    <cellStyle name="Style 7 3 2 3" xfId="58722"/>
    <cellStyle name="Style 7 3 3" xfId="58723"/>
    <cellStyle name="Style 7 3 3 2" xfId="58724"/>
    <cellStyle name="Style 7 3 3 3" xfId="58725"/>
    <cellStyle name="Style 7 3 4" xfId="58726"/>
    <cellStyle name="Style 7 3 5" xfId="58727"/>
    <cellStyle name="Style 7 4" xfId="58728"/>
    <cellStyle name="Style 7 4 2" xfId="58729"/>
    <cellStyle name="Style 7 4 2 2" xfId="58730"/>
    <cellStyle name="Style 7 4 2 2 2" xfId="58731"/>
    <cellStyle name="Style 7 4 2 2 3" xfId="58732"/>
    <cellStyle name="Style 7 4 2 3" xfId="58733"/>
    <cellStyle name="Style 7 4 2 3 2" xfId="58734"/>
    <cellStyle name="Style 7 4 2 3 3" xfId="58735"/>
    <cellStyle name="Style 7 4 2 4" xfId="58736"/>
    <cellStyle name="Style 7 4 2 5" xfId="58737"/>
    <cellStyle name="Style 7 4 3" xfId="58738"/>
    <cellStyle name="Style 7 4 3 2" xfId="58739"/>
    <cellStyle name="Style 7 4 3 3" xfId="58740"/>
    <cellStyle name="Style 7 4 4" xfId="58741"/>
    <cellStyle name="Style 7 4 4 2" xfId="58742"/>
    <cellStyle name="Style 7 4 4 3" xfId="58743"/>
    <cellStyle name="Style 7 4 5" xfId="58744"/>
    <cellStyle name="Style 7 4 6" xfId="58745"/>
    <cellStyle name="Style 7 5" xfId="58746"/>
    <cellStyle name="Style 7 5 2" xfId="58747"/>
    <cellStyle name="Style 7 5 3" xfId="58748"/>
    <cellStyle name="Style 7 6" xfId="58749"/>
    <cellStyle name="Style 7 6 2" xfId="58750"/>
    <cellStyle name="Style 7 6 3" xfId="58751"/>
    <cellStyle name="Style 7 7" xfId="58752"/>
    <cellStyle name="Style 7 8" xfId="58753"/>
    <cellStyle name="Style 7 9" xfId="58754"/>
    <cellStyle name="Style 8" xfId="58755"/>
    <cellStyle name="Style 9" xfId="58756"/>
    <cellStyle name="Sum_EDS-23-2007-70629 v1 " xfId="58757"/>
    <cellStyle name="Systems" xfId="58758"/>
    <cellStyle name="temp" xfId="58759"/>
    <cellStyle name="temp 2" xfId="58760"/>
    <cellStyle name="temp 2 2" xfId="58761"/>
    <cellStyle name="temp 2 2 2" xfId="58762"/>
    <cellStyle name="temp 2 2 2 2" xfId="58763"/>
    <cellStyle name="temp 2 2 2 3" xfId="58764"/>
    <cellStyle name="temp 2 2 3" xfId="58765"/>
    <cellStyle name="temp 2 2 4" xfId="58766"/>
    <cellStyle name="temp 2 3" xfId="58767"/>
    <cellStyle name="temp 2 3 2" xfId="58768"/>
    <cellStyle name="temp 2 3 3" xfId="58769"/>
    <cellStyle name="temp 2 4" xfId="58770"/>
    <cellStyle name="temp 2 5" xfId="58771"/>
    <cellStyle name="temp 3" xfId="58772"/>
    <cellStyle name="temp 3 2" xfId="58773"/>
    <cellStyle name="temp 3 3" xfId="58774"/>
    <cellStyle name="temp 4" xfId="58775"/>
    <cellStyle name="temp 5" xfId="58776"/>
    <cellStyle name="Test Complete" xfId="58777"/>
    <cellStyle name="Test Complete 2" xfId="58778"/>
    <cellStyle name="Test Complete 2 2" xfId="58779"/>
    <cellStyle name="Test Complete 2 2 2" xfId="58780"/>
    <cellStyle name="Test Complete 2 2 2 2" xfId="58781"/>
    <cellStyle name="Test Complete 2 2 2 2 2" xfId="58782"/>
    <cellStyle name="Test Complete 2 2 2 2 2 2" xfId="58783"/>
    <cellStyle name="Test Complete 2 2 2 2 3" xfId="58784"/>
    <cellStyle name="Test Complete 2 2 2 3" xfId="58785"/>
    <cellStyle name="Test Complete 2 2 2 3 2" xfId="58786"/>
    <cellStyle name="Test Complete 2 2 2 4" xfId="58787"/>
    <cellStyle name="Test Complete 2 2 3" xfId="58788"/>
    <cellStyle name="Test Complete 2 2 3 2" xfId="58789"/>
    <cellStyle name="Test Complete 2 2 3 2 2" xfId="58790"/>
    <cellStyle name="Test Complete 2 2 3 3" xfId="58791"/>
    <cellStyle name="Test Complete 2 2 4" xfId="58792"/>
    <cellStyle name="Test Complete 2 2 4 2" xfId="58793"/>
    <cellStyle name="Test Complete 2 2 5" xfId="58794"/>
    <cellStyle name="Test Complete 2 3" xfId="58795"/>
    <cellStyle name="Test Complete 2 3 2" xfId="58796"/>
    <cellStyle name="Test Complete 2 3 2 2" xfId="58797"/>
    <cellStyle name="Test Complete 2 3 2 2 2" xfId="58798"/>
    <cellStyle name="Test Complete 2 3 2 2 2 2" xfId="58799"/>
    <cellStyle name="Test Complete 2 3 2 2 3" xfId="58800"/>
    <cellStyle name="Test Complete 2 3 2 3" xfId="58801"/>
    <cellStyle name="Test Complete 2 3 2 3 2" xfId="58802"/>
    <cellStyle name="Test Complete 2 3 2 4" xfId="58803"/>
    <cellStyle name="Test Complete 2 3 3" xfId="58804"/>
    <cellStyle name="Test Complete 2 3 3 2" xfId="58805"/>
    <cellStyle name="Test Complete 2 3 3 2 2" xfId="58806"/>
    <cellStyle name="Test Complete 2 3 3 3" xfId="58807"/>
    <cellStyle name="Test Complete 2 3 4" xfId="58808"/>
    <cellStyle name="Test Complete 2 3 4 2" xfId="58809"/>
    <cellStyle name="Test Complete 2 3 5" xfId="58810"/>
    <cellStyle name="Test Complete 2 4" xfId="58811"/>
    <cellStyle name="Test Complete 2 4 2" xfId="58812"/>
    <cellStyle name="Test Complete 2 4 2 2" xfId="58813"/>
    <cellStyle name="Test Complete 2 4 2 2 2" xfId="58814"/>
    <cellStyle name="Test Complete 2 4 2 2 2 2" xfId="58815"/>
    <cellStyle name="Test Complete 2 4 2 2 3" xfId="58816"/>
    <cellStyle name="Test Complete 2 4 2 3" xfId="58817"/>
    <cellStyle name="Test Complete 2 4 2 3 2" xfId="58818"/>
    <cellStyle name="Test Complete 2 4 2 4" xfId="58819"/>
    <cellStyle name="Test Complete 2 4 3" xfId="58820"/>
    <cellStyle name="Test Complete 2 4 3 2" xfId="58821"/>
    <cellStyle name="Test Complete 2 4 3 2 2" xfId="58822"/>
    <cellStyle name="Test Complete 2 4 3 3" xfId="58823"/>
    <cellStyle name="Test Complete 2 4 4" xfId="58824"/>
    <cellStyle name="Test Complete 2 4 4 2" xfId="58825"/>
    <cellStyle name="Test Complete 2 4 5" xfId="58826"/>
    <cellStyle name="Test Complete 2 5" xfId="58827"/>
    <cellStyle name="Test Complete 2 5 2" xfId="58828"/>
    <cellStyle name="Test Complete 2 5 2 2" xfId="58829"/>
    <cellStyle name="Test Complete 2 5 2 2 2" xfId="58830"/>
    <cellStyle name="Test Complete 2 5 2 3" xfId="58831"/>
    <cellStyle name="Test Complete 2 5 3" xfId="58832"/>
    <cellStyle name="Test Complete 2 5 3 2" xfId="58833"/>
    <cellStyle name="Test Complete 2 5 4" xfId="58834"/>
    <cellStyle name="Test Complete 2 6" xfId="58835"/>
    <cellStyle name="Test Complete 2 6 2" xfId="58836"/>
    <cellStyle name="Test Complete 2 6 2 2" xfId="58837"/>
    <cellStyle name="Test Complete 2 6 3" xfId="58838"/>
    <cellStyle name="Test Complete 2 7" xfId="58839"/>
    <cellStyle name="Test Complete 2 7 2" xfId="58840"/>
    <cellStyle name="Test Complete 2 8" xfId="58841"/>
    <cellStyle name="Test Complete 3" xfId="58842"/>
    <cellStyle name="Test Complete 3 2" xfId="58843"/>
    <cellStyle name="Test Complete 3 2 2" xfId="58844"/>
    <cellStyle name="Test Complete 3 2 2 2" xfId="58845"/>
    <cellStyle name="Test Complete 3 2 2 2 2" xfId="58846"/>
    <cellStyle name="Test Complete 3 2 2 3" xfId="58847"/>
    <cellStyle name="Test Complete 3 2 3" xfId="58848"/>
    <cellStyle name="Test Complete 3 2 3 2" xfId="58849"/>
    <cellStyle name="Test Complete 3 2 4" xfId="58850"/>
    <cellStyle name="Test Complete 3 3" xfId="58851"/>
    <cellStyle name="Test Complete 3 3 2" xfId="58852"/>
    <cellStyle name="Test Complete 3 3 2 2" xfId="58853"/>
    <cellStyle name="Test Complete 3 3 3" xfId="58854"/>
    <cellStyle name="Test Complete 3 4" xfId="58855"/>
    <cellStyle name="Test Complete 3 4 2" xfId="58856"/>
    <cellStyle name="Test Complete 3 5" xfId="58857"/>
    <cellStyle name="Test Complete 4" xfId="58858"/>
    <cellStyle name="Test Complete 4 2" xfId="58859"/>
    <cellStyle name="Test Complete 4 2 2" xfId="58860"/>
    <cellStyle name="Test Complete 4 2 2 2" xfId="58861"/>
    <cellStyle name="Test Complete 4 2 2 2 2" xfId="58862"/>
    <cellStyle name="Test Complete 4 2 2 3" xfId="58863"/>
    <cellStyle name="Test Complete 4 2 3" xfId="58864"/>
    <cellStyle name="Test Complete 4 2 3 2" xfId="58865"/>
    <cellStyle name="Test Complete 4 2 4" xfId="58866"/>
    <cellStyle name="Test Complete 4 3" xfId="58867"/>
    <cellStyle name="Test Complete 4 3 2" xfId="58868"/>
    <cellStyle name="Test Complete 4 3 2 2" xfId="58869"/>
    <cellStyle name="Test Complete 4 3 3" xfId="58870"/>
    <cellStyle name="Test Complete 4 4" xfId="58871"/>
    <cellStyle name="Test Complete 4 4 2" xfId="58872"/>
    <cellStyle name="Test Complete 4 5" xfId="58873"/>
    <cellStyle name="Test Complete 5" xfId="58874"/>
    <cellStyle name="Test Complete 5 2" xfId="58875"/>
    <cellStyle name="Test Complete 5 2 2" xfId="58876"/>
    <cellStyle name="Test Complete 5 2 2 2" xfId="58877"/>
    <cellStyle name="Test Complete 5 2 2 2 2" xfId="58878"/>
    <cellStyle name="Test Complete 5 2 2 3" xfId="58879"/>
    <cellStyle name="Test Complete 5 2 3" xfId="58880"/>
    <cellStyle name="Test Complete 5 2 3 2" xfId="58881"/>
    <cellStyle name="Test Complete 5 2 4" xfId="58882"/>
    <cellStyle name="Test Complete 5 3" xfId="58883"/>
    <cellStyle name="Test Complete 5 3 2" xfId="58884"/>
    <cellStyle name="Test Complete 5 3 2 2" xfId="58885"/>
    <cellStyle name="Test Complete 5 3 3" xfId="58886"/>
    <cellStyle name="Test Complete 5 4" xfId="58887"/>
    <cellStyle name="Test Complete 5 4 2" xfId="58888"/>
    <cellStyle name="Test Complete 5 5" xfId="58889"/>
    <cellStyle name="Test Complete 6" xfId="58890"/>
    <cellStyle name="Test Complete 6 2" xfId="58891"/>
    <cellStyle name="Test Complete 6 2 2" xfId="58892"/>
    <cellStyle name="Test Complete 6 2 2 2" xfId="58893"/>
    <cellStyle name="Test Complete 6 2 3" xfId="58894"/>
    <cellStyle name="Test Complete 6 3" xfId="58895"/>
    <cellStyle name="Test Complete 6 3 2" xfId="58896"/>
    <cellStyle name="Test Complete 6 4" xfId="58897"/>
    <cellStyle name="Test Complete 7" xfId="58898"/>
    <cellStyle name="Test Complete 7 2" xfId="58899"/>
    <cellStyle name="Test Complete 7 2 2" xfId="58900"/>
    <cellStyle name="Test Complete 7 3" xfId="58901"/>
    <cellStyle name="Test Complete 8" xfId="58902"/>
    <cellStyle name="Test Complete 8 2" xfId="58903"/>
    <cellStyle name="Test Complete 9" xfId="58904"/>
    <cellStyle name="Text Indent A" xfId="58905"/>
    <cellStyle name="Text Indent B" xfId="58906"/>
    <cellStyle name="Text Indent C" xfId="58907"/>
    <cellStyle name="Title 10" xfId="58908"/>
    <cellStyle name="Title 2" xfId="58909"/>
    <cellStyle name="Title 2 2" xfId="58910"/>
    <cellStyle name="Title 2 2 2" xfId="58911"/>
    <cellStyle name="Title 2 2 3" xfId="58912"/>
    <cellStyle name="Title 2 3" xfId="58913"/>
    <cellStyle name="Title 2 4" xfId="58914"/>
    <cellStyle name="Title 3" xfId="58915"/>
    <cellStyle name="Title 3 2" xfId="58916"/>
    <cellStyle name="Title 3 3" xfId="58917"/>
    <cellStyle name="Title 4" xfId="58918"/>
    <cellStyle name="Title 4 2" xfId="58919"/>
    <cellStyle name="Title 5" xfId="58920"/>
    <cellStyle name="Title 6" xfId="58921"/>
    <cellStyle name="Title 6 2" xfId="58922"/>
    <cellStyle name="Title 7" xfId="58923"/>
    <cellStyle name="Title 8" xfId="58924"/>
    <cellStyle name="Title 9" xfId="58925"/>
    <cellStyle name="Total 10" xfId="58926"/>
    <cellStyle name="Total 2" xfId="58927"/>
    <cellStyle name="Total 2 10" xfId="58928"/>
    <cellStyle name="Total 2 2" xfId="58929"/>
    <cellStyle name="Total 2 2 2" xfId="58930"/>
    <cellStyle name="Total 2 2 2 2" xfId="58931"/>
    <cellStyle name="Total 2 2 2 3" xfId="58932"/>
    <cellStyle name="Total 2 2 3" xfId="58933"/>
    <cellStyle name="Total 2 2 3 2" xfId="58934"/>
    <cellStyle name="Total 2 2 3 3" xfId="58935"/>
    <cellStyle name="Total 2 2 4" xfId="58936"/>
    <cellStyle name="Total 2 2 4 2" xfId="58937"/>
    <cellStyle name="Total 2 2 5" xfId="58938"/>
    <cellStyle name="Total 2 2 5 2" xfId="58939"/>
    <cellStyle name="Total 2 2 6" xfId="58940"/>
    <cellStyle name="Total 2 2 6 2" xfId="58941"/>
    <cellStyle name="Total 2 2 7" xfId="58942"/>
    <cellStyle name="Total 2 2 7 2" xfId="58943"/>
    <cellStyle name="Total 2 2 8" xfId="58944"/>
    <cellStyle name="Total 2 2 8 2" xfId="58945"/>
    <cellStyle name="Total 2 2 9" xfId="58946"/>
    <cellStyle name="Total 2 3" xfId="58947"/>
    <cellStyle name="Total 2 3 2" xfId="58948"/>
    <cellStyle name="Total 2 3 3" xfId="58949"/>
    <cellStyle name="Total 2 4" xfId="58950"/>
    <cellStyle name="Total 2 4 2" xfId="58951"/>
    <cellStyle name="Total 2 4 3" xfId="58952"/>
    <cellStyle name="Total 2 5" xfId="58953"/>
    <cellStyle name="Total 2 5 2" xfId="58954"/>
    <cellStyle name="Total 2 6" xfId="58955"/>
    <cellStyle name="Total 2 6 2" xfId="58956"/>
    <cellStyle name="Total 2 7" xfId="58957"/>
    <cellStyle name="Total 2 7 2" xfId="58958"/>
    <cellStyle name="Total 2 8" xfId="58959"/>
    <cellStyle name="Total 2 8 2" xfId="58960"/>
    <cellStyle name="Total 2 9" xfId="58961"/>
    <cellStyle name="Total 2 9 2" xfId="58962"/>
    <cellStyle name="Total 3" xfId="58963"/>
    <cellStyle name="Total 3 2" xfId="58964"/>
    <cellStyle name="Total 3 2 2" xfId="58965"/>
    <cellStyle name="Total 3 2 2 2" xfId="58966"/>
    <cellStyle name="Total 3 2 2 3" xfId="58967"/>
    <cellStyle name="Total 3 2 3" xfId="58968"/>
    <cellStyle name="Total 3 2 3 2" xfId="58969"/>
    <cellStyle name="Total 3 2 3 3" xfId="58970"/>
    <cellStyle name="Total 3 2 4" xfId="58971"/>
    <cellStyle name="Total 3 2 5" xfId="58972"/>
    <cellStyle name="Total 3 3" xfId="58973"/>
    <cellStyle name="Total 3 3 2" xfId="58974"/>
    <cellStyle name="Total 3 3 3" xfId="58975"/>
    <cellStyle name="Total 3 4" xfId="58976"/>
    <cellStyle name="Total 3 4 2" xfId="58977"/>
    <cellStyle name="Total 3 4 3" xfId="58978"/>
    <cellStyle name="Total 3 5" xfId="58979"/>
    <cellStyle name="Total 3 6" xfId="58980"/>
    <cellStyle name="Total 4" xfId="58981"/>
    <cellStyle name="Total 4 2" xfId="58982"/>
    <cellStyle name="Total 4 2 2" xfId="58983"/>
    <cellStyle name="Total 4 2 2 2" xfId="58984"/>
    <cellStyle name="Total 4 2 2 3" xfId="58985"/>
    <cellStyle name="Total 4 2 3" xfId="58986"/>
    <cellStyle name="Total 4 2 3 2" xfId="58987"/>
    <cellStyle name="Total 4 2 3 3" xfId="58988"/>
    <cellStyle name="Total 4 2 4" xfId="58989"/>
    <cellStyle name="Total 4 2 5" xfId="58990"/>
    <cellStyle name="Total 4 3" xfId="58991"/>
    <cellStyle name="Total 4 3 2" xfId="58992"/>
    <cellStyle name="Total 4 3 3" xfId="58993"/>
    <cellStyle name="Total 4 4" xfId="58994"/>
    <cellStyle name="Total 4 4 2" xfId="58995"/>
    <cellStyle name="Total 4 4 3" xfId="58996"/>
    <cellStyle name="Total 4 5" xfId="58997"/>
    <cellStyle name="Total 4 6" xfId="58998"/>
    <cellStyle name="Total 5" xfId="58999"/>
    <cellStyle name="Total 5 2" xfId="59000"/>
    <cellStyle name="Total 6" xfId="59001"/>
    <cellStyle name="Total 6 2" xfId="59002"/>
    <cellStyle name="Total 7" xfId="59003"/>
    <cellStyle name="Total 7 2" xfId="59004"/>
    <cellStyle name="Total 8" xfId="59005"/>
    <cellStyle name="Total 9" xfId="59006"/>
    <cellStyle name="Total 9 2" xfId="59007"/>
    <cellStyle name="Warning Text 2" xfId="59008"/>
    <cellStyle name="Warning Text 2 2" xfId="59009"/>
    <cellStyle name="Warning Text 2 2 2" xfId="59010"/>
    <cellStyle name="Warning Text 2 2 3" xfId="59011"/>
    <cellStyle name="Warning Text 2 3" xfId="59012"/>
    <cellStyle name="Warning Text 2 4" xfId="59013"/>
    <cellStyle name="Warning Text 3" xfId="59014"/>
    <cellStyle name="Warning Text 3 2" xfId="59015"/>
    <cellStyle name="Warning Text 3 3" xfId="59016"/>
    <cellStyle name="Warning Text 4" xfId="59017"/>
    <cellStyle name="Warning Text 4 2" xfId="59018"/>
    <cellStyle name="Warning Text 5" xfId="59019"/>
    <cellStyle name="Warning Text 6" xfId="59020"/>
    <cellStyle name="Warning Text 6 2" xfId="59021"/>
    <cellStyle name="Warning Text 7" xfId="59022"/>
    <cellStyle name="Warning Text 8" xfId="59023"/>
    <cellStyle name="Warning Text 9" xfId="59024"/>
  </cellStyles>
  <dxfs count="48">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b/>
        <i val="0"/>
      </font>
      <fill>
        <patternFill>
          <bgColor theme="5" tint="0.59996337778862885"/>
        </patternFill>
      </fill>
    </dxf>
    <dxf>
      <fill>
        <patternFill>
          <bgColor rgb="FFFF0000"/>
        </patternFill>
      </fill>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0"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0"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0"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73" formatCode="0.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Times New Roman"/>
        <scheme val="none"/>
      </font>
      <numFmt numFmtId="200" formatCode="_(&quot;$&quot;* #,##0.0_);_(&quot;$&quot;* \(#,##0.0\);_(&quot;$&quot;* &quot;-&quot;??_);_(@_)"/>
      <fill>
        <patternFill patternType="solid">
          <fgColor indexed="64"/>
          <bgColor theme="0" tint="-0.14999847407452621"/>
        </patternFill>
      </fill>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0" formatCode="&quot;$&quot;#,##0_);[Red]\(&quot;$&quot;#,##0\)"/>
      <fill>
        <patternFill patternType="solid">
          <fgColor indexed="64"/>
          <bgColor theme="0" tint="-0.149998474074526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dxf>
    <dxf>
      <border>
        <bottom style="thin">
          <color indexed="64"/>
        </bottom>
      </border>
    </dxf>
    <dxf>
      <font>
        <b/>
        <i val="0"/>
        <strike val="0"/>
        <condense val="0"/>
        <extend val="0"/>
        <outline val="0"/>
        <shadow val="0"/>
        <u val="none"/>
        <vertAlign val="baseline"/>
        <sz val="12"/>
        <color auto="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'Revision Tracker'!$D$43</c:f>
          <c:strCache>
            <c:ptCount val="1"/>
            <c:pt idx="0">
              <c:v>Revision Tracker
(Point Estimate CY17$M)</c:v>
            </c:pt>
          </c:strCache>
        </c:strRef>
      </c:tx>
      <c:overlay val="0"/>
    </c:title>
    <c:autoTitleDeleted val="0"/>
    <c:plotArea>
      <c:layout/>
      <c:scatterChart>
        <c:scatterStyle val="lineMarker"/>
        <c:varyColors val="0"/>
        <c:ser>
          <c:idx val="0"/>
          <c:order val="0"/>
          <c:tx>
            <c:strRef>
              <c:f>'Revision Tracker'!$J$4</c:f>
              <c:strCache>
                <c:ptCount val="1"/>
                <c:pt idx="0">
                  <c:v>Total (CY17$M)</c:v>
                </c:pt>
              </c:strCache>
            </c:strRef>
          </c:tx>
          <c:spPr>
            <a:ln w="28575">
              <a:noFill/>
            </a:ln>
          </c:spPr>
          <c:dLbls>
            <c:spPr>
              <a:solidFill>
                <a:schemeClr val="bg1">
                  <a:lumMod val="95000"/>
                </a:schemeClr>
              </a:solidFill>
              <a:ln>
                <a:solidFill>
                  <a:sysClr val="windowText" lastClr="000000"/>
                </a:solidFill>
              </a:ln>
            </c:spPr>
            <c:showLegendKey val="0"/>
            <c:showVal val="0"/>
            <c:showCatName val="1"/>
            <c:showSerName val="0"/>
            <c:showPercent val="0"/>
            <c:showBubbleSize val="0"/>
            <c:showLeaderLines val="0"/>
          </c:dLbls>
          <c:xVal>
            <c:strRef>
              <c:f>'Revision Tracker'!$F$5:$F$39</c:f>
              <c:strCache>
                <c:ptCount val="1"/>
                <c:pt idx="0">
                  <c:v>First Model Review sets baseline</c:v>
                </c:pt>
              </c:strCache>
            </c:strRef>
          </c:xVal>
          <c:yVal>
            <c:numRef>
              <c:f>'Revision Tracker'!$J$5:$J$39</c:f>
              <c:numCache>
                <c:formatCode>_("$"* #,##0_);_("$"* \(#,##0\);_("$"*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ser>
        <c:dLbls>
          <c:showLegendKey val="0"/>
          <c:showVal val="1"/>
          <c:showCatName val="0"/>
          <c:showSerName val="0"/>
          <c:showPercent val="0"/>
          <c:showBubbleSize val="0"/>
        </c:dLbls>
        <c:axId val="87172992"/>
        <c:axId val="87175936"/>
      </c:scatterChart>
      <c:valAx>
        <c:axId val="87172992"/>
        <c:scaling>
          <c:orientation val="minMax"/>
        </c:scaling>
        <c:delete val="0"/>
        <c:axPos val="b"/>
        <c:numFmt formatCode="General" sourceLinked="1"/>
        <c:majorTickMark val="out"/>
        <c:minorTickMark val="none"/>
        <c:tickLblPos val="nextTo"/>
        <c:crossAx val="87175936"/>
        <c:crosses val="autoZero"/>
        <c:crossBetween val="midCat"/>
      </c:valAx>
      <c:valAx>
        <c:axId val="87175936"/>
        <c:scaling>
          <c:orientation val="minMax"/>
        </c:scaling>
        <c:delete val="0"/>
        <c:axPos val="l"/>
        <c:majorGridlines/>
        <c:numFmt formatCode="_(&quot;$&quot;* #,##0_);_(&quot;$&quot;* \(#,##0\);_(&quot;$&quot;* &quot;-&quot;??_);_(@_)" sourceLinked="1"/>
        <c:majorTickMark val="out"/>
        <c:minorTickMark val="none"/>
        <c:tickLblPos val="nextTo"/>
        <c:crossAx val="87172992"/>
        <c:crosses val="autoZero"/>
        <c:crossBetween val="midCat"/>
      </c:valAx>
    </c:plotArea>
    <c:plotVisOnly val="1"/>
    <c:dispBlanksAs val="gap"/>
    <c:showDLblsOverMax val="0"/>
  </c:chart>
  <c:txPr>
    <a:bodyPr/>
    <a:lstStyle/>
    <a:p>
      <a:pPr>
        <a:defRPr sz="105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'Uncertainty Reports'!$G$7</c:f>
          <c:strCache>
            <c:ptCount val="1"/>
            <c:pt idx="0">
              <c:v>#N/A</c:v>
            </c:pt>
          </c:strCache>
        </c:strRef>
      </c:tx>
      <c:overlay val="0"/>
    </c:title>
    <c:autoTitleDeleted val="0"/>
    <c:plotArea>
      <c:layout/>
      <c:scatterChart>
        <c:scatterStyle val="lineMarker"/>
        <c:varyColors val="0"/>
        <c:ser>
          <c:idx val="0"/>
          <c:order val="0"/>
          <c:tx>
            <c:strRef>
              <c:f>'Uncertainty Reports'!$D$12</c:f>
              <c:strCache>
                <c:ptCount val="1"/>
                <c:pt idx="0">
                  <c:v>TY$M</c:v>
                </c:pt>
              </c:strCache>
            </c:strRef>
          </c:tx>
          <c:spPr>
            <a:ln w="28575">
              <a:noFill/>
            </a:ln>
          </c:spPr>
          <c:marker>
            <c:spPr>
              <a:solidFill>
                <a:schemeClr val="tx1"/>
              </a:solidFill>
            </c:spPr>
          </c:marker>
          <c:xVal>
            <c:numRef>
              <c:f>'Uncertainty Reports'!$D$13:$D$31</c:f>
              <c:numCache>
                <c:formatCode>_("$"* #,##0.0_);_("$"* \(#,##0.0\);_("$"* "-"??_);_(@_)</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xVal>
          <c:yVal>
            <c:numRef>
              <c:f>'Uncertainty Reports'!$C$13:$C$31</c:f>
              <c:numCache>
                <c:formatCode>_(* #,##0.00_);_(* \(#,##0.00\);_(* "-"??_);_(@_)</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0"/>
        </c:ser>
        <c:dLbls>
          <c:showLegendKey val="0"/>
          <c:showVal val="0"/>
          <c:showCatName val="0"/>
          <c:showSerName val="0"/>
          <c:showPercent val="0"/>
          <c:showBubbleSize val="0"/>
        </c:dLbls>
        <c:axId val="90409216"/>
        <c:axId val="90415872"/>
      </c:scatterChart>
      <c:valAx>
        <c:axId val="90409216"/>
        <c:scaling>
          <c:orientation val="minMax"/>
          <c:max val="39700"/>
          <c:min val="13200"/>
        </c:scaling>
        <c:delete val="0"/>
        <c:axPos val="b"/>
        <c:title>
          <c:tx>
            <c:rich>
              <a:bodyPr/>
              <a:lstStyle/>
              <a:p>
                <a:pPr>
                  <a:defRPr/>
                </a:pPr>
                <a:r>
                  <a:rPr lang="en-US"/>
                  <a:t>TY$M</a:t>
                </a:r>
              </a:p>
            </c:rich>
          </c:tx>
          <c:overlay val="0"/>
        </c:title>
        <c:numFmt formatCode="_(&quot;$&quot;* #,##0_);_(&quot;$&quot;* \(#,##0\);_(&quot;$&quot;* &quot;-&quot;_);_(@_)" sourceLinked="0"/>
        <c:majorTickMark val="out"/>
        <c:minorTickMark val="none"/>
        <c:tickLblPos val="nextTo"/>
        <c:crossAx val="90415872"/>
        <c:crosses val="autoZero"/>
        <c:crossBetween val="midCat"/>
      </c:valAx>
      <c:valAx>
        <c:axId val="90415872"/>
        <c:scaling>
          <c:orientation val="minMax"/>
          <c:max val="1"/>
          <c:min val="0"/>
        </c:scaling>
        <c:delete val="0"/>
        <c:axPos val="l"/>
        <c:majorGridlines/>
        <c:title>
          <c:tx>
            <c:rich>
              <a:bodyPr rot="-5400000" vert="horz"/>
              <a:lstStyle/>
              <a:p>
                <a:pPr>
                  <a:defRPr/>
                </a:pPr>
                <a:r>
                  <a:rPr lang="en-US"/>
                  <a:t>Percentiles</a:t>
                </a:r>
              </a:p>
            </c:rich>
          </c:tx>
          <c:overlay val="0"/>
        </c:title>
        <c:numFmt formatCode="_(* #,##0.00_);_(* \(#,##0.00\);_(* &quot;-&quot;??_);_(@_)" sourceLinked="1"/>
        <c:majorTickMark val="out"/>
        <c:minorTickMark val="none"/>
        <c:tickLblPos val="nextTo"/>
        <c:crossAx val="90409216"/>
        <c:crosses val="autoZero"/>
        <c:crossBetween val="midCat"/>
      </c:valAx>
    </c:plotArea>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stacked"/>
        <c:varyColors val="0"/>
        <c:ser>
          <c:idx val="0"/>
          <c:order val="0"/>
          <c:tx>
            <c:strRef>
              <c:f>'Uncertainty Reports'!$C$220</c:f>
              <c:strCache>
                <c:ptCount val="1"/>
                <c:pt idx="0">
                  <c:v>Min</c:v>
                </c:pt>
              </c:strCache>
            </c:strRef>
          </c:tx>
          <c:spPr>
            <a:noFill/>
          </c:spPr>
          <c:invertIfNegative val="0"/>
          <c:cat>
            <c:multiLvlStrRef>
              <c:f>'Uncertainty Reports'!$D$219:$I$219</c:f>
            </c:multiLvlStrRef>
          </c:cat>
          <c:val>
            <c:numRef>
              <c:f>'Uncertainty Reports'!$D$220:$I$220</c:f>
            </c:numRef>
          </c:val>
        </c:ser>
        <c:ser>
          <c:idx val="1"/>
          <c:order val="1"/>
          <c:tx>
            <c:strRef>
              <c:f>'Uncertainty Reports'!$C$221</c:f>
              <c:strCache>
                <c:ptCount val="1"/>
                <c:pt idx="0">
                  <c:v>5% - 35%</c:v>
                </c:pt>
              </c:strCache>
            </c:strRef>
          </c:tx>
          <c:invertIfNegative val="0"/>
          <c:cat>
            <c:multiLvlStrRef>
              <c:f>'Uncertainty Reports'!$D$219:$I$219</c:f>
            </c:multiLvlStrRef>
          </c:cat>
          <c:val>
            <c:numRef>
              <c:f>'Uncertainty Reports'!$D$221:$I$221</c:f>
            </c:numRef>
          </c:val>
        </c:ser>
        <c:ser>
          <c:idx val="2"/>
          <c:order val="2"/>
          <c:tx>
            <c:strRef>
              <c:f>'Uncertainty Reports'!$C$222</c:f>
              <c:strCache>
                <c:ptCount val="1"/>
                <c:pt idx="0">
                  <c:v>35% - 65%</c:v>
                </c:pt>
              </c:strCache>
            </c:strRef>
          </c:tx>
          <c:invertIfNegative val="0"/>
          <c:cat>
            <c:multiLvlStrRef>
              <c:f>'Uncertainty Reports'!$D$219:$I$219</c:f>
            </c:multiLvlStrRef>
          </c:cat>
          <c:val>
            <c:numRef>
              <c:f>'Uncertainty Reports'!$D$222:$I$222</c:f>
            </c:numRef>
          </c:val>
        </c:ser>
        <c:ser>
          <c:idx val="3"/>
          <c:order val="3"/>
          <c:tx>
            <c:strRef>
              <c:f>'Uncertainty Reports'!$C$223</c:f>
              <c:strCache>
                <c:ptCount val="1"/>
                <c:pt idx="0">
                  <c:v>65% - 95%</c:v>
                </c:pt>
              </c:strCache>
            </c:strRef>
          </c:tx>
          <c:invertIfNegative val="0"/>
          <c:cat>
            <c:multiLvlStrRef>
              <c:f>'Uncertainty Reports'!$D$219:$I$219</c:f>
            </c:multiLvlStrRef>
          </c:cat>
          <c:val>
            <c:numRef>
              <c:f>'Uncertainty Reports'!$D$223:$I$223</c:f>
            </c:numRef>
          </c:val>
        </c:ser>
        <c:dLbls>
          <c:showLegendKey val="0"/>
          <c:showVal val="0"/>
          <c:showCatName val="0"/>
          <c:showSerName val="0"/>
          <c:showPercent val="0"/>
          <c:showBubbleSize val="0"/>
        </c:dLbls>
        <c:gapWidth val="150"/>
        <c:overlap val="100"/>
        <c:axId val="91613056"/>
        <c:axId val="88551424"/>
      </c:barChart>
      <c:scatterChart>
        <c:scatterStyle val="smoothMarker"/>
        <c:varyColors val="0"/>
        <c:ser>
          <c:idx val="4"/>
          <c:order val="4"/>
          <c:tx>
            <c:strRef>
              <c:f>'Uncertainty Reports'!$C$225</c:f>
              <c:strCache>
                <c:ptCount val="1"/>
                <c:pt idx="0">
                  <c:v>Budget</c:v>
                </c:pt>
              </c:strCache>
            </c:strRef>
          </c:tx>
          <c:spPr>
            <a:ln>
              <a:solidFill>
                <a:sysClr val="windowText" lastClr="000000"/>
              </a:solidFill>
            </a:ln>
          </c:spPr>
          <c:marker>
            <c:symbol val="none"/>
          </c:marker>
          <c:yVal>
            <c:numRef>
              <c:f>'Uncertainty Reports'!$D$225:$I$225</c:f>
            </c:numRef>
          </c:yVal>
          <c:smooth val="1"/>
        </c:ser>
        <c:dLbls>
          <c:showLegendKey val="0"/>
          <c:showVal val="0"/>
          <c:showCatName val="0"/>
          <c:showSerName val="0"/>
          <c:showPercent val="0"/>
          <c:showBubbleSize val="0"/>
        </c:dLbls>
        <c:axId val="91613056"/>
        <c:axId val="88551424"/>
      </c:scatterChart>
      <c:catAx>
        <c:axId val="91613056"/>
        <c:scaling>
          <c:orientation val="minMax"/>
        </c:scaling>
        <c:delete val="0"/>
        <c:axPos val="b"/>
        <c:title>
          <c:tx>
            <c:rich>
              <a:bodyPr/>
              <a:lstStyle/>
              <a:p>
                <a:pPr>
                  <a:defRPr/>
                </a:pPr>
                <a:r>
                  <a:rPr lang="en-US"/>
                  <a:t>Fiscal Year</a:t>
                </a:r>
              </a:p>
            </c:rich>
          </c:tx>
          <c:overlay val="0"/>
        </c:title>
        <c:numFmt formatCode="General" sourceLinked="1"/>
        <c:majorTickMark val="out"/>
        <c:minorTickMark val="none"/>
        <c:tickLblPos val="nextTo"/>
        <c:crossAx val="88551424"/>
        <c:crosses val="autoZero"/>
        <c:auto val="1"/>
        <c:lblAlgn val="ctr"/>
        <c:lblOffset val="100"/>
        <c:noMultiLvlLbl val="0"/>
      </c:catAx>
      <c:valAx>
        <c:axId val="88551424"/>
        <c:scaling>
          <c:orientation val="minMax"/>
        </c:scaling>
        <c:delete val="0"/>
        <c:axPos val="l"/>
        <c:majorGridlines/>
        <c:title>
          <c:tx>
            <c:rich>
              <a:bodyPr rot="0" vert="horz"/>
              <a:lstStyle/>
              <a:p>
                <a:pPr>
                  <a:defRPr/>
                </a:pPr>
                <a:r>
                  <a:rPr lang="en-US"/>
                  <a:t>TY$M</a:t>
                </a:r>
              </a:p>
            </c:rich>
          </c:tx>
          <c:overlay val="0"/>
        </c:title>
        <c:numFmt formatCode="_(&quot;$&quot;* #,##0_);_(&quot;$&quot;* \(#,##0\);_(&quot;$&quot;* &quot;-&quot;??_);_(@_)" sourceLinked="1"/>
        <c:majorTickMark val="out"/>
        <c:minorTickMark val="none"/>
        <c:tickLblPos val="nextTo"/>
        <c:crossAx val="91613056"/>
        <c:crosses val="autoZero"/>
        <c:crossBetween val="between"/>
      </c:valAx>
    </c:plotArea>
    <c:legend>
      <c:legendPos val="r"/>
      <c:overlay val="0"/>
    </c:legend>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1"/>
          <c:order val="0"/>
          <c:tx>
            <c:strRef>
              <c:f>'1.1.1.1'!$B$44</c:f>
              <c:strCache>
                <c:ptCount val="1"/>
                <c:pt idx="0">
                  <c:v>Total EMD cost by year (CY14$)</c:v>
                </c:pt>
              </c:strCache>
            </c:strRef>
          </c:tx>
          <c:invertIfNegative val="0"/>
          <c:cat>
            <c:numRef>
              <c:f>'1.1.1.1'!$D$42:$L$42</c:f>
              <c:numCache>
                <c:formatCode>General</c:formatCode>
                <c:ptCount val="9"/>
                <c:pt idx="0">
                  <c:v>2014</c:v>
                </c:pt>
                <c:pt idx="1">
                  <c:v>2015</c:v>
                </c:pt>
                <c:pt idx="2">
                  <c:v>2016</c:v>
                </c:pt>
                <c:pt idx="3">
                  <c:v>2017</c:v>
                </c:pt>
                <c:pt idx="4">
                  <c:v>2018</c:v>
                </c:pt>
                <c:pt idx="5">
                  <c:v>2019</c:v>
                </c:pt>
                <c:pt idx="6">
                  <c:v>2020</c:v>
                </c:pt>
                <c:pt idx="7">
                  <c:v>2021</c:v>
                </c:pt>
                <c:pt idx="8">
                  <c:v>2022</c:v>
                </c:pt>
              </c:numCache>
            </c:numRef>
          </c:cat>
          <c:val>
            <c:numRef>
              <c:f>'1.1.1.1'!$D$44:$L$44</c:f>
              <c:numCache>
                <c:formatCode>"$"#,##0_);[Red]\("$"#,##0\)</c:formatCode>
                <c:ptCount val="9"/>
                <c:pt idx="0">
                  <c:v>1998904.1095890412</c:v>
                </c:pt>
                <c:pt idx="1">
                  <c:v>2400000</c:v>
                </c:pt>
                <c:pt idx="2">
                  <c:v>2400000</c:v>
                </c:pt>
                <c:pt idx="3">
                  <c:v>2400000</c:v>
                </c:pt>
                <c:pt idx="4">
                  <c:v>2400000</c:v>
                </c:pt>
                <c:pt idx="5">
                  <c:v>401095.89041095891</c:v>
                </c:pt>
                <c:pt idx="6">
                  <c:v>0</c:v>
                </c:pt>
                <c:pt idx="7">
                  <c:v>0</c:v>
                </c:pt>
                <c:pt idx="8">
                  <c:v>0</c:v>
                </c:pt>
              </c:numCache>
            </c:numRef>
          </c:val>
        </c:ser>
        <c:dLbls>
          <c:showLegendKey val="0"/>
          <c:showVal val="0"/>
          <c:showCatName val="0"/>
          <c:showSerName val="0"/>
          <c:showPercent val="0"/>
          <c:showBubbleSize val="0"/>
        </c:dLbls>
        <c:gapWidth val="150"/>
        <c:axId val="86505728"/>
        <c:axId val="86507520"/>
      </c:barChart>
      <c:catAx>
        <c:axId val="86505728"/>
        <c:scaling>
          <c:orientation val="minMax"/>
        </c:scaling>
        <c:delete val="0"/>
        <c:axPos val="b"/>
        <c:numFmt formatCode="General" sourceLinked="1"/>
        <c:majorTickMark val="out"/>
        <c:minorTickMark val="none"/>
        <c:tickLblPos val="nextTo"/>
        <c:crossAx val="86507520"/>
        <c:crosses val="autoZero"/>
        <c:auto val="1"/>
        <c:lblAlgn val="ctr"/>
        <c:lblOffset val="100"/>
        <c:noMultiLvlLbl val="0"/>
      </c:catAx>
      <c:valAx>
        <c:axId val="86507520"/>
        <c:scaling>
          <c:orientation val="minMax"/>
        </c:scaling>
        <c:delete val="0"/>
        <c:axPos val="l"/>
        <c:majorGridlines/>
        <c:numFmt formatCode="&quot;$&quot;#,##0_);[Red]\(&quot;$&quot;#,##0\)" sourceLinked="1"/>
        <c:majorTickMark val="out"/>
        <c:minorTickMark val="none"/>
        <c:tickLblPos val="nextTo"/>
        <c:crossAx val="86505728"/>
        <c:crosses val="autoZero"/>
        <c:crossBetween val="between"/>
      </c:valAx>
    </c:plotArea>
    <c:legend>
      <c:legendPos val="r"/>
      <c:layout>
        <c:manualLayout>
          <c:xMode val="edge"/>
          <c:yMode val="edge"/>
          <c:x val="0.66801424649920671"/>
          <c:y val="0.177857384669937"/>
          <c:w val="0.31583972492590073"/>
          <c:h val="6.6639525645363379E-2"/>
        </c:manualLayout>
      </c:layout>
      <c:overlay val="1"/>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1"/>
          <c:order val="0"/>
          <c:tx>
            <c:strRef>
              <c:f>'1.1.1.2'!$B$65</c:f>
              <c:strCache>
                <c:ptCount val="1"/>
                <c:pt idx="0">
                  <c:v>Prototype cost by year (CY14$)</c:v>
                </c:pt>
              </c:strCache>
            </c:strRef>
          </c:tx>
          <c:invertIfNegative val="0"/>
          <c:cat>
            <c:numRef>
              <c:f>'1.1.1.2'!$D$64:$J$64</c:f>
              <c:numCache>
                <c:formatCode>General</c:formatCode>
                <c:ptCount val="7"/>
                <c:pt idx="0">
                  <c:v>2014</c:v>
                </c:pt>
                <c:pt idx="1">
                  <c:v>2015</c:v>
                </c:pt>
                <c:pt idx="2">
                  <c:v>2016</c:v>
                </c:pt>
                <c:pt idx="3">
                  <c:v>2017</c:v>
                </c:pt>
                <c:pt idx="4">
                  <c:v>2018</c:v>
                </c:pt>
                <c:pt idx="5">
                  <c:v>2019</c:v>
                </c:pt>
                <c:pt idx="6">
                  <c:v>2020</c:v>
                </c:pt>
              </c:numCache>
            </c:numRef>
          </c:cat>
          <c:val>
            <c:numRef>
              <c:f>'1.1.1.2'!$D$65:$J$65</c:f>
              <c:numCache>
                <c:formatCode>"$"#,##0_);[Red]\("$"#,##0\)</c:formatCode>
                <c:ptCount val="7"/>
                <c:pt idx="0">
                  <c:v>0</c:v>
                </c:pt>
                <c:pt idx="1">
                  <c:v>0</c:v>
                </c:pt>
                <c:pt idx="2">
                  <c:v>678472.51465697936</c:v>
                </c:pt>
                <c:pt idx="3">
                  <c:v>2265834.2230109889</c:v>
                </c:pt>
                <c:pt idx="4">
                  <c:v>0</c:v>
                </c:pt>
                <c:pt idx="5">
                  <c:v>0</c:v>
                </c:pt>
                <c:pt idx="6">
                  <c:v>0</c:v>
                </c:pt>
              </c:numCache>
            </c:numRef>
          </c:val>
        </c:ser>
        <c:dLbls>
          <c:showLegendKey val="0"/>
          <c:showVal val="0"/>
          <c:showCatName val="0"/>
          <c:showSerName val="0"/>
          <c:showPercent val="0"/>
          <c:showBubbleSize val="0"/>
        </c:dLbls>
        <c:gapWidth val="150"/>
        <c:axId val="89112960"/>
        <c:axId val="89114496"/>
      </c:barChart>
      <c:catAx>
        <c:axId val="89112960"/>
        <c:scaling>
          <c:orientation val="minMax"/>
        </c:scaling>
        <c:delete val="0"/>
        <c:axPos val="b"/>
        <c:numFmt formatCode="General" sourceLinked="1"/>
        <c:majorTickMark val="none"/>
        <c:minorTickMark val="none"/>
        <c:tickLblPos val="nextTo"/>
        <c:crossAx val="89114496"/>
        <c:crosses val="autoZero"/>
        <c:auto val="1"/>
        <c:lblAlgn val="ctr"/>
        <c:lblOffset val="100"/>
        <c:noMultiLvlLbl val="0"/>
      </c:catAx>
      <c:valAx>
        <c:axId val="89114496"/>
        <c:scaling>
          <c:orientation val="minMax"/>
        </c:scaling>
        <c:delete val="0"/>
        <c:axPos val="l"/>
        <c:majorGridlines/>
        <c:numFmt formatCode="&quot;$&quot;#,##0_);[Red]\(&quot;$&quot;#,##0\)" sourceLinked="1"/>
        <c:majorTickMark val="out"/>
        <c:minorTickMark val="none"/>
        <c:tickLblPos val="nextTo"/>
        <c:crossAx val="89112960"/>
        <c:crosses val="autoZero"/>
        <c:crossBetween val="between"/>
      </c:valAx>
    </c:plotArea>
    <c:legend>
      <c:legendPos val="r"/>
      <c:layout>
        <c:manualLayout>
          <c:xMode val="edge"/>
          <c:yMode val="edge"/>
          <c:x val="0.63287637899392701"/>
          <c:y val="0.21936304764069459"/>
          <c:w val="0.3300579861941455"/>
          <c:h val="8.8173468137984198E-2"/>
        </c:manualLayout>
      </c:layout>
      <c:overlay val="1"/>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Software cost by year (CY14$)</a:t>
            </a:r>
          </a:p>
        </c:rich>
      </c:tx>
      <c:overlay val="0"/>
    </c:title>
    <c:autoTitleDeleted val="0"/>
    <c:plotArea>
      <c:layout/>
      <c:barChart>
        <c:barDir val="col"/>
        <c:grouping val="clustered"/>
        <c:varyColors val="0"/>
        <c:ser>
          <c:idx val="1"/>
          <c:order val="0"/>
          <c:tx>
            <c:strRef>
              <c:f>'1.1.2'!$B$51</c:f>
              <c:strCache>
                <c:ptCount val="1"/>
                <c:pt idx="0">
                  <c:v>Estimated Software (CY14$)</c:v>
                </c:pt>
              </c:strCache>
            </c:strRef>
          </c:tx>
          <c:invertIfNegative val="0"/>
          <c:cat>
            <c:numRef>
              <c:f>'1.1.2'!$D$50:$J$50</c:f>
              <c:numCache>
                <c:formatCode>General</c:formatCode>
                <c:ptCount val="7"/>
                <c:pt idx="0">
                  <c:v>2014</c:v>
                </c:pt>
                <c:pt idx="1">
                  <c:v>2015</c:v>
                </c:pt>
                <c:pt idx="2">
                  <c:v>2016</c:v>
                </c:pt>
                <c:pt idx="3">
                  <c:v>2017</c:v>
                </c:pt>
                <c:pt idx="4">
                  <c:v>2018</c:v>
                </c:pt>
                <c:pt idx="5">
                  <c:v>2019</c:v>
                </c:pt>
                <c:pt idx="6">
                  <c:v>2020</c:v>
                </c:pt>
              </c:numCache>
            </c:numRef>
          </c:cat>
          <c:val>
            <c:numRef>
              <c:f>'1.1.2'!$D$51:$J$51</c:f>
              <c:numCache>
                <c:formatCode>"$"#,##0_);[Red]\("$"#,##0\)</c:formatCode>
                <c:ptCount val="7"/>
                <c:pt idx="0">
                  <c:v>5247123.2876712326</c:v>
                </c:pt>
                <c:pt idx="1">
                  <c:v>6300000</c:v>
                </c:pt>
                <c:pt idx="2">
                  <c:v>6300000</c:v>
                </c:pt>
                <c:pt idx="3">
                  <c:v>6300000</c:v>
                </c:pt>
                <c:pt idx="4">
                  <c:v>6300000</c:v>
                </c:pt>
                <c:pt idx="5">
                  <c:v>1052876.7123287672</c:v>
                </c:pt>
                <c:pt idx="6">
                  <c:v>0</c:v>
                </c:pt>
              </c:numCache>
            </c:numRef>
          </c:val>
        </c:ser>
        <c:dLbls>
          <c:showLegendKey val="0"/>
          <c:showVal val="0"/>
          <c:showCatName val="0"/>
          <c:showSerName val="0"/>
          <c:showPercent val="0"/>
          <c:showBubbleSize val="0"/>
        </c:dLbls>
        <c:gapWidth val="150"/>
        <c:axId val="89195648"/>
        <c:axId val="89197184"/>
      </c:barChart>
      <c:catAx>
        <c:axId val="89195648"/>
        <c:scaling>
          <c:orientation val="minMax"/>
        </c:scaling>
        <c:delete val="0"/>
        <c:axPos val="b"/>
        <c:numFmt formatCode="General" sourceLinked="1"/>
        <c:majorTickMark val="none"/>
        <c:minorTickMark val="none"/>
        <c:tickLblPos val="nextTo"/>
        <c:crossAx val="89197184"/>
        <c:crosses val="autoZero"/>
        <c:auto val="1"/>
        <c:lblAlgn val="ctr"/>
        <c:lblOffset val="100"/>
        <c:noMultiLvlLbl val="0"/>
      </c:catAx>
      <c:valAx>
        <c:axId val="89197184"/>
        <c:scaling>
          <c:orientation val="minMax"/>
        </c:scaling>
        <c:delete val="0"/>
        <c:axPos val="l"/>
        <c:majorGridlines/>
        <c:numFmt formatCode="&quot;$&quot;#,##0_);[Red]\(&quot;$&quot;#,##0\)" sourceLinked="1"/>
        <c:majorTickMark val="out"/>
        <c:minorTickMark val="none"/>
        <c:tickLblPos val="nextTo"/>
        <c:crossAx val="89195648"/>
        <c:crosses val="autoZero"/>
        <c:crossBetween val="between"/>
      </c:valAx>
    </c:plotArea>
    <c:legend>
      <c:legendPos val="r"/>
      <c:layout>
        <c:manualLayout>
          <c:xMode val="edge"/>
          <c:yMode val="edge"/>
          <c:x val="0.70633252288191573"/>
          <c:y val="0.14134600137681655"/>
          <c:w val="0.27083010812031127"/>
          <c:h val="8.8173468137984198E-2"/>
        </c:manualLayout>
      </c:layout>
      <c:overlay val="1"/>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Engineering cost by year (CY14$)</a:t>
            </a:r>
          </a:p>
        </c:rich>
      </c:tx>
      <c:overlay val="0"/>
    </c:title>
    <c:autoTitleDeleted val="0"/>
    <c:plotArea>
      <c:layout/>
      <c:barChart>
        <c:barDir val="col"/>
        <c:grouping val="clustered"/>
        <c:varyColors val="0"/>
        <c:ser>
          <c:idx val="0"/>
          <c:order val="0"/>
          <c:tx>
            <c:strRef>
              <c:f>'1.1.3'!$B$44</c:f>
              <c:strCache>
                <c:ptCount val="1"/>
                <c:pt idx="0">
                  <c:v>Estimated Annual Systems Engineering (CY14$)</c:v>
                </c:pt>
              </c:strCache>
            </c:strRef>
          </c:tx>
          <c:invertIfNegative val="0"/>
          <c:cat>
            <c:numRef>
              <c:f>'1.1.3'!$D$43:$J$43</c:f>
              <c:numCache>
                <c:formatCode>General</c:formatCode>
                <c:ptCount val="7"/>
                <c:pt idx="0">
                  <c:v>2014</c:v>
                </c:pt>
                <c:pt idx="1">
                  <c:v>2015</c:v>
                </c:pt>
                <c:pt idx="2">
                  <c:v>2016</c:v>
                </c:pt>
                <c:pt idx="3">
                  <c:v>2017</c:v>
                </c:pt>
                <c:pt idx="4">
                  <c:v>2018</c:v>
                </c:pt>
                <c:pt idx="5">
                  <c:v>2019</c:v>
                </c:pt>
                <c:pt idx="6">
                  <c:v>2020</c:v>
                </c:pt>
              </c:numCache>
            </c:numRef>
          </c:cat>
          <c:val>
            <c:numRef>
              <c:f>'1.1.3'!$D$44:$J$44</c:f>
              <c:numCache>
                <c:formatCode>"$"#,##0_);[Red]\("$"#,##0\)</c:formatCode>
                <c:ptCount val="7"/>
                <c:pt idx="0">
                  <c:v>2915068.493150685</c:v>
                </c:pt>
                <c:pt idx="1">
                  <c:v>3500000</c:v>
                </c:pt>
                <c:pt idx="2">
                  <c:v>3500000</c:v>
                </c:pt>
                <c:pt idx="3">
                  <c:v>3500000</c:v>
                </c:pt>
                <c:pt idx="4">
                  <c:v>3500000</c:v>
                </c:pt>
                <c:pt idx="5">
                  <c:v>584931.50684931513</c:v>
                </c:pt>
                <c:pt idx="6">
                  <c:v>0</c:v>
                </c:pt>
              </c:numCache>
            </c:numRef>
          </c:val>
        </c:ser>
        <c:dLbls>
          <c:showLegendKey val="0"/>
          <c:showVal val="0"/>
          <c:showCatName val="0"/>
          <c:showSerName val="0"/>
          <c:showPercent val="0"/>
          <c:showBubbleSize val="0"/>
        </c:dLbls>
        <c:gapWidth val="150"/>
        <c:axId val="89668608"/>
        <c:axId val="89678592"/>
      </c:barChart>
      <c:catAx>
        <c:axId val="89668608"/>
        <c:scaling>
          <c:orientation val="minMax"/>
        </c:scaling>
        <c:delete val="0"/>
        <c:axPos val="b"/>
        <c:numFmt formatCode="General" sourceLinked="1"/>
        <c:majorTickMark val="none"/>
        <c:minorTickMark val="none"/>
        <c:tickLblPos val="nextTo"/>
        <c:crossAx val="89678592"/>
        <c:crosses val="autoZero"/>
        <c:auto val="1"/>
        <c:lblAlgn val="ctr"/>
        <c:lblOffset val="100"/>
        <c:noMultiLvlLbl val="0"/>
      </c:catAx>
      <c:valAx>
        <c:axId val="89678592"/>
        <c:scaling>
          <c:orientation val="minMax"/>
        </c:scaling>
        <c:delete val="0"/>
        <c:axPos val="l"/>
        <c:majorGridlines/>
        <c:numFmt formatCode="&quot;$&quot;#,##0_);[Red]\(&quot;$&quot;#,##0\)" sourceLinked="1"/>
        <c:majorTickMark val="out"/>
        <c:minorTickMark val="none"/>
        <c:tickLblPos val="nextTo"/>
        <c:crossAx val="89668608"/>
        <c:crosses val="autoZero"/>
        <c:crossBetween val="between"/>
      </c:valAx>
    </c:plotArea>
    <c:legend>
      <c:legendPos val="r"/>
      <c:layout>
        <c:manualLayout>
          <c:xMode val="edge"/>
          <c:yMode val="edge"/>
          <c:x val="0.52847403967155537"/>
          <c:y val="0.1017160329952011"/>
          <c:w val="0.47152596032844468"/>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Program Management cost by year (CY14$)</a:t>
            </a:r>
          </a:p>
        </c:rich>
      </c:tx>
      <c:overlay val="0"/>
    </c:title>
    <c:autoTitleDeleted val="0"/>
    <c:plotArea>
      <c:layout/>
      <c:barChart>
        <c:barDir val="col"/>
        <c:grouping val="clustered"/>
        <c:varyColors val="0"/>
        <c:ser>
          <c:idx val="1"/>
          <c:order val="0"/>
          <c:tx>
            <c:strRef>
              <c:f>'1.1.4'!$B$44</c:f>
              <c:strCache>
                <c:ptCount val="1"/>
                <c:pt idx="0">
                  <c:v>Estimated Annual Program Management (CY14$)</c:v>
                </c:pt>
              </c:strCache>
            </c:strRef>
          </c:tx>
          <c:invertIfNegative val="0"/>
          <c:cat>
            <c:numRef>
              <c:f>'1.1.4'!$D$43:$J$43</c:f>
              <c:numCache>
                <c:formatCode>General</c:formatCode>
                <c:ptCount val="7"/>
                <c:pt idx="0">
                  <c:v>2014</c:v>
                </c:pt>
                <c:pt idx="1">
                  <c:v>2015</c:v>
                </c:pt>
                <c:pt idx="2">
                  <c:v>2016</c:v>
                </c:pt>
                <c:pt idx="3">
                  <c:v>2017</c:v>
                </c:pt>
                <c:pt idx="4">
                  <c:v>2018</c:v>
                </c:pt>
                <c:pt idx="5">
                  <c:v>2019</c:v>
                </c:pt>
                <c:pt idx="6">
                  <c:v>2020</c:v>
                </c:pt>
              </c:numCache>
            </c:numRef>
          </c:cat>
          <c:val>
            <c:numRef>
              <c:f>'1.1.4'!$D$44:$J$44</c:f>
              <c:numCache>
                <c:formatCode>"$"#,##0_);[Red]\("$"#,##0\)</c:formatCode>
                <c:ptCount val="7"/>
                <c:pt idx="0">
                  <c:v>2498630.1369863013</c:v>
                </c:pt>
                <c:pt idx="1">
                  <c:v>3000000</c:v>
                </c:pt>
                <c:pt idx="2">
                  <c:v>3000000</c:v>
                </c:pt>
                <c:pt idx="3">
                  <c:v>3000000</c:v>
                </c:pt>
                <c:pt idx="4">
                  <c:v>3000000</c:v>
                </c:pt>
                <c:pt idx="5">
                  <c:v>501369.86301369866</c:v>
                </c:pt>
                <c:pt idx="6">
                  <c:v>0</c:v>
                </c:pt>
              </c:numCache>
            </c:numRef>
          </c:val>
        </c:ser>
        <c:dLbls>
          <c:showLegendKey val="0"/>
          <c:showVal val="0"/>
          <c:showCatName val="0"/>
          <c:showSerName val="0"/>
          <c:showPercent val="0"/>
          <c:showBubbleSize val="0"/>
        </c:dLbls>
        <c:gapWidth val="150"/>
        <c:axId val="89855104"/>
        <c:axId val="89856640"/>
      </c:barChart>
      <c:catAx>
        <c:axId val="89855104"/>
        <c:scaling>
          <c:orientation val="minMax"/>
        </c:scaling>
        <c:delete val="0"/>
        <c:axPos val="b"/>
        <c:numFmt formatCode="General" sourceLinked="1"/>
        <c:majorTickMark val="none"/>
        <c:minorTickMark val="none"/>
        <c:tickLblPos val="nextTo"/>
        <c:crossAx val="89856640"/>
        <c:crosses val="autoZero"/>
        <c:auto val="1"/>
        <c:lblAlgn val="ctr"/>
        <c:lblOffset val="100"/>
        <c:noMultiLvlLbl val="0"/>
      </c:catAx>
      <c:valAx>
        <c:axId val="89856640"/>
        <c:scaling>
          <c:orientation val="minMax"/>
        </c:scaling>
        <c:delete val="0"/>
        <c:axPos val="l"/>
        <c:majorGridlines/>
        <c:numFmt formatCode="&quot;$&quot;#,##0_);[Red]\(&quot;$&quot;#,##0\)" sourceLinked="1"/>
        <c:majorTickMark val="out"/>
        <c:minorTickMark val="none"/>
        <c:tickLblPos val="nextTo"/>
        <c:crossAx val="89855104"/>
        <c:crosses val="autoZero"/>
        <c:crossBetween val="between"/>
      </c:valAx>
    </c:plotArea>
    <c:legend>
      <c:legendPos val="r"/>
      <c:layout>
        <c:manualLayout>
          <c:xMode val="edge"/>
          <c:yMode val="edge"/>
          <c:x val="0.52847403967155537"/>
          <c:y val="0.1017160329952011"/>
          <c:w val="0.45899003683127504"/>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Test and Evaluation cost by year (CY14$)</a:t>
            </a:r>
          </a:p>
        </c:rich>
      </c:tx>
      <c:overlay val="0"/>
    </c:title>
    <c:autoTitleDeleted val="0"/>
    <c:plotArea>
      <c:layout/>
      <c:barChart>
        <c:barDir val="col"/>
        <c:grouping val="clustered"/>
        <c:varyColors val="0"/>
        <c:ser>
          <c:idx val="0"/>
          <c:order val="0"/>
          <c:tx>
            <c:strRef>
              <c:f>'1.1.5'!$B$51</c:f>
              <c:strCache>
                <c:ptCount val="1"/>
                <c:pt idx="0">
                  <c:v>Estimated Systems Test &amp; Evaluation (CY14$)</c:v>
                </c:pt>
              </c:strCache>
            </c:strRef>
          </c:tx>
          <c:invertIfNegative val="0"/>
          <c:cat>
            <c:numRef>
              <c:f>'1.1.5'!$D$50:$J$50</c:f>
              <c:numCache>
                <c:formatCode>General</c:formatCode>
                <c:ptCount val="7"/>
                <c:pt idx="0">
                  <c:v>2014</c:v>
                </c:pt>
                <c:pt idx="1">
                  <c:v>2015</c:v>
                </c:pt>
                <c:pt idx="2">
                  <c:v>2016</c:v>
                </c:pt>
                <c:pt idx="3">
                  <c:v>2017</c:v>
                </c:pt>
                <c:pt idx="4">
                  <c:v>2018</c:v>
                </c:pt>
                <c:pt idx="5">
                  <c:v>2019</c:v>
                </c:pt>
                <c:pt idx="6">
                  <c:v>2020</c:v>
                </c:pt>
              </c:numCache>
            </c:numRef>
          </c:cat>
          <c:val>
            <c:numRef>
              <c:f>'1.1.5'!$D$51:$J$51</c:f>
              <c:numCache>
                <c:formatCode>"$"#,##0_);[Red]\("$"#,##0\)</c:formatCode>
                <c:ptCount val="7"/>
                <c:pt idx="0">
                  <c:v>294269.34189076023</c:v>
                </c:pt>
                <c:pt idx="1">
                  <c:v>353316.80852015619</c:v>
                </c:pt>
                <c:pt idx="2">
                  <c:v>353316.80852015619</c:v>
                </c:pt>
                <c:pt idx="3">
                  <c:v>353316.80852015619</c:v>
                </c:pt>
                <c:pt idx="4">
                  <c:v>353316.80852015619</c:v>
                </c:pt>
                <c:pt idx="5">
                  <c:v>59047.466629395967</c:v>
                </c:pt>
                <c:pt idx="6">
                  <c:v>0</c:v>
                </c:pt>
              </c:numCache>
            </c:numRef>
          </c:val>
        </c:ser>
        <c:dLbls>
          <c:showLegendKey val="0"/>
          <c:showVal val="0"/>
          <c:showCatName val="0"/>
          <c:showSerName val="0"/>
          <c:showPercent val="0"/>
          <c:showBubbleSize val="0"/>
        </c:dLbls>
        <c:gapWidth val="150"/>
        <c:axId val="89815680"/>
        <c:axId val="89817472"/>
      </c:barChart>
      <c:catAx>
        <c:axId val="89815680"/>
        <c:scaling>
          <c:orientation val="minMax"/>
        </c:scaling>
        <c:delete val="0"/>
        <c:axPos val="b"/>
        <c:numFmt formatCode="General" sourceLinked="1"/>
        <c:majorTickMark val="none"/>
        <c:minorTickMark val="none"/>
        <c:tickLblPos val="nextTo"/>
        <c:crossAx val="89817472"/>
        <c:crosses val="autoZero"/>
        <c:auto val="1"/>
        <c:lblAlgn val="ctr"/>
        <c:lblOffset val="100"/>
        <c:noMultiLvlLbl val="0"/>
      </c:catAx>
      <c:valAx>
        <c:axId val="89817472"/>
        <c:scaling>
          <c:orientation val="minMax"/>
        </c:scaling>
        <c:delete val="0"/>
        <c:axPos val="l"/>
        <c:majorGridlines/>
        <c:numFmt formatCode="&quot;$&quot;#,##0_);[Red]\(&quot;$&quot;#,##0\)" sourceLinked="1"/>
        <c:majorTickMark val="out"/>
        <c:minorTickMark val="none"/>
        <c:tickLblPos val="nextTo"/>
        <c:crossAx val="89815680"/>
        <c:crosses val="autoZero"/>
        <c:crossBetween val="between"/>
      </c:valAx>
    </c:plotArea>
    <c:legend>
      <c:legendPos val="r"/>
      <c:layout>
        <c:manualLayout>
          <c:xMode val="edge"/>
          <c:yMode val="edge"/>
          <c:x val="0.52847403967155537"/>
          <c:y val="0.1017160329952011"/>
          <c:w val="0.44769115843526391"/>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Training cost by year (CY14$)</a:t>
            </a:r>
          </a:p>
        </c:rich>
      </c:tx>
      <c:overlay val="0"/>
    </c:title>
    <c:autoTitleDeleted val="0"/>
    <c:plotArea>
      <c:layout/>
      <c:barChart>
        <c:barDir val="col"/>
        <c:grouping val="clustered"/>
        <c:varyColors val="0"/>
        <c:ser>
          <c:idx val="0"/>
          <c:order val="0"/>
          <c:tx>
            <c:strRef>
              <c:f>'1.1.6'!$B$51</c:f>
              <c:strCache>
                <c:ptCount val="1"/>
                <c:pt idx="0">
                  <c:v>Estimated Training (CY14$)</c:v>
                </c:pt>
              </c:strCache>
            </c:strRef>
          </c:tx>
          <c:invertIfNegative val="0"/>
          <c:cat>
            <c:numRef>
              <c:f>'1.1.6'!$D$50:$J$50</c:f>
              <c:numCache>
                <c:formatCode>General</c:formatCode>
                <c:ptCount val="7"/>
                <c:pt idx="0">
                  <c:v>2014</c:v>
                </c:pt>
                <c:pt idx="1">
                  <c:v>2015</c:v>
                </c:pt>
                <c:pt idx="2">
                  <c:v>2016</c:v>
                </c:pt>
                <c:pt idx="3">
                  <c:v>2017</c:v>
                </c:pt>
                <c:pt idx="4">
                  <c:v>2018</c:v>
                </c:pt>
                <c:pt idx="5">
                  <c:v>2019</c:v>
                </c:pt>
                <c:pt idx="6">
                  <c:v>2020</c:v>
                </c:pt>
              </c:numCache>
            </c:numRef>
          </c:cat>
          <c:val>
            <c:numRef>
              <c:f>'1.1.6'!$D$51:$J$51</c:f>
              <c:numCache>
                <c:formatCode>"$"#,##0_);[Red]\("$"#,##0\)</c:formatCode>
                <c:ptCount val="7"/>
                <c:pt idx="0">
                  <c:v>149361.1807644185</c:v>
                </c:pt>
                <c:pt idx="1">
                  <c:v>179331.68085201562</c:v>
                </c:pt>
                <c:pt idx="2">
                  <c:v>179331.68085201562</c:v>
                </c:pt>
                <c:pt idx="3">
                  <c:v>179331.68085201562</c:v>
                </c:pt>
                <c:pt idx="4">
                  <c:v>179331.68085201562</c:v>
                </c:pt>
                <c:pt idx="5">
                  <c:v>29970.500087597131</c:v>
                </c:pt>
                <c:pt idx="6">
                  <c:v>0</c:v>
                </c:pt>
              </c:numCache>
            </c:numRef>
          </c:val>
        </c:ser>
        <c:dLbls>
          <c:showLegendKey val="0"/>
          <c:showVal val="0"/>
          <c:showCatName val="0"/>
          <c:showSerName val="0"/>
          <c:showPercent val="0"/>
          <c:showBubbleSize val="0"/>
        </c:dLbls>
        <c:gapWidth val="150"/>
        <c:axId val="88920832"/>
        <c:axId val="88922368"/>
      </c:barChart>
      <c:catAx>
        <c:axId val="88920832"/>
        <c:scaling>
          <c:orientation val="minMax"/>
        </c:scaling>
        <c:delete val="0"/>
        <c:axPos val="b"/>
        <c:numFmt formatCode="General" sourceLinked="1"/>
        <c:majorTickMark val="none"/>
        <c:minorTickMark val="none"/>
        <c:tickLblPos val="nextTo"/>
        <c:crossAx val="88922368"/>
        <c:crosses val="autoZero"/>
        <c:auto val="1"/>
        <c:lblAlgn val="ctr"/>
        <c:lblOffset val="100"/>
        <c:noMultiLvlLbl val="0"/>
      </c:catAx>
      <c:valAx>
        <c:axId val="88922368"/>
        <c:scaling>
          <c:orientation val="minMax"/>
        </c:scaling>
        <c:delete val="0"/>
        <c:axPos val="l"/>
        <c:majorGridlines/>
        <c:numFmt formatCode="&quot;$&quot;#,##0_);[Red]\(&quot;$&quot;#,##0\)" sourceLinked="1"/>
        <c:majorTickMark val="out"/>
        <c:minorTickMark val="none"/>
        <c:tickLblPos val="nextTo"/>
        <c:crossAx val="88920832"/>
        <c:crosses val="autoZero"/>
        <c:crossBetween val="between"/>
      </c:valAx>
    </c:plotArea>
    <c:legend>
      <c:legendPos val="r"/>
      <c:layout>
        <c:manualLayout>
          <c:xMode val="edge"/>
          <c:yMode val="edge"/>
          <c:x val="0.75050413849422137"/>
          <c:y val="0.1017160329952011"/>
          <c:w val="0.2494958615057786"/>
          <c:h val="8.8641698069438751E-2"/>
        </c:manualLayout>
      </c:layout>
      <c:overlay val="1"/>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Data</a:t>
            </a:r>
            <a:r>
              <a:rPr lang="en-US" baseline="0"/>
              <a:t> </a:t>
            </a:r>
            <a:r>
              <a:rPr lang="en-US"/>
              <a:t>cost by year (CY14$)</a:t>
            </a:r>
          </a:p>
        </c:rich>
      </c:tx>
      <c:overlay val="0"/>
    </c:title>
    <c:autoTitleDeleted val="0"/>
    <c:plotArea>
      <c:layout/>
      <c:barChart>
        <c:barDir val="col"/>
        <c:grouping val="clustered"/>
        <c:varyColors val="0"/>
        <c:ser>
          <c:idx val="1"/>
          <c:order val="0"/>
          <c:tx>
            <c:strRef>
              <c:f>'1.1.7'!$B$51</c:f>
              <c:strCache>
                <c:ptCount val="1"/>
                <c:pt idx="0">
                  <c:v>Estimated Data (CY14$)</c:v>
                </c:pt>
              </c:strCache>
            </c:strRef>
          </c:tx>
          <c:invertIfNegative val="0"/>
          <c:cat>
            <c:numRef>
              <c:f>'1.1.7'!$D$50:$J$50</c:f>
              <c:numCache>
                <c:formatCode>General</c:formatCode>
                <c:ptCount val="7"/>
                <c:pt idx="0">
                  <c:v>2014</c:v>
                </c:pt>
                <c:pt idx="1">
                  <c:v>2015</c:v>
                </c:pt>
                <c:pt idx="2">
                  <c:v>2016</c:v>
                </c:pt>
                <c:pt idx="3">
                  <c:v>2017</c:v>
                </c:pt>
                <c:pt idx="4">
                  <c:v>2018</c:v>
                </c:pt>
                <c:pt idx="5">
                  <c:v>2019</c:v>
                </c:pt>
                <c:pt idx="6">
                  <c:v>2020</c:v>
                </c:pt>
              </c:numCache>
            </c:numRef>
          </c:cat>
          <c:val>
            <c:numRef>
              <c:f>'1.1.7'!$D$51:$J$51</c:f>
              <c:numCache>
                <c:formatCode>"$"#,##0_);[Red]\("$"#,##0\)</c:formatCode>
                <c:ptCount val="7"/>
                <c:pt idx="0">
                  <c:v>199148.24101922466</c:v>
                </c:pt>
                <c:pt idx="1">
                  <c:v>239108.90780268749</c:v>
                </c:pt>
                <c:pt idx="2">
                  <c:v>239108.90780268749</c:v>
                </c:pt>
                <c:pt idx="3">
                  <c:v>239108.90780268749</c:v>
                </c:pt>
                <c:pt idx="4">
                  <c:v>239108.90780268749</c:v>
                </c:pt>
                <c:pt idx="5">
                  <c:v>39960.666783462846</c:v>
                </c:pt>
                <c:pt idx="6">
                  <c:v>0</c:v>
                </c:pt>
              </c:numCache>
            </c:numRef>
          </c:val>
        </c:ser>
        <c:dLbls>
          <c:showLegendKey val="0"/>
          <c:showVal val="0"/>
          <c:showCatName val="0"/>
          <c:showSerName val="0"/>
          <c:showPercent val="0"/>
          <c:showBubbleSize val="0"/>
        </c:dLbls>
        <c:gapWidth val="150"/>
        <c:axId val="90520192"/>
        <c:axId val="90521984"/>
      </c:barChart>
      <c:catAx>
        <c:axId val="90520192"/>
        <c:scaling>
          <c:orientation val="minMax"/>
        </c:scaling>
        <c:delete val="0"/>
        <c:axPos val="b"/>
        <c:numFmt formatCode="General" sourceLinked="1"/>
        <c:majorTickMark val="none"/>
        <c:minorTickMark val="none"/>
        <c:tickLblPos val="nextTo"/>
        <c:crossAx val="90521984"/>
        <c:crosses val="autoZero"/>
        <c:auto val="1"/>
        <c:lblAlgn val="ctr"/>
        <c:lblOffset val="100"/>
        <c:noMultiLvlLbl val="0"/>
      </c:catAx>
      <c:valAx>
        <c:axId val="90521984"/>
        <c:scaling>
          <c:orientation val="minMax"/>
        </c:scaling>
        <c:delete val="0"/>
        <c:axPos val="l"/>
        <c:majorGridlines/>
        <c:numFmt formatCode="&quot;$&quot;#,##0_);[Red]\(&quot;$&quot;#,##0\)" sourceLinked="1"/>
        <c:majorTickMark val="out"/>
        <c:minorTickMark val="none"/>
        <c:tickLblPos val="nextTo"/>
        <c:crossAx val="90520192"/>
        <c:crosses val="autoZero"/>
        <c:crossBetween val="between"/>
      </c:valAx>
    </c:plotArea>
    <c:legend>
      <c:legendPos val="r"/>
      <c:layout>
        <c:manualLayout>
          <c:xMode val="edge"/>
          <c:yMode val="edge"/>
          <c:x val="0.75050413849422137"/>
          <c:y val="0.1017160329952011"/>
          <c:w val="0.23418920053813985"/>
          <c:h val="8.8641698069438751E-2"/>
        </c:manualLayout>
      </c:layout>
      <c:overlay val="1"/>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Peculiar Support Equipment</a:t>
            </a:r>
            <a:r>
              <a:rPr lang="en-US" baseline="0"/>
              <a:t> </a:t>
            </a:r>
            <a:r>
              <a:rPr lang="en-US"/>
              <a:t>cost by year (CY14$)</a:t>
            </a:r>
          </a:p>
        </c:rich>
      </c:tx>
      <c:overlay val="0"/>
    </c:title>
    <c:autoTitleDeleted val="0"/>
    <c:plotArea>
      <c:layout/>
      <c:barChart>
        <c:barDir val="col"/>
        <c:grouping val="clustered"/>
        <c:varyColors val="0"/>
        <c:ser>
          <c:idx val="0"/>
          <c:order val="0"/>
          <c:tx>
            <c:strRef>
              <c:f>'1.1.8'!$B$51</c:f>
              <c:strCache>
                <c:ptCount val="1"/>
                <c:pt idx="0">
                  <c:v>Estimated Peculiar Support Equipment (CY14$)</c:v>
                </c:pt>
              </c:strCache>
            </c:strRef>
          </c:tx>
          <c:invertIfNegative val="0"/>
          <c:cat>
            <c:numRef>
              <c:f>'1.1.8'!$D$50:$J$50</c:f>
              <c:numCache>
                <c:formatCode>General</c:formatCode>
                <c:ptCount val="7"/>
                <c:pt idx="0">
                  <c:v>2014</c:v>
                </c:pt>
                <c:pt idx="1">
                  <c:v>2015</c:v>
                </c:pt>
                <c:pt idx="2">
                  <c:v>2016</c:v>
                </c:pt>
                <c:pt idx="3">
                  <c:v>2017</c:v>
                </c:pt>
                <c:pt idx="4">
                  <c:v>2018</c:v>
                </c:pt>
                <c:pt idx="5">
                  <c:v>2019</c:v>
                </c:pt>
                <c:pt idx="6">
                  <c:v>2020</c:v>
                </c:pt>
              </c:numCache>
            </c:numRef>
          </c:cat>
          <c:val>
            <c:numRef>
              <c:f>'1.1.8'!$D$51:$J$51</c:f>
              <c:numCache>
                <c:formatCode>"$"#,##0_);[Red]\("$"#,##0\)</c:formatCode>
                <c:ptCount val="7"/>
                <c:pt idx="0">
                  <c:v>122612.22578781679</c:v>
                </c:pt>
                <c:pt idx="1">
                  <c:v>147215.33688339844</c:v>
                </c:pt>
                <c:pt idx="2">
                  <c:v>147215.33688339844</c:v>
                </c:pt>
                <c:pt idx="3">
                  <c:v>147215.33688339844</c:v>
                </c:pt>
                <c:pt idx="4">
                  <c:v>147215.33688339844</c:v>
                </c:pt>
                <c:pt idx="5">
                  <c:v>24603.111095581658</c:v>
                </c:pt>
                <c:pt idx="6">
                  <c:v>0</c:v>
                </c:pt>
              </c:numCache>
            </c:numRef>
          </c:val>
        </c:ser>
        <c:dLbls>
          <c:showLegendKey val="0"/>
          <c:showVal val="0"/>
          <c:showCatName val="0"/>
          <c:showSerName val="0"/>
          <c:showPercent val="0"/>
          <c:showBubbleSize val="0"/>
        </c:dLbls>
        <c:gapWidth val="150"/>
        <c:axId val="93610752"/>
        <c:axId val="93612288"/>
      </c:barChart>
      <c:catAx>
        <c:axId val="93610752"/>
        <c:scaling>
          <c:orientation val="minMax"/>
        </c:scaling>
        <c:delete val="0"/>
        <c:axPos val="b"/>
        <c:numFmt formatCode="General" sourceLinked="1"/>
        <c:majorTickMark val="none"/>
        <c:minorTickMark val="none"/>
        <c:tickLblPos val="nextTo"/>
        <c:crossAx val="93612288"/>
        <c:crosses val="autoZero"/>
        <c:auto val="1"/>
        <c:lblAlgn val="ctr"/>
        <c:lblOffset val="100"/>
        <c:noMultiLvlLbl val="0"/>
      </c:catAx>
      <c:valAx>
        <c:axId val="93612288"/>
        <c:scaling>
          <c:orientation val="minMax"/>
        </c:scaling>
        <c:delete val="0"/>
        <c:axPos val="l"/>
        <c:majorGridlines/>
        <c:numFmt formatCode="&quot;$&quot;#,##0_);[Red]\(&quot;$&quot;#,##0\)" sourceLinked="1"/>
        <c:majorTickMark val="out"/>
        <c:minorTickMark val="none"/>
        <c:tickLblPos val="nextTo"/>
        <c:crossAx val="93610752"/>
        <c:crosses val="autoZero"/>
        <c:crossBetween val="between"/>
      </c:valAx>
    </c:plotArea>
    <c:legend>
      <c:legendPos val="r"/>
      <c:layout>
        <c:manualLayout>
          <c:xMode val="edge"/>
          <c:yMode val="edge"/>
          <c:x val="0.45622073567075339"/>
          <c:y val="0.1017160329952011"/>
          <c:w val="0.54377926432924661"/>
          <c:h val="0.14787164278537795"/>
        </c:manualLayout>
      </c:layout>
      <c:overlay val="1"/>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168089</xdr:colOff>
      <xdr:row>8</xdr:row>
      <xdr:rowOff>257736</xdr:rowOff>
    </xdr:from>
    <xdr:to>
      <xdr:col>5</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021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78441</xdr:colOff>
      <xdr:row>7</xdr:row>
      <xdr:rowOff>235323</xdr:rowOff>
    </xdr:from>
    <xdr:to>
      <xdr:col>6</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124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171450</xdr:colOff>
      <xdr:row>9</xdr:row>
      <xdr:rowOff>114300</xdr:rowOff>
    </xdr:from>
    <xdr:to>
      <xdr:col>15</xdr:col>
      <xdr:colOff>532774</xdr:colOff>
      <xdr:row>30</xdr:row>
      <xdr:rowOff>121920</xdr:rowOff>
    </xdr:to>
    <xdr:pic>
      <xdr:nvPicPr>
        <xdr:cNvPr id="2" name="Picture 1"/>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5657850" y="3105150"/>
          <a:ext cx="4018924" cy="40081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45</xdr:row>
      <xdr:rowOff>95250</xdr:rowOff>
    </xdr:from>
    <xdr:to>
      <xdr:col>9</xdr:col>
      <xdr:colOff>365125</xdr:colOff>
      <xdr:row>67</xdr:row>
      <xdr:rowOff>15875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141968</xdr:colOff>
      <xdr:row>10</xdr:row>
      <xdr:rowOff>186189</xdr:rowOff>
    </xdr:from>
    <xdr:to>
      <xdr:col>11</xdr:col>
      <xdr:colOff>27668</xdr:colOff>
      <xdr:row>30</xdr:row>
      <xdr:rowOff>181428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176893</xdr:colOff>
      <xdr:row>227</xdr:row>
      <xdr:rowOff>134257</xdr:rowOff>
    </xdr:from>
    <xdr:to>
      <xdr:col>10</xdr:col>
      <xdr:colOff>126999</xdr:colOff>
      <xdr:row>247</xdr:row>
      <xdr:rowOff>154214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208359</xdr:colOff>
      <xdr:row>47</xdr:row>
      <xdr:rowOff>154780</xdr:rowOff>
    </xdr:from>
    <xdr:to>
      <xdr:col>5</xdr:col>
      <xdr:colOff>261937</xdr:colOff>
      <xdr:row>63</xdr:row>
      <xdr:rowOff>214311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105832</xdr:colOff>
      <xdr:row>68</xdr:row>
      <xdr:rowOff>30691</xdr:rowOff>
    </xdr:from>
    <xdr:to>
      <xdr:col>5</xdr:col>
      <xdr:colOff>158749</xdr:colOff>
      <xdr:row>81</xdr:row>
      <xdr:rowOff>21167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105832</xdr:colOff>
      <xdr:row>47</xdr:row>
      <xdr:rowOff>30691</xdr:rowOff>
    </xdr:from>
    <xdr:to>
      <xdr:col>5</xdr:col>
      <xdr:colOff>158749</xdr:colOff>
      <xdr:row>60</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105832</xdr:colOff>
      <xdr:row>47</xdr:row>
      <xdr:rowOff>30691</xdr:rowOff>
    </xdr:from>
    <xdr:to>
      <xdr:col>5</xdr:col>
      <xdr:colOff>158749</xdr:colOff>
      <xdr:row>60</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Model" displayName="Model" ref="B3:AK16" totalsRowShown="0" headerRowDxfId="46" dataDxfId="44" headerRowBorderDxfId="45" tableBorderDxfId="43" totalsRowBorderDxfId="42">
  <tableColumns count="36">
    <tableColumn id="1" name="Estimate Type" dataDxfId="41"/>
    <tableColumn id="2" name="CCP" dataDxfId="40"/>
    <tableColumn id="3" name="Program" dataDxfId="39">
      <calculatedColumnFormula>Program_Short_Name</calculatedColumnFormula>
    </tableColumn>
    <tableColumn id="4" name="WBS Level 2" dataDxfId="38"/>
    <tableColumn id="5" name="WBS Level 3" dataDxfId="37"/>
    <tableColumn id="6" name="Cost Driver" dataDxfId="36"/>
    <tableColumn id="7" name="Category 1" dataDxfId="35"/>
    <tableColumn id="8" name="Category2" dataDxfId="34"/>
    <tableColumn id="9" name="Category3" dataDxfId="33"/>
    <tableColumn id="10" name="Category 4" dataDxfId="32"/>
    <tableColumn id="11" name="Category 5" dataDxfId="31"/>
    <tableColumn id="12" name="Category 6" dataDxfId="30"/>
    <tableColumn id="13" name="Category 7" dataDxfId="29"/>
    <tableColumn id="14" name="Category 8" dataDxfId="28"/>
    <tableColumn id="15" name="Description" dataDxfId="27"/>
    <tableColumn id="16" name="Estimating Methodology" dataDxfId="26"/>
    <tableColumn id="17" name="Uncertainty Methodology" dataDxfId="25"/>
    <tableColumn id="18" name="Data Source" dataDxfId="24"/>
    <tableColumn id="19" name="WBS Element Talking Points" dataDxfId="23"/>
    <tableColumn id="23" name="Point Estimate (CY14$)" dataDxfId="22">
      <calculatedColumnFormula>SUM(AM4:EZ4)</calculatedColumnFormula>
    </tableColumn>
    <tableColumn id="26" name="Point Estimate (TY$)" dataDxfId="21">
      <calculatedColumnFormula>SUM(FA4:JN4)</calculatedColumnFormula>
    </tableColumn>
    <tableColumn id="29" name="% of Phase (CY)" dataDxfId="20" dataCellStyle="Percent">
      <calculatedColumnFormula>IFERROR(Model[[#This Row],[Point Estimate (CY14$)]]/SUMIFS(Model[Point Estimate (CY14$)], Model[Phase], Model[[#This Row],[Phase]]), 0)</calculatedColumnFormula>
    </tableColumn>
    <tableColumn id="30" name="Mean Estimate (CY14$)" dataDxfId="19">
      <calculatedColumnFormula>Model[[#This Row],[Point Estimate (CY14$)]]</calculatedColumnFormula>
    </tableColumn>
    <tableColumn id="31" name="Mean Estimate (TY$)" dataDxfId="18">
      <calculatedColumnFormula>Model[[#This Row],[Point Estimate (TY$)]]</calculatedColumnFormula>
    </tableColumn>
    <tableColumn id="32" name="WBS No." dataDxfId="17"/>
    <tableColumn id="33" name="WBS Name" dataDxfId="16"/>
    <tableColumn id="20" name="Start Date"/>
    <tableColumn id="21" name="End Date"/>
    <tableColumn id="22" name="Duration"/>
    <tableColumn id="24" name="Column1"/>
    <tableColumn id="34" name="Phase" dataDxfId="15"/>
    <tableColumn id="35" name="Service" dataDxfId="14"/>
    <tableColumn id="36" name="APPN" dataDxfId="13"/>
    <tableColumn id="37" name="Inflation" dataDxfId="12"/>
    <tableColumn id="38" name="PMO / NON PMO" dataDxfId="11"/>
    <tableColumn id="39" name="KTR / GOV" dataDxfId="1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sheetPr>
  <dimension ref="A1:P24"/>
  <sheetViews>
    <sheetView showGridLines="0" zoomScale="60" zoomScaleNormal="60" workbookViewId="0">
      <pane xSplit="2" ySplit="2" topLeftCell="C3" activePane="bottomRight" state="frozen"/>
      <selection pane="topRight" activeCell="C1" sqref="C1"/>
      <selection pane="bottomLeft" activeCell="A3" sqref="A3"/>
      <selection pane="bottomRight" activeCell="C3" sqref="C3"/>
    </sheetView>
  </sheetViews>
  <sheetFormatPr defaultColWidth="9" defaultRowHeight="14.5"/>
  <cols>
    <col min="1" max="1" width="9" style="3"/>
    <col min="2" max="2" width="3.33203125" style="3" bestFit="1" customWidth="1"/>
    <col min="3" max="3" width="11" style="3" bestFit="1" customWidth="1"/>
    <col min="4" max="4" width="22.75" style="3" customWidth="1"/>
    <col min="5" max="5" width="30.08203125" style="3" customWidth="1"/>
    <col min="6" max="6" width="53.08203125" style="3" customWidth="1"/>
    <col min="7" max="13" width="21" style="3" customWidth="1"/>
    <col min="14" max="16384" width="9" style="3"/>
  </cols>
  <sheetData>
    <row r="1" spans="1:14">
      <c r="A1" s="354" t="s">
        <v>467</v>
      </c>
    </row>
    <row r="2" spans="1:14" ht="15.5">
      <c r="B2" s="175" t="s">
        <v>84</v>
      </c>
      <c r="C2" s="176" t="s">
        <v>219</v>
      </c>
      <c r="D2" s="176" t="s">
        <v>220</v>
      </c>
      <c r="E2" s="176" t="s">
        <v>177</v>
      </c>
      <c r="F2" s="176" t="s">
        <v>221</v>
      </c>
      <c r="G2" s="176" t="s">
        <v>222</v>
      </c>
      <c r="H2" s="176" t="s">
        <v>223</v>
      </c>
      <c r="I2" s="176" t="s">
        <v>224</v>
      </c>
      <c r="J2" s="176" t="s">
        <v>225</v>
      </c>
      <c r="K2" s="176" t="s">
        <v>226</v>
      </c>
      <c r="L2" s="176" t="s">
        <v>227</v>
      </c>
      <c r="M2" s="176" t="s">
        <v>228</v>
      </c>
      <c r="N2" s="177" t="s">
        <v>229</v>
      </c>
    </row>
    <row r="3" spans="1:14" ht="62">
      <c r="B3" s="178">
        <v>1</v>
      </c>
      <c r="C3" s="178" t="s">
        <v>168</v>
      </c>
      <c r="D3" s="179" t="s">
        <v>230</v>
      </c>
      <c r="E3" s="180" t="s">
        <v>231</v>
      </c>
      <c r="F3" s="180"/>
      <c r="G3" s="180"/>
      <c r="H3" s="179" t="s">
        <v>232</v>
      </c>
      <c r="I3" s="179" t="s">
        <v>233</v>
      </c>
      <c r="J3" s="179" t="s">
        <v>234</v>
      </c>
      <c r="K3" s="179" t="s">
        <v>235</v>
      </c>
      <c r="L3" s="180"/>
      <c r="M3" s="180"/>
      <c r="N3" s="181"/>
    </row>
    <row r="4" spans="1:14" ht="62">
      <c r="B4" s="182">
        <v>2</v>
      </c>
      <c r="C4" s="182" t="s">
        <v>168</v>
      </c>
      <c r="D4" s="183" t="s">
        <v>236</v>
      </c>
      <c r="E4" s="184" t="s">
        <v>237</v>
      </c>
      <c r="F4" s="184"/>
      <c r="G4" s="184"/>
      <c r="H4" s="183" t="s">
        <v>232</v>
      </c>
      <c r="I4" s="183" t="s">
        <v>233</v>
      </c>
      <c r="J4" s="183" t="s">
        <v>238</v>
      </c>
      <c r="K4" s="183" t="s">
        <v>239</v>
      </c>
      <c r="L4" s="184"/>
      <c r="M4" s="184"/>
      <c r="N4" s="185"/>
    </row>
    <row r="5" spans="1:14" ht="62">
      <c r="B5" s="178">
        <v>3</v>
      </c>
      <c r="C5" s="178" t="s">
        <v>168</v>
      </c>
      <c r="D5" s="179" t="s">
        <v>240</v>
      </c>
      <c r="E5" s="180" t="s">
        <v>241</v>
      </c>
      <c r="F5" s="180"/>
      <c r="G5" s="180"/>
      <c r="H5" s="179" t="s">
        <v>232</v>
      </c>
      <c r="I5" s="179" t="s">
        <v>242</v>
      </c>
      <c r="J5" s="179" t="s">
        <v>234</v>
      </c>
      <c r="K5" s="179" t="s">
        <v>243</v>
      </c>
      <c r="L5" s="180"/>
      <c r="M5" s="180"/>
      <c r="N5" s="181"/>
    </row>
    <row r="6" spans="1:14" ht="46.5">
      <c r="B6" s="182">
        <v>4</v>
      </c>
      <c r="C6" s="182" t="s">
        <v>168</v>
      </c>
      <c r="D6" s="183" t="s">
        <v>244</v>
      </c>
      <c r="E6" s="184" t="s">
        <v>245</v>
      </c>
      <c r="F6" s="184"/>
      <c r="G6" s="184"/>
      <c r="H6" s="183" t="s">
        <v>246</v>
      </c>
      <c r="I6" s="183" t="s">
        <v>247</v>
      </c>
      <c r="J6" s="183" t="s">
        <v>248</v>
      </c>
      <c r="K6" s="183" t="s">
        <v>249</v>
      </c>
      <c r="L6" s="183" t="s">
        <v>250</v>
      </c>
      <c r="M6" s="184"/>
      <c r="N6" s="185"/>
    </row>
    <row r="7" spans="1:14" ht="62">
      <c r="B7" s="178">
        <v>5</v>
      </c>
      <c r="C7" s="178" t="s">
        <v>251</v>
      </c>
      <c r="D7" s="179" t="s">
        <v>252</v>
      </c>
      <c r="E7" s="180" t="s">
        <v>253</v>
      </c>
      <c r="F7" s="180"/>
      <c r="G7" s="180"/>
      <c r="H7" s="179" t="s">
        <v>254</v>
      </c>
      <c r="I7" s="179" t="s">
        <v>255</v>
      </c>
      <c r="J7" s="179" t="s">
        <v>256</v>
      </c>
      <c r="K7" s="180"/>
      <c r="L7" s="180"/>
      <c r="M7" s="180"/>
      <c r="N7" s="181"/>
    </row>
    <row r="8" spans="1:14" ht="62">
      <c r="B8" s="182">
        <v>6</v>
      </c>
      <c r="C8" s="182" t="s">
        <v>257</v>
      </c>
      <c r="D8" s="183" t="s">
        <v>258</v>
      </c>
      <c r="E8" s="184" t="s">
        <v>259</v>
      </c>
      <c r="F8" s="184"/>
      <c r="G8" s="184" t="s">
        <v>260</v>
      </c>
      <c r="H8" s="183" t="s">
        <v>261</v>
      </c>
      <c r="I8" s="183" t="s">
        <v>262</v>
      </c>
      <c r="J8" s="183" t="s">
        <v>263</v>
      </c>
      <c r="K8" s="183" t="s">
        <v>264</v>
      </c>
      <c r="L8" s="183" t="s">
        <v>265</v>
      </c>
      <c r="M8" s="183" t="s">
        <v>266</v>
      </c>
      <c r="N8" s="185"/>
    </row>
    <row r="9" spans="1:14" ht="46.5">
      <c r="B9" s="178">
        <v>7</v>
      </c>
      <c r="C9" s="178" t="s">
        <v>257</v>
      </c>
      <c r="D9" s="179" t="s">
        <v>267</v>
      </c>
      <c r="E9" s="180" t="s">
        <v>268</v>
      </c>
      <c r="F9" s="186"/>
      <c r="G9" s="180" t="s">
        <v>269</v>
      </c>
      <c r="H9" s="179" t="s">
        <v>261</v>
      </c>
      <c r="I9" s="179" t="s">
        <v>262</v>
      </c>
      <c r="J9" s="179" t="s">
        <v>263</v>
      </c>
      <c r="K9" s="179" t="s">
        <v>270</v>
      </c>
      <c r="L9" s="179" t="s">
        <v>266</v>
      </c>
      <c r="M9" s="180"/>
      <c r="N9" s="181"/>
    </row>
    <row r="10" spans="1:14" ht="46.5">
      <c r="B10" s="182">
        <v>8</v>
      </c>
      <c r="C10" s="182" t="s">
        <v>257</v>
      </c>
      <c r="D10" s="183" t="s">
        <v>271</v>
      </c>
      <c r="E10" s="184" t="s">
        <v>272</v>
      </c>
      <c r="F10" s="184"/>
      <c r="G10" s="184"/>
      <c r="H10" s="183" t="s">
        <v>261</v>
      </c>
      <c r="I10" s="183" t="s">
        <v>262</v>
      </c>
      <c r="J10" s="183" t="s">
        <v>263</v>
      </c>
      <c r="K10" s="183" t="s">
        <v>273</v>
      </c>
      <c r="L10" s="183" t="s">
        <v>274</v>
      </c>
      <c r="M10" s="183" t="s">
        <v>266</v>
      </c>
      <c r="N10" s="187"/>
    </row>
    <row r="11" spans="1:14" ht="46.5">
      <c r="B11" s="178">
        <v>9</v>
      </c>
      <c r="C11" s="178" t="s">
        <v>257</v>
      </c>
      <c r="D11" s="179" t="s">
        <v>275</v>
      </c>
      <c r="E11" s="180" t="s">
        <v>276</v>
      </c>
      <c r="F11" s="180"/>
      <c r="G11" s="180"/>
      <c r="H11" s="179" t="s">
        <v>261</v>
      </c>
      <c r="I11" s="179" t="s">
        <v>262</v>
      </c>
      <c r="J11" s="179" t="s">
        <v>263</v>
      </c>
      <c r="K11" s="179" t="s">
        <v>266</v>
      </c>
      <c r="L11" s="180"/>
      <c r="M11" s="180"/>
      <c r="N11" s="181"/>
    </row>
    <row r="12" spans="1:14" ht="92.5">
      <c r="B12" s="182">
        <v>10</v>
      </c>
      <c r="C12" s="182" t="s">
        <v>257</v>
      </c>
      <c r="D12" s="183" t="s">
        <v>277</v>
      </c>
      <c r="E12" s="184" t="s">
        <v>278</v>
      </c>
      <c r="F12" s="184"/>
      <c r="G12" s="184" t="s">
        <v>279</v>
      </c>
      <c r="H12" s="183" t="s">
        <v>280</v>
      </c>
      <c r="I12" s="183" t="s">
        <v>281</v>
      </c>
      <c r="J12" s="183" t="s">
        <v>282</v>
      </c>
      <c r="K12" s="183" t="s">
        <v>283</v>
      </c>
      <c r="L12" s="183" t="s">
        <v>284</v>
      </c>
      <c r="M12" s="183" t="s">
        <v>285</v>
      </c>
      <c r="N12" s="188" t="s">
        <v>266</v>
      </c>
    </row>
    <row r="13" spans="1:14" ht="46.5">
      <c r="B13" s="178">
        <v>11</v>
      </c>
      <c r="C13" s="178" t="s">
        <v>286</v>
      </c>
      <c r="D13" s="179" t="s">
        <v>287</v>
      </c>
      <c r="E13" s="180" t="s">
        <v>288</v>
      </c>
      <c r="F13" s="180"/>
      <c r="G13" s="180"/>
      <c r="H13" s="180" t="s">
        <v>87</v>
      </c>
      <c r="I13" s="180"/>
      <c r="J13" s="180"/>
      <c r="K13" s="180"/>
      <c r="L13" s="180"/>
      <c r="M13" s="180"/>
      <c r="N13" s="189"/>
    </row>
    <row r="14" spans="1:14" ht="31">
      <c r="B14" s="182">
        <v>12</v>
      </c>
      <c r="C14" s="182" t="s">
        <v>286</v>
      </c>
      <c r="D14" s="183" t="s">
        <v>289</v>
      </c>
      <c r="E14" s="184" t="s">
        <v>290</v>
      </c>
      <c r="F14" s="184"/>
      <c r="G14" s="184"/>
      <c r="H14" s="184" t="s">
        <v>87</v>
      </c>
      <c r="I14" s="184"/>
      <c r="J14" s="184"/>
      <c r="K14" s="184"/>
      <c r="L14" s="184"/>
      <c r="M14" s="184"/>
      <c r="N14" s="187"/>
    </row>
    <row r="15" spans="1:14" ht="31">
      <c r="B15" s="190"/>
      <c r="C15" s="190" t="s">
        <v>286</v>
      </c>
      <c r="D15" s="191" t="s">
        <v>291</v>
      </c>
      <c r="E15" s="191" t="s">
        <v>292</v>
      </c>
      <c r="F15" s="191"/>
      <c r="G15" s="191"/>
      <c r="H15" s="191"/>
      <c r="I15" s="191"/>
      <c r="J15" s="191"/>
      <c r="K15" s="191"/>
      <c r="L15" s="191"/>
      <c r="M15" s="191"/>
      <c r="N15" s="192"/>
    </row>
    <row r="17" spans="4:16">
      <c r="F17" s="170"/>
    </row>
    <row r="18" spans="4:16">
      <c r="D18" s="171"/>
      <c r="E18" s="171"/>
    </row>
    <row r="19" spans="4:16" ht="15.5">
      <c r="D19" s="170"/>
      <c r="E19" s="170"/>
      <c r="F19" s="172"/>
      <c r="G19" s="172"/>
      <c r="H19" s="172"/>
      <c r="I19" s="172"/>
      <c r="J19" s="172"/>
      <c r="K19" s="172"/>
      <c r="L19" s="172"/>
      <c r="M19" s="172"/>
      <c r="N19" s="172"/>
      <c r="O19" s="172"/>
      <c r="P19" s="172"/>
    </row>
    <row r="20" spans="4:16">
      <c r="D20" s="171"/>
      <c r="E20" s="173"/>
      <c r="F20" s="174"/>
      <c r="G20" s="170"/>
      <c r="H20" s="170"/>
      <c r="I20" s="170"/>
      <c r="J20" s="170"/>
      <c r="K20" s="170"/>
      <c r="L20" s="170"/>
      <c r="M20" s="170"/>
      <c r="N20" s="170"/>
      <c r="O20" s="170"/>
      <c r="P20" s="170"/>
    </row>
    <row r="21" spans="4:16">
      <c r="E21" s="174"/>
      <c r="F21" s="174"/>
    </row>
    <row r="22" spans="4:16">
      <c r="F22" s="174"/>
    </row>
    <row r="23" spans="4:16">
      <c r="F23" s="174"/>
    </row>
    <row r="24" spans="4:16">
      <c r="F24" s="174"/>
    </row>
  </sheetData>
  <hyperlinks>
    <hyperlink ref="A1" location="'TOC'!A1" display="TOC"/>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499984740745262"/>
  </sheetPr>
  <dimension ref="A1:U41"/>
  <sheetViews>
    <sheetView showGridLines="0" zoomScale="50" zoomScaleNormal="50" workbookViewId="0">
      <selection activeCell="G6" sqref="G6:S6"/>
    </sheetView>
  </sheetViews>
  <sheetFormatPr defaultColWidth="8" defaultRowHeight="14"/>
  <cols>
    <col min="1" max="19" width="8" style="2"/>
    <col min="20" max="20" width="6.33203125" style="2" customWidth="1"/>
    <col min="21" max="21" width="4.83203125" style="2" customWidth="1"/>
    <col min="22" max="16384" width="8" style="2"/>
  </cols>
  <sheetData>
    <row r="1" spans="1:21" ht="14.5">
      <c r="A1" s="354" t="s">
        <v>467</v>
      </c>
    </row>
    <row r="3" spans="1:21">
      <c r="F3" s="353"/>
      <c r="G3" s="353"/>
      <c r="H3" s="353"/>
      <c r="I3" s="353"/>
      <c r="J3" s="353"/>
      <c r="K3" s="353"/>
      <c r="L3" s="353"/>
      <c r="M3" s="353"/>
      <c r="N3" s="353"/>
      <c r="O3" s="353"/>
      <c r="P3" s="353"/>
      <c r="Q3" s="353"/>
      <c r="R3" s="353"/>
      <c r="S3" s="353"/>
      <c r="T3" s="353"/>
      <c r="U3" s="353"/>
    </row>
    <row r="4" spans="1:21">
      <c r="F4" s="353"/>
      <c r="G4" s="353"/>
      <c r="H4" s="353"/>
      <c r="I4" s="353"/>
      <c r="J4" s="353"/>
      <c r="K4" s="353"/>
      <c r="L4" s="353"/>
      <c r="M4" s="353"/>
      <c r="N4" s="353"/>
      <c r="O4" s="353"/>
      <c r="P4" s="353"/>
      <c r="Q4" s="353"/>
      <c r="R4" s="353"/>
      <c r="S4" s="353"/>
      <c r="T4" s="353"/>
      <c r="U4" s="353"/>
    </row>
    <row r="5" spans="1:21">
      <c r="F5" s="353"/>
      <c r="G5" s="353"/>
      <c r="H5" s="353"/>
      <c r="I5" s="353"/>
      <c r="J5" s="353"/>
      <c r="K5" s="353"/>
      <c r="L5" s="353"/>
      <c r="M5" s="353"/>
      <c r="N5" s="353"/>
      <c r="O5" s="353"/>
      <c r="P5" s="353"/>
      <c r="Q5" s="353"/>
      <c r="R5" s="353"/>
      <c r="S5" s="353"/>
      <c r="T5" s="353"/>
      <c r="U5" s="353"/>
    </row>
    <row r="6" spans="1:21" ht="94.5" customHeight="1">
      <c r="F6" s="353"/>
      <c r="G6" s="506" t="str">
        <f>Program_Name</f>
        <v>Missile System Example</v>
      </c>
      <c r="H6" s="506"/>
      <c r="I6" s="506"/>
      <c r="J6" s="506"/>
      <c r="K6" s="506"/>
      <c r="L6" s="506"/>
      <c r="M6" s="506"/>
      <c r="N6" s="506"/>
      <c r="O6" s="506"/>
      <c r="P6" s="506"/>
      <c r="Q6" s="506"/>
      <c r="R6" s="506"/>
      <c r="S6" s="506"/>
      <c r="T6" s="353"/>
      <c r="U6" s="353"/>
    </row>
    <row r="7" spans="1:21">
      <c r="F7" s="353"/>
      <c r="G7" s="353"/>
      <c r="H7" s="353"/>
      <c r="I7" s="353"/>
      <c r="J7" s="353"/>
      <c r="K7" s="353"/>
      <c r="L7" s="353"/>
      <c r="M7" s="353"/>
      <c r="N7" s="353"/>
      <c r="O7" s="353"/>
      <c r="P7" s="353"/>
      <c r="Q7" s="353"/>
      <c r="R7" s="353"/>
      <c r="S7" s="353"/>
      <c r="T7" s="353"/>
      <c r="U7" s="353"/>
    </row>
    <row r="8" spans="1:21" ht="35.5">
      <c r="F8" s="353"/>
      <c r="G8" s="507" t="str">
        <f>Milestone</f>
        <v>Milestone B</v>
      </c>
      <c r="H8" s="507"/>
      <c r="I8" s="507"/>
      <c r="J8" s="507"/>
      <c r="K8" s="507"/>
      <c r="L8" s="507"/>
      <c r="M8" s="507"/>
      <c r="N8" s="507"/>
      <c r="O8" s="507"/>
      <c r="P8" s="507"/>
      <c r="Q8" s="507"/>
      <c r="R8" s="507"/>
      <c r="S8" s="507"/>
      <c r="T8" s="353"/>
      <c r="U8" s="353"/>
    </row>
    <row r="9" spans="1:21">
      <c r="F9" s="353"/>
      <c r="G9" s="353"/>
      <c r="H9" s="353"/>
      <c r="I9" s="353"/>
      <c r="J9" s="353"/>
      <c r="K9" s="353"/>
      <c r="L9" s="353"/>
      <c r="M9" s="353"/>
      <c r="N9" s="353"/>
      <c r="O9" s="353"/>
      <c r="P9" s="353"/>
      <c r="Q9" s="353"/>
      <c r="R9" s="353"/>
      <c r="S9" s="353"/>
      <c r="T9" s="353"/>
      <c r="U9" s="353"/>
    </row>
    <row r="10" spans="1:21">
      <c r="F10" s="353"/>
      <c r="G10" s="508"/>
      <c r="H10" s="508"/>
      <c r="I10" s="508"/>
      <c r="J10" s="508"/>
      <c r="K10" s="508"/>
      <c r="L10" s="508"/>
      <c r="M10" s="508"/>
      <c r="N10" s="508"/>
      <c r="O10" s="508"/>
      <c r="P10" s="508"/>
      <c r="Q10" s="508"/>
      <c r="R10" s="508"/>
      <c r="S10" s="508"/>
      <c r="T10" s="353"/>
      <c r="U10" s="353"/>
    </row>
    <row r="11" spans="1:21">
      <c r="F11" s="353"/>
      <c r="G11" s="353"/>
      <c r="H11" s="353"/>
      <c r="I11" s="353"/>
      <c r="J11" s="353"/>
      <c r="K11" s="353"/>
      <c r="L11" s="353"/>
      <c r="M11" s="353"/>
      <c r="N11" s="353"/>
      <c r="O11" s="353"/>
      <c r="P11" s="353"/>
      <c r="Q11" s="353"/>
      <c r="R11" s="353"/>
      <c r="S11" s="353"/>
      <c r="T11" s="353"/>
      <c r="U11" s="353"/>
    </row>
    <row r="12" spans="1:21">
      <c r="F12" s="353"/>
      <c r="G12" s="353"/>
      <c r="H12" s="353"/>
      <c r="I12" s="353"/>
      <c r="J12" s="353"/>
      <c r="K12" s="353"/>
      <c r="L12" s="353"/>
      <c r="M12" s="353"/>
      <c r="N12" s="353"/>
      <c r="O12" s="353"/>
      <c r="P12" s="353"/>
      <c r="Q12" s="353"/>
      <c r="R12" s="353"/>
      <c r="S12" s="353"/>
      <c r="T12" s="353"/>
      <c r="U12" s="353"/>
    </row>
    <row r="13" spans="1:21">
      <c r="F13" s="353"/>
      <c r="G13" s="353"/>
      <c r="H13" s="353"/>
      <c r="I13" s="353"/>
      <c r="J13" s="353"/>
      <c r="K13" s="353"/>
      <c r="L13" s="353"/>
      <c r="M13" s="353"/>
      <c r="N13" s="353"/>
      <c r="O13" s="353"/>
      <c r="P13" s="353"/>
      <c r="Q13" s="353"/>
      <c r="R13" s="353"/>
      <c r="S13" s="353"/>
      <c r="T13" s="353"/>
      <c r="U13" s="353"/>
    </row>
    <row r="14" spans="1:21">
      <c r="F14" s="353"/>
      <c r="G14" s="353"/>
      <c r="H14" s="353"/>
      <c r="I14" s="353"/>
      <c r="J14" s="353"/>
      <c r="K14" s="353"/>
      <c r="L14" s="353"/>
      <c r="M14" s="353"/>
      <c r="N14" s="353"/>
      <c r="O14" s="353"/>
      <c r="P14" s="353"/>
      <c r="Q14" s="353"/>
      <c r="R14" s="353"/>
      <c r="S14" s="353"/>
      <c r="T14" s="353"/>
      <c r="U14" s="353"/>
    </row>
    <row r="15" spans="1:21">
      <c r="F15" s="353"/>
      <c r="G15" s="353"/>
      <c r="H15" s="353"/>
      <c r="I15" s="353"/>
      <c r="J15" s="353"/>
      <c r="K15" s="353"/>
      <c r="L15" s="353"/>
      <c r="M15" s="353"/>
      <c r="N15" s="353"/>
      <c r="O15" s="353"/>
      <c r="P15" s="353"/>
      <c r="Q15" s="353"/>
      <c r="R15" s="353"/>
      <c r="S15" s="353"/>
      <c r="T15" s="353"/>
      <c r="U15" s="353"/>
    </row>
    <row r="16" spans="1:21">
      <c r="F16" s="353"/>
      <c r="G16" s="353"/>
      <c r="H16" s="353"/>
      <c r="I16" s="353"/>
      <c r="J16" s="353"/>
      <c r="K16" s="353"/>
      <c r="L16" s="353"/>
      <c r="M16" s="353"/>
      <c r="N16" s="353"/>
      <c r="O16" s="353"/>
      <c r="P16" s="353"/>
      <c r="Q16" s="353"/>
      <c r="R16" s="353"/>
      <c r="S16" s="353"/>
      <c r="T16" s="353"/>
      <c r="U16" s="353"/>
    </row>
    <row r="17" spans="6:21">
      <c r="F17" s="353"/>
      <c r="G17" s="353"/>
      <c r="H17" s="353"/>
      <c r="I17" s="353"/>
      <c r="J17" s="353"/>
      <c r="K17" s="353"/>
      <c r="L17" s="353"/>
      <c r="M17" s="353"/>
      <c r="N17" s="353"/>
      <c r="O17" s="353"/>
      <c r="P17" s="353"/>
      <c r="Q17" s="353"/>
      <c r="R17" s="353"/>
      <c r="S17" s="353"/>
      <c r="T17" s="353"/>
      <c r="U17" s="353"/>
    </row>
    <row r="18" spans="6:21">
      <c r="F18" s="353"/>
      <c r="G18" s="353"/>
      <c r="H18" s="353"/>
      <c r="I18" s="353"/>
      <c r="J18" s="353"/>
      <c r="K18" s="353"/>
      <c r="L18" s="353"/>
      <c r="M18" s="353"/>
      <c r="N18" s="353"/>
      <c r="O18" s="353"/>
      <c r="P18" s="353"/>
      <c r="Q18" s="353"/>
      <c r="R18" s="353"/>
      <c r="S18" s="353"/>
      <c r="T18" s="353"/>
      <c r="U18" s="353"/>
    </row>
    <row r="19" spans="6:21">
      <c r="F19" s="353"/>
      <c r="G19" s="353"/>
      <c r="H19" s="353"/>
      <c r="I19" s="353"/>
      <c r="J19" s="353"/>
      <c r="K19" s="353"/>
      <c r="L19" s="353"/>
      <c r="M19" s="353"/>
      <c r="N19" s="353"/>
      <c r="O19" s="353"/>
      <c r="P19" s="353"/>
      <c r="Q19" s="353"/>
      <c r="R19" s="353"/>
      <c r="S19" s="353"/>
      <c r="T19" s="353"/>
      <c r="U19" s="353"/>
    </row>
    <row r="20" spans="6:21">
      <c r="F20" s="353"/>
      <c r="G20" s="353"/>
      <c r="H20" s="353"/>
      <c r="I20" s="353"/>
      <c r="J20" s="353"/>
      <c r="K20" s="353"/>
      <c r="L20" s="353"/>
      <c r="M20" s="353"/>
      <c r="N20" s="353"/>
      <c r="O20" s="353"/>
      <c r="P20" s="353"/>
      <c r="Q20" s="353"/>
      <c r="R20" s="353"/>
      <c r="S20" s="353"/>
      <c r="T20" s="353"/>
      <c r="U20" s="353"/>
    </row>
    <row r="21" spans="6:21">
      <c r="F21" s="353"/>
      <c r="G21" s="353"/>
      <c r="H21" s="353"/>
      <c r="I21" s="353"/>
      <c r="J21" s="353"/>
      <c r="K21" s="353"/>
      <c r="L21" s="353"/>
      <c r="M21" s="353"/>
      <c r="N21" s="353"/>
      <c r="O21" s="353"/>
      <c r="P21" s="353"/>
      <c r="Q21" s="353"/>
      <c r="R21" s="353"/>
      <c r="S21" s="353"/>
      <c r="T21" s="353"/>
      <c r="U21" s="353"/>
    </row>
    <row r="22" spans="6:21">
      <c r="F22" s="353"/>
      <c r="G22" s="353"/>
      <c r="H22" s="353"/>
      <c r="I22" s="353"/>
      <c r="J22" s="353"/>
      <c r="K22" s="353"/>
      <c r="L22" s="353"/>
      <c r="M22" s="353"/>
      <c r="N22" s="353"/>
      <c r="O22" s="353"/>
      <c r="P22" s="353"/>
      <c r="Q22" s="353"/>
      <c r="R22" s="353"/>
      <c r="S22" s="353"/>
      <c r="T22" s="353"/>
      <c r="U22" s="353"/>
    </row>
    <row r="23" spans="6:21">
      <c r="F23" s="353"/>
      <c r="G23" s="353"/>
      <c r="H23" s="353"/>
      <c r="I23" s="353"/>
      <c r="J23" s="353"/>
      <c r="K23" s="353"/>
      <c r="L23" s="353"/>
      <c r="M23" s="353"/>
      <c r="N23" s="353"/>
      <c r="O23" s="353"/>
      <c r="P23" s="353"/>
      <c r="Q23" s="353"/>
      <c r="R23" s="353"/>
      <c r="S23" s="353"/>
      <c r="T23" s="353"/>
      <c r="U23" s="353"/>
    </row>
    <row r="24" spans="6:21">
      <c r="F24" s="353"/>
      <c r="G24" s="353"/>
      <c r="H24" s="353"/>
      <c r="I24" s="353"/>
      <c r="J24" s="353"/>
      <c r="K24" s="353"/>
      <c r="L24" s="353"/>
      <c r="M24" s="353"/>
      <c r="N24" s="353"/>
      <c r="O24" s="353"/>
      <c r="P24" s="353"/>
      <c r="Q24" s="353"/>
      <c r="R24" s="353"/>
      <c r="S24" s="353"/>
      <c r="T24" s="353"/>
      <c r="U24" s="353"/>
    </row>
    <row r="25" spans="6:21">
      <c r="F25" s="353"/>
      <c r="G25" s="353"/>
      <c r="H25" s="353"/>
      <c r="I25" s="353"/>
      <c r="J25" s="353"/>
      <c r="K25" s="353"/>
      <c r="L25" s="353"/>
      <c r="M25" s="353"/>
      <c r="N25" s="353"/>
      <c r="O25" s="353"/>
      <c r="P25" s="353"/>
      <c r="Q25" s="353"/>
      <c r="R25" s="353"/>
      <c r="S25" s="353"/>
      <c r="T25" s="353"/>
      <c r="U25" s="353"/>
    </row>
    <row r="26" spans="6:21">
      <c r="F26" s="353"/>
      <c r="G26" s="353"/>
      <c r="H26" s="353"/>
      <c r="I26" s="353"/>
      <c r="J26" s="353"/>
      <c r="K26" s="353"/>
      <c r="L26" s="353"/>
      <c r="M26" s="353"/>
      <c r="N26" s="353"/>
      <c r="O26" s="353"/>
      <c r="P26" s="353"/>
      <c r="Q26" s="353"/>
      <c r="R26" s="353"/>
      <c r="S26" s="353"/>
      <c r="T26" s="353"/>
      <c r="U26" s="353"/>
    </row>
    <row r="27" spans="6:21">
      <c r="F27" s="353"/>
      <c r="G27" s="353"/>
      <c r="H27" s="353"/>
      <c r="I27" s="353"/>
      <c r="J27" s="353"/>
      <c r="K27" s="353"/>
      <c r="L27" s="353"/>
      <c r="M27" s="353"/>
      <c r="N27" s="353"/>
      <c r="O27" s="353"/>
      <c r="P27" s="353"/>
      <c r="Q27" s="353"/>
      <c r="R27" s="353"/>
      <c r="S27" s="353"/>
      <c r="T27" s="353"/>
      <c r="U27" s="353"/>
    </row>
    <row r="28" spans="6:21">
      <c r="F28" s="353"/>
      <c r="G28" s="353"/>
      <c r="H28" s="353"/>
      <c r="I28" s="353"/>
      <c r="J28" s="353"/>
      <c r="K28" s="353"/>
      <c r="L28" s="353"/>
      <c r="M28" s="353"/>
      <c r="N28" s="353"/>
      <c r="O28" s="353"/>
      <c r="P28" s="353"/>
      <c r="Q28" s="353"/>
      <c r="R28" s="353"/>
      <c r="S28" s="353"/>
      <c r="T28" s="353"/>
      <c r="U28" s="353"/>
    </row>
    <row r="29" spans="6:21">
      <c r="F29" s="353"/>
      <c r="G29" s="353"/>
      <c r="H29" s="353"/>
      <c r="I29" s="353"/>
      <c r="J29" s="353"/>
      <c r="K29" s="353"/>
      <c r="L29" s="353"/>
      <c r="M29" s="353"/>
      <c r="N29" s="353"/>
      <c r="O29" s="353"/>
      <c r="P29" s="353"/>
      <c r="Q29" s="353"/>
      <c r="R29" s="353"/>
      <c r="S29" s="353"/>
      <c r="T29" s="353"/>
      <c r="U29" s="353"/>
    </row>
    <row r="30" spans="6:21">
      <c r="F30" s="353"/>
      <c r="G30" s="353"/>
      <c r="H30" s="353"/>
      <c r="I30" s="353"/>
      <c r="J30" s="353"/>
      <c r="K30" s="353"/>
      <c r="L30" s="353"/>
      <c r="M30" s="353"/>
      <c r="N30" s="353"/>
      <c r="O30" s="353"/>
      <c r="P30" s="353"/>
      <c r="Q30" s="353"/>
      <c r="R30" s="353"/>
      <c r="S30" s="353"/>
      <c r="T30" s="353"/>
      <c r="U30" s="353"/>
    </row>
    <row r="31" spans="6:21">
      <c r="F31" s="353"/>
      <c r="G31" s="353"/>
      <c r="H31" s="353"/>
      <c r="I31" s="353"/>
      <c r="J31" s="353"/>
      <c r="K31" s="353"/>
      <c r="L31" s="353"/>
      <c r="M31" s="353"/>
      <c r="N31" s="353"/>
      <c r="O31" s="353"/>
      <c r="P31" s="353"/>
      <c r="Q31" s="353"/>
      <c r="R31" s="353"/>
      <c r="S31" s="353"/>
      <c r="T31" s="353"/>
      <c r="U31" s="353"/>
    </row>
    <row r="32" spans="6:21">
      <c r="F32" s="353"/>
      <c r="G32" s="509"/>
      <c r="H32" s="508"/>
      <c r="I32" s="508"/>
      <c r="J32" s="508"/>
      <c r="K32" s="508"/>
      <c r="L32" s="508"/>
      <c r="M32" s="508"/>
      <c r="N32" s="508"/>
      <c r="O32" s="508"/>
      <c r="P32" s="508"/>
      <c r="Q32" s="508"/>
      <c r="R32" s="508"/>
      <c r="S32" s="508"/>
      <c r="T32" s="353"/>
      <c r="U32" s="353"/>
    </row>
    <row r="33" spans="6:21">
      <c r="F33" s="353"/>
      <c r="G33" s="353"/>
      <c r="H33" s="353"/>
      <c r="I33" s="353"/>
      <c r="J33" s="353"/>
      <c r="K33" s="353"/>
      <c r="L33" s="353"/>
      <c r="M33" s="353"/>
      <c r="N33" s="353"/>
      <c r="O33" s="353"/>
      <c r="P33" s="353"/>
      <c r="Q33" s="353"/>
      <c r="R33" s="353"/>
      <c r="S33" s="353"/>
      <c r="T33" s="353"/>
      <c r="U33" s="353"/>
    </row>
    <row r="34" spans="6:21" ht="69.75" customHeight="1">
      <c r="F34" s="353"/>
      <c r="G34" s="510" t="s">
        <v>825</v>
      </c>
      <c r="H34" s="507"/>
      <c r="I34" s="507"/>
      <c r="J34" s="507"/>
      <c r="K34" s="507"/>
      <c r="L34" s="507"/>
      <c r="M34" s="507"/>
      <c r="N34" s="507"/>
      <c r="O34" s="507"/>
      <c r="P34" s="507"/>
      <c r="Q34" s="507"/>
      <c r="R34" s="507"/>
      <c r="S34" s="507"/>
      <c r="T34" s="353"/>
      <c r="U34" s="353"/>
    </row>
    <row r="35" spans="6:21" ht="27.5">
      <c r="F35" s="353"/>
      <c r="G35" s="505"/>
      <c r="H35" s="505"/>
      <c r="I35" s="505"/>
      <c r="J35" s="505"/>
      <c r="K35" s="505"/>
      <c r="L35" s="505"/>
      <c r="M35" s="505"/>
      <c r="N35" s="505"/>
      <c r="O35" s="505"/>
      <c r="P35" s="505"/>
      <c r="Q35" s="505"/>
      <c r="R35" s="505"/>
      <c r="S35" s="505"/>
      <c r="T35" s="353"/>
      <c r="U35" s="353"/>
    </row>
    <row r="36" spans="6:21">
      <c r="F36" s="353"/>
      <c r="G36" s="353"/>
      <c r="H36" s="353"/>
      <c r="I36" s="353"/>
      <c r="J36" s="353"/>
      <c r="K36" s="353"/>
      <c r="L36" s="353"/>
      <c r="M36" s="353"/>
      <c r="N36" s="353"/>
      <c r="O36" s="353"/>
      <c r="P36" s="353"/>
      <c r="Q36" s="353"/>
      <c r="R36" s="353"/>
      <c r="S36" s="353"/>
      <c r="T36" s="353"/>
      <c r="U36" s="353"/>
    </row>
    <row r="37" spans="6:21">
      <c r="F37" s="353"/>
      <c r="G37" s="353"/>
      <c r="H37" s="353"/>
      <c r="I37" s="353"/>
      <c r="J37" s="353"/>
      <c r="K37" s="353"/>
      <c r="L37" s="353"/>
      <c r="M37" s="353"/>
      <c r="N37" s="353"/>
      <c r="O37" s="353"/>
      <c r="P37" s="353"/>
      <c r="Q37" s="353"/>
      <c r="R37" s="353"/>
      <c r="S37" s="353"/>
      <c r="T37" s="353"/>
      <c r="U37" s="353"/>
    </row>
    <row r="38" spans="6:21">
      <c r="F38" s="353"/>
      <c r="G38" s="353"/>
      <c r="H38" s="353"/>
      <c r="I38" s="353"/>
      <c r="J38" s="353"/>
      <c r="K38" s="353"/>
      <c r="L38" s="353"/>
      <c r="M38" s="353"/>
      <c r="N38" s="353"/>
      <c r="O38" s="353"/>
      <c r="P38" s="353"/>
      <c r="Q38" s="353"/>
      <c r="R38" s="353"/>
      <c r="S38" s="353"/>
      <c r="T38" s="353"/>
      <c r="U38" s="353"/>
    </row>
    <row r="39" spans="6:21">
      <c r="F39" s="353"/>
      <c r="G39" s="353"/>
      <c r="H39" s="353"/>
      <c r="I39" s="353"/>
      <c r="J39" s="353"/>
      <c r="K39" s="353"/>
      <c r="L39" s="353"/>
      <c r="M39" s="353"/>
      <c r="N39" s="353"/>
      <c r="O39" s="353"/>
      <c r="P39" s="353"/>
      <c r="Q39" s="353"/>
      <c r="R39" s="353"/>
      <c r="S39" s="353"/>
      <c r="T39" s="353"/>
      <c r="U39" s="353"/>
    </row>
    <row r="40" spans="6:21">
      <c r="F40" s="353"/>
      <c r="G40" s="353"/>
      <c r="H40" s="353"/>
      <c r="I40" s="353"/>
      <c r="J40" s="353"/>
      <c r="K40" s="353"/>
      <c r="L40" s="353"/>
      <c r="M40" s="353"/>
      <c r="N40" s="353"/>
      <c r="O40" s="353"/>
      <c r="P40" s="353"/>
      <c r="Q40" s="353"/>
      <c r="R40" s="353"/>
      <c r="S40" s="353"/>
      <c r="T40" s="353"/>
      <c r="U40" s="353"/>
    </row>
    <row r="41" spans="6:21">
      <c r="F41" s="353"/>
      <c r="G41" s="353"/>
      <c r="H41" s="353"/>
      <c r="I41" s="353"/>
      <c r="J41" s="353"/>
      <c r="K41" s="353"/>
      <c r="L41" s="353"/>
      <c r="M41" s="353"/>
      <c r="N41" s="353"/>
      <c r="O41" s="353"/>
      <c r="P41" s="353"/>
      <c r="Q41" s="353"/>
      <c r="R41" s="353"/>
      <c r="S41" s="353"/>
      <c r="T41" s="353"/>
      <c r="U41" s="353"/>
    </row>
  </sheetData>
  <mergeCells count="6">
    <mergeCell ref="G35:S35"/>
    <mergeCell ref="G6:S6"/>
    <mergeCell ref="G8:S8"/>
    <mergeCell ref="G10:S10"/>
    <mergeCell ref="G32:S32"/>
    <mergeCell ref="G34:S34"/>
  </mergeCells>
  <hyperlinks>
    <hyperlink ref="A1" location="'TOC'!A1" display="TOC"/>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outlinePr summaryBelow="0" summaryRight="0"/>
  </sheetPr>
  <dimension ref="A1:M165"/>
  <sheetViews>
    <sheetView showGridLines="0" zoomScale="85" zoomScaleNormal="85" workbookViewId="0">
      <selection activeCell="A3" sqref="A3:N3"/>
    </sheetView>
  </sheetViews>
  <sheetFormatPr defaultColWidth="8" defaultRowHeight="15.5" outlineLevelRow="1"/>
  <cols>
    <col min="1" max="1" width="2" style="259" customWidth="1"/>
    <col min="2" max="2" width="4.5" style="258" customWidth="1"/>
    <col min="3" max="3" width="26.33203125" style="259" customWidth="1"/>
    <col min="4" max="4" width="25.75" style="259" customWidth="1"/>
    <col min="5" max="5" width="15.25" style="259" customWidth="1"/>
    <col min="6" max="6" width="13.75" style="259" bestFit="1" customWidth="1"/>
    <col min="7" max="7" width="13.08203125" style="259" bestFit="1" customWidth="1"/>
    <col min="8" max="8" width="13" style="259" customWidth="1"/>
    <col min="9" max="16384" width="8" style="259"/>
  </cols>
  <sheetData>
    <row r="1" spans="1:9">
      <c r="A1" s="356" t="s">
        <v>467</v>
      </c>
    </row>
    <row r="3" spans="1:9">
      <c r="A3" s="319" t="s">
        <v>501</v>
      </c>
      <c r="B3" s="260"/>
      <c r="C3" s="260"/>
      <c r="D3" s="260"/>
      <c r="E3" s="260"/>
    </row>
    <row r="4" spans="1:9">
      <c r="B4" s="254" t="s">
        <v>75</v>
      </c>
    </row>
    <row r="5" spans="1:9" outlineLevel="1">
      <c r="B5" s="259"/>
    </row>
    <row r="6" spans="1:9" outlineLevel="1">
      <c r="B6" s="259"/>
      <c r="C6" s="262" t="s">
        <v>177</v>
      </c>
      <c r="D6" s="262" t="s">
        <v>395</v>
      </c>
    </row>
    <row r="7" spans="1:9" outlineLevel="1">
      <c r="B7" s="259"/>
      <c r="C7" s="263" t="s">
        <v>408</v>
      </c>
      <c r="D7" s="264"/>
    </row>
    <row r="8" spans="1:9" outlineLevel="1">
      <c r="B8" s="265"/>
      <c r="C8" s="266" t="s">
        <v>409</v>
      </c>
      <c r="D8" s="264"/>
    </row>
    <row r="9" spans="1:9" outlineLevel="1">
      <c r="B9" s="265"/>
      <c r="C9" s="255" t="s">
        <v>410</v>
      </c>
      <c r="D9" s="264"/>
    </row>
    <row r="10" spans="1:9" ht="31" outlineLevel="1">
      <c r="B10" s="265"/>
      <c r="C10" s="255" t="s">
        <v>411</v>
      </c>
      <c r="D10" s="264"/>
    </row>
    <row r="11" spans="1:9" outlineLevel="1">
      <c r="B11" s="265"/>
      <c r="C11" s="256"/>
      <c r="D11" s="258"/>
    </row>
    <row r="12" spans="1:9">
      <c r="B12" s="254" t="s">
        <v>78</v>
      </c>
    </row>
    <row r="13" spans="1:9" outlineLevel="1">
      <c r="B13" s="265"/>
    </row>
    <row r="14" spans="1:9" ht="82.5" customHeight="1" outlineLevel="1">
      <c r="B14" s="259"/>
      <c r="C14" s="513"/>
      <c r="D14" s="513"/>
      <c r="E14" s="513"/>
      <c r="F14" s="513"/>
      <c r="G14" s="513"/>
      <c r="H14" s="513"/>
      <c r="I14" s="513"/>
    </row>
    <row r="15" spans="1:9" outlineLevel="1"/>
    <row r="16" spans="1:9">
      <c r="B16" s="254" t="s">
        <v>77</v>
      </c>
    </row>
    <row r="17" spans="2:8" outlineLevel="1">
      <c r="B17" s="265"/>
    </row>
    <row r="18" spans="2:8" outlineLevel="1">
      <c r="B18" s="265"/>
      <c r="C18" s="267" t="s">
        <v>87</v>
      </c>
      <c r="D18" s="514" t="s">
        <v>412</v>
      </c>
      <c r="E18" s="514"/>
      <c r="F18" s="514"/>
      <c r="G18" s="514"/>
      <c r="H18" s="514"/>
    </row>
    <row r="19" spans="2:8" outlineLevel="1">
      <c r="B19" s="265"/>
      <c r="C19" s="264"/>
      <c r="D19" s="512"/>
      <c r="E19" s="512"/>
      <c r="F19" s="512"/>
      <c r="G19" s="512"/>
      <c r="H19" s="512"/>
    </row>
    <row r="20" spans="2:8" outlineLevel="1">
      <c r="B20" s="265"/>
      <c r="C20" s="264"/>
      <c r="D20" s="512"/>
      <c r="E20" s="512"/>
      <c r="F20" s="512"/>
      <c r="G20" s="512"/>
      <c r="H20" s="512"/>
    </row>
    <row r="21" spans="2:8" outlineLevel="1">
      <c r="B21" s="265"/>
      <c r="C21" s="264"/>
      <c r="D21" s="512"/>
      <c r="E21" s="512"/>
      <c r="F21" s="512"/>
      <c r="G21" s="512"/>
      <c r="H21" s="512"/>
    </row>
    <row r="22" spans="2:8" outlineLevel="1">
      <c r="B22" s="265"/>
      <c r="C22" s="264"/>
      <c r="D22" s="512"/>
      <c r="E22" s="512"/>
      <c r="F22" s="512"/>
      <c r="G22" s="512"/>
      <c r="H22" s="512"/>
    </row>
    <row r="23" spans="2:8" outlineLevel="1">
      <c r="B23" s="265"/>
      <c r="C23" s="264"/>
      <c r="D23" s="512"/>
      <c r="E23" s="512"/>
      <c r="F23" s="512"/>
      <c r="G23" s="512"/>
      <c r="H23" s="512"/>
    </row>
    <row r="24" spans="2:8" outlineLevel="1">
      <c r="B24" s="265"/>
      <c r="C24" s="264"/>
      <c r="D24" s="512"/>
      <c r="E24" s="512"/>
      <c r="F24" s="512"/>
      <c r="G24" s="512"/>
      <c r="H24" s="512"/>
    </row>
    <row r="25" spans="2:8" outlineLevel="1">
      <c r="B25" s="265"/>
      <c r="C25" s="264"/>
      <c r="D25" s="512"/>
      <c r="E25" s="512"/>
      <c r="F25" s="512"/>
      <c r="G25" s="512"/>
      <c r="H25" s="512"/>
    </row>
    <row r="26" spans="2:8" outlineLevel="1">
      <c r="B26" s="265"/>
      <c r="C26" s="264"/>
      <c r="D26" s="512"/>
      <c r="E26" s="512"/>
      <c r="F26" s="512"/>
      <c r="G26" s="512"/>
      <c r="H26" s="512"/>
    </row>
    <row r="27" spans="2:8" outlineLevel="1">
      <c r="B27" s="265"/>
      <c r="C27" s="264"/>
      <c r="D27" s="512"/>
      <c r="E27" s="512"/>
      <c r="F27" s="512"/>
      <c r="G27" s="512"/>
      <c r="H27" s="512"/>
    </row>
    <row r="28" spans="2:8" outlineLevel="1">
      <c r="B28" s="265"/>
      <c r="C28" s="264"/>
      <c r="D28" s="512"/>
      <c r="E28" s="512"/>
      <c r="F28" s="512"/>
      <c r="G28" s="512"/>
      <c r="H28" s="512"/>
    </row>
    <row r="29" spans="2:8" outlineLevel="1">
      <c r="B29" s="265"/>
      <c r="C29" s="264"/>
      <c r="D29" s="512"/>
      <c r="E29" s="512"/>
      <c r="F29" s="512"/>
      <c r="G29" s="512"/>
      <c r="H29" s="512"/>
    </row>
    <row r="30" spans="2:8" outlineLevel="1">
      <c r="B30" s="265"/>
      <c r="C30" s="264"/>
      <c r="D30" s="512"/>
      <c r="E30" s="512"/>
      <c r="F30" s="512"/>
      <c r="G30" s="512"/>
      <c r="H30" s="512"/>
    </row>
    <row r="31" spans="2:8" outlineLevel="1">
      <c r="B31" s="265"/>
      <c r="C31" s="264"/>
      <c r="D31" s="512"/>
      <c r="E31" s="512"/>
      <c r="F31" s="512"/>
      <c r="G31" s="512"/>
      <c r="H31" s="512"/>
    </row>
    <row r="32" spans="2:8" outlineLevel="1">
      <c r="B32" s="265"/>
      <c r="C32" s="264"/>
      <c r="D32" s="512"/>
      <c r="E32" s="512"/>
      <c r="F32" s="512"/>
      <c r="G32" s="512"/>
      <c r="H32" s="512"/>
    </row>
    <row r="33" spans="2:8" outlineLevel="1">
      <c r="B33" s="265"/>
      <c r="C33" s="264"/>
      <c r="D33" s="512"/>
      <c r="E33" s="512"/>
      <c r="F33" s="512"/>
      <c r="G33" s="512"/>
      <c r="H33" s="512"/>
    </row>
    <row r="34" spans="2:8" outlineLevel="1"/>
    <row r="35" spans="2:8">
      <c r="B35" s="254" t="s">
        <v>79</v>
      </c>
    </row>
    <row r="36" spans="2:8" outlineLevel="1">
      <c r="B36" s="254"/>
    </row>
    <row r="37" spans="2:8" outlineLevel="1">
      <c r="B37" s="254"/>
      <c r="C37" s="262" t="s">
        <v>190</v>
      </c>
      <c r="D37" s="262" t="s">
        <v>343</v>
      </c>
      <c r="E37" s="262" t="s">
        <v>343</v>
      </c>
      <c r="F37" s="262" t="s">
        <v>343</v>
      </c>
      <c r="G37" s="262" t="s">
        <v>343</v>
      </c>
      <c r="H37" s="262" t="s">
        <v>343</v>
      </c>
    </row>
    <row r="38" spans="2:8" outlineLevel="1">
      <c r="B38" s="254"/>
      <c r="C38" s="264" t="s">
        <v>492</v>
      </c>
      <c r="D38" s="264"/>
      <c r="E38" s="264"/>
      <c r="F38" s="264"/>
      <c r="G38" s="264"/>
      <c r="H38" s="264"/>
    </row>
    <row r="39" spans="2:8" outlineLevel="1">
      <c r="B39" s="254"/>
      <c r="C39" s="264" t="s">
        <v>427</v>
      </c>
      <c r="D39" s="264"/>
      <c r="E39" s="264"/>
      <c r="F39" s="264"/>
      <c r="G39" s="264"/>
      <c r="H39" s="264"/>
    </row>
    <row r="40" spans="2:8" outlineLevel="1">
      <c r="B40" s="254"/>
      <c r="C40" s="264" t="s">
        <v>428</v>
      </c>
      <c r="D40" s="264"/>
      <c r="E40" s="264"/>
      <c r="F40" s="264"/>
      <c r="G40" s="264"/>
      <c r="H40" s="264"/>
    </row>
    <row r="41" spans="2:8" outlineLevel="1">
      <c r="B41" s="254"/>
      <c r="C41" s="264" t="s">
        <v>429</v>
      </c>
      <c r="D41" s="264"/>
      <c r="E41" s="264"/>
      <c r="F41" s="264"/>
      <c r="G41" s="264"/>
      <c r="H41" s="264"/>
    </row>
    <row r="42" spans="2:8" outlineLevel="1">
      <c r="B42" s="254"/>
      <c r="C42" s="264" t="s">
        <v>431</v>
      </c>
      <c r="D42" s="264"/>
      <c r="E42" s="264"/>
      <c r="F42" s="264"/>
      <c r="G42" s="264"/>
      <c r="H42" s="264"/>
    </row>
    <row r="43" spans="2:8" outlineLevel="1">
      <c r="B43" s="254"/>
      <c r="C43" s="264" t="s">
        <v>432</v>
      </c>
      <c r="D43" s="264"/>
      <c r="E43" s="264"/>
      <c r="F43" s="264"/>
      <c r="G43" s="264"/>
      <c r="H43" s="264"/>
    </row>
    <row r="44" spans="2:8" outlineLevel="1">
      <c r="B44" s="254"/>
      <c r="C44" s="264" t="s">
        <v>493</v>
      </c>
      <c r="D44" s="264"/>
      <c r="E44" s="264"/>
      <c r="F44" s="264"/>
      <c r="G44" s="264"/>
      <c r="H44" s="264"/>
    </row>
    <row r="45" spans="2:8" outlineLevel="1">
      <c r="B45" s="254"/>
      <c r="C45" s="264" t="s">
        <v>433</v>
      </c>
      <c r="D45" s="264"/>
      <c r="E45" s="264"/>
      <c r="F45" s="264"/>
      <c r="G45" s="264"/>
      <c r="H45" s="264"/>
    </row>
    <row r="46" spans="2:8" outlineLevel="1">
      <c r="B46" s="254"/>
    </row>
    <row r="47" spans="2:8" outlineLevel="1">
      <c r="B47" s="254"/>
      <c r="C47" s="262" t="s">
        <v>434</v>
      </c>
      <c r="D47" s="262" t="s">
        <v>343</v>
      </c>
      <c r="E47" s="262" t="s">
        <v>343</v>
      </c>
      <c r="F47" s="262" t="s">
        <v>343</v>
      </c>
      <c r="G47" s="262" t="s">
        <v>343</v>
      </c>
      <c r="H47" s="262" t="s">
        <v>343</v>
      </c>
    </row>
    <row r="48" spans="2:8" outlineLevel="1">
      <c r="B48" s="254"/>
      <c r="C48" s="264" t="s">
        <v>435</v>
      </c>
      <c r="D48" s="264"/>
      <c r="E48" s="264"/>
      <c r="F48" s="264"/>
      <c r="G48" s="264"/>
      <c r="H48" s="264"/>
    </row>
    <row r="49" spans="2:8" outlineLevel="1">
      <c r="B49" s="254"/>
      <c r="C49" s="264" t="s">
        <v>436</v>
      </c>
      <c r="D49" s="264"/>
      <c r="E49" s="264"/>
      <c r="F49" s="264"/>
      <c r="G49" s="264"/>
      <c r="H49" s="264"/>
    </row>
    <row r="50" spans="2:8" outlineLevel="1">
      <c r="B50" s="254"/>
      <c r="C50" s="264" t="s">
        <v>437</v>
      </c>
      <c r="D50" s="264"/>
      <c r="E50" s="264"/>
      <c r="F50" s="264"/>
      <c r="G50" s="264"/>
      <c r="H50" s="264"/>
    </row>
    <row r="51" spans="2:8" outlineLevel="1">
      <c r="B51" s="254"/>
      <c r="C51" s="264" t="s">
        <v>438</v>
      </c>
      <c r="D51" s="264"/>
      <c r="E51" s="264"/>
      <c r="F51" s="264"/>
      <c r="G51" s="264"/>
      <c r="H51" s="264"/>
    </row>
    <row r="52" spans="2:8" outlineLevel="1">
      <c r="B52" s="254"/>
    </row>
    <row r="53" spans="2:8" outlineLevel="1">
      <c r="B53" s="254"/>
      <c r="C53" s="262" t="s">
        <v>439</v>
      </c>
      <c r="D53" s="262" t="s">
        <v>343</v>
      </c>
      <c r="E53" s="262" t="s">
        <v>343</v>
      </c>
      <c r="F53" s="262" t="s">
        <v>343</v>
      </c>
      <c r="G53" s="262" t="s">
        <v>343</v>
      </c>
      <c r="H53" s="262" t="s">
        <v>343</v>
      </c>
    </row>
    <row r="54" spans="2:8" outlineLevel="1">
      <c r="B54" s="254"/>
      <c r="C54" s="264"/>
      <c r="D54" s="264"/>
      <c r="E54" s="264"/>
      <c r="F54" s="264"/>
      <c r="G54" s="264"/>
      <c r="H54" s="264"/>
    </row>
    <row r="55" spans="2:8" outlineLevel="1">
      <c r="B55" s="254"/>
      <c r="C55" s="264"/>
      <c r="D55" s="264"/>
      <c r="E55" s="264"/>
      <c r="F55" s="264"/>
      <c r="G55" s="264"/>
      <c r="H55" s="264"/>
    </row>
    <row r="56" spans="2:8" outlineLevel="1">
      <c r="B56" s="254"/>
      <c r="C56" s="264"/>
      <c r="D56" s="264"/>
      <c r="E56" s="264"/>
      <c r="F56" s="264"/>
      <c r="G56" s="264"/>
      <c r="H56" s="264"/>
    </row>
    <row r="57" spans="2:8" outlineLevel="1">
      <c r="B57" s="254"/>
      <c r="C57" s="264"/>
      <c r="D57" s="264"/>
      <c r="E57" s="264"/>
      <c r="F57" s="264"/>
      <c r="G57" s="264"/>
      <c r="H57" s="264"/>
    </row>
    <row r="58" spans="2:8" outlineLevel="1">
      <c r="B58" s="254"/>
    </row>
    <row r="59" spans="2:8" outlineLevel="1">
      <c r="B59" s="254"/>
      <c r="C59" s="230" t="s">
        <v>430</v>
      </c>
    </row>
    <row r="60" spans="2:8" outlineLevel="1">
      <c r="B60" s="265"/>
    </row>
    <row r="61" spans="2:8">
      <c r="B61" s="254" t="s">
        <v>544</v>
      </c>
    </row>
    <row r="62" spans="2:8" outlineLevel="1">
      <c r="B62" s="254"/>
    </row>
    <row r="63" spans="2:8" outlineLevel="1">
      <c r="B63" s="254"/>
      <c r="C63" s="262" t="s">
        <v>177</v>
      </c>
      <c r="D63" s="262" t="s">
        <v>545</v>
      </c>
    </row>
    <row r="64" spans="2:8" outlineLevel="1">
      <c r="B64" s="254"/>
      <c r="C64" s="264" t="s">
        <v>414</v>
      </c>
      <c r="D64" s="264"/>
    </row>
    <row r="65" spans="2:6" outlineLevel="1">
      <c r="B65" s="254"/>
      <c r="C65" s="264" t="s">
        <v>416</v>
      </c>
      <c r="D65" s="264"/>
    </row>
    <row r="66" spans="2:6" outlineLevel="1">
      <c r="B66" s="254"/>
      <c r="C66" s="264" t="s">
        <v>415</v>
      </c>
      <c r="D66" s="264"/>
    </row>
    <row r="67" spans="2:6" outlineLevel="1">
      <c r="B67" s="254"/>
      <c r="C67" s="264" t="s">
        <v>419</v>
      </c>
      <c r="D67" s="264"/>
    </row>
    <row r="68" spans="2:6" outlineLevel="1">
      <c r="B68" s="254"/>
      <c r="C68" s="264" t="s">
        <v>420</v>
      </c>
      <c r="D68" s="264"/>
    </row>
    <row r="69" spans="2:6" outlineLevel="1">
      <c r="B69" s="254"/>
      <c r="C69" s="264" t="s">
        <v>417</v>
      </c>
      <c r="D69" s="264"/>
    </row>
    <row r="70" spans="2:6" outlineLevel="1">
      <c r="B70" s="254"/>
      <c r="C70" s="264" t="s">
        <v>418</v>
      </c>
      <c r="D70" s="264"/>
    </row>
    <row r="71" spans="2:6" outlineLevel="1">
      <c r="B71" s="254"/>
      <c r="C71" s="258"/>
      <c r="D71" s="258"/>
    </row>
    <row r="72" spans="2:6" outlineLevel="1">
      <c r="B72" s="254"/>
      <c r="C72" s="230" t="s">
        <v>413</v>
      </c>
      <c r="D72" s="258"/>
    </row>
    <row r="73" spans="2:6" outlineLevel="1">
      <c r="B73" s="265"/>
    </row>
    <row r="74" spans="2:6">
      <c r="B74" s="254" t="s">
        <v>80</v>
      </c>
    </row>
    <row r="75" spans="2:6" outlineLevel="1">
      <c r="B75" s="261"/>
    </row>
    <row r="76" spans="2:6" outlineLevel="1">
      <c r="B76" s="265"/>
      <c r="C76" s="262" t="s">
        <v>405</v>
      </c>
      <c r="D76" s="262" t="s">
        <v>494</v>
      </c>
      <c r="E76" s="262" t="s">
        <v>406</v>
      </c>
      <c r="F76" s="262" t="s">
        <v>407</v>
      </c>
    </row>
    <row r="77" spans="2:6" outlineLevel="1">
      <c r="B77" s="265"/>
      <c r="C77" s="264"/>
      <c r="D77" s="264"/>
      <c r="E77" s="264"/>
      <c r="F77" s="264"/>
    </row>
    <row r="78" spans="2:6" outlineLevel="1">
      <c r="B78" s="265"/>
      <c r="C78" s="264"/>
      <c r="D78" s="264"/>
      <c r="E78" s="264"/>
      <c r="F78" s="264"/>
    </row>
    <row r="79" spans="2:6" outlineLevel="1">
      <c r="B79" s="265"/>
      <c r="C79" s="264"/>
      <c r="D79" s="264"/>
      <c r="E79" s="264"/>
      <c r="F79" s="264"/>
    </row>
    <row r="80" spans="2:6" outlineLevel="1">
      <c r="B80" s="265"/>
      <c r="C80" s="264"/>
      <c r="D80" s="264"/>
      <c r="E80" s="264"/>
      <c r="F80" s="264"/>
    </row>
    <row r="81" spans="2:13" outlineLevel="1">
      <c r="B81" s="265"/>
    </row>
    <row r="82" spans="2:13" outlineLevel="1">
      <c r="B82" s="265"/>
    </row>
    <row r="83" spans="2:13" outlineLevel="1">
      <c r="B83" s="265"/>
    </row>
    <row r="84" spans="2:13" outlineLevel="1"/>
    <row r="85" spans="2:13">
      <c r="B85" s="254" t="s">
        <v>81</v>
      </c>
    </row>
    <row r="86" spans="2:13" outlineLevel="1">
      <c r="B86" s="254"/>
    </row>
    <row r="87" spans="2:13" ht="45" outlineLevel="1">
      <c r="B87" s="265"/>
      <c r="C87" s="257" t="s">
        <v>161</v>
      </c>
      <c r="D87" s="257" t="s">
        <v>495</v>
      </c>
      <c r="E87" s="257" t="s">
        <v>403</v>
      </c>
      <c r="F87" s="257" t="s">
        <v>402</v>
      </c>
      <c r="G87" s="257" t="s">
        <v>404</v>
      </c>
      <c r="H87" s="257" t="s">
        <v>466</v>
      </c>
    </row>
    <row r="88" spans="2:13" outlineLevel="1">
      <c r="B88" s="265"/>
      <c r="C88" s="264"/>
      <c r="D88" s="264"/>
      <c r="E88" s="264"/>
      <c r="F88" s="264"/>
      <c r="G88" s="264"/>
      <c r="H88" s="264"/>
    </row>
    <row r="89" spans="2:13" outlineLevel="1">
      <c r="B89" s="265"/>
      <c r="C89" s="264"/>
      <c r="D89" s="264"/>
      <c r="E89" s="264"/>
      <c r="F89" s="264"/>
      <c r="G89" s="264"/>
      <c r="H89" s="264"/>
    </row>
    <row r="90" spans="2:13" outlineLevel="1">
      <c r="B90" s="265"/>
      <c r="C90" s="264"/>
      <c r="D90" s="264"/>
      <c r="E90" s="264"/>
      <c r="F90" s="264"/>
      <c r="G90" s="264"/>
      <c r="H90" s="264"/>
    </row>
    <row r="91" spans="2:13" outlineLevel="1">
      <c r="B91" s="265"/>
    </row>
    <row r="92" spans="2:13">
      <c r="B92" s="254" t="s">
        <v>679</v>
      </c>
    </row>
    <row r="93" spans="2:13" outlineLevel="1"/>
    <row r="94" spans="2:13" outlineLevel="1">
      <c r="C94" t="s">
        <v>598</v>
      </c>
      <c r="D94" s="428"/>
      <c r="E94"/>
      <c r="F94"/>
      <c r="G94"/>
      <c r="H94"/>
      <c r="I94"/>
      <c r="J94"/>
      <c r="K94"/>
      <c r="L94"/>
      <c r="M94"/>
    </row>
    <row r="95" spans="2:13" outlineLevel="1">
      <c r="C95" s="511" t="s">
        <v>599</v>
      </c>
      <c r="D95" s="511"/>
      <c r="E95" s="511"/>
      <c r="F95" s="511"/>
      <c r="G95" s="511"/>
      <c r="H95" s="511"/>
      <c r="I95" s="511"/>
      <c r="J95" s="511"/>
      <c r="K95" s="511"/>
      <c r="L95" s="511"/>
      <c r="M95"/>
    </row>
    <row r="96" spans="2:13" outlineLevel="1">
      <c r="C96" s="429" t="s">
        <v>600</v>
      </c>
      <c r="D96" s="430"/>
      <c r="E96" s="431"/>
      <c r="F96" s="431"/>
      <c r="G96" s="431"/>
      <c r="H96" s="431"/>
      <c r="I96" s="431"/>
      <c r="J96" s="431"/>
      <c r="K96" s="431"/>
      <c r="L96" s="431"/>
      <c r="M96"/>
    </row>
    <row r="97" spans="3:13" outlineLevel="1">
      <c r="C97"/>
      <c r="D97" s="428"/>
      <c r="E97"/>
      <c r="F97"/>
      <c r="G97"/>
      <c r="H97"/>
      <c r="I97"/>
      <c r="J97"/>
      <c r="K97"/>
      <c r="L97"/>
      <c r="M97"/>
    </row>
    <row r="98" spans="3:13" outlineLevel="1">
      <c r="C98" s="432" t="s">
        <v>601</v>
      </c>
      <c r="D98" s="432" t="s">
        <v>602</v>
      </c>
      <c r="E98" s="433" t="s">
        <v>603</v>
      </c>
      <c r="F98" s="433" t="s">
        <v>492</v>
      </c>
      <c r="G98" s="433" t="s">
        <v>604</v>
      </c>
      <c r="H98" s="433" t="s">
        <v>605</v>
      </c>
      <c r="I98" s="433" t="s">
        <v>427</v>
      </c>
      <c r="J98" s="433" t="s">
        <v>431</v>
      </c>
      <c r="K98" s="433" t="s">
        <v>606</v>
      </c>
      <c r="L98" s="433" t="s">
        <v>607</v>
      </c>
      <c r="M98" s="433" t="s">
        <v>608</v>
      </c>
    </row>
    <row r="99" spans="3:13" ht="31" outlineLevel="1">
      <c r="C99" s="434" t="s">
        <v>609</v>
      </c>
      <c r="D99" s="434" t="s">
        <v>617</v>
      </c>
      <c r="E99" s="435"/>
      <c r="F99" s="435" t="s">
        <v>610</v>
      </c>
      <c r="G99" s="435"/>
      <c r="H99" s="435"/>
      <c r="I99" s="435" t="s">
        <v>610</v>
      </c>
      <c r="J99" s="435"/>
      <c r="K99" s="435"/>
      <c r="L99" s="435"/>
      <c r="M99" s="436"/>
    </row>
    <row r="100" spans="3:13" ht="31" outlineLevel="1">
      <c r="C100" s="434" t="s">
        <v>609</v>
      </c>
      <c r="D100" s="434" t="s">
        <v>618</v>
      </c>
      <c r="E100" s="435"/>
      <c r="F100" s="435"/>
      <c r="G100" s="435"/>
      <c r="H100" s="435"/>
      <c r="I100" s="435" t="s">
        <v>610</v>
      </c>
      <c r="J100" s="435" t="s">
        <v>610</v>
      </c>
      <c r="K100" s="435" t="s">
        <v>610</v>
      </c>
      <c r="L100" s="435"/>
      <c r="M100" s="436"/>
    </row>
    <row r="101" spans="3:13" outlineLevel="1">
      <c r="C101" s="434" t="s">
        <v>609</v>
      </c>
      <c r="D101" s="434" t="s">
        <v>619</v>
      </c>
      <c r="E101" s="435"/>
      <c r="F101" s="435" t="s">
        <v>610</v>
      </c>
      <c r="G101" s="435"/>
      <c r="H101" s="435"/>
      <c r="I101" s="435"/>
      <c r="J101" s="435"/>
      <c r="K101" s="435"/>
      <c r="L101" s="435"/>
      <c r="M101" s="436"/>
    </row>
    <row r="102" spans="3:13" ht="31" outlineLevel="1">
      <c r="C102" s="434" t="s">
        <v>609</v>
      </c>
      <c r="D102" s="434" t="s">
        <v>620</v>
      </c>
      <c r="E102" s="435"/>
      <c r="F102" s="435" t="s">
        <v>610</v>
      </c>
      <c r="G102" s="435"/>
      <c r="H102" s="435"/>
      <c r="I102" s="435"/>
      <c r="J102" s="435"/>
      <c r="K102" s="435"/>
      <c r="L102" s="435"/>
      <c r="M102" s="436"/>
    </row>
    <row r="103" spans="3:13" ht="31" outlineLevel="1">
      <c r="C103" s="434" t="s">
        <v>609</v>
      </c>
      <c r="D103" s="434" t="s">
        <v>621</v>
      </c>
      <c r="E103" s="435"/>
      <c r="F103" s="435"/>
      <c r="G103" s="435"/>
      <c r="H103" s="435" t="s">
        <v>610</v>
      </c>
      <c r="I103" s="435" t="s">
        <v>610</v>
      </c>
      <c r="J103" s="435" t="s">
        <v>610</v>
      </c>
      <c r="K103" s="435"/>
      <c r="L103" s="435"/>
      <c r="M103" s="436"/>
    </row>
    <row r="104" spans="3:13" ht="46.5" outlineLevel="1">
      <c r="C104" s="434" t="s">
        <v>609</v>
      </c>
      <c r="D104" s="434" t="s">
        <v>622</v>
      </c>
      <c r="E104" s="435"/>
      <c r="F104" s="435" t="s">
        <v>610</v>
      </c>
      <c r="G104" s="435"/>
      <c r="H104" s="435" t="s">
        <v>610</v>
      </c>
      <c r="I104" s="435"/>
      <c r="J104" s="435" t="s">
        <v>610</v>
      </c>
      <c r="K104" s="435"/>
      <c r="L104" s="435"/>
      <c r="M104" s="436"/>
    </row>
    <row r="105" spans="3:13" ht="31" outlineLevel="1">
      <c r="C105" s="434" t="s">
        <v>609</v>
      </c>
      <c r="D105" s="434" t="s">
        <v>653</v>
      </c>
      <c r="E105" s="435"/>
      <c r="F105" s="435" t="s">
        <v>610</v>
      </c>
      <c r="G105" s="435"/>
      <c r="H105" s="435"/>
      <c r="I105" s="435" t="s">
        <v>610</v>
      </c>
      <c r="J105" s="435" t="s">
        <v>610</v>
      </c>
      <c r="K105" s="435" t="s">
        <v>610</v>
      </c>
      <c r="L105" s="435"/>
      <c r="M105" s="436"/>
    </row>
    <row r="106" spans="3:13" ht="46.5" outlineLevel="1">
      <c r="C106" s="434" t="s">
        <v>609</v>
      </c>
      <c r="D106" s="434" t="s">
        <v>623</v>
      </c>
      <c r="E106" s="435"/>
      <c r="F106" s="435" t="s">
        <v>610</v>
      </c>
      <c r="G106" s="435"/>
      <c r="H106" s="435" t="s">
        <v>610</v>
      </c>
      <c r="I106" s="435"/>
      <c r="J106" s="435"/>
      <c r="K106" s="435"/>
      <c r="L106" s="435"/>
      <c r="M106" s="436"/>
    </row>
    <row r="107" spans="3:13" ht="46.5" outlineLevel="1">
      <c r="C107" s="434" t="s">
        <v>609</v>
      </c>
      <c r="D107" s="434" t="s">
        <v>624</v>
      </c>
      <c r="E107" s="435"/>
      <c r="F107" s="435"/>
      <c r="G107" s="435"/>
      <c r="H107" s="435" t="s">
        <v>610</v>
      </c>
      <c r="I107" s="435" t="s">
        <v>610</v>
      </c>
      <c r="J107" s="435" t="s">
        <v>610</v>
      </c>
      <c r="K107" s="435"/>
      <c r="L107" s="435"/>
      <c r="M107" s="436"/>
    </row>
    <row r="108" spans="3:13" ht="46.5" outlineLevel="1">
      <c r="C108" s="434" t="s">
        <v>609</v>
      </c>
      <c r="D108" s="434" t="s">
        <v>625</v>
      </c>
      <c r="E108" s="435"/>
      <c r="F108" s="435" t="s">
        <v>610</v>
      </c>
      <c r="G108" s="435"/>
      <c r="H108" s="435" t="s">
        <v>610</v>
      </c>
      <c r="I108" s="435"/>
      <c r="J108" s="435" t="s">
        <v>610</v>
      </c>
      <c r="K108" s="435"/>
      <c r="L108" s="435"/>
      <c r="M108" s="436"/>
    </row>
    <row r="109" spans="3:13" ht="77.5" outlineLevel="1">
      <c r="C109" s="434" t="s">
        <v>609</v>
      </c>
      <c r="D109" s="434" t="s">
        <v>626</v>
      </c>
      <c r="E109" s="435"/>
      <c r="F109" s="435" t="s">
        <v>610</v>
      </c>
      <c r="G109" s="435"/>
      <c r="H109" s="435" t="s">
        <v>610</v>
      </c>
      <c r="I109" s="435" t="s">
        <v>610</v>
      </c>
      <c r="J109" s="435" t="s">
        <v>610</v>
      </c>
      <c r="K109" s="435"/>
      <c r="L109" s="435"/>
      <c r="M109" s="436"/>
    </row>
    <row r="110" spans="3:13" ht="31" outlineLevel="1">
      <c r="C110" s="434" t="s">
        <v>609</v>
      </c>
      <c r="D110" s="434" t="s">
        <v>627</v>
      </c>
      <c r="E110" s="435"/>
      <c r="F110" s="435" t="s">
        <v>610</v>
      </c>
      <c r="G110" s="435"/>
      <c r="H110" s="435" t="s">
        <v>610</v>
      </c>
      <c r="I110" s="435" t="s">
        <v>610</v>
      </c>
      <c r="J110" s="435" t="s">
        <v>610</v>
      </c>
      <c r="K110" s="435" t="s">
        <v>610</v>
      </c>
      <c r="L110" s="435"/>
      <c r="M110" s="436"/>
    </row>
    <row r="111" spans="3:13" ht="62" outlineLevel="1">
      <c r="C111" s="434" t="s">
        <v>609</v>
      </c>
      <c r="D111" s="434" t="s">
        <v>628</v>
      </c>
      <c r="E111" s="435"/>
      <c r="F111" s="435"/>
      <c r="G111" s="435"/>
      <c r="H111" s="435"/>
      <c r="I111" s="435"/>
      <c r="J111" s="435"/>
      <c r="K111" s="435" t="s">
        <v>610</v>
      </c>
      <c r="L111" s="435"/>
      <c r="M111" s="436"/>
    </row>
    <row r="112" spans="3:13" ht="62" outlineLevel="1">
      <c r="C112" s="434" t="s">
        <v>609</v>
      </c>
      <c r="D112" s="434" t="s">
        <v>629</v>
      </c>
      <c r="E112" s="435"/>
      <c r="F112" s="435" t="s">
        <v>610</v>
      </c>
      <c r="G112" s="435"/>
      <c r="H112" s="435"/>
      <c r="I112" s="435" t="s">
        <v>610</v>
      </c>
      <c r="J112" s="435" t="s">
        <v>610</v>
      </c>
      <c r="K112" s="435"/>
      <c r="L112" s="435"/>
      <c r="M112" s="436"/>
    </row>
    <row r="113" spans="3:13" ht="46.5" outlineLevel="1">
      <c r="C113" s="434" t="s">
        <v>609</v>
      </c>
      <c r="D113" s="434" t="s">
        <v>630</v>
      </c>
      <c r="E113" s="435"/>
      <c r="F113" s="435"/>
      <c r="G113" s="435"/>
      <c r="H113" s="435"/>
      <c r="I113" s="435"/>
      <c r="J113" s="435" t="s">
        <v>610</v>
      </c>
      <c r="K113" s="435" t="s">
        <v>610</v>
      </c>
      <c r="L113" s="435"/>
      <c r="M113" s="436"/>
    </row>
    <row r="114" spans="3:13" ht="31" outlineLevel="1">
      <c r="C114" s="434" t="s">
        <v>609</v>
      </c>
      <c r="D114" s="434" t="s">
        <v>631</v>
      </c>
      <c r="E114" s="435"/>
      <c r="F114" s="435" t="s">
        <v>610</v>
      </c>
      <c r="G114" s="435"/>
      <c r="H114" s="435"/>
      <c r="I114" s="435" t="s">
        <v>610</v>
      </c>
      <c r="J114" s="435" t="s">
        <v>610</v>
      </c>
      <c r="K114" s="435" t="s">
        <v>610</v>
      </c>
      <c r="L114" s="435" t="s">
        <v>610</v>
      </c>
      <c r="M114" s="436"/>
    </row>
    <row r="115" spans="3:13" ht="31" outlineLevel="1">
      <c r="C115" s="434" t="s">
        <v>609</v>
      </c>
      <c r="D115" s="434" t="s">
        <v>632</v>
      </c>
      <c r="E115" s="435"/>
      <c r="F115" s="435"/>
      <c r="G115" s="435"/>
      <c r="H115" s="435"/>
      <c r="I115" s="435" t="s">
        <v>610</v>
      </c>
      <c r="J115" s="435" t="s">
        <v>610</v>
      </c>
      <c r="K115" s="435" t="s">
        <v>610</v>
      </c>
      <c r="L115" s="435" t="s">
        <v>610</v>
      </c>
      <c r="M115" s="436"/>
    </row>
    <row r="116" spans="3:13" ht="62" outlineLevel="1">
      <c r="C116" s="434" t="s">
        <v>609</v>
      </c>
      <c r="D116" s="434" t="s">
        <v>633</v>
      </c>
      <c r="E116" s="435"/>
      <c r="F116" s="435" t="s">
        <v>610</v>
      </c>
      <c r="G116" s="435"/>
      <c r="H116" s="435" t="s">
        <v>610</v>
      </c>
      <c r="I116" s="435"/>
      <c r="J116" s="435" t="s">
        <v>610</v>
      </c>
      <c r="K116" s="435" t="s">
        <v>610</v>
      </c>
      <c r="L116" s="435"/>
      <c r="M116" s="436"/>
    </row>
    <row r="117" spans="3:13" ht="46.5" outlineLevel="1">
      <c r="C117" s="434" t="s">
        <v>609</v>
      </c>
      <c r="D117" s="434" t="s">
        <v>634</v>
      </c>
      <c r="E117" s="435"/>
      <c r="F117" s="435" t="s">
        <v>610</v>
      </c>
      <c r="G117" s="435"/>
      <c r="H117" s="435" t="s">
        <v>610</v>
      </c>
      <c r="I117" s="435"/>
      <c r="J117" s="435" t="s">
        <v>610</v>
      </c>
      <c r="K117" s="435" t="s">
        <v>610</v>
      </c>
      <c r="L117" s="435" t="s">
        <v>610</v>
      </c>
      <c r="M117" s="436"/>
    </row>
    <row r="118" spans="3:13" outlineLevel="1">
      <c r="C118" s="434" t="s">
        <v>609</v>
      </c>
      <c r="D118" s="434" t="s">
        <v>635</v>
      </c>
      <c r="E118" s="435"/>
      <c r="F118" s="435"/>
      <c r="G118" s="435"/>
      <c r="H118" s="435"/>
      <c r="I118" s="435"/>
      <c r="J118" s="435"/>
      <c r="K118" s="435" t="s">
        <v>610</v>
      </c>
      <c r="L118" s="435" t="s">
        <v>610</v>
      </c>
      <c r="M118" s="436"/>
    </row>
    <row r="119" spans="3:13" ht="46.5" outlineLevel="1">
      <c r="C119" s="434" t="s">
        <v>609</v>
      </c>
      <c r="D119" s="434" t="s">
        <v>636</v>
      </c>
      <c r="E119" s="435"/>
      <c r="F119" s="435"/>
      <c r="G119" s="435"/>
      <c r="H119" s="435" t="s">
        <v>610</v>
      </c>
      <c r="I119" s="435" t="s">
        <v>610</v>
      </c>
      <c r="J119" s="435"/>
      <c r="K119" s="435"/>
      <c r="L119" s="435"/>
      <c r="M119" s="436"/>
    </row>
    <row r="120" spans="3:13" outlineLevel="1">
      <c r="C120" s="434" t="s">
        <v>609</v>
      </c>
      <c r="D120" s="434" t="s">
        <v>637</v>
      </c>
      <c r="E120" s="435"/>
      <c r="F120" s="435"/>
      <c r="G120" s="435"/>
      <c r="H120" s="435" t="s">
        <v>610</v>
      </c>
      <c r="I120" s="435" t="s">
        <v>610</v>
      </c>
      <c r="J120" s="435" t="s">
        <v>610</v>
      </c>
      <c r="K120" s="435" t="s">
        <v>610</v>
      </c>
      <c r="L120" s="435"/>
      <c r="M120" s="436"/>
    </row>
    <row r="121" spans="3:13" ht="31" outlineLevel="1">
      <c r="C121" s="434" t="s">
        <v>609</v>
      </c>
      <c r="D121" s="434" t="s">
        <v>638</v>
      </c>
      <c r="E121" s="435"/>
      <c r="F121" s="435" t="s">
        <v>610</v>
      </c>
      <c r="G121" s="435"/>
      <c r="H121" s="435" t="s">
        <v>610</v>
      </c>
      <c r="I121" s="435"/>
      <c r="J121" s="435"/>
      <c r="K121" s="435"/>
      <c r="L121" s="435"/>
      <c r="M121" s="436"/>
    </row>
    <row r="122" spans="3:13" ht="31" outlineLevel="1">
      <c r="C122" s="434" t="s">
        <v>609</v>
      </c>
      <c r="D122" s="434" t="s">
        <v>611</v>
      </c>
      <c r="E122" s="435"/>
      <c r="F122" s="435"/>
      <c r="G122" s="435"/>
      <c r="H122" s="435"/>
      <c r="I122" s="435"/>
      <c r="J122" s="435"/>
      <c r="K122" s="435"/>
      <c r="L122" s="435" t="s">
        <v>610</v>
      </c>
      <c r="M122" s="436"/>
    </row>
    <row r="123" spans="3:13" ht="46.5" outlineLevel="1">
      <c r="C123" s="434" t="s">
        <v>609</v>
      </c>
      <c r="D123" s="434" t="s">
        <v>639</v>
      </c>
      <c r="E123" s="435"/>
      <c r="F123" s="435"/>
      <c r="G123" s="435"/>
      <c r="H123" s="435"/>
      <c r="I123" s="435" t="s">
        <v>610</v>
      </c>
      <c r="J123" s="435" t="s">
        <v>610</v>
      </c>
      <c r="K123" s="435" t="s">
        <v>610</v>
      </c>
      <c r="L123" s="435"/>
      <c r="M123" s="436"/>
    </row>
    <row r="124" spans="3:13" ht="31" outlineLevel="1">
      <c r="C124" s="434" t="s">
        <v>609</v>
      </c>
      <c r="D124" s="434" t="s">
        <v>612</v>
      </c>
      <c r="E124" s="435"/>
      <c r="F124" s="435"/>
      <c r="G124" s="435"/>
      <c r="H124" s="435"/>
      <c r="I124" s="435"/>
      <c r="J124" s="435"/>
      <c r="K124" s="435"/>
      <c r="L124" s="435" t="s">
        <v>610</v>
      </c>
      <c r="M124" s="436"/>
    </row>
    <row r="125" spans="3:13" ht="46.5" outlineLevel="1">
      <c r="C125" s="434" t="s">
        <v>609</v>
      </c>
      <c r="D125" s="434" t="s">
        <v>640</v>
      </c>
      <c r="E125" s="435"/>
      <c r="F125" s="435"/>
      <c r="G125" s="435"/>
      <c r="H125" s="435"/>
      <c r="I125" s="435"/>
      <c r="J125" s="435" t="s">
        <v>610</v>
      </c>
      <c r="K125" s="435"/>
      <c r="L125" s="435" t="s">
        <v>610</v>
      </c>
      <c r="M125" s="436"/>
    </row>
    <row r="126" spans="3:13" ht="31" outlineLevel="1">
      <c r="C126" s="434" t="s">
        <v>609</v>
      </c>
      <c r="D126" s="434" t="s">
        <v>613</v>
      </c>
      <c r="E126" s="435"/>
      <c r="F126" s="435" t="s">
        <v>610</v>
      </c>
      <c r="G126" s="435"/>
      <c r="H126" s="435"/>
      <c r="I126" s="435" t="s">
        <v>610</v>
      </c>
      <c r="J126" s="435"/>
      <c r="K126" s="435"/>
      <c r="L126" s="435"/>
      <c r="M126" s="436"/>
    </row>
    <row r="127" spans="3:13" ht="93" outlineLevel="1">
      <c r="C127" s="434" t="s">
        <v>609</v>
      </c>
      <c r="D127" s="434" t="s">
        <v>641</v>
      </c>
      <c r="E127" s="435"/>
      <c r="F127" s="435" t="s">
        <v>610</v>
      </c>
      <c r="G127" s="435"/>
      <c r="H127" s="435" t="s">
        <v>610</v>
      </c>
      <c r="I127" s="435"/>
      <c r="J127" s="435" t="s">
        <v>610</v>
      </c>
      <c r="K127" s="435" t="s">
        <v>610</v>
      </c>
      <c r="L127" s="435"/>
      <c r="M127" s="436"/>
    </row>
    <row r="128" spans="3:13" ht="46.5" outlineLevel="1">
      <c r="C128" s="434" t="s">
        <v>609</v>
      </c>
      <c r="D128" s="434" t="s">
        <v>642</v>
      </c>
      <c r="E128" s="435"/>
      <c r="F128" s="435"/>
      <c r="G128" s="435"/>
      <c r="H128" s="435" t="s">
        <v>610</v>
      </c>
      <c r="I128" s="435" t="s">
        <v>610</v>
      </c>
      <c r="J128" s="435" t="s">
        <v>610</v>
      </c>
      <c r="K128" s="435"/>
      <c r="L128" s="435"/>
      <c r="M128" s="436"/>
    </row>
    <row r="129" spans="3:13" ht="46.5" outlineLevel="1">
      <c r="C129" s="434" t="s">
        <v>609</v>
      </c>
      <c r="D129" s="434" t="s">
        <v>614</v>
      </c>
      <c r="E129" s="435"/>
      <c r="F129" s="435" t="s">
        <v>610</v>
      </c>
      <c r="G129" s="435"/>
      <c r="H129" s="435" t="s">
        <v>610</v>
      </c>
      <c r="I129" s="435"/>
      <c r="J129" s="435" t="s">
        <v>610</v>
      </c>
      <c r="K129" s="435" t="s">
        <v>610</v>
      </c>
      <c r="L129" s="435" t="s">
        <v>610</v>
      </c>
      <c r="M129" s="436"/>
    </row>
    <row r="130" spans="3:13" ht="31" outlineLevel="1">
      <c r="C130" s="434" t="s">
        <v>615</v>
      </c>
      <c r="D130" s="434" t="s">
        <v>643</v>
      </c>
      <c r="E130" s="435"/>
      <c r="F130" s="435"/>
      <c r="G130" s="435"/>
      <c r="H130" s="435"/>
      <c r="I130" s="435"/>
      <c r="J130" s="435" t="s">
        <v>610</v>
      </c>
      <c r="K130" s="435"/>
      <c r="L130" s="435"/>
      <c r="M130" s="436"/>
    </row>
    <row r="131" spans="3:13" ht="31" outlineLevel="1">
      <c r="C131" s="434" t="s">
        <v>615</v>
      </c>
      <c r="D131" s="434" t="s">
        <v>644</v>
      </c>
      <c r="E131" s="435" t="s">
        <v>610</v>
      </c>
      <c r="F131" s="435" t="s">
        <v>610</v>
      </c>
      <c r="G131" s="435"/>
      <c r="H131" s="435" t="s">
        <v>610</v>
      </c>
      <c r="I131" s="435" t="s">
        <v>610</v>
      </c>
      <c r="J131" s="435" t="s">
        <v>610</v>
      </c>
      <c r="K131" s="435" t="s">
        <v>610</v>
      </c>
      <c r="L131" s="435" t="s">
        <v>610</v>
      </c>
      <c r="M131" s="436"/>
    </row>
    <row r="132" spans="3:13" ht="31" outlineLevel="1">
      <c r="C132" s="434" t="s">
        <v>615</v>
      </c>
      <c r="D132" s="434" t="s">
        <v>645</v>
      </c>
      <c r="E132" s="435"/>
      <c r="F132" s="435"/>
      <c r="G132" s="435"/>
      <c r="H132" s="435" t="s">
        <v>610</v>
      </c>
      <c r="I132" s="435"/>
      <c r="J132" s="435"/>
      <c r="K132" s="435"/>
      <c r="L132" s="435" t="s">
        <v>610</v>
      </c>
      <c r="M132" s="436"/>
    </row>
    <row r="133" spans="3:13" outlineLevel="1">
      <c r="C133" s="434" t="s">
        <v>615</v>
      </c>
      <c r="D133" s="434" t="s">
        <v>646</v>
      </c>
      <c r="E133" s="435"/>
      <c r="F133" s="435"/>
      <c r="G133" s="435"/>
      <c r="H133" s="435" t="s">
        <v>610</v>
      </c>
      <c r="I133" s="435"/>
      <c r="J133" s="435" t="s">
        <v>610</v>
      </c>
      <c r="K133" s="435" t="s">
        <v>610</v>
      </c>
      <c r="L133" s="435"/>
      <c r="M133" s="436"/>
    </row>
    <row r="134" spans="3:13" outlineLevel="1">
      <c r="C134" s="434" t="s">
        <v>615</v>
      </c>
      <c r="D134" s="434" t="s">
        <v>647</v>
      </c>
      <c r="E134" s="435" t="s">
        <v>610</v>
      </c>
      <c r="F134" s="435" t="s">
        <v>610</v>
      </c>
      <c r="G134" s="435"/>
      <c r="H134" s="435" t="s">
        <v>610</v>
      </c>
      <c r="I134" s="435" t="s">
        <v>610</v>
      </c>
      <c r="J134" s="435" t="s">
        <v>610</v>
      </c>
      <c r="K134" s="435" t="s">
        <v>610</v>
      </c>
      <c r="L134" s="435"/>
      <c r="M134" s="436"/>
    </row>
    <row r="135" spans="3:13" ht="31" outlineLevel="1">
      <c r="C135" s="434" t="s">
        <v>615</v>
      </c>
      <c r="D135" s="434" t="s">
        <v>648</v>
      </c>
      <c r="E135" s="435"/>
      <c r="F135" s="435"/>
      <c r="G135" s="435"/>
      <c r="H135" s="435" t="s">
        <v>610</v>
      </c>
      <c r="I135" s="435"/>
      <c r="J135" s="435" t="s">
        <v>610</v>
      </c>
      <c r="K135" s="435"/>
      <c r="L135" s="435" t="s">
        <v>610</v>
      </c>
      <c r="M135" s="436"/>
    </row>
    <row r="136" spans="3:13" ht="31" outlineLevel="1">
      <c r="C136" s="434" t="s">
        <v>615</v>
      </c>
      <c r="D136" s="434" t="s">
        <v>649</v>
      </c>
      <c r="E136" s="435" t="s">
        <v>610</v>
      </c>
      <c r="F136" s="435"/>
      <c r="G136" s="435"/>
      <c r="H136" s="435"/>
      <c r="I136" s="435"/>
      <c r="J136" s="435"/>
      <c r="K136" s="435"/>
      <c r="L136" s="435"/>
      <c r="M136" s="436"/>
    </row>
    <row r="137" spans="3:13" ht="31" outlineLevel="1">
      <c r="C137" s="434" t="s">
        <v>615</v>
      </c>
      <c r="D137" s="434" t="s">
        <v>650</v>
      </c>
      <c r="E137" s="435"/>
      <c r="F137" s="435" t="s">
        <v>610</v>
      </c>
      <c r="G137" s="435" t="s">
        <v>610</v>
      </c>
      <c r="H137" s="435" t="s">
        <v>610</v>
      </c>
      <c r="I137" s="435"/>
      <c r="J137" s="435" t="s">
        <v>610</v>
      </c>
      <c r="K137" s="435"/>
      <c r="L137" s="435" t="s">
        <v>610</v>
      </c>
      <c r="M137" s="436"/>
    </row>
    <row r="138" spans="3:13" ht="31" outlineLevel="1">
      <c r="C138" s="434" t="s">
        <v>615</v>
      </c>
      <c r="D138" s="434" t="s">
        <v>651</v>
      </c>
      <c r="E138" s="435"/>
      <c r="F138" s="435"/>
      <c r="G138" s="435"/>
      <c r="H138" s="435"/>
      <c r="I138" s="435"/>
      <c r="J138" s="435" t="s">
        <v>610</v>
      </c>
      <c r="K138" s="435"/>
      <c r="L138" s="435"/>
      <c r="M138" s="436"/>
    </row>
    <row r="139" spans="3:13" outlineLevel="1">
      <c r="C139" s="434" t="s">
        <v>615</v>
      </c>
      <c r="D139" s="434" t="s">
        <v>652</v>
      </c>
      <c r="E139" s="435"/>
      <c r="F139" s="435"/>
      <c r="G139" s="435"/>
      <c r="H139" s="435"/>
      <c r="I139" s="435"/>
      <c r="J139" s="435"/>
      <c r="K139" s="435"/>
      <c r="L139" s="435" t="s">
        <v>610</v>
      </c>
      <c r="M139" s="436"/>
    </row>
    <row r="140" spans="3:13" ht="62" outlineLevel="1">
      <c r="C140" s="434" t="s">
        <v>615</v>
      </c>
      <c r="D140" s="434" t="s">
        <v>655</v>
      </c>
      <c r="E140" s="435"/>
      <c r="F140" s="435" t="s">
        <v>610</v>
      </c>
      <c r="G140" s="435"/>
      <c r="H140" s="435" t="s">
        <v>610</v>
      </c>
      <c r="I140" s="435"/>
      <c r="J140" s="435" t="s">
        <v>610</v>
      </c>
      <c r="K140" s="435"/>
      <c r="L140" s="435"/>
      <c r="M140" s="436"/>
    </row>
    <row r="141" spans="3:13" ht="31" outlineLevel="1">
      <c r="C141" s="434" t="s">
        <v>615</v>
      </c>
      <c r="D141" s="434" t="s">
        <v>656</v>
      </c>
      <c r="E141" s="435"/>
      <c r="F141" s="435" t="s">
        <v>610</v>
      </c>
      <c r="G141" s="435"/>
      <c r="H141" s="435" t="s">
        <v>610</v>
      </c>
      <c r="I141" s="435" t="s">
        <v>610</v>
      </c>
      <c r="J141" s="435" t="s">
        <v>610</v>
      </c>
      <c r="K141" s="435" t="s">
        <v>610</v>
      </c>
      <c r="L141" s="435" t="s">
        <v>610</v>
      </c>
      <c r="M141" s="436"/>
    </row>
    <row r="142" spans="3:13" ht="31" outlineLevel="1">
      <c r="C142" s="434" t="s">
        <v>615</v>
      </c>
      <c r="D142" s="434" t="s">
        <v>657</v>
      </c>
      <c r="E142" s="435"/>
      <c r="F142" s="435"/>
      <c r="G142" s="435"/>
      <c r="H142" s="435" t="s">
        <v>610</v>
      </c>
      <c r="I142" s="435"/>
      <c r="J142" s="435"/>
      <c r="K142" s="435"/>
      <c r="L142" s="435"/>
      <c r="M142" s="436"/>
    </row>
    <row r="143" spans="3:13" ht="31" outlineLevel="1">
      <c r="C143" s="434" t="s">
        <v>615</v>
      </c>
      <c r="D143" s="434" t="s">
        <v>654</v>
      </c>
      <c r="E143" s="435"/>
      <c r="F143" s="435" t="s">
        <v>610</v>
      </c>
      <c r="G143" s="435"/>
      <c r="H143" s="435"/>
      <c r="I143" s="435" t="s">
        <v>610</v>
      </c>
      <c r="J143" s="435" t="s">
        <v>610</v>
      </c>
      <c r="K143" s="435" t="s">
        <v>610</v>
      </c>
      <c r="L143" s="435" t="s">
        <v>610</v>
      </c>
      <c r="M143" s="436"/>
    </row>
    <row r="144" spans="3:13" ht="31" outlineLevel="1">
      <c r="C144" s="434" t="s">
        <v>615</v>
      </c>
      <c r="D144" s="434" t="s">
        <v>658</v>
      </c>
      <c r="E144" s="435"/>
      <c r="F144" s="435" t="s">
        <v>610</v>
      </c>
      <c r="G144" s="435"/>
      <c r="H144" s="435"/>
      <c r="I144" s="435" t="s">
        <v>610</v>
      </c>
      <c r="J144" s="435" t="s">
        <v>610</v>
      </c>
      <c r="K144" s="435" t="s">
        <v>610</v>
      </c>
      <c r="L144" s="435" t="s">
        <v>610</v>
      </c>
      <c r="M144" s="436"/>
    </row>
    <row r="145" spans="3:13" ht="46.5" outlineLevel="1">
      <c r="C145" s="434" t="s">
        <v>615</v>
      </c>
      <c r="D145" s="434" t="s">
        <v>659</v>
      </c>
      <c r="E145" s="435"/>
      <c r="F145" s="435"/>
      <c r="G145" s="435"/>
      <c r="H145" s="435"/>
      <c r="I145" s="435"/>
      <c r="J145" s="435"/>
      <c r="K145" s="435" t="s">
        <v>610</v>
      </c>
      <c r="L145" s="435" t="s">
        <v>610</v>
      </c>
      <c r="M145" s="436"/>
    </row>
    <row r="146" spans="3:13" outlineLevel="1">
      <c r="C146" s="434" t="s">
        <v>615</v>
      </c>
      <c r="D146" s="434" t="s">
        <v>660</v>
      </c>
      <c r="E146" s="435"/>
      <c r="F146" s="435" t="s">
        <v>610</v>
      </c>
      <c r="G146" s="435"/>
      <c r="H146" s="435" t="s">
        <v>610</v>
      </c>
      <c r="I146" s="435" t="s">
        <v>610</v>
      </c>
      <c r="J146" s="435" t="s">
        <v>610</v>
      </c>
      <c r="K146" s="435"/>
      <c r="L146" s="435"/>
      <c r="M146" s="436"/>
    </row>
    <row r="147" spans="3:13" ht="31" outlineLevel="1">
      <c r="C147" s="434" t="s">
        <v>615</v>
      </c>
      <c r="D147" s="434" t="s">
        <v>661</v>
      </c>
      <c r="E147" s="435"/>
      <c r="F147" s="435" t="s">
        <v>610</v>
      </c>
      <c r="G147" s="435"/>
      <c r="H147" s="435"/>
      <c r="I147" s="435" t="s">
        <v>610</v>
      </c>
      <c r="J147" s="435" t="s">
        <v>610</v>
      </c>
      <c r="K147" s="435" t="s">
        <v>610</v>
      </c>
      <c r="L147" s="435"/>
      <c r="M147" s="436"/>
    </row>
    <row r="148" spans="3:13" ht="31" outlineLevel="1">
      <c r="C148" s="434" t="s">
        <v>615</v>
      </c>
      <c r="D148" s="434" t="s">
        <v>662</v>
      </c>
      <c r="E148" s="435"/>
      <c r="F148" s="435"/>
      <c r="G148" s="435"/>
      <c r="H148" s="435" t="s">
        <v>610</v>
      </c>
      <c r="I148" s="435"/>
      <c r="J148" s="435" t="s">
        <v>610</v>
      </c>
      <c r="K148" s="435"/>
      <c r="L148" s="435" t="s">
        <v>610</v>
      </c>
      <c r="M148" s="436"/>
    </row>
    <row r="149" spans="3:13" ht="62" outlineLevel="1">
      <c r="C149" s="434" t="s">
        <v>615</v>
      </c>
      <c r="D149" s="434" t="s">
        <v>663</v>
      </c>
      <c r="E149" s="435"/>
      <c r="F149" s="435"/>
      <c r="G149" s="435"/>
      <c r="H149" s="435"/>
      <c r="I149" s="435"/>
      <c r="J149" s="435"/>
      <c r="K149" s="435" t="s">
        <v>610</v>
      </c>
      <c r="L149" s="435"/>
      <c r="M149" s="436"/>
    </row>
    <row r="150" spans="3:13" ht="31" outlineLevel="1">
      <c r="C150" s="434" t="s">
        <v>615</v>
      </c>
      <c r="D150" s="434" t="s">
        <v>664</v>
      </c>
      <c r="E150" s="435" t="s">
        <v>610</v>
      </c>
      <c r="F150" s="435"/>
      <c r="G150" s="435"/>
      <c r="H150" s="435"/>
      <c r="I150" s="435"/>
      <c r="J150" s="435"/>
      <c r="K150" s="435"/>
      <c r="L150" s="435"/>
      <c r="M150" s="436"/>
    </row>
    <row r="151" spans="3:13" ht="31" outlineLevel="1">
      <c r="C151" s="434" t="s">
        <v>615</v>
      </c>
      <c r="D151" s="434" t="s">
        <v>665</v>
      </c>
      <c r="E151" s="435" t="s">
        <v>610</v>
      </c>
      <c r="F151" s="435"/>
      <c r="G151" s="435"/>
      <c r="H151" s="435"/>
      <c r="I151" s="435"/>
      <c r="J151" s="435"/>
      <c r="K151" s="435"/>
      <c r="L151" s="435"/>
      <c r="M151" s="436"/>
    </row>
    <row r="152" spans="3:13" ht="31" outlineLevel="1">
      <c r="C152" s="434" t="s">
        <v>615</v>
      </c>
      <c r="D152" s="434" t="s">
        <v>666</v>
      </c>
      <c r="E152" s="435"/>
      <c r="F152" s="435" t="s">
        <v>610</v>
      </c>
      <c r="G152" s="435"/>
      <c r="H152" s="435" t="s">
        <v>610</v>
      </c>
      <c r="I152" s="435" t="s">
        <v>610</v>
      </c>
      <c r="J152" s="435" t="s">
        <v>610</v>
      </c>
      <c r="K152" s="435"/>
      <c r="L152" s="435"/>
      <c r="M152" s="436"/>
    </row>
    <row r="153" spans="3:13" outlineLevel="1">
      <c r="C153" s="434" t="s">
        <v>615</v>
      </c>
      <c r="D153" s="434" t="s">
        <v>667</v>
      </c>
      <c r="E153" s="435"/>
      <c r="F153" s="435" t="s">
        <v>610</v>
      </c>
      <c r="G153" s="435"/>
      <c r="H153" s="435" t="s">
        <v>610</v>
      </c>
      <c r="I153" s="435" t="s">
        <v>610</v>
      </c>
      <c r="J153" s="435" t="s">
        <v>610</v>
      </c>
      <c r="K153" s="435" t="s">
        <v>610</v>
      </c>
      <c r="L153" s="435"/>
      <c r="M153" s="436"/>
    </row>
    <row r="154" spans="3:13" ht="31" outlineLevel="1">
      <c r="C154" s="434" t="s">
        <v>615</v>
      </c>
      <c r="D154" s="434" t="s">
        <v>668</v>
      </c>
      <c r="E154" s="435"/>
      <c r="F154" s="435" t="s">
        <v>610</v>
      </c>
      <c r="G154" s="435"/>
      <c r="H154" s="435" t="s">
        <v>610</v>
      </c>
      <c r="I154" s="435" t="s">
        <v>610</v>
      </c>
      <c r="J154" s="435" t="s">
        <v>610</v>
      </c>
      <c r="K154" s="435" t="s">
        <v>610</v>
      </c>
      <c r="L154" s="435" t="s">
        <v>610</v>
      </c>
      <c r="M154" s="436"/>
    </row>
    <row r="155" spans="3:13" ht="31" outlineLevel="1">
      <c r="C155" s="434" t="s">
        <v>615</v>
      </c>
      <c r="D155" s="434" t="s">
        <v>616</v>
      </c>
      <c r="E155" s="435" t="s">
        <v>610</v>
      </c>
      <c r="F155" s="435"/>
      <c r="G155" s="435"/>
      <c r="H155" s="435"/>
      <c r="I155" s="435"/>
      <c r="J155" s="435"/>
      <c r="K155" s="435"/>
      <c r="L155" s="435"/>
      <c r="M155" s="436"/>
    </row>
    <row r="156" spans="3:13" ht="46.5" outlineLevel="1">
      <c r="C156" s="434" t="s">
        <v>615</v>
      </c>
      <c r="D156" s="434" t="s">
        <v>669</v>
      </c>
      <c r="E156" s="435"/>
      <c r="F156" s="435"/>
      <c r="G156" s="435"/>
      <c r="H156" s="435"/>
      <c r="I156" s="435"/>
      <c r="J156" s="435"/>
      <c r="K156" s="435" t="s">
        <v>610</v>
      </c>
      <c r="L156" s="435" t="s">
        <v>610</v>
      </c>
      <c r="M156" s="436"/>
    </row>
    <row r="157" spans="3:13" ht="31" outlineLevel="1">
      <c r="C157" s="434" t="s">
        <v>615</v>
      </c>
      <c r="D157" s="434" t="s">
        <v>670</v>
      </c>
      <c r="E157" s="435"/>
      <c r="F157" s="435" t="s">
        <v>610</v>
      </c>
      <c r="G157" s="435"/>
      <c r="H157" s="435" t="s">
        <v>610</v>
      </c>
      <c r="I157" s="435" t="s">
        <v>610</v>
      </c>
      <c r="J157" s="435" t="s">
        <v>610</v>
      </c>
      <c r="K157" s="435" t="s">
        <v>610</v>
      </c>
      <c r="L157" s="435"/>
      <c r="M157" s="436"/>
    </row>
    <row r="158" spans="3:13" outlineLevel="1">
      <c r="C158" s="434" t="s">
        <v>615</v>
      </c>
      <c r="D158" s="434" t="s">
        <v>671</v>
      </c>
      <c r="E158" s="435"/>
      <c r="F158" s="435" t="s">
        <v>610</v>
      </c>
      <c r="G158" s="435"/>
      <c r="H158" s="435" t="s">
        <v>610</v>
      </c>
      <c r="I158" s="435"/>
      <c r="J158" s="435" t="s">
        <v>610</v>
      </c>
      <c r="K158" s="435" t="s">
        <v>610</v>
      </c>
      <c r="L158" s="435"/>
      <c r="M158" s="436"/>
    </row>
    <row r="159" spans="3:13" outlineLevel="1">
      <c r="C159" s="434" t="s">
        <v>615</v>
      </c>
      <c r="D159" s="434" t="s">
        <v>672</v>
      </c>
      <c r="E159" s="435"/>
      <c r="F159" s="435" t="s">
        <v>610</v>
      </c>
      <c r="G159" s="435"/>
      <c r="H159" s="435" t="s">
        <v>610</v>
      </c>
      <c r="I159" s="435" t="s">
        <v>610</v>
      </c>
      <c r="J159" s="435" t="s">
        <v>610</v>
      </c>
      <c r="K159" s="435" t="s">
        <v>610</v>
      </c>
      <c r="L159" s="435"/>
      <c r="M159" s="436"/>
    </row>
    <row r="160" spans="3:13" ht="31" outlineLevel="1">
      <c r="C160" s="434" t="s">
        <v>615</v>
      </c>
      <c r="D160" s="434" t="s">
        <v>673</v>
      </c>
      <c r="E160" s="435"/>
      <c r="F160" s="435" t="s">
        <v>610</v>
      </c>
      <c r="G160" s="435"/>
      <c r="H160" s="435"/>
      <c r="I160" s="435" t="s">
        <v>610</v>
      </c>
      <c r="J160" s="435" t="s">
        <v>610</v>
      </c>
      <c r="K160" s="435"/>
      <c r="L160" s="435" t="s">
        <v>610</v>
      </c>
      <c r="M160" s="436"/>
    </row>
    <row r="161" spans="3:13" ht="31" outlineLevel="1">
      <c r="C161" s="434" t="s">
        <v>615</v>
      </c>
      <c r="D161" s="434" t="s">
        <v>674</v>
      </c>
      <c r="E161" s="435"/>
      <c r="F161" s="435" t="s">
        <v>610</v>
      </c>
      <c r="G161" s="435"/>
      <c r="H161" s="435" t="s">
        <v>610</v>
      </c>
      <c r="I161" s="435"/>
      <c r="J161" s="435" t="s">
        <v>610</v>
      </c>
      <c r="K161" s="435" t="s">
        <v>610</v>
      </c>
      <c r="L161" s="435"/>
      <c r="M161" s="436"/>
    </row>
    <row r="162" spans="3:13" ht="31" outlineLevel="1">
      <c r="C162" s="434" t="s">
        <v>615</v>
      </c>
      <c r="D162" s="434" t="s">
        <v>675</v>
      </c>
      <c r="E162" s="435"/>
      <c r="F162" s="435" t="s">
        <v>610</v>
      </c>
      <c r="G162" s="435"/>
      <c r="H162" s="435" t="s">
        <v>610</v>
      </c>
      <c r="I162" s="435" t="s">
        <v>610</v>
      </c>
      <c r="J162" s="435" t="s">
        <v>610</v>
      </c>
      <c r="K162" s="435"/>
      <c r="L162" s="435"/>
      <c r="M162" s="436"/>
    </row>
    <row r="163" spans="3:13" ht="31" outlineLevel="1">
      <c r="C163" s="434" t="s">
        <v>615</v>
      </c>
      <c r="D163" s="434" t="s">
        <v>676</v>
      </c>
      <c r="E163" s="435"/>
      <c r="F163" s="435" t="s">
        <v>610</v>
      </c>
      <c r="G163" s="435"/>
      <c r="H163" s="435"/>
      <c r="I163" s="435"/>
      <c r="J163" s="435"/>
      <c r="K163" s="435"/>
      <c r="L163" s="435"/>
      <c r="M163" s="436"/>
    </row>
    <row r="164" spans="3:13" ht="31" outlineLevel="1">
      <c r="C164" s="434" t="s">
        <v>615</v>
      </c>
      <c r="D164" s="434" t="s">
        <v>677</v>
      </c>
      <c r="E164" s="435"/>
      <c r="F164" s="435" t="s">
        <v>610</v>
      </c>
      <c r="G164" s="435"/>
      <c r="H164" s="435" t="s">
        <v>610</v>
      </c>
      <c r="I164" s="435" t="s">
        <v>610</v>
      </c>
      <c r="J164" s="435" t="s">
        <v>610</v>
      </c>
      <c r="K164" s="435" t="s">
        <v>610</v>
      </c>
      <c r="L164" s="435"/>
      <c r="M164" s="436"/>
    </row>
    <row r="165" spans="3:13" ht="31" outlineLevel="1">
      <c r="C165" s="434" t="s">
        <v>615</v>
      </c>
      <c r="D165" s="434" t="s">
        <v>678</v>
      </c>
      <c r="E165" s="435"/>
      <c r="F165" s="435"/>
      <c r="G165" s="435"/>
      <c r="H165" s="435"/>
      <c r="I165" s="435" t="s">
        <v>610</v>
      </c>
      <c r="J165" s="435" t="s">
        <v>610</v>
      </c>
      <c r="K165" s="435"/>
      <c r="L165" s="436"/>
      <c r="M165" s="436"/>
    </row>
  </sheetData>
  <mergeCells count="18">
    <mergeCell ref="D28:H28"/>
    <mergeCell ref="D18:H18"/>
    <mergeCell ref="D19:H19"/>
    <mergeCell ref="D20:H20"/>
    <mergeCell ref="D21:H21"/>
    <mergeCell ref="D22:H22"/>
    <mergeCell ref="D23:H23"/>
    <mergeCell ref="C14:I14"/>
    <mergeCell ref="D24:H24"/>
    <mergeCell ref="D25:H25"/>
    <mergeCell ref="D26:H26"/>
    <mergeCell ref="D27:H27"/>
    <mergeCell ref="C95:L95"/>
    <mergeCell ref="D29:H29"/>
    <mergeCell ref="D30:H30"/>
    <mergeCell ref="D31:H31"/>
    <mergeCell ref="D32:H32"/>
    <mergeCell ref="D33:H33"/>
  </mergeCells>
  <hyperlinks>
    <hyperlink ref="A1" location="'TOC'!A1" display="TO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outlinePr summaryBelow="0" summaryRight="0"/>
  </sheetPr>
  <dimension ref="A1:G93"/>
  <sheetViews>
    <sheetView showGridLines="0" topLeftCell="A100" zoomScale="85" zoomScaleNormal="85" workbookViewId="0">
      <selection activeCell="A100" sqref="A100"/>
    </sheetView>
  </sheetViews>
  <sheetFormatPr defaultColWidth="8" defaultRowHeight="15.5" outlineLevelRow="1"/>
  <cols>
    <col min="1" max="1" width="2.58203125" style="273" customWidth="1"/>
    <col min="2" max="2" width="7" style="160" customWidth="1"/>
    <col min="3" max="3" width="18.83203125" style="1" bestFit="1" customWidth="1"/>
    <col min="4" max="4" width="25.25" style="1" customWidth="1"/>
    <col min="5" max="5" width="28.33203125" style="1" customWidth="1"/>
    <col min="6" max="6" width="21.25" style="1" customWidth="1"/>
    <col min="7" max="7" width="24.08203125" style="1" customWidth="1"/>
    <col min="8" max="16384" width="8" style="1"/>
  </cols>
  <sheetData>
    <row r="1" spans="1:6">
      <c r="A1" s="355" t="s">
        <v>467</v>
      </c>
    </row>
    <row r="3" spans="1:6">
      <c r="A3" s="291" t="s">
        <v>491</v>
      </c>
      <c r="B3" s="291"/>
      <c r="C3" s="288"/>
      <c r="D3" s="288"/>
      <c r="E3" s="288"/>
    </row>
    <row r="4" spans="1:6">
      <c r="A4" s="160"/>
      <c r="B4" s="268" t="s">
        <v>426</v>
      </c>
    </row>
    <row r="5" spans="1:6" outlineLevel="1">
      <c r="A5" s="160"/>
      <c r="B5" s="268"/>
    </row>
    <row r="6" spans="1:6" ht="45.75" customHeight="1" outlineLevel="1">
      <c r="A6" s="160"/>
      <c r="B6" s="269"/>
      <c r="C6" s="515" t="s">
        <v>425</v>
      </c>
      <c r="D6" s="516"/>
      <c r="E6" s="517"/>
    </row>
    <row r="7" spans="1:6" outlineLevel="1">
      <c r="A7" s="160"/>
      <c r="B7" s="269"/>
    </row>
    <row r="8" spans="1:6">
      <c r="B8" s="197" t="s">
        <v>456</v>
      </c>
    </row>
    <row r="9" spans="1:6" outlineLevel="1"/>
    <row r="10" spans="1:6" outlineLevel="1">
      <c r="C10" s="272" t="s">
        <v>412</v>
      </c>
      <c r="D10" s="272" t="s">
        <v>451</v>
      </c>
      <c r="E10" s="272" t="s">
        <v>343</v>
      </c>
      <c r="F10" s="272" t="s">
        <v>343</v>
      </c>
    </row>
    <row r="11" spans="1:6" outlineLevel="1">
      <c r="C11" s="199" t="s">
        <v>452</v>
      </c>
      <c r="D11" s="199"/>
      <c r="E11" s="199"/>
      <c r="F11" s="199"/>
    </row>
    <row r="12" spans="1:6" outlineLevel="1">
      <c r="C12" s="199" t="s">
        <v>463</v>
      </c>
      <c r="D12" s="199"/>
      <c r="E12" s="199"/>
      <c r="F12" s="199"/>
    </row>
    <row r="13" spans="1:6" outlineLevel="1">
      <c r="C13" s="199" t="s">
        <v>464</v>
      </c>
      <c r="D13" s="199"/>
      <c r="E13" s="199"/>
      <c r="F13" s="199"/>
    </row>
    <row r="14" spans="1:6" outlineLevel="1">
      <c r="C14" s="199" t="s">
        <v>457</v>
      </c>
      <c r="D14" s="199"/>
      <c r="E14" s="199"/>
      <c r="F14" s="199"/>
    </row>
    <row r="15" spans="1:6" outlineLevel="1">
      <c r="C15" s="206" t="s">
        <v>459</v>
      </c>
      <c r="D15" s="199"/>
      <c r="E15" s="199"/>
      <c r="F15" s="199"/>
    </row>
    <row r="16" spans="1:6" outlineLevel="1">
      <c r="C16" s="199" t="s">
        <v>458</v>
      </c>
      <c r="D16" s="199"/>
      <c r="E16" s="199"/>
      <c r="F16" s="199"/>
    </row>
    <row r="17" spans="1:6" outlineLevel="1">
      <c r="C17" s="199" t="s">
        <v>460</v>
      </c>
      <c r="D17" s="199"/>
      <c r="E17" s="199"/>
      <c r="F17" s="199"/>
    </row>
    <row r="18" spans="1:6" outlineLevel="1">
      <c r="C18" s="199" t="s">
        <v>461</v>
      </c>
      <c r="D18" s="199"/>
      <c r="E18" s="199"/>
      <c r="F18" s="199"/>
    </row>
    <row r="19" spans="1:6" outlineLevel="1">
      <c r="C19" s="199" t="s">
        <v>490</v>
      </c>
      <c r="D19" s="199"/>
      <c r="E19" s="199"/>
      <c r="F19" s="199"/>
    </row>
    <row r="20" spans="1:6" outlineLevel="1">
      <c r="C20" s="199" t="s">
        <v>462</v>
      </c>
      <c r="D20" s="199"/>
      <c r="E20" s="199"/>
      <c r="F20" s="199"/>
    </row>
    <row r="21" spans="1:6" outlineLevel="1">
      <c r="C21" s="199" t="s">
        <v>465</v>
      </c>
      <c r="D21" s="199"/>
      <c r="E21" s="199"/>
      <c r="F21" s="199"/>
    </row>
    <row r="22" spans="1:6" outlineLevel="1">
      <c r="C22" s="199" t="s">
        <v>190</v>
      </c>
      <c r="D22" s="199"/>
      <c r="E22" s="199"/>
      <c r="F22" s="199"/>
    </row>
    <row r="23" spans="1:6" outlineLevel="1"/>
    <row r="24" spans="1:6">
      <c r="A24" s="160"/>
      <c r="B24" s="270" t="s">
        <v>74</v>
      </c>
    </row>
    <row r="25" spans="1:6" outlineLevel="1">
      <c r="A25" s="160"/>
      <c r="B25" s="271"/>
    </row>
    <row r="26" spans="1:6" outlineLevel="1">
      <c r="A26" s="160"/>
      <c r="B26" s="271"/>
      <c r="C26" s="272" t="s">
        <v>421</v>
      </c>
      <c r="D26" s="272" t="s">
        <v>205</v>
      </c>
      <c r="E26" s="272" t="s">
        <v>424</v>
      </c>
    </row>
    <row r="27" spans="1:6" outlineLevel="1">
      <c r="A27" s="160"/>
      <c r="B27" s="271"/>
      <c r="C27" s="199" t="s">
        <v>546</v>
      </c>
      <c r="D27" s="199"/>
      <c r="E27" s="199"/>
    </row>
    <row r="28" spans="1:6" outlineLevel="1">
      <c r="A28" s="160"/>
      <c r="B28" s="271"/>
      <c r="C28" s="199" t="s">
        <v>422</v>
      </c>
      <c r="D28" s="199"/>
      <c r="E28" s="199"/>
    </row>
    <row r="29" spans="1:6" outlineLevel="1">
      <c r="A29" s="160"/>
      <c r="B29" s="271"/>
      <c r="C29" s="199" t="s">
        <v>423</v>
      </c>
      <c r="D29" s="199"/>
      <c r="E29" s="199"/>
    </row>
    <row r="30" spans="1:6" outlineLevel="1">
      <c r="A30" s="160"/>
      <c r="B30" s="271"/>
      <c r="C30" s="199" t="s">
        <v>449</v>
      </c>
      <c r="D30" s="199"/>
      <c r="E30" s="199"/>
    </row>
    <row r="31" spans="1:6" outlineLevel="1">
      <c r="A31" s="160"/>
      <c r="B31" s="271"/>
      <c r="C31" s="199" t="s">
        <v>450</v>
      </c>
      <c r="D31" s="199"/>
      <c r="E31" s="199"/>
    </row>
    <row r="32" spans="1:6" outlineLevel="1"/>
    <row r="33" spans="1:6">
      <c r="A33" s="160"/>
      <c r="B33" s="270" t="s">
        <v>76</v>
      </c>
    </row>
    <row r="34" spans="1:6" outlineLevel="1">
      <c r="A34" s="160"/>
      <c r="B34" s="274"/>
    </row>
    <row r="35" spans="1:6" outlineLevel="1">
      <c r="A35" s="160"/>
      <c r="B35" s="275"/>
      <c r="C35" s="272" t="s">
        <v>442</v>
      </c>
      <c r="D35" s="272" t="s">
        <v>421</v>
      </c>
      <c r="E35" s="272" t="s">
        <v>205</v>
      </c>
      <c r="F35" s="272" t="s">
        <v>424</v>
      </c>
    </row>
    <row r="36" spans="1:6" outlineLevel="1">
      <c r="A36" s="160"/>
      <c r="B36" s="275"/>
      <c r="C36" s="199" t="s">
        <v>443</v>
      </c>
      <c r="D36" s="199" t="s">
        <v>444</v>
      </c>
      <c r="E36" s="199"/>
      <c r="F36" s="199"/>
    </row>
    <row r="37" spans="1:6" outlineLevel="1">
      <c r="A37" s="160"/>
      <c r="C37" s="199" t="s">
        <v>504</v>
      </c>
      <c r="D37" s="199" t="s">
        <v>440</v>
      </c>
      <c r="E37" s="199"/>
      <c r="F37" s="199"/>
    </row>
    <row r="38" spans="1:6" outlineLevel="1">
      <c r="A38" s="160"/>
      <c r="C38" s="199" t="s">
        <v>445</v>
      </c>
      <c r="D38" s="199" t="s">
        <v>445</v>
      </c>
      <c r="E38" s="199"/>
      <c r="F38" s="199"/>
    </row>
    <row r="39" spans="1:6" outlineLevel="1">
      <c r="C39" s="199" t="s">
        <v>445</v>
      </c>
      <c r="D39" s="199" t="s">
        <v>441</v>
      </c>
      <c r="E39" s="199"/>
      <c r="F39" s="199"/>
    </row>
    <row r="40" spans="1:6" outlineLevel="1">
      <c r="C40" s="199" t="s">
        <v>446</v>
      </c>
      <c r="D40" s="199" t="s">
        <v>444</v>
      </c>
      <c r="E40" s="199"/>
      <c r="F40" s="199"/>
    </row>
    <row r="41" spans="1:6" outlineLevel="1">
      <c r="C41" s="320" t="s">
        <v>506</v>
      </c>
      <c r="D41" s="320" t="s">
        <v>505</v>
      </c>
      <c r="E41" s="320"/>
      <c r="F41" s="320"/>
    </row>
    <row r="42" spans="1:6" outlineLevel="1">
      <c r="C42" s="320"/>
      <c r="D42" s="320"/>
      <c r="E42" s="320"/>
      <c r="F42" s="320"/>
    </row>
    <row r="43" spans="1:6" outlineLevel="1">
      <c r="C43" s="320"/>
      <c r="D43" s="320"/>
      <c r="E43" s="320"/>
      <c r="F43" s="320"/>
    </row>
    <row r="44" spans="1:6" outlineLevel="1">
      <c r="C44" s="320"/>
      <c r="D44" s="320"/>
      <c r="E44" s="320"/>
      <c r="F44" s="320"/>
    </row>
    <row r="45" spans="1:6" outlineLevel="1">
      <c r="C45" s="320"/>
      <c r="D45" s="320"/>
      <c r="E45" s="320"/>
      <c r="F45" s="320"/>
    </row>
    <row r="46" spans="1:6" outlineLevel="1"/>
    <row r="47" spans="1:6">
      <c r="B47" s="197" t="s">
        <v>453</v>
      </c>
    </row>
    <row r="48" spans="1:6" outlineLevel="1">
      <c r="B48" s="197"/>
    </row>
    <row r="49" spans="2:5" outlineLevel="1">
      <c r="B49" s="197"/>
    </row>
    <row r="50" spans="2:5" outlineLevel="1">
      <c r="B50" s="197"/>
    </row>
    <row r="51" spans="2:5" outlineLevel="1">
      <c r="B51" s="197"/>
    </row>
    <row r="52" spans="2:5" outlineLevel="1">
      <c r="B52" s="197"/>
    </row>
    <row r="53" spans="2:5">
      <c r="B53" s="197" t="s">
        <v>454</v>
      </c>
    </row>
    <row r="54" spans="2:5" outlineLevel="1">
      <c r="B54" s="197"/>
    </row>
    <row r="55" spans="2:5" outlineLevel="1">
      <c r="B55" s="197"/>
    </row>
    <row r="56" spans="2:5" outlineLevel="1">
      <c r="B56" s="197"/>
    </row>
    <row r="57" spans="2:5" outlineLevel="1">
      <c r="B57" s="197"/>
    </row>
    <row r="58" spans="2:5" outlineLevel="1">
      <c r="B58" s="197"/>
    </row>
    <row r="59" spans="2:5">
      <c r="B59" s="197" t="s">
        <v>455</v>
      </c>
    </row>
    <row r="60" spans="2:5" outlineLevel="1"/>
    <row r="61" spans="2:5" outlineLevel="1">
      <c r="C61" s="272" t="s">
        <v>161</v>
      </c>
      <c r="D61" s="272" t="s">
        <v>447</v>
      </c>
      <c r="E61" s="272" t="s">
        <v>448</v>
      </c>
    </row>
    <row r="62" spans="2:5" outlineLevel="1">
      <c r="C62" s="199"/>
      <c r="D62" s="199"/>
      <c r="E62" s="199"/>
    </row>
    <row r="63" spans="2:5" outlineLevel="1">
      <c r="C63" s="199"/>
      <c r="D63" s="199"/>
      <c r="E63" s="199"/>
    </row>
    <row r="64" spans="2:5" outlineLevel="1">
      <c r="C64" s="199"/>
      <c r="D64" s="199"/>
      <c r="E64" s="199"/>
    </row>
    <row r="65" spans="2:7" outlineLevel="1">
      <c r="C65" s="199"/>
      <c r="D65" s="199"/>
      <c r="E65" s="199"/>
    </row>
    <row r="66" spans="2:7" outlineLevel="1"/>
    <row r="67" spans="2:7">
      <c r="B67" s="197" t="s">
        <v>485</v>
      </c>
    </row>
    <row r="68" spans="2:7" outlineLevel="1"/>
    <row r="69" spans="2:7" outlineLevel="1">
      <c r="C69" s="272" t="s">
        <v>162</v>
      </c>
      <c r="D69" s="518" t="s">
        <v>177</v>
      </c>
      <c r="E69" s="519"/>
      <c r="F69" s="518" t="s">
        <v>486</v>
      </c>
      <c r="G69" s="519" t="s">
        <v>486</v>
      </c>
    </row>
    <row r="70" spans="2:7" outlineLevel="1">
      <c r="C70" s="206"/>
      <c r="D70" s="520"/>
      <c r="E70" s="521"/>
      <c r="F70" s="520"/>
      <c r="G70" s="521"/>
    </row>
    <row r="71" spans="2:7" outlineLevel="1">
      <c r="C71" s="206"/>
      <c r="D71" s="520"/>
      <c r="E71" s="521"/>
      <c r="F71" s="520"/>
      <c r="G71" s="521"/>
    </row>
    <row r="72" spans="2:7" outlineLevel="1">
      <c r="C72" s="206"/>
      <c r="D72" s="520"/>
      <c r="E72" s="521"/>
      <c r="F72" s="520"/>
      <c r="G72" s="521"/>
    </row>
    <row r="73" spans="2:7" outlineLevel="1">
      <c r="C73" s="206"/>
      <c r="D73" s="520"/>
      <c r="E73" s="521"/>
      <c r="F73" s="520"/>
      <c r="G73" s="521"/>
    </row>
    <row r="74" spans="2:7" outlineLevel="1">
      <c r="C74" s="206"/>
      <c r="D74" s="520"/>
      <c r="E74" s="521"/>
      <c r="F74" s="520"/>
      <c r="G74" s="521"/>
    </row>
    <row r="75" spans="2:7" outlineLevel="1">
      <c r="C75" s="206"/>
      <c r="D75" s="520"/>
      <c r="E75" s="521"/>
      <c r="F75" s="520"/>
      <c r="G75" s="521"/>
    </row>
    <row r="76" spans="2:7" outlineLevel="1">
      <c r="C76" s="206"/>
      <c r="D76" s="520"/>
      <c r="E76" s="521"/>
      <c r="F76" s="520"/>
      <c r="G76" s="521"/>
    </row>
    <row r="77" spans="2:7" outlineLevel="1">
      <c r="C77" s="206"/>
      <c r="D77" s="520"/>
      <c r="E77" s="521"/>
      <c r="F77" s="520"/>
      <c r="G77" s="521"/>
    </row>
    <row r="78" spans="2:7" outlineLevel="1"/>
    <row r="79" spans="2:7">
      <c r="B79" s="197" t="s">
        <v>487</v>
      </c>
    </row>
    <row r="80" spans="2:7" outlineLevel="1"/>
    <row r="81" spans="3:4" outlineLevel="1">
      <c r="C81" s="272" t="s">
        <v>488</v>
      </c>
      <c r="D81" s="272" t="s">
        <v>489</v>
      </c>
    </row>
    <row r="82" spans="3:4" outlineLevel="1">
      <c r="C82" s="199"/>
      <c r="D82" s="199"/>
    </row>
    <row r="83" spans="3:4" outlineLevel="1">
      <c r="C83" s="199"/>
      <c r="D83" s="199"/>
    </row>
    <row r="84" spans="3:4" outlineLevel="1">
      <c r="C84" s="199"/>
      <c r="D84" s="199"/>
    </row>
    <row r="85" spans="3:4" outlineLevel="1">
      <c r="C85" s="199"/>
      <c r="D85" s="199"/>
    </row>
    <row r="86" spans="3:4" outlineLevel="1">
      <c r="C86" s="199"/>
      <c r="D86" s="199"/>
    </row>
    <row r="87" spans="3:4" outlineLevel="1">
      <c r="C87" s="199"/>
      <c r="D87" s="199"/>
    </row>
    <row r="88" spans="3:4" outlineLevel="1">
      <c r="C88" s="199"/>
      <c r="D88" s="199"/>
    </row>
    <row r="89" spans="3:4" outlineLevel="1">
      <c r="C89" s="199"/>
      <c r="D89" s="199"/>
    </row>
    <row r="90" spans="3:4" outlineLevel="1">
      <c r="C90" s="199"/>
      <c r="D90" s="199"/>
    </row>
    <row r="91" spans="3:4" outlineLevel="1">
      <c r="C91" s="199"/>
      <c r="D91" s="199"/>
    </row>
    <row r="92" spans="3:4" outlineLevel="1">
      <c r="C92" s="199"/>
      <c r="D92" s="199"/>
    </row>
    <row r="93" spans="3:4" outlineLevel="1"/>
  </sheetData>
  <mergeCells count="19">
    <mergeCell ref="D77:E77"/>
    <mergeCell ref="F77:G77"/>
    <mergeCell ref="D74:E74"/>
    <mergeCell ref="F74:G74"/>
    <mergeCell ref="D75:E75"/>
    <mergeCell ref="F75:G75"/>
    <mergeCell ref="D76:E76"/>
    <mergeCell ref="F76:G76"/>
    <mergeCell ref="D73:E73"/>
    <mergeCell ref="F69:G69"/>
    <mergeCell ref="F70:G70"/>
    <mergeCell ref="F71:G71"/>
    <mergeCell ref="F72:G72"/>
    <mergeCell ref="F73:G73"/>
    <mergeCell ref="C6:E6"/>
    <mergeCell ref="D69:E69"/>
    <mergeCell ref="D70:E70"/>
    <mergeCell ref="D71:E71"/>
    <mergeCell ref="D72:E72"/>
  </mergeCells>
  <hyperlinks>
    <hyperlink ref="A1" location="'TOC'!A1" display="TO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7"/>
    <outlinePr summaryBelow="0" summaryRight="0"/>
  </sheetPr>
  <dimension ref="A1:AQ48"/>
  <sheetViews>
    <sheetView showGridLines="0" zoomScale="60" zoomScaleNormal="60" workbookViewId="0">
      <selection activeCell="C41" sqref="C41"/>
    </sheetView>
  </sheetViews>
  <sheetFormatPr defaultColWidth="9" defaultRowHeight="15.5" outlineLevelCol="1"/>
  <cols>
    <col min="1" max="1" width="3" customWidth="1"/>
    <col min="2" max="2" width="4.33203125" style="1" customWidth="1"/>
    <col min="3" max="3" width="14.75" style="1" bestFit="1" customWidth="1"/>
    <col min="4" max="4" width="16.08203125" style="1" customWidth="1"/>
    <col min="5" max="5" width="17.33203125" style="1" customWidth="1"/>
    <col min="6" max="6" width="35.58203125" style="1" customWidth="1"/>
    <col min="7" max="7" width="28.75" style="1" customWidth="1"/>
    <col min="8" max="8" width="9.83203125" style="1" customWidth="1"/>
    <col min="9" max="9" width="11.08203125" style="1" customWidth="1"/>
    <col min="10" max="10" width="11.33203125" style="1" customWidth="1" collapsed="1"/>
    <col min="11" max="11" width="12.83203125" style="1" hidden="1" customWidth="1" outlineLevel="1"/>
    <col min="12" max="12" width="14.08203125" style="1" hidden="1" customWidth="1" outlineLevel="1"/>
    <col min="13" max="16" width="10.25" style="1" hidden="1" customWidth="1" outlineLevel="1"/>
    <col min="17" max="17" width="2.58203125" style="1" customWidth="1"/>
    <col min="18" max="18" width="11.08203125" style="1" customWidth="1"/>
    <col min="19" max="19" width="11.33203125" style="1" customWidth="1" collapsed="1"/>
    <col min="20" max="20" width="12.83203125" style="1" hidden="1" customWidth="1" outlineLevel="1"/>
    <col min="21" max="21" width="14.08203125" style="1" hidden="1" customWidth="1" outlineLevel="1"/>
    <col min="22" max="25" width="10.25" style="1" hidden="1" customWidth="1" outlineLevel="1"/>
    <col min="26" max="26" width="2.08203125" style="1" customWidth="1"/>
    <col min="27" max="27" width="11.08203125" style="1" customWidth="1"/>
    <col min="28" max="28" width="11.33203125" style="1" customWidth="1" collapsed="1"/>
    <col min="29" max="29" width="12.83203125" style="1" hidden="1" customWidth="1" outlineLevel="1"/>
    <col min="30" max="30" width="14.08203125" style="1" hidden="1" customWidth="1" outlineLevel="1"/>
    <col min="31" max="34" width="10.25" style="1" hidden="1" customWidth="1" outlineLevel="1"/>
    <col min="35" max="35" width="3.08203125" style="1" customWidth="1"/>
    <col min="36" max="36" width="11.08203125" style="1" customWidth="1"/>
    <col min="37" max="37" width="11.33203125" style="1" customWidth="1" collapsed="1"/>
    <col min="38" max="38" width="12.83203125" style="1" hidden="1" customWidth="1" outlineLevel="1"/>
    <col min="39" max="39" width="14.08203125" style="1" hidden="1" customWidth="1" outlineLevel="1"/>
    <col min="40" max="43" width="10.25" style="1" hidden="1" customWidth="1" outlineLevel="1"/>
    <col min="44" max="16384" width="9" style="1"/>
  </cols>
  <sheetData>
    <row r="1" spans="1:43">
      <c r="A1" s="354" t="s">
        <v>467</v>
      </c>
    </row>
    <row r="2" spans="1:43">
      <c r="A2" s="286" t="s">
        <v>586</v>
      </c>
      <c r="B2" s="288"/>
      <c r="C2" s="288"/>
      <c r="D2" s="288"/>
      <c r="E2" s="288"/>
      <c r="F2" s="288"/>
      <c r="G2" s="288"/>
    </row>
    <row r="3" spans="1:43" ht="45">
      <c r="I3" s="282" t="s">
        <v>473</v>
      </c>
      <c r="K3" s="406" t="s">
        <v>129</v>
      </c>
      <c r="L3" s="406" t="s">
        <v>83</v>
      </c>
      <c r="M3" s="406" t="s">
        <v>106</v>
      </c>
      <c r="N3" s="406" t="s">
        <v>131</v>
      </c>
      <c r="O3" s="406" t="s">
        <v>133</v>
      </c>
      <c r="P3" s="406" t="s">
        <v>310</v>
      </c>
      <c r="R3" s="282" t="s">
        <v>332</v>
      </c>
      <c r="T3" s="406" t="s">
        <v>129</v>
      </c>
      <c r="U3" s="406" t="s">
        <v>83</v>
      </c>
      <c r="V3" s="406" t="s">
        <v>106</v>
      </c>
      <c r="W3" s="406" t="s">
        <v>131</v>
      </c>
      <c r="X3" s="406" t="s">
        <v>133</v>
      </c>
      <c r="Y3" s="406" t="s">
        <v>310</v>
      </c>
      <c r="AA3" s="282" t="s">
        <v>473</v>
      </c>
      <c r="AC3" s="406" t="s">
        <v>129</v>
      </c>
      <c r="AD3" s="406" t="s">
        <v>83</v>
      </c>
      <c r="AE3" s="406" t="s">
        <v>106</v>
      </c>
      <c r="AF3" s="406" t="s">
        <v>131</v>
      </c>
      <c r="AG3" s="406" t="s">
        <v>133</v>
      </c>
      <c r="AH3" s="406" t="s">
        <v>310</v>
      </c>
      <c r="AJ3" s="282" t="s">
        <v>332</v>
      </c>
      <c r="AL3" s="406" t="s">
        <v>129</v>
      </c>
      <c r="AM3" s="406" t="s">
        <v>83</v>
      </c>
      <c r="AN3" s="406" t="s">
        <v>106</v>
      </c>
      <c r="AO3" s="406" t="s">
        <v>131</v>
      </c>
      <c r="AP3" s="406" t="s">
        <v>133</v>
      </c>
      <c r="AQ3" s="406" t="s">
        <v>310</v>
      </c>
    </row>
    <row r="4" spans="1:43" ht="30.5">
      <c r="A4" s="1"/>
      <c r="B4" s="4" t="s">
        <v>84</v>
      </c>
      <c r="C4" s="4" t="s">
        <v>474</v>
      </c>
      <c r="D4" s="4" t="s">
        <v>348</v>
      </c>
      <c r="E4" s="4" t="s">
        <v>85</v>
      </c>
      <c r="F4" s="4" t="s">
        <v>86</v>
      </c>
      <c r="G4" s="4" t="s">
        <v>87</v>
      </c>
      <c r="H4" s="4" t="s">
        <v>88</v>
      </c>
      <c r="I4" s="5" t="s">
        <v>89</v>
      </c>
      <c r="J4" s="5" t="s">
        <v>90</v>
      </c>
      <c r="K4" s="5" t="s">
        <v>91</v>
      </c>
      <c r="L4" s="5" t="s">
        <v>92</v>
      </c>
      <c r="M4" s="5" t="s">
        <v>472</v>
      </c>
      <c r="N4" s="5" t="s">
        <v>583</v>
      </c>
      <c r="O4" s="272" t="s">
        <v>93</v>
      </c>
      <c r="P4" s="272" t="s">
        <v>584</v>
      </c>
      <c r="R4" s="5" t="s">
        <v>89</v>
      </c>
      <c r="S4" s="5" t="s">
        <v>90</v>
      </c>
      <c r="T4" s="5" t="s">
        <v>91</v>
      </c>
      <c r="U4" s="5" t="s">
        <v>92</v>
      </c>
      <c r="V4" s="5" t="s">
        <v>472</v>
      </c>
      <c r="W4" s="5" t="s">
        <v>583</v>
      </c>
      <c r="X4" s="272" t="s">
        <v>93</v>
      </c>
      <c r="Y4" s="272" t="s">
        <v>584</v>
      </c>
      <c r="AA4" s="5" t="s">
        <v>94</v>
      </c>
      <c r="AB4" s="5" t="s">
        <v>479</v>
      </c>
      <c r="AC4" s="5" t="s">
        <v>480</v>
      </c>
      <c r="AD4" s="5" t="s">
        <v>481</v>
      </c>
      <c r="AE4" s="5" t="s">
        <v>482</v>
      </c>
      <c r="AF4" s="5" t="s">
        <v>585</v>
      </c>
      <c r="AG4" s="5" t="s">
        <v>483</v>
      </c>
      <c r="AH4" s="5" t="s">
        <v>484</v>
      </c>
      <c r="AJ4" s="5" t="s">
        <v>94</v>
      </c>
      <c r="AK4" s="5" t="s">
        <v>479</v>
      </c>
      <c r="AL4" s="5" t="s">
        <v>480</v>
      </c>
      <c r="AM4" s="5" t="s">
        <v>481</v>
      </c>
      <c r="AN4" s="5" t="s">
        <v>482</v>
      </c>
      <c r="AO4" s="5" t="s">
        <v>585</v>
      </c>
      <c r="AP4" s="5" t="s">
        <v>483</v>
      </c>
      <c r="AQ4" s="5" t="s">
        <v>484</v>
      </c>
    </row>
    <row r="5" spans="1:43">
      <c r="A5" s="1"/>
      <c r="B5" s="6">
        <v>1</v>
      </c>
      <c r="C5" s="6"/>
      <c r="D5" s="6"/>
      <c r="E5" s="6"/>
      <c r="F5" s="10" t="s">
        <v>478</v>
      </c>
      <c r="G5" s="7"/>
      <c r="H5" s="6"/>
      <c r="I5" s="6" t="s">
        <v>130</v>
      </c>
      <c r="J5" s="8">
        <f t="shared" ref="J5:J34" si="0">SUM(K5:P5)</f>
        <v>0</v>
      </c>
      <c r="K5" s="9">
        <f>SUMIFS(Model[Point Estimate (CY14$)], Model[Estimate Type], "IC*", Model[Phase], K$3)</f>
        <v>0</v>
      </c>
      <c r="L5" s="9">
        <f>SUMIFS(Model[Point Estimate (CY14$)], Model[Estimate Type], "IC*", Model[Phase], L$3)</f>
        <v>0</v>
      </c>
      <c r="M5" s="9">
        <f>SUMIFS(Model[Point Estimate (CY14$)], Model[Estimate Type], "IC*", Model[Phase], M$3)</f>
        <v>0</v>
      </c>
      <c r="N5" s="9">
        <f>SUMIFS(Model[Point Estimate (CY14$)], Model[Estimate Type], "IC*", Model[Phase], N$3)</f>
        <v>0</v>
      </c>
      <c r="O5" s="9">
        <f>SUMIFS(Model[Point Estimate (CY14$)], Model[Estimate Type], "IC*", Model[Phase], O$3)</f>
        <v>0</v>
      </c>
      <c r="P5" s="9">
        <f>SUMIFS(Model[Point Estimate (CY14$)], Model[Estimate Type], "IC*", Model[Phase], P$3)</f>
        <v>0</v>
      </c>
      <c r="R5" s="6" t="s">
        <v>130</v>
      </c>
      <c r="S5" s="8">
        <f>SUM(T5:Y5)</f>
        <v>0</v>
      </c>
      <c r="T5" s="9">
        <f>SUMIFS(Model[Mean Estimate (CY14$)], Model[Estimate Type], "IC*", Model[Phase], T$3)</f>
        <v>0</v>
      </c>
      <c r="U5" s="9">
        <f>SUMIFS(Model[Mean Estimate (CY14$)], Model[Estimate Type], "IC*", Model[Phase], U$3)</f>
        <v>0</v>
      </c>
      <c r="V5" s="9">
        <f>SUMIFS(Model[Mean Estimate (CY14$)], Model[Estimate Type], "IC*", Model[Phase], V$3)</f>
        <v>0</v>
      </c>
      <c r="W5" s="9">
        <f>SUMIFS(Model[Mean Estimate (CY14$)], Model[Estimate Type], "IC*", Model[Phase], W$3)</f>
        <v>0</v>
      </c>
      <c r="X5" s="9">
        <f>SUMIFS(Model[Mean Estimate (CY14$)], Model[Estimate Type], "IC*", Model[Phase], X$3)</f>
        <v>0</v>
      </c>
      <c r="Y5" s="9">
        <f>SUMIFS(Model[Mean Estimate (CY14$)], Model[Estimate Type], "IC*", Model[Phase], Y$3)</f>
        <v>0</v>
      </c>
      <c r="AA5" s="6" t="s">
        <v>130</v>
      </c>
      <c r="AB5" s="8">
        <f>SUM(AC5:AH5)</f>
        <v>0</v>
      </c>
      <c r="AC5" s="9">
        <f>SUMIFS(Model[Point Estimate (TY$)], Model[Estimate Type], "IC*", Model[Phase], AC$3)</f>
        <v>0</v>
      </c>
      <c r="AD5" s="9">
        <f>SUMIFS(Model[Point Estimate (TY$)], Model[Estimate Type], "IC*", Model[Phase], AD$3)</f>
        <v>0</v>
      </c>
      <c r="AE5" s="9">
        <f>SUMIFS(Model[Point Estimate (TY$)], Model[Estimate Type], "IC*", Model[Phase], AE$3)</f>
        <v>0</v>
      </c>
      <c r="AF5" s="9">
        <f>SUMIFS(Model[Point Estimate (TY$)], Model[Estimate Type], "IC*", Model[Phase], AF$3)</f>
        <v>0</v>
      </c>
      <c r="AG5" s="9">
        <f>SUMIFS(Model[Point Estimate (TY$)], Model[Estimate Type], "IC*", Model[Phase], AG$3)</f>
        <v>0</v>
      </c>
      <c r="AH5" s="9">
        <f>SUMIFS(Model[Point Estimate (TY$)], Model[Estimate Type], "IC*", Model[Phase], AH$3)</f>
        <v>0</v>
      </c>
      <c r="AJ5" s="6" t="s">
        <v>130</v>
      </c>
      <c r="AK5" s="8">
        <f>SUM(AL5:AQ5)</f>
        <v>0</v>
      </c>
      <c r="AL5" s="9">
        <f>SUMIFS(Model[Mean Estimate (TY$)], Model[Estimate Type], "IC*", Model[Phase], AL$3)</f>
        <v>0</v>
      </c>
      <c r="AM5" s="9">
        <f>SUMIFS(Model[Mean Estimate (TY$)], Model[Estimate Type], "IC*", Model[Phase], AM$3)</f>
        <v>0</v>
      </c>
      <c r="AN5" s="9">
        <f>SUMIFS(Model[Mean Estimate (TY$)], Model[Estimate Type], "IC*", Model[Phase], AN$3)</f>
        <v>0</v>
      </c>
      <c r="AO5" s="9">
        <f>SUMIFS(Model[Mean Estimate (TY$)], Model[Estimate Type], "IC*", Model[Phase], AO$3)</f>
        <v>0</v>
      </c>
      <c r="AP5" s="9">
        <f>SUMIFS(Model[Mean Estimate (TY$)], Model[Estimate Type], "IC*", Model[Phase], AP$3)</f>
        <v>0</v>
      </c>
      <c r="AQ5" s="9">
        <f>SUMIFS(Model[Mean Estimate (TY$)], Model[Estimate Type], "IC*", Model[Phase], AQ$3)</f>
        <v>0</v>
      </c>
    </row>
    <row r="6" spans="1:43">
      <c r="A6" s="1"/>
      <c r="B6" s="6">
        <v>2</v>
      </c>
      <c r="C6" s="6"/>
      <c r="D6" s="6"/>
      <c r="E6" s="6"/>
      <c r="F6" s="10"/>
      <c r="G6" s="7"/>
      <c r="H6" s="6"/>
      <c r="I6" s="11">
        <f>J6-J5</f>
        <v>0</v>
      </c>
      <c r="J6" s="8">
        <f t="shared" si="0"/>
        <v>0</v>
      </c>
      <c r="K6" s="9">
        <f>SUMIFS(Model[Point Estimate (CY14$)], Model[Estimate Type], "IC*", Model[Phase], K$3)</f>
        <v>0</v>
      </c>
      <c r="L6" s="9">
        <f>SUMIFS(Model[Point Estimate (CY14$)], Model[Estimate Type], "IC*", Model[Phase], L$3)</f>
        <v>0</v>
      </c>
      <c r="M6" s="9">
        <f>SUMIFS(Model[Point Estimate (CY14$)], Model[Estimate Type], "IC*", Model[Phase], M$3)</f>
        <v>0</v>
      </c>
      <c r="N6" s="9">
        <f>SUMIFS(Model[Point Estimate (CY14$)], Model[Estimate Type], "IC*", Model[Phase], N$3)</f>
        <v>0</v>
      </c>
      <c r="O6" s="9">
        <f>SUMIFS(Model[Point Estimate (CY14$)], Model[Estimate Type], "IC*", Model[Phase], O$3)</f>
        <v>0</v>
      </c>
      <c r="P6" s="9">
        <f>SUMIFS(Model[Point Estimate (CY14$)], Model[Estimate Type], "IC*", Model[Phase], P$3)</f>
        <v>0</v>
      </c>
      <c r="R6" s="11">
        <f>S6-S5</f>
        <v>0</v>
      </c>
      <c r="S6" s="8">
        <f t="shared" ref="S6:S34" si="1">SUM(T6:Y6)</f>
        <v>0</v>
      </c>
      <c r="T6" s="9">
        <f>SUMIFS(Model[Mean Estimate (CY14$)], Model[Estimate Type], "IC*", Model[Phase], T$3)</f>
        <v>0</v>
      </c>
      <c r="U6" s="9">
        <f>SUMIFS(Model[Mean Estimate (CY14$)], Model[Estimate Type], "IC*", Model[Phase], U$3)</f>
        <v>0</v>
      </c>
      <c r="V6" s="9">
        <f>SUMIFS(Model[Mean Estimate (CY14$)], Model[Estimate Type], "IC*", Model[Phase], V$3)</f>
        <v>0</v>
      </c>
      <c r="W6" s="9">
        <f>SUMIFS(Model[Mean Estimate (CY14$)], Model[Estimate Type], "IC*", Model[Phase], W$3)</f>
        <v>0</v>
      </c>
      <c r="X6" s="9">
        <f>SUMIFS(Model[Mean Estimate (CY14$)], Model[Estimate Type], "IC*", Model[Phase], X$3)</f>
        <v>0</v>
      </c>
      <c r="Y6" s="9">
        <f>SUMIFS(Model[Mean Estimate (CY14$)], Model[Estimate Type], "IC*", Model[Phase], Y$3)</f>
        <v>0</v>
      </c>
      <c r="AA6" s="11">
        <f>AB6-AB5</f>
        <v>0</v>
      </c>
      <c r="AB6" s="8">
        <f t="shared" ref="AB6:AB34" si="2">SUM(AC6:AH6)</f>
        <v>0</v>
      </c>
      <c r="AC6" s="9">
        <f>SUMIFS(Model[Point Estimate (TY$)], Model[Estimate Type], "IC*", Model[Phase], AC$3)</f>
        <v>0</v>
      </c>
      <c r="AD6" s="9">
        <f>SUMIFS(Model[Point Estimate (TY$)], Model[Estimate Type], "IC*", Model[Phase], AD$3)</f>
        <v>0</v>
      </c>
      <c r="AE6" s="9">
        <f>SUMIFS(Model[Point Estimate (TY$)], Model[Estimate Type], "IC*", Model[Phase], AE$3)</f>
        <v>0</v>
      </c>
      <c r="AF6" s="9">
        <f>SUMIFS(Model[Point Estimate (TY$)], Model[Estimate Type], "IC*", Model[Phase], AF$3)</f>
        <v>0</v>
      </c>
      <c r="AG6" s="9">
        <f>SUMIFS(Model[Point Estimate (TY$)], Model[Estimate Type], "IC*", Model[Phase], AG$3)</f>
        <v>0</v>
      </c>
      <c r="AH6" s="9">
        <f>SUMIFS(Model[Point Estimate (TY$)], Model[Estimate Type], "IC*", Model[Phase], AH$3)</f>
        <v>0</v>
      </c>
      <c r="AJ6" s="11">
        <f>AK6-AK5</f>
        <v>0</v>
      </c>
      <c r="AK6" s="8">
        <f t="shared" ref="AK6:AK34" si="3">SUM(AL6:AQ6)</f>
        <v>0</v>
      </c>
      <c r="AL6" s="9">
        <f>SUMIFS(Model[Mean Estimate (TY$)], Model[Estimate Type], "IC*", Model[Phase], AL$3)</f>
        <v>0</v>
      </c>
      <c r="AM6" s="9">
        <f>SUMIFS(Model[Mean Estimate (TY$)], Model[Estimate Type], "IC*", Model[Phase], AM$3)</f>
        <v>0</v>
      </c>
      <c r="AN6" s="9">
        <f>SUMIFS(Model[Mean Estimate (TY$)], Model[Estimate Type], "IC*", Model[Phase], AN$3)</f>
        <v>0</v>
      </c>
      <c r="AO6" s="9">
        <f>SUMIFS(Model[Mean Estimate (TY$)], Model[Estimate Type], "IC*", Model[Phase], AO$3)</f>
        <v>0</v>
      </c>
      <c r="AP6" s="9">
        <f>SUMIFS(Model[Mean Estimate (TY$)], Model[Estimate Type], "IC*", Model[Phase], AP$3)</f>
        <v>0</v>
      </c>
      <c r="AQ6" s="9">
        <f>SUMIFS(Model[Mean Estimate (TY$)], Model[Estimate Type], "IC*", Model[Phase], AQ$3)</f>
        <v>0</v>
      </c>
    </row>
    <row r="7" spans="1:43">
      <c r="A7" s="1"/>
      <c r="B7" s="6">
        <v>3</v>
      </c>
      <c r="C7" s="6"/>
      <c r="D7" s="6"/>
      <c r="E7" s="6"/>
      <c r="F7" s="10"/>
      <c r="G7" s="7"/>
      <c r="H7" s="6"/>
      <c r="I7" s="11">
        <f t="shared" ref="I7:I34" si="4">J7-J6</f>
        <v>0</v>
      </c>
      <c r="J7" s="8">
        <f t="shared" si="0"/>
        <v>0</v>
      </c>
      <c r="K7" s="9">
        <f>SUMIFS(Model[Point Estimate (CY14$)], Model[Estimate Type], "IC*", Model[Phase], K$3)</f>
        <v>0</v>
      </c>
      <c r="L7" s="9">
        <f>SUMIFS(Model[Point Estimate (CY14$)], Model[Estimate Type], "IC*", Model[Phase], L$3)</f>
        <v>0</v>
      </c>
      <c r="M7" s="9">
        <f>SUMIFS(Model[Point Estimate (CY14$)], Model[Estimate Type], "IC*", Model[Phase], M$3)</f>
        <v>0</v>
      </c>
      <c r="N7" s="9">
        <f>SUMIFS(Model[Point Estimate (CY14$)], Model[Estimate Type], "IC*", Model[Phase], N$3)</f>
        <v>0</v>
      </c>
      <c r="O7" s="9">
        <f>SUMIFS(Model[Point Estimate (CY14$)], Model[Estimate Type], "IC*", Model[Phase], O$3)</f>
        <v>0</v>
      </c>
      <c r="P7" s="9">
        <f>SUMIFS(Model[Point Estimate (CY14$)], Model[Estimate Type], "IC*", Model[Phase], P$3)</f>
        <v>0</v>
      </c>
      <c r="R7" s="11">
        <f t="shared" ref="R7:R34" si="5">S7-S6</f>
        <v>0</v>
      </c>
      <c r="S7" s="8">
        <f t="shared" si="1"/>
        <v>0</v>
      </c>
      <c r="T7" s="9">
        <f>SUMIFS(Model[Mean Estimate (CY14$)], Model[Estimate Type], "IC*", Model[Phase], T$3)</f>
        <v>0</v>
      </c>
      <c r="U7" s="9">
        <f>SUMIFS(Model[Mean Estimate (CY14$)], Model[Estimate Type], "IC*", Model[Phase], U$3)</f>
        <v>0</v>
      </c>
      <c r="V7" s="9">
        <f>SUMIFS(Model[Mean Estimate (CY14$)], Model[Estimate Type], "IC*", Model[Phase], V$3)</f>
        <v>0</v>
      </c>
      <c r="W7" s="9">
        <f>SUMIFS(Model[Mean Estimate (CY14$)], Model[Estimate Type], "IC*", Model[Phase], W$3)</f>
        <v>0</v>
      </c>
      <c r="X7" s="9">
        <f>SUMIFS(Model[Mean Estimate (CY14$)], Model[Estimate Type], "IC*", Model[Phase], X$3)</f>
        <v>0</v>
      </c>
      <c r="Y7" s="9">
        <f>SUMIFS(Model[Mean Estimate (CY14$)], Model[Estimate Type], "IC*", Model[Phase], Y$3)</f>
        <v>0</v>
      </c>
      <c r="AA7" s="11">
        <f t="shared" ref="AA7:AA34" si="6">AB7-AB6</f>
        <v>0</v>
      </c>
      <c r="AB7" s="8">
        <f t="shared" si="2"/>
        <v>0</v>
      </c>
      <c r="AC7" s="9">
        <f>SUMIFS(Model[Point Estimate (TY$)], Model[Estimate Type], "IC*", Model[Phase], AC$3)</f>
        <v>0</v>
      </c>
      <c r="AD7" s="9">
        <f>SUMIFS(Model[Point Estimate (TY$)], Model[Estimate Type], "IC*", Model[Phase], AD$3)</f>
        <v>0</v>
      </c>
      <c r="AE7" s="9">
        <f>SUMIFS(Model[Point Estimate (TY$)], Model[Estimate Type], "IC*", Model[Phase], AE$3)</f>
        <v>0</v>
      </c>
      <c r="AF7" s="9">
        <f>SUMIFS(Model[Point Estimate (TY$)], Model[Estimate Type], "IC*", Model[Phase], AF$3)</f>
        <v>0</v>
      </c>
      <c r="AG7" s="9">
        <f>SUMIFS(Model[Point Estimate (TY$)], Model[Estimate Type], "IC*", Model[Phase], AG$3)</f>
        <v>0</v>
      </c>
      <c r="AH7" s="9">
        <f>SUMIFS(Model[Point Estimate (TY$)], Model[Estimate Type], "IC*", Model[Phase], AH$3)</f>
        <v>0</v>
      </c>
      <c r="AJ7" s="11">
        <f t="shared" ref="AJ7:AJ34" si="7">AK7-AK6</f>
        <v>0</v>
      </c>
      <c r="AK7" s="8">
        <f t="shared" si="3"/>
        <v>0</v>
      </c>
      <c r="AL7" s="9">
        <f>SUMIFS(Model[Mean Estimate (TY$)], Model[Estimate Type], "IC*", Model[Phase], AL$3)</f>
        <v>0</v>
      </c>
      <c r="AM7" s="9">
        <f>SUMIFS(Model[Mean Estimate (TY$)], Model[Estimate Type], "IC*", Model[Phase], AM$3)</f>
        <v>0</v>
      </c>
      <c r="AN7" s="9">
        <f>SUMIFS(Model[Mean Estimate (TY$)], Model[Estimate Type], "IC*", Model[Phase], AN$3)</f>
        <v>0</v>
      </c>
      <c r="AO7" s="9">
        <f>SUMIFS(Model[Mean Estimate (TY$)], Model[Estimate Type], "IC*", Model[Phase], AO$3)</f>
        <v>0</v>
      </c>
      <c r="AP7" s="9">
        <f>SUMIFS(Model[Mean Estimate (TY$)], Model[Estimate Type], "IC*", Model[Phase], AP$3)</f>
        <v>0</v>
      </c>
      <c r="AQ7" s="9">
        <f>SUMIFS(Model[Mean Estimate (TY$)], Model[Estimate Type], "IC*", Model[Phase], AQ$3)</f>
        <v>0</v>
      </c>
    </row>
    <row r="8" spans="1:43">
      <c r="A8" s="1"/>
      <c r="B8" s="6">
        <v>4</v>
      </c>
      <c r="C8" s="6"/>
      <c r="D8" s="6"/>
      <c r="E8" s="6"/>
      <c r="F8" s="10"/>
      <c r="G8" s="7"/>
      <c r="H8" s="6"/>
      <c r="I8" s="11">
        <f t="shared" si="4"/>
        <v>0</v>
      </c>
      <c r="J8" s="8">
        <f t="shared" si="0"/>
        <v>0</v>
      </c>
      <c r="K8" s="9">
        <f>SUMIFS(Model[Point Estimate (CY14$)], Model[Estimate Type], "IC*", Model[Phase], K$3)</f>
        <v>0</v>
      </c>
      <c r="L8" s="9">
        <f>SUMIFS(Model[Point Estimate (CY14$)], Model[Estimate Type], "IC*", Model[Phase], L$3)</f>
        <v>0</v>
      </c>
      <c r="M8" s="9">
        <f>SUMIFS(Model[Point Estimate (CY14$)], Model[Estimate Type], "IC*", Model[Phase], M$3)</f>
        <v>0</v>
      </c>
      <c r="N8" s="9">
        <f>SUMIFS(Model[Point Estimate (CY14$)], Model[Estimate Type], "IC*", Model[Phase], N$3)</f>
        <v>0</v>
      </c>
      <c r="O8" s="9">
        <f>SUMIFS(Model[Point Estimate (CY14$)], Model[Estimate Type], "IC*", Model[Phase], O$3)</f>
        <v>0</v>
      </c>
      <c r="P8" s="9">
        <f>SUMIFS(Model[Point Estimate (CY14$)], Model[Estimate Type], "IC*", Model[Phase], P$3)</f>
        <v>0</v>
      </c>
      <c r="R8" s="11">
        <f t="shared" si="5"/>
        <v>0</v>
      </c>
      <c r="S8" s="8">
        <f t="shared" si="1"/>
        <v>0</v>
      </c>
      <c r="T8" s="9">
        <f>SUMIFS(Model[Mean Estimate (CY14$)], Model[Estimate Type], "IC*", Model[Phase], T$3)</f>
        <v>0</v>
      </c>
      <c r="U8" s="9">
        <f>SUMIFS(Model[Mean Estimate (CY14$)], Model[Estimate Type], "IC*", Model[Phase], U$3)</f>
        <v>0</v>
      </c>
      <c r="V8" s="9">
        <f>SUMIFS(Model[Mean Estimate (CY14$)], Model[Estimate Type], "IC*", Model[Phase], V$3)</f>
        <v>0</v>
      </c>
      <c r="W8" s="9">
        <f>SUMIFS(Model[Mean Estimate (CY14$)], Model[Estimate Type], "IC*", Model[Phase], W$3)</f>
        <v>0</v>
      </c>
      <c r="X8" s="9">
        <f>SUMIFS(Model[Mean Estimate (CY14$)], Model[Estimate Type], "IC*", Model[Phase], X$3)</f>
        <v>0</v>
      </c>
      <c r="Y8" s="9">
        <f>SUMIFS(Model[Mean Estimate (CY14$)], Model[Estimate Type], "IC*", Model[Phase], Y$3)</f>
        <v>0</v>
      </c>
      <c r="AA8" s="11">
        <f t="shared" si="6"/>
        <v>0</v>
      </c>
      <c r="AB8" s="8">
        <f t="shared" si="2"/>
        <v>0</v>
      </c>
      <c r="AC8" s="9">
        <f>SUMIFS(Model[Point Estimate (TY$)], Model[Estimate Type], "IC*", Model[Phase], AC$3)</f>
        <v>0</v>
      </c>
      <c r="AD8" s="9">
        <f>SUMIFS(Model[Point Estimate (TY$)], Model[Estimate Type], "IC*", Model[Phase], AD$3)</f>
        <v>0</v>
      </c>
      <c r="AE8" s="9">
        <f>SUMIFS(Model[Point Estimate (TY$)], Model[Estimate Type], "IC*", Model[Phase], AE$3)</f>
        <v>0</v>
      </c>
      <c r="AF8" s="9">
        <f>SUMIFS(Model[Point Estimate (TY$)], Model[Estimate Type], "IC*", Model[Phase], AF$3)</f>
        <v>0</v>
      </c>
      <c r="AG8" s="9">
        <f>SUMIFS(Model[Point Estimate (TY$)], Model[Estimate Type], "IC*", Model[Phase], AG$3)</f>
        <v>0</v>
      </c>
      <c r="AH8" s="9">
        <f>SUMIFS(Model[Point Estimate (TY$)], Model[Estimate Type], "IC*", Model[Phase], AH$3)</f>
        <v>0</v>
      </c>
      <c r="AJ8" s="11">
        <f t="shared" si="7"/>
        <v>0</v>
      </c>
      <c r="AK8" s="8">
        <f t="shared" si="3"/>
        <v>0</v>
      </c>
      <c r="AL8" s="9">
        <f>SUMIFS(Model[Mean Estimate (TY$)], Model[Estimate Type], "IC*", Model[Phase], AL$3)</f>
        <v>0</v>
      </c>
      <c r="AM8" s="9">
        <f>SUMIFS(Model[Mean Estimate (TY$)], Model[Estimate Type], "IC*", Model[Phase], AM$3)</f>
        <v>0</v>
      </c>
      <c r="AN8" s="9">
        <f>SUMIFS(Model[Mean Estimate (TY$)], Model[Estimate Type], "IC*", Model[Phase], AN$3)</f>
        <v>0</v>
      </c>
      <c r="AO8" s="9">
        <f>SUMIFS(Model[Mean Estimate (TY$)], Model[Estimate Type], "IC*", Model[Phase], AO$3)</f>
        <v>0</v>
      </c>
      <c r="AP8" s="9">
        <f>SUMIFS(Model[Mean Estimate (TY$)], Model[Estimate Type], "IC*", Model[Phase], AP$3)</f>
        <v>0</v>
      </c>
      <c r="AQ8" s="9">
        <f>SUMIFS(Model[Mean Estimate (TY$)], Model[Estimate Type], "IC*", Model[Phase], AQ$3)</f>
        <v>0</v>
      </c>
    </row>
    <row r="9" spans="1:43">
      <c r="A9" s="1"/>
      <c r="B9" s="6">
        <v>5</v>
      </c>
      <c r="C9" s="6"/>
      <c r="D9" s="6"/>
      <c r="E9" s="6"/>
      <c r="F9" s="10"/>
      <c r="G9" s="7"/>
      <c r="H9" s="6"/>
      <c r="I9" s="11">
        <f t="shared" si="4"/>
        <v>0</v>
      </c>
      <c r="J9" s="8">
        <f t="shared" si="0"/>
        <v>0</v>
      </c>
      <c r="K9" s="9">
        <f>SUMIFS(Model[Point Estimate (CY14$)], Model[Estimate Type], "IC*", Model[Phase], K$3)</f>
        <v>0</v>
      </c>
      <c r="L9" s="9">
        <f>SUMIFS(Model[Point Estimate (CY14$)], Model[Estimate Type], "IC*", Model[Phase], L$3)</f>
        <v>0</v>
      </c>
      <c r="M9" s="9">
        <f>SUMIFS(Model[Point Estimate (CY14$)], Model[Estimate Type], "IC*", Model[Phase], M$3)</f>
        <v>0</v>
      </c>
      <c r="N9" s="9">
        <f>SUMIFS(Model[Point Estimate (CY14$)], Model[Estimate Type], "IC*", Model[Phase], N$3)</f>
        <v>0</v>
      </c>
      <c r="O9" s="9">
        <f>SUMIFS(Model[Point Estimate (CY14$)], Model[Estimate Type], "IC*", Model[Phase], O$3)</f>
        <v>0</v>
      </c>
      <c r="P9" s="9">
        <f>SUMIFS(Model[Point Estimate (CY14$)], Model[Estimate Type], "IC*", Model[Phase], P$3)</f>
        <v>0</v>
      </c>
      <c r="R9" s="11">
        <f t="shared" si="5"/>
        <v>0</v>
      </c>
      <c r="S9" s="8">
        <f t="shared" si="1"/>
        <v>0</v>
      </c>
      <c r="T9" s="9">
        <f>SUMIFS(Model[Mean Estimate (CY14$)], Model[Estimate Type], "IC*", Model[Phase], T$3)</f>
        <v>0</v>
      </c>
      <c r="U9" s="9">
        <f>SUMIFS(Model[Mean Estimate (CY14$)], Model[Estimate Type], "IC*", Model[Phase], U$3)</f>
        <v>0</v>
      </c>
      <c r="V9" s="9">
        <f>SUMIFS(Model[Mean Estimate (CY14$)], Model[Estimate Type], "IC*", Model[Phase], V$3)</f>
        <v>0</v>
      </c>
      <c r="W9" s="9">
        <f>SUMIFS(Model[Mean Estimate (CY14$)], Model[Estimate Type], "IC*", Model[Phase], W$3)</f>
        <v>0</v>
      </c>
      <c r="X9" s="9">
        <f>SUMIFS(Model[Mean Estimate (CY14$)], Model[Estimate Type], "IC*", Model[Phase], X$3)</f>
        <v>0</v>
      </c>
      <c r="Y9" s="9">
        <f>SUMIFS(Model[Mean Estimate (CY14$)], Model[Estimate Type], "IC*", Model[Phase], Y$3)</f>
        <v>0</v>
      </c>
      <c r="AA9" s="11">
        <f t="shared" si="6"/>
        <v>0</v>
      </c>
      <c r="AB9" s="8">
        <f t="shared" si="2"/>
        <v>0</v>
      </c>
      <c r="AC9" s="9">
        <f>SUMIFS(Model[Point Estimate (TY$)], Model[Estimate Type], "IC*", Model[Phase], AC$3)</f>
        <v>0</v>
      </c>
      <c r="AD9" s="9">
        <f>SUMIFS(Model[Point Estimate (TY$)], Model[Estimate Type], "IC*", Model[Phase], AD$3)</f>
        <v>0</v>
      </c>
      <c r="AE9" s="9">
        <f>SUMIFS(Model[Point Estimate (TY$)], Model[Estimate Type], "IC*", Model[Phase], AE$3)</f>
        <v>0</v>
      </c>
      <c r="AF9" s="9">
        <f>SUMIFS(Model[Point Estimate (TY$)], Model[Estimate Type], "IC*", Model[Phase], AF$3)</f>
        <v>0</v>
      </c>
      <c r="AG9" s="9">
        <f>SUMIFS(Model[Point Estimate (TY$)], Model[Estimate Type], "IC*", Model[Phase], AG$3)</f>
        <v>0</v>
      </c>
      <c r="AH9" s="9">
        <f>SUMIFS(Model[Point Estimate (TY$)], Model[Estimate Type], "IC*", Model[Phase], AH$3)</f>
        <v>0</v>
      </c>
      <c r="AJ9" s="11">
        <f t="shared" si="7"/>
        <v>0</v>
      </c>
      <c r="AK9" s="8">
        <f t="shared" si="3"/>
        <v>0</v>
      </c>
      <c r="AL9" s="9">
        <f>SUMIFS(Model[Mean Estimate (TY$)], Model[Estimate Type], "IC*", Model[Phase], AL$3)</f>
        <v>0</v>
      </c>
      <c r="AM9" s="9">
        <f>SUMIFS(Model[Mean Estimate (TY$)], Model[Estimate Type], "IC*", Model[Phase], AM$3)</f>
        <v>0</v>
      </c>
      <c r="AN9" s="9">
        <f>SUMIFS(Model[Mean Estimate (TY$)], Model[Estimate Type], "IC*", Model[Phase], AN$3)</f>
        <v>0</v>
      </c>
      <c r="AO9" s="9">
        <f>SUMIFS(Model[Mean Estimate (TY$)], Model[Estimate Type], "IC*", Model[Phase], AO$3)</f>
        <v>0</v>
      </c>
      <c r="AP9" s="9">
        <f>SUMIFS(Model[Mean Estimate (TY$)], Model[Estimate Type], "IC*", Model[Phase], AP$3)</f>
        <v>0</v>
      </c>
      <c r="AQ9" s="9">
        <f>SUMIFS(Model[Mean Estimate (TY$)], Model[Estimate Type], "IC*", Model[Phase], AQ$3)</f>
        <v>0</v>
      </c>
    </row>
    <row r="10" spans="1:43">
      <c r="A10" s="1"/>
      <c r="B10" s="6">
        <v>6</v>
      </c>
      <c r="C10" s="6"/>
      <c r="D10" s="6"/>
      <c r="E10" s="6"/>
      <c r="F10" s="10"/>
      <c r="G10" s="7"/>
      <c r="H10" s="6"/>
      <c r="I10" s="11">
        <f t="shared" si="4"/>
        <v>0</v>
      </c>
      <c r="J10" s="8">
        <f t="shared" si="0"/>
        <v>0</v>
      </c>
      <c r="K10" s="9">
        <f>SUMIFS(Model[Point Estimate (CY14$)], Model[Estimate Type], "IC*", Model[Phase], K$3)</f>
        <v>0</v>
      </c>
      <c r="L10" s="9">
        <f>SUMIFS(Model[Point Estimate (CY14$)], Model[Estimate Type], "IC*", Model[Phase], L$3)</f>
        <v>0</v>
      </c>
      <c r="M10" s="9">
        <f>SUMIFS(Model[Point Estimate (CY14$)], Model[Estimate Type], "IC*", Model[Phase], M$3)</f>
        <v>0</v>
      </c>
      <c r="N10" s="9">
        <f>SUMIFS(Model[Point Estimate (CY14$)], Model[Estimate Type], "IC*", Model[Phase], N$3)</f>
        <v>0</v>
      </c>
      <c r="O10" s="9">
        <f>SUMIFS(Model[Point Estimate (CY14$)], Model[Estimate Type], "IC*", Model[Phase], O$3)</f>
        <v>0</v>
      </c>
      <c r="P10" s="9">
        <f>SUMIFS(Model[Point Estimate (CY14$)], Model[Estimate Type], "IC*", Model[Phase], P$3)</f>
        <v>0</v>
      </c>
      <c r="R10" s="11">
        <f t="shared" si="5"/>
        <v>0</v>
      </c>
      <c r="S10" s="8">
        <f t="shared" si="1"/>
        <v>0</v>
      </c>
      <c r="T10" s="9">
        <f>SUMIFS(Model[Mean Estimate (CY14$)], Model[Estimate Type], "IC*", Model[Phase], T$3)</f>
        <v>0</v>
      </c>
      <c r="U10" s="9">
        <f>SUMIFS(Model[Mean Estimate (CY14$)], Model[Estimate Type], "IC*", Model[Phase], U$3)</f>
        <v>0</v>
      </c>
      <c r="V10" s="9">
        <f>SUMIFS(Model[Mean Estimate (CY14$)], Model[Estimate Type], "IC*", Model[Phase], V$3)</f>
        <v>0</v>
      </c>
      <c r="W10" s="9">
        <f>SUMIFS(Model[Mean Estimate (CY14$)], Model[Estimate Type], "IC*", Model[Phase], W$3)</f>
        <v>0</v>
      </c>
      <c r="X10" s="9">
        <f>SUMIFS(Model[Mean Estimate (CY14$)], Model[Estimate Type], "IC*", Model[Phase], X$3)</f>
        <v>0</v>
      </c>
      <c r="Y10" s="9">
        <f>SUMIFS(Model[Mean Estimate (CY14$)], Model[Estimate Type], "IC*", Model[Phase], Y$3)</f>
        <v>0</v>
      </c>
      <c r="AA10" s="11">
        <f t="shared" si="6"/>
        <v>0</v>
      </c>
      <c r="AB10" s="8">
        <f t="shared" si="2"/>
        <v>0</v>
      </c>
      <c r="AC10" s="9">
        <f>SUMIFS(Model[Point Estimate (TY$)], Model[Estimate Type], "IC*", Model[Phase], AC$3)</f>
        <v>0</v>
      </c>
      <c r="AD10" s="9">
        <f>SUMIFS(Model[Point Estimate (TY$)], Model[Estimate Type], "IC*", Model[Phase], AD$3)</f>
        <v>0</v>
      </c>
      <c r="AE10" s="9">
        <f>SUMIFS(Model[Point Estimate (TY$)], Model[Estimate Type], "IC*", Model[Phase], AE$3)</f>
        <v>0</v>
      </c>
      <c r="AF10" s="9">
        <f>SUMIFS(Model[Point Estimate (TY$)], Model[Estimate Type], "IC*", Model[Phase], AF$3)</f>
        <v>0</v>
      </c>
      <c r="AG10" s="9">
        <f>SUMIFS(Model[Point Estimate (TY$)], Model[Estimate Type], "IC*", Model[Phase], AG$3)</f>
        <v>0</v>
      </c>
      <c r="AH10" s="9">
        <f>SUMIFS(Model[Point Estimate (TY$)], Model[Estimate Type], "IC*", Model[Phase], AH$3)</f>
        <v>0</v>
      </c>
      <c r="AJ10" s="11">
        <f t="shared" si="7"/>
        <v>0</v>
      </c>
      <c r="AK10" s="8">
        <f t="shared" si="3"/>
        <v>0</v>
      </c>
      <c r="AL10" s="9">
        <f>SUMIFS(Model[Mean Estimate (TY$)], Model[Estimate Type], "IC*", Model[Phase], AL$3)</f>
        <v>0</v>
      </c>
      <c r="AM10" s="9">
        <f>SUMIFS(Model[Mean Estimate (TY$)], Model[Estimate Type], "IC*", Model[Phase], AM$3)</f>
        <v>0</v>
      </c>
      <c r="AN10" s="9">
        <f>SUMIFS(Model[Mean Estimate (TY$)], Model[Estimate Type], "IC*", Model[Phase], AN$3)</f>
        <v>0</v>
      </c>
      <c r="AO10" s="9">
        <f>SUMIFS(Model[Mean Estimate (TY$)], Model[Estimate Type], "IC*", Model[Phase], AO$3)</f>
        <v>0</v>
      </c>
      <c r="AP10" s="9">
        <f>SUMIFS(Model[Mean Estimate (TY$)], Model[Estimate Type], "IC*", Model[Phase], AP$3)</f>
        <v>0</v>
      </c>
      <c r="AQ10" s="9">
        <f>SUMIFS(Model[Mean Estimate (TY$)], Model[Estimate Type], "IC*", Model[Phase], AQ$3)</f>
        <v>0</v>
      </c>
    </row>
    <row r="11" spans="1:43">
      <c r="A11" s="1"/>
      <c r="B11" s="6">
        <v>7</v>
      </c>
      <c r="C11" s="6"/>
      <c r="D11" s="6"/>
      <c r="E11" s="6"/>
      <c r="F11" s="10"/>
      <c r="G11" s="7"/>
      <c r="H11" s="6"/>
      <c r="I11" s="11">
        <f t="shared" si="4"/>
        <v>0</v>
      </c>
      <c r="J11" s="8">
        <f t="shared" si="0"/>
        <v>0</v>
      </c>
      <c r="K11" s="9">
        <f>SUMIFS(Model[Point Estimate (CY14$)], Model[Estimate Type], "IC*", Model[Phase], K$3)</f>
        <v>0</v>
      </c>
      <c r="L11" s="9">
        <f>SUMIFS(Model[Point Estimate (CY14$)], Model[Estimate Type], "IC*", Model[Phase], L$3)</f>
        <v>0</v>
      </c>
      <c r="M11" s="9">
        <f>SUMIFS(Model[Point Estimate (CY14$)], Model[Estimate Type], "IC*", Model[Phase], M$3)</f>
        <v>0</v>
      </c>
      <c r="N11" s="9">
        <f>SUMIFS(Model[Point Estimate (CY14$)], Model[Estimate Type], "IC*", Model[Phase], N$3)</f>
        <v>0</v>
      </c>
      <c r="O11" s="9">
        <f>SUMIFS(Model[Point Estimate (CY14$)], Model[Estimate Type], "IC*", Model[Phase], O$3)</f>
        <v>0</v>
      </c>
      <c r="P11" s="9">
        <f>SUMIFS(Model[Point Estimate (CY14$)], Model[Estimate Type], "IC*", Model[Phase], P$3)</f>
        <v>0</v>
      </c>
      <c r="R11" s="11">
        <f t="shared" si="5"/>
        <v>0</v>
      </c>
      <c r="S11" s="8">
        <f t="shared" si="1"/>
        <v>0</v>
      </c>
      <c r="T11" s="9">
        <f>SUMIFS(Model[Mean Estimate (CY14$)], Model[Estimate Type], "IC*", Model[Phase], T$3)</f>
        <v>0</v>
      </c>
      <c r="U11" s="9">
        <f>SUMIFS(Model[Mean Estimate (CY14$)], Model[Estimate Type], "IC*", Model[Phase], U$3)</f>
        <v>0</v>
      </c>
      <c r="V11" s="9">
        <f>SUMIFS(Model[Mean Estimate (CY14$)], Model[Estimate Type], "IC*", Model[Phase], V$3)</f>
        <v>0</v>
      </c>
      <c r="W11" s="9">
        <f>SUMIFS(Model[Mean Estimate (CY14$)], Model[Estimate Type], "IC*", Model[Phase], W$3)</f>
        <v>0</v>
      </c>
      <c r="X11" s="9">
        <f>SUMIFS(Model[Mean Estimate (CY14$)], Model[Estimate Type], "IC*", Model[Phase], X$3)</f>
        <v>0</v>
      </c>
      <c r="Y11" s="9">
        <f>SUMIFS(Model[Mean Estimate (CY14$)], Model[Estimate Type], "IC*", Model[Phase], Y$3)</f>
        <v>0</v>
      </c>
      <c r="AA11" s="11">
        <f t="shared" si="6"/>
        <v>0</v>
      </c>
      <c r="AB11" s="8">
        <f t="shared" si="2"/>
        <v>0</v>
      </c>
      <c r="AC11" s="9">
        <f>SUMIFS(Model[Point Estimate (TY$)], Model[Estimate Type], "IC*", Model[Phase], AC$3)</f>
        <v>0</v>
      </c>
      <c r="AD11" s="9">
        <f>SUMIFS(Model[Point Estimate (TY$)], Model[Estimate Type], "IC*", Model[Phase], AD$3)</f>
        <v>0</v>
      </c>
      <c r="AE11" s="9">
        <f>SUMIFS(Model[Point Estimate (TY$)], Model[Estimate Type], "IC*", Model[Phase], AE$3)</f>
        <v>0</v>
      </c>
      <c r="AF11" s="9">
        <f>SUMIFS(Model[Point Estimate (TY$)], Model[Estimate Type], "IC*", Model[Phase], AF$3)</f>
        <v>0</v>
      </c>
      <c r="AG11" s="9">
        <f>SUMIFS(Model[Point Estimate (TY$)], Model[Estimate Type], "IC*", Model[Phase], AG$3)</f>
        <v>0</v>
      </c>
      <c r="AH11" s="9">
        <f>SUMIFS(Model[Point Estimate (TY$)], Model[Estimate Type], "IC*", Model[Phase], AH$3)</f>
        <v>0</v>
      </c>
      <c r="AJ11" s="11">
        <f t="shared" si="7"/>
        <v>0</v>
      </c>
      <c r="AK11" s="8">
        <f t="shared" si="3"/>
        <v>0</v>
      </c>
      <c r="AL11" s="9">
        <f>SUMIFS(Model[Mean Estimate (TY$)], Model[Estimate Type], "IC*", Model[Phase], AL$3)</f>
        <v>0</v>
      </c>
      <c r="AM11" s="9">
        <f>SUMIFS(Model[Mean Estimate (TY$)], Model[Estimate Type], "IC*", Model[Phase], AM$3)</f>
        <v>0</v>
      </c>
      <c r="AN11" s="9">
        <f>SUMIFS(Model[Mean Estimate (TY$)], Model[Estimate Type], "IC*", Model[Phase], AN$3)</f>
        <v>0</v>
      </c>
      <c r="AO11" s="9">
        <f>SUMIFS(Model[Mean Estimate (TY$)], Model[Estimate Type], "IC*", Model[Phase], AO$3)</f>
        <v>0</v>
      </c>
      <c r="AP11" s="9">
        <f>SUMIFS(Model[Mean Estimate (TY$)], Model[Estimate Type], "IC*", Model[Phase], AP$3)</f>
        <v>0</v>
      </c>
      <c r="AQ11" s="9">
        <f>SUMIFS(Model[Mean Estimate (TY$)], Model[Estimate Type], "IC*", Model[Phase], AQ$3)</f>
        <v>0</v>
      </c>
    </row>
    <row r="12" spans="1:43">
      <c r="A12" s="1"/>
      <c r="B12" s="6">
        <v>8</v>
      </c>
      <c r="C12" s="6"/>
      <c r="D12" s="6"/>
      <c r="E12" s="6"/>
      <c r="F12" s="10"/>
      <c r="G12" s="7"/>
      <c r="H12" s="6"/>
      <c r="I12" s="11">
        <f t="shared" si="4"/>
        <v>0</v>
      </c>
      <c r="J12" s="8">
        <f t="shared" si="0"/>
        <v>0</v>
      </c>
      <c r="K12" s="9">
        <f>SUMIFS(Model[Point Estimate (CY14$)], Model[Estimate Type], "IC*", Model[Phase], K$3)</f>
        <v>0</v>
      </c>
      <c r="L12" s="9">
        <f>SUMIFS(Model[Point Estimate (CY14$)], Model[Estimate Type], "IC*", Model[Phase], L$3)</f>
        <v>0</v>
      </c>
      <c r="M12" s="9">
        <f>SUMIFS(Model[Point Estimate (CY14$)], Model[Estimate Type], "IC*", Model[Phase], M$3)</f>
        <v>0</v>
      </c>
      <c r="N12" s="9">
        <f>SUMIFS(Model[Point Estimate (CY14$)], Model[Estimate Type], "IC*", Model[Phase], N$3)</f>
        <v>0</v>
      </c>
      <c r="O12" s="9">
        <f>SUMIFS(Model[Point Estimate (CY14$)], Model[Estimate Type], "IC*", Model[Phase], O$3)</f>
        <v>0</v>
      </c>
      <c r="P12" s="9">
        <f>SUMIFS(Model[Point Estimate (CY14$)], Model[Estimate Type], "IC*", Model[Phase], P$3)</f>
        <v>0</v>
      </c>
      <c r="R12" s="11">
        <f t="shared" si="5"/>
        <v>0</v>
      </c>
      <c r="S12" s="8">
        <f t="shared" si="1"/>
        <v>0</v>
      </c>
      <c r="T12" s="9">
        <f>SUMIFS(Model[Mean Estimate (CY14$)], Model[Estimate Type], "IC*", Model[Phase], T$3)</f>
        <v>0</v>
      </c>
      <c r="U12" s="9">
        <f>SUMIFS(Model[Mean Estimate (CY14$)], Model[Estimate Type], "IC*", Model[Phase], U$3)</f>
        <v>0</v>
      </c>
      <c r="V12" s="9">
        <f>SUMIFS(Model[Mean Estimate (CY14$)], Model[Estimate Type], "IC*", Model[Phase], V$3)</f>
        <v>0</v>
      </c>
      <c r="W12" s="9">
        <f>SUMIFS(Model[Mean Estimate (CY14$)], Model[Estimate Type], "IC*", Model[Phase], W$3)</f>
        <v>0</v>
      </c>
      <c r="X12" s="9">
        <f>SUMIFS(Model[Mean Estimate (CY14$)], Model[Estimate Type], "IC*", Model[Phase], X$3)</f>
        <v>0</v>
      </c>
      <c r="Y12" s="9">
        <f>SUMIFS(Model[Mean Estimate (CY14$)], Model[Estimate Type], "IC*", Model[Phase], Y$3)</f>
        <v>0</v>
      </c>
      <c r="AA12" s="11">
        <f t="shared" si="6"/>
        <v>0</v>
      </c>
      <c r="AB12" s="8">
        <f t="shared" si="2"/>
        <v>0</v>
      </c>
      <c r="AC12" s="9">
        <f>SUMIFS(Model[Point Estimate (TY$)], Model[Estimate Type], "IC*", Model[Phase], AC$3)</f>
        <v>0</v>
      </c>
      <c r="AD12" s="9">
        <f>SUMIFS(Model[Point Estimate (TY$)], Model[Estimate Type], "IC*", Model[Phase], AD$3)</f>
        <v>0</v>
      </c>
      <c r="AE12" s="9">
        <f>SUMIFS(Model[Point Estimate (TY$)], Model[Estimate Type], "IC*", Model[Phase], AE$3)</f>
        <v>0</v>
      </c>
      <c r="AF12" s="9">
        <f>SUMIFS(Model[Point Estimate (TY$)], Model[Estimate Type], "IC*", Model[Phase], AF$3)</f>
        <v>0</v>
      </c>
      <c r="AG12" s="9">
        <f>SUMIFS(Model[Point Estimate (TY$)], Model[Estimate Type], "IC*", Model[Phase], AG$3)</f>
        <v>0</v>
      </c>
      <c r="AH12" s="9">
        <f>SUMIFS(Model[Point Estimate (TY$)], Model[Estimate Type], "IC*", Model[Phase], AH$3)</f>
        <v>0</v>
      </c>
      <c r="AJ12" s="11">
        <f t="shared" si="7"/>
        <v>0</v>
      </c>
      <c r="AK12" s="8">
        <f t="shared" si="3"/>
        <v>0</v>
      </c>
      <c r="AL12" s="9">
        <f>SUMIFS(Model[Mean Estimate (TY$)], Model[Estimate Type], "IC*", Model[Phase], AL$3)</f>
        <v>0</v>
      </c>
      <c r="AM12" s="9">
        <f>SUMIFS(Model[Mean Estimate (TY$)], Model[Estimate Type], "IC*", Model[Phase], AM$3)</f>
        <v>0</v>
      </c>
      <c r="AN12" s="9">
        <f>SUMIFS(Model[Mean Estimate (TY$)], Model[Estimate Type], "IC*", Model[Phase], AN$3)</f>
        <v>0</v>
      </c>
      <c r="AO12" s="9">
        <f>SUMIFS(Model[Mean Estimate (TY$)], Model[Estimate Type], "IC*", Model[Phase], AO$3)</f>
        <v>0</v>
      </c>
      <c r="AP12" s="9">
        <f>SUMIFS(Model[Mean Estimate (TY$)], Model[Estimate Type], "IC*", Model[Phase], AP$3)</f>
        <v>0</v>
      </c>
      <c r="AQ12" s="9">
        <f>SUMIFS(Model[Mean Estimate (TY$)], Model[Estimate Type], "IC*", Model[Phase], AQ$3)</f>
        <v>0</v>
      </c>
    </row>
    <row r="13" spans="1:43">
      <c r="A13" s="1"/>
      <c r="B13" s="6">
        <v>9</v>
      </c>
      <c r="C13" s="6"/>
      <c r="D13" s="6"/>
      <c r="E13" s="6"/>
      <c r="F13" s="10"/>
      <c r="G13" s="7"/>
      <c r="H13" s="6"/>
      <c r="I13" s="11">
        <f t="shared" si="4"/>
        <v>0</v>
      </c>
      <c r="J13" s="8">
        <f t="shared" si="0"/>
        <v>0</v>
      </c>
      <c r="K13" s="9">
        <f>SUMIFS(Model[Point Estimate (CY14$)], Model[Estimate Type], "IC*", Model[Phase], K$3)</f>
        <v>0</v>
      </c>
      <c r="L13" s="9">
        <f>SUMIFS(Model[Point Estimate (CY14$)], Model[Estimate Type], "IC*", Model[Phase], L$3)</f>
        <v>0</v>
      </c>
      <c r="M13" s="9">
        <f>SUMIFS(Model[Point Estimate (CY14$)], Model[Estimate Type], "IC*", Model[Phase], M$3)</f>
        <v>0</v>
      </c>
      <c r="N13" s="9">
        <f>SUMIFS(Model[Point Estimate (CY14$)], Model[Estimate Type], "IC*", Model[Phase], N$3)</f>
        <v>0</v>
      </c>
      <c r="O13" s="9">
        <f>SUMIFS(Model[Point Estimate (CY14$)], Model[Estimate Type], "IC*", Model[Phase], O$3)</f>
        <v>0</v>
      </c>
      <c r="P13" s="9">
        <f>SUMIFS(Model[Point Estimate (CY14$)], Model[Estimate Type], "IC*", Model[Phase], P$3)</f>
        <v>0</v>
      </c>
      <c r="R13" s="11">
        <f t="shared" si="5"/>
        <v>0</v>
      </c>
      <c r="S13" s="8">
        <f t="shared" si="1"/>
        <v>0</v>
      </c>
      <c r="T13" s="9">
        <f>SUMIFS(Model[Mean Estimate (CY14$)], Model[Estimate Type], "IC*", Model[Phase], T$3)</f>
        <v>0</v>
      </c>
      <c r="U13" s="9">
        <f>SUMIFS(Model[Mean Estimate (CY14$)], Model[Estimate Type], "IC*", Model[Phase], U$3)</f>
        <v>0</v>
      </c>
      <c r="V13" s="9">
        <f>SUMIFS(Model[Mean Estimate (CY14$)], Model[Estimate Type], "IC*", Model[Phase], V$3)</f>
        <v>0</v>
      </c>
      <c r="W13" s="9">
        <f>SUMIFS(Model[Mean Estimate (CY14$)], Model[Estimate Type], "IC*", Model[Phase], W$3)</f>
        <v>0</v>
      </c>
      <c r="X13" s="9">
        <f>SUMIFS(Model[Mean Estimate (CY14$)], Model[Estimate Type], "IC*", Model[Phase], X$3)</f>
        <v>0</v>
      </c>
      <c r="Y13" s="9">
        <f>SUMIFS(Model[Mean Estimate (CY14$)], Model[Estimate Type], "IC*", Model[Phase], Y$3)</f>
        <v>0</v>
      </c>
      <c r="AA13" s="11">
        <f t="shared" si="6"/>
        <v>0</v>
      </c>
      <c r="AB13" s="8">
        <f t="shared" si="2"/>
        <v>0</v>
      </c>
      <c r="AC13" s="9">
        <f>SUMIFS(Model[Point Estimate (TY$)], Model[Estimate Type], "IC*", Model[Phase], AC$3)</f>
        <v>0</v>
      </c>
      <c r="AD13" s="9">
        <f>SUMIFS(Model[Point Estimate (TY$)], Model[Estimate Type], "IC*", Model[Phase], AD$3)</f>
        <v>0</v>
      </c>
      <c r="AE13" s="9">
        <f>SUMIFS(Model[Point Estimate (TY$)], Model[Estimate Type], "IC*", Model[Phase], AE$3)</f>
        <v>0</v>
      </c>
      <c r="AF13" s="9">
        <f>SUMIFS(Model[Point Estimate (TY$)], Model[Estimate Type], "IC*", Model[Phase], AF$3)</f>
        <v>0</v>
      </c>
      <c r="AG13" s="9">
        <f>SUMIFS(Model[Point Estimate (TY$)], Model[Estimate Type], "IC*", Model[Phase], AG$3)</f>
        <v>0</v>
      </c>
      <c r="AH13" s="9">
        <f>SUMIFS(Model[Point Estimate (TY$)], Model[Estimate Type], "IC*", Model[Phase], AH$3)</f>
        <v>0</v>
      </c>
      <c r="AJ13" s="11">
        <f t="shared" si="7"/>
        <v>0</v>
      </c>
      <c r="AK13" s="8">
        <f t="shared" si="3"/>
        <v>0</v>
      </c>
      <c r="AL13" s="9">
        <f>SUMIFS(Model[Mean Estimate (TY$)], Model[Estimate Type], "IC*", Model[Phase], AL$3)</f>
        <v>0</v>
      </c>
      <c r="AM13" s="9">
        <f>SUMIFS(Model[Mean Estimate (TY$)], Model[Estimate Type], "IC*", Model[Phase], AM$3)</f>
        <v>0</v>
      </c>
      <c r="AN13" s="9">
        <f>SUMIFS(Model[Mean Estimate (TY$)], Model[Estimate Type], "IC*", Model[Phase], AN$3)</f>
        <v>0</v>
      </c>
      <c r="AO13" s="9">
        <f>SUMIFS(Model[Mean Estimate (TY$)], Model[Estimate Type], "IC*", Model[Phase], AO$3)</f>
        <v>0</v>
      </c>
      <c r="AP13" s="9">
        <f>SUMIFS(Model[Mean Estimate (TY$)], Model[Estimate Type], "IC*", Model[Phase], AP$3)</f>
        <v>0</v>
      </c>
      <c r="AQ13" s="9">
        <f>SUMIFS(Model[Mean Estimate (TY$)], Model[Estimate Type], "IC*", Model[Phase], AQ$3)</f>
        <v>0</v>
      </c>
    </row>
    <row r="14" spans="1:43">
      <c r="A14" s="1"/>
      <c r="B14" s="6">
        <v>10</v>
      </c>
      <c r="C14" s="6"/>
      <c r="D14" s="6"/>
      <c r="E14" s="6"/>
      <c r="F14" s="10"/>
      <c r="G14" s="7"/>
      <c r="H14" s="6"/>
      <c r="I14" s="11">
        <f t="shared" si="4"/>
        <v>0</v>
      </c>
      <c r="J14" s="8">
        <f t="shared" si="0"/>
        <v>0</v>
      </c>
      <c r="K14" s="9">
        <f>SUMIFS(Model[Point Estimate (CY14$)], Model[Estimate Type], "IC*", Model[Phase], K$3)</f>
        <v>0</v>
      </c>
      <c r="L14" s="9">
        <f>SUMIFS(Model[Point Estimate (CY14$)], Model[Estimate Type], "IC*", Model[Phase], L$3)</f>
        <v>0</v>
      </c>
      <c r="M14" s="9">
        <f>SUMIFS(Model[Point Estimate (CY14$)], Model[Estimate Type], "IC*", Model[Phase], M$3)</f>
        <v>0</v>
      </c>
      <c r="N14" s="9">
        <f>SUMIFS(Model[Point Estimate (CY14$)], Model[Estimate Type], "IC*", Model[Phase], N$3)</f>
        <v>0</v>
      </c>
      <c r="O14" s="9">
        <f>SUMIFS(Model[Point Estimate (CY14$)], Model[Estimate Type], "IC*", Model[Phase], O$3)</f>
        <v>0</v>
      </c>
      <c r="P14" s="9">
        <f>SUMIFS(Model[Point Estimate (CY14$)], Model[Estimate Type], "IC*", Model[Phase], P$3)</f>
        <v>0</v>
      </c>
      <c r="R14" s="11">
        <f t="shared" si="5"/>
        <v>0</v>
      </c>
      <c r="S14" s="8">
        <f t="shared" si="1"/>
        <v>0</v>
      </c>
      <c r="T14" s="9">
        <f>SUMIFS(Model[Mean Estimate (CY14$)], Model[Estimate Type], "IC*", Model[Phase], T$3)</f>
        <v>0</v>
      </c>
      <c r="U14" s="9">
        <f>SUMIFS(Model[Mean Estimate (CY14$)], Model[Estimate Type], "IC*", Model[Phase], U$3)</f>
        <v>0</v>
      </c>
      <c r="V14" s="9">
        <f>SUMIFS(Model[Mean Estimate (CY14$)], Model[Estimate Type], "IC*", Model[Phase], V$3)</f>
        <v>0</v>
      </c>
      <c r="W14" s="9">
        <f>SUMIFS(Model[Mean Estimate (CY14$)], Model[Estimate Type], "IC*", Model[Phase], W$3)</f>
        <v>0</v>
      </c>
      <c r="X14" s="9">
        <f>SUMIFS(Model[Mean Estimate (CY14$)], Model[Estimate Type], "IC*", Model[Phase], X$3)</f>
        <v>0</v>
      </c>
      <c r="Y14" s="9">
        <f>SUMIFS(Model[Mean Estimate (CY14$)], Model[Estimate Type], "IC*", Model[Phase], Y$3)</f>
        <v>0</v>
      </c>
      <c r="AA14" s="11">
        <f t="shared" si="6"/>
        <v>0</v>
      </c>
      <c r="AB14" s="8">
        <f t="shared" si="2"/>
        <v>0</v>
      </c>
      <c r="AC14" s="9">
        <f>SUMIFS(Model[Point Estimate (TY$)], Model[Estimate Type], "IC*", Model[Phase], AC$3)</f>
        <v>0</v>
      </c>
      <c r="AD14" s="9">
        <f>SUMIFS(Model[Point Estimate (TY$)], Model[Estimate Type], "IC*", Model[Phase], AD$3)</f>
        <v>0</v>
      </c>
      <c r="AE14" s="9">
        <f>SUMIFS(Model[Point Estimate (TY$)], Model[Estimate Type], "IC*", Model[Phase], AE$3)</f>
        <v>0</v>
      </c>
      <c r="AF14" s="9">
        <f>SUMIFS(Model[Point Estimate (TY$)], Model[Estimate Type], "IC*", Model[Phase], AF$3)</f>
        <v>0</v>
      </c>
      <c r="AG14" s="9">
        <f>SUMIFS(Model[Point Estimate (TY$)], Model[Estimate Type], "IC*", Model[Phase], AG$3)</f>
        <v>0</v>
      </c>
      <c r="AH14" s="9">
        <f>SUMIFS(Model[Point Estimate (TY$)], Model[Estimate Type], "IC*", Model[Phase], AH$3)</f>
        <v>0</v>
      </c>
      <c r="AJ14" s="11">
        <f t="shared" si="7"/>
        <v>0</v>
      </c>
      <c r="AK14" s="8">
        <f t="shared" si="3"/>
        <v>0</v>
      </c>
      <c r="AL14" s="9">
        <f>SUMIFS(Model[Mean Estimate (TY$)], Model[Estimate Type], "IC*", Model[Phase], AL$3)</f>
        <v>0</v>
      </c>
      <c r="AM14" s="9">
        <f>SUMIFS(Model[Mean Estimate (TY$)], Model[Estimate Type], "IC*", Model[Phase], AM$3)</f>
        <v>0</v>
      </c>
      <c r="AN14" s="9">
        <f>SUMIFS(Model[Mean Estimate (TY$)], Model[Estimate Type], "IC*", Model[Phase], AN$3)</f>
        <v>0</v>
      </c>
      <c r="AO14" s="9">
        <f>SUMIFS(Model[Mean Estimate (TY$)], Model[Estimate Type], "IC*", Model[Phase], AO$3)</f>
        <v>0</v>
      </c>
      <c r="AP14" s="9">
        <f>SUMIFS(Model[Mean Estimate (TY$)], Model[Estimate Type], "IC*", Model[Phase], AP$3)</f>
        <v>0</v>
      </c>
      <c r="AQ14" s="9">
        <f>SUMIFS(Model[Mean Estimate (TY$)], Model[Estimate Type], "IC*", Model[Phase], AQ$3)</f>
        <v>0</v>
      </c>
    </row>
    <row r="15" spans="1:43">
      <c r="A15" s="1"/>
      <c r="B15" s="6">
        <v>11</v>
      </c>
      <c r="C15" s="6"/>
      <c r="D15" s="6"/>
      <c r="E15" s="6"/>
      <c r="F15" s="10"/>
      <c r="G15" s="7"/>
      <c r="H15" s="6"/>
      <c r="I15" s="11">
        <f t="shared" si="4"/>
        <v>0</v>
      </c>
      <c r="J15" s="8">
        <f t="shared" si="0"/>
        <v>0</v>
      </c>
      <c r="K15" s="9">
        <f>SUMIFS(Model[Point Estimate (CY14$)], Model[Estimate Type], "IC*", Model[Phase], K$3)</f>
        <v>0</v>
      </c>
      <c r="L15" s="9">
        <f>SUMIFS(Model[Point Estimate (CY14$)], Model[Estimate Type], "IC*", Model[Phase], L$3)</f>
        <v>0</v>
      </c>
      <c r="M15" s="9">
        <f>SUMIFS(Model[Point Estimate (CY14$)], Model[Estimate Type], "IC*", Model[Phase], M$3)</f>
        <v>0</v>
      </c>
      <c r="N15" s="9">
        <f>SUMIFS(Model[Point Estimate (CY14$)], Model[Estimate Type], "IC*", Model[Phase], N$3)</f>
        <v>0</v>
      </c>
      <c r="O15" s="9">
        <f>SUMIFS(Model[Point Estimate (CY14$)], Model[Estimate Type], "IC*", Model[Phase], O$3)</f>
        <v>0</v>
      </c>
      <c r="P15" s="9">
        <f>SUMIFS(Model[Point Estimate (CY14$)], Model[Estimate Type], "IC*", Model[Phase], P$3)</f>
        <v>0</v>
      </c>
      <c r="R15" s="11">
        <f t="shared" si="5"/>
        <v>0</v>
      </c>
      <c r="S15" s="8">
        <f t="shared" si="1"/>
        <v>0</v>
      </c>
      <c r="T15" s="9">
        <f>SUMIFS(Model[Mean Estimate (CY14$)], Model[Estimate Type], "IC*", Model[Phase], T$3)</f>
        <v>0</v>
      </c>
      <c r="U15" s="9">
        <f>SUMIFS(Model[Mean Estimate (CY14$)], Model[Estimate Type], "IC*", Model[Phase], U$3)</f>
        <v>0</v>
      </c>
      <c r="V15" s="9">
        <f>SUMIFS(Model[Mean Estimate (CY14$)], Model[Estimate Type], "IC*", Model[Phase], V$3)</f>
        <v>0</v>
      </c>
      <c r="W15" s="9">
        <f>SUMIFS(Model[Mean Estimate (CY14$)], Model[Estimate Type], "IC*", Model[Phase], W$3)</f>
        <v>0</v>
      </c>
      <c r="X15" s="9">
        <f>SUMIFS(Model[Mean Estimate (CY14$)], Model[Estimate Type], "IC*", Model[Phase], X$3)</f>
        <v>0</v>
      </c>
      <c r="Y15" s="9">
        <f>SUMIFS(Model[Mean Estimate (CY14$)], Model[Estimate Type], "IC*", Model[Phase], Y$3)</f>
        <v>0</v>
      </c>
      <c r="AA15" s="11">
        <f t="shared" si="6"/>
        <v>0</v>
      </c>
      <c r="AB15" s="8">
        <f t="shared" si="2"/>
        <v>0</v>
      </c>
      <c r="AC15" s="9">
        <f>SUMIFS(Model[Point Estimate (TY$)], Model[Estimate Type], "IC*", Model[Phase], AC$3)</f>
        <v>0</v>
      </c>
      <c r="AD15" s="9">
        <f>SUMIFS(Model[Point Estimate (TY$)], Model[Estimate Type], "IC*", Model[Phase], AD$3)</f>
        <v>0</v>
      </c>
      <c r="AE15" s="9">
        <f>SUMIFS(Model[Point Estimate (TY$)], Model[Estimate Type], "IC*", Model[Phase], AE$3)</f>
        <v>0</v>
      </c>
      <c r="AF15" s="9">
        <f>SUMIFS(Model[Point Estimate (TY$)], Model[Estimate Type], "IC*", Model[Phase], AF$3)</f>
        <v>0</v>
      </c>
      <c r="AG15" s="9">
        <f>SUMIFS(Model[Point Estimate (TY$)], Model[Estimate Type], "IC*", Model[Phase], AG$3)</f>
        <v>0</v>
      </c>
      <c r="AH15" s="9">
        <f>SUMIFS(Model[Point Estimate (TY$)], Model[Estimate Type], "IC*", Model[Phase], AH$3)</f>
        <v>0</v>
      </c>
      <c r="AJ15" s="11">
        <f t="shared" si="7"/>
        <v>0</v>
      </c>
      <c r="AK15" s="8">
        <f t="shared" si="3"/>
        <v>0</v>
      </c>
      <c r="AL15" s="9">
        <f>SUMIFS(Model[Mean Estimate (TY$)], Model[Estimate Type], "IC*", Model[Phase], AL$3)</f>
        <v>0</v>
      </c>
      <c r="AM15" s="9">
        <f>SUMIFS(Model[Mean Estimate (TY$)], Model[Estimate Type], "IC*", Model[Phase], AM$3)</f>
        <v>0</v>
      </c>
      <c r="AN15" s="9">
        <f>SUMIFS(Model[Mean Estimate (TY$)], Model[Estimate Type], "IC*", Model[Phase], AN$3)</f>
        <v>0</v>
      </c>
      <c r="AO15" s="9">
        <f>SUMIFS(Model[Mean Estimate (TY$)], Model[Estimate Type], "IC*", Model[Phase], AO$3)</f>
        <v>0</v>
      </c>
      <c r="AP15" s="9">
        <f>SUMIFS(Model[Mean Estimate (TY$)], Model[Estimate Type], "IC*", Model[Phase], AP$3)</f>
        <v>0</v>
      </c>
      <c r="AQ15" s="9">
        <f>SUMIFS(Model[Mean Estimate (TY$)], Model[Estimate Type], "IC*", Model[Phase], AQ$3)</f>
        <v>0</v>
      </c>
    </row>
    <row r="16" spans="1:43">
      <c r="A16" s="1"/>
      <c r="B16" s="6">
        <v>12</v>
      </c>
      <c r="C16" s="6"/>
      <c r="D16" s="6"/>
      <c r="E16" s="6"/>
      <c r="F16" s="10"/>
      <c r="G16" s="7"/>
      <c r="H16" s="6"/>
      <c r="I16" s="11">
        <f t="shared" si="4"/>
        <v>0</v>
      </c>
      <c r="J16" s="8">
        <f t="shared" si="0"/>
        <v>0</v>
      </c>
      <c r="K16" s="9">
        <f>SUMIFS(Model[Point Estimate (CY14$)], Model[Estimate Type], "IC*", Model[Phase], K$3)</f>
        <v>0</v>
      </c>
      <c r="L16" s="9">
        <f>SUMIFS(Model[Point Estimate (CY14$)], Model[Estimate Type], "IC*", Model[Phase], L$3)</f>
        <v>0</v>
      </c>
      <c r="M16" s="9">
        <f>SUMIFS(Model[Point Estimate (CY14$)], Model[Estimate Type], "IC*", Model[Phase], M$3)</f>
        <v>0</v>
      </c>
      <c r="N16" s="9">
        <f>SUMIFS(Model[Point Estimate (CY14$)], Model[Estimate Type], "IC*", Model[Phase], N$3)</f>
        <v>0</v>
      </c>
      <c r="O16" s="9">
        <f>SUMIFS(Model[Point Estimate (CY14$)], Model[Estimate Type], "IC*", Model[Phase], O$3)</f>
        <v>0</v>
      </c>
      <c r="P16" s="9">
        <f>SUMIFS(Model[Point Estimate (CY14$)], Model[Estimate Type], "IC*", Model[Phase], P$3)</f>
        <v>0</v>
      </c>
      <c r="R16" s="11">
        <f t="shared" si="5"/>
        <v>0</v>
      </c>
      <c r="S16" s="8">
        <f t="shared" si="1"/>
        <v>0</v>
      </c>
      <c r="T16" s="9">
        <f>SUMIFS(Model[Mean Estimate (CY14$)], Model[Estimate Type], "IC*", Model[Phase], T$3)</f>
        <v>0</v>
      </c>
      <c r="U16" s="9">
        <f>SUMIFS(Model[Mean Estimate (CY14$)], Model[Estimate Type], "IC*", Model[Phase], U$3)</f>
        <v>0</v>
      </c>
      <c r="V16" s="9">
        <f>SUMIFS(Model[Mean Estimate (CY14$)], Model[Estimate Type], "IC*", Model[Phase], V$3)</f>
        <v>0</v>
      </c>
      <c r="W16" s="9">
        <f>SUMIFS(Model[Mean Estimate (CY14$)], Model[Estimate Type], "IC*", Model[Phase], W$3)</f>
        <v>0</v>
      </c>
      <c r="X16" s="9">
        <f>SUMIFS(Model[Mean Estimate (CY14$)], Model[Estimate Type], "IC*", Model[Phase], X$3)</f>
        <v>0</v>
      </c>
      <c r="Y16" s="9">
        <f>SUMIFS(Model[Mean Estimate (CY14$)], Model[Estimate Type], "IC*", Model[Phase], Y$3)</f>
        <v>0</v>
      </c>
      <c r="AA16" s="11">
        <f t="shared" si="6"/>
        <v>0</v>
      </c>
      <c r="AB16" s="8">
        <f t="shared" si="2"/>
        <v>0</v>
      </c>
      <c r="AC16" s="9">
        <f>SUMIFS(Model[Point Estimate (TY$)], Model[Estimate Type], "IC*", Model[Phase], AC$3)</f>
        <v>0</v>
      </c>
      <c r="AD16" s="9">
        <f>SUMIFS(Model[Point Estimate (TY$)], Model[Estimate Type], "IC*", Model[Phase], AD$3)</f>
        <v>0</v>
      </c>
      <c r="AE16" s="9">
        <f>SUMIFS(Model[Point Estimate (TY$)], Model[Estimate Type], "IC*", Model[Phase], AE$3)</f>
        <v>0</v>
      </c>
      <c r="AF16" s="9">
        <f>SUMIFS(Model[Point Estimate (TY$)], Model[Estimate Type], "IC*", Model[Phase], AF$3)</f>
        <v>0</v>
      </c>
      <c r="AG16" s="9">
        <f>SUMIFS(Model[Point Estimate (TY$)], Model[Estimate Type], "IC*", Model[Phase], AG$3)</f>
        <v>0</v>
      </c>
      <c r="AH16" s="9">
        <f>SUMIFS(Model[Point Estimate (TY$)], Model[Estimate Type], "IC*", Model[Phase], AH$3)</f>
        <v>0</v>
      </c>
      <c r="AJ16" s="11">
        <f t="shared" si="7"/>
        <v>0</v>
      </c>
      <c r="AK16" s="8">
        <f t="shared" si="3"/>
        <v>0</v>
      </c>
      <c r="AL16" s="9">
        <f>SUMIFS(Model[Mean Estimate (TY$)], Model[Estimate Type], "IC*", Model[Phase], AL$3)</f>
        <v>0</v>
      </c>
      <c r="AM16" s="9">
        <f>SUMIFS(Model[Mean Estimate (TY$)], Model[Estimate Type], "IC*", Model[Phase], AM$3)</f>
        <v>0</v>
      </c>
      <c r="AN16" s="9">
        <f>SUMIFS(Model[Mean Estimate (TY$)], Model[Estimate Type], "IC*", Model[Phase], AN$3)</f>
        <v>0</v>
      </c>
      <c r="AO16" s="9">
        <f>SUMIFS(Model[Mean Estimate (TY$)], Model[Estimate Type], "IC*", Model[Phase], AO$3)</f>
        <v>0</v>
      </c>
      <c r="AP16" s="9">
        <f>SUMIFS(Model[Mean Estimate (TY$)], Model[Estimate Type], "IC*", Model[Phase], AP$3)</f>
        <v>0</v>
      </c>
      <c r="AQ16" s="9">
        <f>SUMIFS(Model[Mean Estimate (TY$)], Model[Estimate Type], "IC*", Model[Phase], AQ$3)</f>
        <v>0</v>
      </c>
    </row>
    <row r="17" spans="1:43">
      <c r="A17" s="1"/>
      <c r="B17" s="6">
        <v>13</v>
      </c>
      <c r="C17" s="6"/>
      <c r="D17" s="6"/>
      <c r="E17" s="6"/>
      <c r="F17" s="10"/>
      <c r="G17" s="7"/>
      <c r="H17" s="6"/>
      <c r="I17" s="11">
        <f t="shared" si="4"/>
        <v>0</v>
      </c>
      <c r="J17" s="8">
        <f t="shared" si="0"/>
        <v>0</v>
      </c>
      <c r="K17" s="9">
        <f>SUMIFS(Model[Point Estimate (CY14$)], Model[Estimate Type], "IC*", Model[Phase], K$3)</f>
        <v>0</v>
      </c>
      <c r="L17" s="9">
        <f>SUMIFS(Model[Point Estimate (CY14$)], Model[Estimate Type], "IC*", Model[Phase], L$3)</f>
        <v>0</v>
      </c>
      <c r="M17" s="9">
        <f>SUMIFS(Model[Point Estimate (CY14$)], Model[Estimate Type], "IC*", Model[Phase], M$3)</f>
        <v>0</v>
      </c>
      <c r="N17" s="9">
        <f>SUMIFS(Model[Point Estimate (CY14$)], Model[Estimate Type], "IC*", Model[Phase], N$3)</f>
        <v>0</v>
      </c>
      <c r="O17" s="9">
        <f>SUMIFS(Model[Point Estimate (CY14$)], Model[Estimate Type], "IC*", Model[Phase], O$3)</f>
        <v>0</v>
      </c>
      <c r="P17" s="9">
        <f>SUMIFS(Model[Point Estimate (CY14$)], Model[Estimate Type], "IC*", Model[Phase], P$3)</f>
        <v>0</v>
      </c>
      <c r="R17" s="11">
        <f t="shared" si="5"/>
        <v>0</v>
      </c>
      <c r="S17" s="8">
        <f t="shared" si="1"/>
        <v>0</v>
      </c>
      <c r="T17" s="9">
        <f>SUMIFS(Model[Mean Estimate (CY14$)], Model[Estimate Type], "IC*", Model[Phase], T$3)</f>
        <v>0</v>
      </c>
      <c r="U17" s="9">
        <f>SUMIFS(Model[Mean Estimate (CY14$)], Model[Estimate Type], "IC*", Model[Phase], U$3)</f>
        <v>0</v>
      </c>
      <c r="V17" s="9">
        <f>SUMIFS(Model[Mean Estimate (CY14$)], Model[Estimate Type], "IC*", Model[Phase], V$3)</f>
        <v>0</v>
      </c>
      <c r="W17" s="9">
        <f>SUMIFS(Model[Mean Estimate (CY14$)], Model[Estimate Type], "IC*", Model[Phase], W$3)</f>
        <v>0</v>
      </c>
      <c r="X17" s="9">
        <f>SUMIFS(Model[Mean Estimate (CY14$)], Model[Estimate Type], "IC*", Model[Phase], X$3)</f>
        <v>0</v>
      </c>
      <c r="Y17" s="9">
        <f>SUMIFS(Model[Mean Estimate (CY14$)], Model[Estimate Type], "IC*", Model[Phase], Y$3)</f>
        <v>0</v>
      </c>
      <c r="AA17" s="11">
        <f t="shared" si="6"/>
        <v>0</v>
      </c>
      <c r="AB17" s="8">
        <f t="shared" si="2"/>
        <v>0</v>
      </c>
      <c r="AC17" s="9">
        <f>SUMIFS(Model[Point Estimate (TY$)], Model[Estimate Type], "IC*", Model[Phase], AC$3)</f>
        <v>0</v>
      </c>
      <c r="AD17" s="9">
        <f>SUMIFS(Model[Point Estimate (TY$)], Model[Estimate Type], "IC*", Model[Phase], AD$3)</f>
        <v>0</v>
      </c>
      <c r="AE17" s="9">
        <f>SUMIFS(Model[Point Estimate (TY$)], Model[Estimate Type], "IC*", Model[Phase], AE$3)</f>
        <v>0</v>
      </c>
      <c r="AF17" s="9">
        <f>SUMIFS(Model[Point Estimate (TY$)], Model[Estimate Type], "IC*", Model[Phase], AF$3)</f>
        <v>0</v>
      </c>
      <c r="AG17" s="9">
        <f>SUMIFS(Model[Point Estimate (TY$)], Model[Estimate Type], "IC*", Model[Phase], AG$3)</f>
        <v>0</v>
      </c>
      <c r="AH17" s="9">
        <f>SUMIFS(Model[Point Estimate (TY$)], Model[Estimate Type], "IC*", Model[Phase], AH$3)</f>
        <v>0</v>
      </c>
      <c r="AJ17" s="11">
        <f t="shared" si="7"/>
        <v>0</v>
      </c>
      <c r="AK17" s="8">
        <f t="shared" si="3"/>
        <v>0</v>
      </c>
      <c r="AL17" s="9">
        <f>SUMIFS(Model[Mean Estimate (TY$)], Model[Estimate Type], "IC*", Model[Phase], AL$3)</f>
        <v>0</v>
      </c>
      <c r="AM17" s="9">
        <f>SUMIFS(Model[Mean Estimate (TY$)], Model[Estimate Type], "IC*", Model[Phase], AM$3)</f>
        <v>0</v>
      </c>
      <c r="AN17" s="9">
        <f>SUMIFS(Model[Mean Estimate (TY$)], Model[Estimate Type], "IC*", Model[Phase], AN$3)</f>
        <v>0</v>
      </c>
      <c r="AO17" s="9">
        <f>SUMIFS(Model[Mean Estimate (TY$)], Model[Estimate Type], "IC*", Model[Phase], AO$3)</f>
        <v>0</v>
      </c>
      <c r="AP17" s="9">
        <f>SUMIFS(Model[Mean Estimate (TY$)], Model[Estimate Type], "IC*", Model[Phase], AP$3)</f>
        <v>0</v>
      </c>
      <c r="AQ17" s="9">
        <f>SUMIFS(Model[Mean Estimate (TY$)], Model[Estimate Type], "IC*", Model[Phase], AQ$3)</f>
        <v>0</v>
      </c>
    </row>
    <row r="18" spans="1:43">
      <c r="A18" s="1"/>
      <c r="B18" s="6">
        <v>14</v>
      </c>
      <c r="C18" s="6"/>
      <c r="D18" s="6"/>
      <c r="E18" s="6"/>
      <c r="F18" s="10"/>
      <c r="G18" s="7"/>
      <c r="H18" s="6"/>
      <c r="I18" s="11">
        <f t="shared" si="4"/>
        <v>0</v>
      </c>
      <c r="J18" s="8">
        <f t="shared" si="0"/>
        <v>0</v>
      </c>
      <c r="K18" s="9">
        <f>SUMIFS(Model[Point Estimate (CY14$)], Model[Estimate Type], "IC*", Model[Phase], K$3)</f>
        <v>0</v>
      </c>
      <c r="L18" s="9">
        <f>SUMIFS(Model[Point Estimate (CY14$)], Model[Estimate Type], "IC*", Model[Phase], L$3)</f>
        <v>0</v>
      </c>
      <c r="M18" s="9">
        <f>SUMIFS(Model[Point Estimate (CY14$)], Model[Estimate Type], "IC*", Model[Phase], M$3)</f>
        <v>0</v>
      </c>
      <c r="N18" s="9">
        <f>SUMIFS(Model[Point Estimate (CY14$)], Model[Estimate Type], "IC*", Model[Phase], N$3)</f>
        <v>0</v>
      </c>
      <c r="O18" s="9">
        <f>SUMIFS(Model[Point Estimate (CY14$)], Model[Estimate Type], "IC*", Model[Phase], O$3)</f>
        <v>0</v>
      </c>
      <c r="P18" s="9">
        <f>SUMIFS(Model[Point Estimate (CY14$)], Model[Estimate Type], "IC*", Model[Phase], P$3)</f>
        <v>0</v>
      </c>
      <c r="R18" s="11">
        <f t="shared" si="5"/>
        <v>0</v>
      </c>
      <c r="S18" s="8">
        <f t="shared" si="1"/>
        <v>0</v>
      </c>
      <c r="T18" s="9">
        <f>SUMIFS(Model[Mean Estimate (CY14$)], Model[Estimate Type], "IC*", Model[Phase], T$3)</f>
        <v>0</v>
      </c>
      <c r="U18" s="9">
        <f>SUMIFS(Model[Mean Estimate (CY14$)], Model[Estimate Type], "IC*", Model[Phase], U$3)</f>
        <v>0</v>
      </c>
      <c r="V18" s="9">
        <f>SUMIFS(Model[Mean Estimate (CY14$)], Model[Estimate Type], "IC*", Model[Phase], V$3)</f>
        <v>0</v>
      </c>
      <c r="W18" s="9">
        <f>SUMIFS(Model[Mean Estimate (CY14$)], Model[Estimate Type], "IC*", Model[Phase], W$3)</f>
        <v>0</v>
      </c>
      <c r="X18" s="9">
        <f>SUMIFS(Model[Mean Estimate (CY14$)], Model[Estimate Type], "IC*", Model[Phase], X$3)</f>
        <v>0</v>
      </c>
      <c r="Y18" s="9">
        <f>SUMIFS(Model[Mean Estimate (CY14$)], Model[Estimate Type], "IC*", Model[Phase], Y$3)</f>
        <v>0</v>
      </c>
      <c r="AA18" s="11">
        <f t="shared" si="6"/>
        <v>0</v>
      </c>
      <c r="AB18" s="8">
        <f t="shared" si="2"/>
        <v>0</v>
      </c>
      <c r="AC18" s="9">
        <f>SUMIFS(Model[Point Estimate (TY$)], Model[Estimate Type], "IC*", Model[Phase], AC$3)</f>
        <v>0</v>
      </c>
      <c r="AD18" s="9">
        <f>SUMIFS(Model[Point Estimate (TY$)], Model[Estimate Type], "IC*", Model[Phase], AD$3)</f>
        <v>0</v>
      </c>
      <c r="AE18" s="9">
        <f>SUMIFS(Model[Point Estimate (TY$)], Model[Estimate Type], "IC*", Model[Phase], AE$3)</f>
        <v>0</v>
      </c>
      <c r="AF18" s="9">
        <f>SUMIFS(Model[Point Estimate (TY$)], Model[Estimate Type], "IC*", Model[Phase], AF$3)</f>
        <v>0</v>
      </c>
      <c r="AG18" s="9">
        <f>SUMIFS(Model[Point Estimate (TY$)], Model[Estimate Type], "IC*", Model[Phase], AG$3)</f>
        <v>0</v>
      </c>
      <c r="AH18" s="9">
        <f>SUMIFS(Model[Point Estimate (TY$)], Model[Estimate Type], "IC*", Model[Phase], AH$3)</f>
        <v>0</v>
      </c>
      <c r="AJ18" s="11">
        <f t="shared" si="7"/>
        <v>0</v>
      </c>
      <c r="AK18" s="8">
        <f t="shared" si="3"/>
        <v>0</v>
      </c>
      <c r="AL18" s="9">
        <f>SUMIFS(Model[Mean Estimate (TY$)], Model[Estimate Type], "IC*", Model[Phase], AL$3)</f>
        <v>0</v>
      </c>
      <c r="AM18" s="9">
        <f>SUMIFS(Model[Mean Estimate (TY$)], Model[Estimate Type], "IC*", Model[Phase], AM$3)</f>
        <v>0</v>
      </c>
      <c r="AN18" s="9">
        <f>SUMIFS(Model[Mean Estimate (TY$)], Model[Estimate Type], "IC*", Model[Phase], AN$3)</f>
        <v>0</v>
      </c>
      <c r="AO18" s="9">
        <f>SUMIFS(Model[Mean Estimate (TY$)], Model[Estimate Type], "IC*", Model[Phase], AO$3)</f>
        <v>0</v>
      </c>
      <c r="AP18" s="9">
        <f>SUMIFS(Model[Mean Estimate (TY$)], Model[Estimate Type], "IC*", Model[Phase], AP$3)</f>
        <v>0</v>
      </c>
      <c r="AQ18" s="9">
        <f>SUMIFS(Model[Mean Estimate (TY$)], Model[Estimate Type], "IC*", Model[Phase], AQ$3)</f>
        <v>0</v>
      </c>
    </row>
    <row r="19" spans="1:43">
      <c r="A19" s="1"/>
      <c r="B19" s="6">
        <v>15</v>
      </c>
      <c r="C19" s="6"/>
      <c r="D19" s="6"/>
      <c r="E19" s="6"/>
      <c r="F19" s="10"/>
      <c r="G19" s="7"/>
      <c r="H19" s="6"/>
      <c r="I19" s="11">
        <f t="shared" si="4"/>
        <v>0</v>
      </c>
      <c r="J19" s="8">
        <f t="shared" si="0"/>
        <v>0</v>
      </c>
      <c r="K19" s="9">
        <f>SUMIFS(Model[Point Estimate (CY14$)], Model[Estimate Type], "IC*", Model[Phase], K$3)</f>
        <v>0</v>
      </c>
      <c r="L19" s="9">
        <f>SUMIFS(Model[Point Estimate (CY14$)], Model[Estimate Type], "IC*", Model[Phase], L$3)</f>
        <v>0</v>
      </c>
      <c r="M19" s="9">
        <f>SUMIFS(Model[Point Estimate (CY14$)], Model[Estimate Type], "IC*", Model[Phase], M$3)</f>
        <v>0</v>
      </c>
      <c r="N19" s="9">
        <f>SUMIFS(Model[Point Estimate (CY14$)], Model[Estimate Type], "IC*", Model[Phase], N$3)</f>
        <v>0</v>
      </c>
      <c r="O19" s="9">
        <f>SUMIFS(Model[Point Estimate (CY14$)], Model[Estimate Type], "IC*", Model[Phase], O$3)</f>
        <v>0</v>
      </c>
      <c r="P19" s="9">
        <f>SUMIFS(Model[Point Estimate (CY14$)], Model[Estimate Type], "IC*", Model[Phase], P$3)</f>
        <v>0</v>
      </c>
      <c r="R19" s="11">
        <f t="shared" si="5"/>
        <v>0</v>
      </c>
      <c r="S19" s="8">
        <f t="shared" si="1"/>
        <v>0</v>
      </c>
      <c r="T19" s="9">
        <f>SUMIFS(Model[Mean Estimate (CY14$)], Model[Estimate Type], "IC*", Model[Phase], T$3)</f>
        <v>0</v>
      </c>
      <c r="U19" s="9">
        <f>SUMIFS(Model[Mean Estimate (CY14$)], Model[Estimate Type], "IC*", Model[Phase], U$3)</f>
        <v>0</v>
      </c>
      <c r="V19" s="9">
        <f>SUMIFS(Model[Mean Estimate (CY14$)], Model[Estimate Type], "IC*", Model[Phase], V$3)</f>
        <v>0</v>
      </c>
      <c r="W19" s="9">
        <f>SUMIFS(Model[Mean Estimate (CY14$)], Model[Estimate Type], "IC*", Model[Phase], W$3)</f>
        <v>0</v>
      </c>
      <c r="X19" s="9">
        <f>SUMIFS(Model[Mean Estimate (CY14$)], Model[Estimate Type], "IC*", Model[Phase], X$3)</f>
        <v>0</v>
      </c>
      <c r="Y19" s="9">
        <f>SUMIFS(Model[Mean Estimate (CY14$)], Model[Estimate Type], "IC*", Model[Phase], Y$3)</f>
        <v>0</v>
      </c>
      <c r="AA19" s="11">
        <f t="shared" si="6"/>
        <v>0</v>
      </c>
      <c r="AB19" s="8">
        <f t="shared" si="2"/>
        <v>0</v>
      </c>
      <c r="AC19" s="9">
        <f>SUMIFS(Model[Point Estimate (TY$)], Model[Estimate Type], "IC*", Model[Phase], AC$3)</f>
        <v>0</v>
      </c>
      <c r="AD19" s="9">
        <f>SUMIFS(Model[Point Estimate (TY$)], Model[Estimate Type], "IC*", Model[Phase], AD$3)</f>
        <v>0</v>
      </c>
      <c r="AE19" s="9">
        <f>SUMIFS(Model[Point Estimate (TY$)], Model[Estimate Type], "IC*", Model[Phase], AE$3)</f>
        <v>0</v>
      </c>
      <c r="AF19" s="9">
        <f>SUMIFS(Model[Point Estimate (TY$)], Model[Estimate Type], "IC*", Model[Phase], AF$3)</f>
        <v>0</v>
      </c>
      <c r="AG19" s="9">
        <f>SUMIFS(Model[Point Estimate (TY$)], Model[Estimate Type], "IC*", Model[Phase], AG$3)</f>
        <v>0</v>
      </c>
      <c r="AH19" s="9">
        <f>SUMIFS(Model[Point Estimate (TY$)], Model[Estimate Type], "IC*", Model[Phase], AH$3)</f>
        <v>0</v>
      </c>
      <c r="AJ19" s="11">
        <f t="shared" si="7"/>
        <v>0</v>
      </c>
      <c r="AK19" s="8">
        <f t="shared" si="3"/>
        <v>0</v>
      </c>
      <c r="AL19" s="9">
        <f>SUMIFS(Model[Mean Estimate (TY$)], Model[Estimate Type], "IC*", Model[Phase], AL$3)</f>
        <v>0</v>
      </c>
      <c r="AM19" s="9">
        <f>SUMIFS(Model[Mean Estimate (TY$)], Model[Estimate Type], "IC*", Model[Phase], AM$3)</f>
        <v>0</v>
      </c>
      <c r="AN19" s="9">
        <f>SUMIFS(Model[Mean Estimate (TY$)], Model[Estimate Type], "IC*", Model[Phase], AN$3)</f>
        <v>0</v>
      </c>
      <c r="AO19" s="9">
        <f>SUMIFS(Model[Mean Estimate (TY$)], Model[Estimate Type], "IC*", Model[Phase], AO$3)</f>
        <v>0</v>
      </c>
      <c r="AP19" s="9">
        <f>SUMIFS(Model[Mean Estimate (TY$)], Model[Estimate Type], "IC*", Model[Phase], AP$3)</f>
        <v>0</v>
      </c>
      <c r="AQ19" s="9">
        <f>SUMIFS(Model[Mean Estimate (TY$)], Model[Estimate Type], "IC*", Model[Phase], AQ$3)</f>
        <v>0</v>
      </c>
    </row>
    <row r="20" spans="1:43">
      <c r="A20" s="1"/>
      <c r="B20" s="6">
        <v>16</v>
      </c>
      <c r="C20" s="6"/>
      <c r="D20" s="6"/>
      <c r="E20" s="6"/>
      <c r="F20" s="10"/>
      <c r="G20" s="7"/>
      <c r="H20" s="6"/>
      <c r="I20" s="11">
        <f t="shared" si="4"/>
        <v>0</v>
      </c>
      <c r="J20" s="8">
        <f t="shared" si="0"/>
        <v>0</v>
      </c>
      <c r="K20" s="9">
        <f>SUMIFS(Model[Point Estimate (CY14$)], Model[Estimate Type], "IC*", Model[Phase], K$3)</f>
        <v>0</v>
      </c>
      <c r="L20" s="9">
        <f>SUMIFS(Model[Point Estimate (CY14$)], Model[Estimate Type], "IC*", Model[Phase], L$3)</f>
        <v>0</v>
      </c>
      <c r="M20" s="9">
        <f>SUMIFS(Model[Point Estimate (CY14$)], Model[Estimate Type], "IC*", Model[Phase], M$3)</f>
        <v>0</v>
      </c>
      <c r="N20" s="9">
        <f>SUMIFS(Model[Point Estimate (CY14$)], Model[Estimate Type], "IC*", Model[Phase], N$3)</f>
        <v>0</v>
      </c>
      <c r="O20" s="9">
        <f>SUMIFS(Model[Point Estimate (CY14$)], Model[Estimate Type], "IC*", Model[Phase], O$3)</f>
        <v>0</v>
      </c>
      <c r="P20" s="9">
        <f>SUMIFS(Model[Point Estimate (CY14$)], Model[Estimate Type], "IC*", Model[Phase], P$3)</f>
        <v>0</v>
      </c>
      <c r="R20" s="11">
        <f t="shared" si="5"/>
        <v>0</v>
      </c>
      <c r="S20" s="8">
        <f t="shared" si="1"/>
        <v>0</v>
      </c>
      <c r="T20" s="9">
        <f>SUMIFS(Model[Mean Estimate (CY14$)], Model[Estimate Type], "IC*", Model[Phase], T$3)</f>
        <v>0</v>
      </c>
      <c r="U20" s="9">
        <f>SUMIFS(Model[Mean Estimate (CY14$)], Model[Estimate Type], "IC*", Model[Phase], U$3)</f>
        <v>0</v>
      </c>
      <c r="V20" s="9">
        <f>SUMIFS(Model[Mean Estimate (CY14$)], Model[Estimate Type], "IC*", Model[Phase], V$3)</f>
        <v>0</v>
      </c>
      <c r="W20" s="9">
        <f>SUMIFS(Model[Mean Estimate (CY14$)], Model[Estimate Type], "IC*", Model[Phase], W$3)</f>
        <v>0</v>
      </c>
      <c r="X20" s="9">
        <f>SUMIFS(Model[Mean Estimate (CY14$)], Model[Estimate Type], "IC*", Model[Phase], X$3)</f>
        <v>0</v>
      </c>
      <c r="Y20" s="9">
        <f>SUMIFS(Model[Mean Estimate (CY14$)], Model[Estimate Type], "IC*", Model[Phase], Y$3)</f>
        <v>0</v>
      </c>
      <c r="AA20" s="11">
        <f t="shared" si="6"/>
        <v>0</v>
      </c>
      <c r="AB20" s="8">
        <f t="shared" si="2"/>
        <v>0</v>
      </c>
      <c r="AC20" s="9">
        <f>SUMIFS(Model[Point Estimate (TY$)], Model[Estimate Type], "IC*", Model[Phase], AC$3)</f>
        <v>0</v>
      </c>
      <c r="AD20" s="9">
        <f>SUMIFS(Model[Point Estimate (TY$)], Model[Estimate Type], "IC*", Model[Phase], AD$3)</f>
        <v>0</v>
      </c>
      <c r="AE20" s="9">
        <f>SUMIFS(Model[Point Estimate (TY$)], Model[Estimate Type], "IC*", Model[Phase], AE$3)</f>
        <v>0</v>
      </c>
      <c r="AF20" s="9">
        <f>SUMIFS(Model[Point Estimate (TY$)], Model[Estimate Type], "IC*", Model[Phase], AF$3)</f>
        <v>0</v>
      </c>
      <c r="AG20" s="9">
        <f>SUMIFS(Model[Point Estimate (TY$)], Model[Estimate Type], "IC*", Model[Phase], AG$3)</f>
        <v>0</v>
      </c>
      <c r="AH20" s="9">
        <f>SUMIFS(Model[Point Estimate (TY$)], Model[Estimate Type], "IC*", Model[Phase], AH$3)</f>
        <v>0</v>
      </c>
      <c r="AJ20" s="11">
        <f t="shared" si="7"/>
        <v>0</v>
      </c>
      <c r="AK20" s="8">
        <f t="shared" si="3"/>
        <v>0</v>
      </c>
      <c r="AL20" s="9">
        <f>SUMIFS(Model[Mean Estimate (TY$)], Model[Estimate Type], "IC*", Model[Phase], AL$3)</f>
        <v>0</v>
      </c>
      <c r="AM20" s="9">
        <f>SUMIFS(Model[Mean Estimate (TY$)], Model[Estimate Type], "IC*", Model[Phase], AM$3)</f>
        <v>0</v>
      </c>
      <c r="AN20" s="9">
        <f>SUMIFS(Model[Mean Estimate (TY$)], Model[Estimate Type], "IC*", Model[Phase], AN$3)</f>
        <v>0</v>
      </c>
      <c r="AO20" s="9">
        <f>SUMIFS(Model[Mean Estimate (TY$)], Model[Estimate Type], "IC*", Model[Phase], AO$3)</f>
        <v>0</v>
      </c>
      <c r="AP20" s="9">
        <f>SUMIFS(Model[Mean Estimate (TY$)], Model[Estimate Type], "IC*", Model[Phase], AP$3)</f>
        <v>0</v>
      </c>
      <c r="AQ20" s="9">
        <f>SUMIFS(Model[Mean Estimate (TY$)], Model[Estimate Type], "IC*", Model[Phase], AQ$3)</f>
        <v>0</v>
      </c>
    </row>
    <row r="21" spans="1:43">
      <c r="A21" s="1"/>
      <c r="B21" s="6">
        <v>17</v>
      </c>
      <c r="C21" s="6"/>
      <c r="D21" s="6"/>
      <c r="E21" s="6"/>
      <c r="F21" s="10"/>
      <c r="G21" s="7"/>
      <c r="H21" s="6"/>
      <c r="I21" s="11">
        <f t="shared" si="4"/>
        <v>0</v>
      </c>
      <c r="J21" s="8">
        <f t="shared" si="0"/>
        <v>0</v>
      </c>
      <c r="K21" s="9">
        <f>SUMIFS(Model[Point Estimate (CY14$)], Model[Estimate Type], "IC*", Model[Phase], K$3)</f>
        <v>0</v>
      </c>
      <c r="L21" s="9">
        <f>SUMIFS(Model[Point Estimate (CY14$)], Model[Estimate Type], "IC*", Model[Phase], L$3)</f>
        <v>0</v>
      </c>
      <c r="M21" s="9">
        <f>SUMIFS(Model[Point Estimate (CY14$)], Model[Estimate Type], "IC*", Model[Phase], M$3)</f>
        <v>0</v>
      </c>
      <c r="N21" s="9">
        <f>SUMIFS(Model[Point Estimate (CY14$)], Model[Estimate Type], "IC*", Model[Phase], N$3)</f>
        <v>0</v>
      </c>
      <c r="O21" s="9">
        <f>SUMIFS(Model[Point Estimate (CY14$)], Model[Estimate Type], "IC*", Model[Phase], O$3)</f>
        <v>0</v>
      </c>
      <c r="P21" s="9">
        <f>SUMIFS(Model[Point Estimate (CY14$)], Model[Estimate Type], "IC*", Model[Phase], P$3)</f>
        <v>0</v>
      </c>
      <c r="R21" s="11">
        <f t="shared" si="5"/>
        <v>0</v>
      </c>
      <c r="S21" s="8">
        <f t="shared" si="1"/>
        <v>0</v>
      </c>
      <c r="T21" s="9">
        <f>SUMIFS(Model[Mean Estimate (CY14$)], Model[Estimate Type], "IC*", Model[Phase], T$3)</f>
        <v>0</v>
      </c>
      <c r="U21" s="9">
        <f>SUMIFS(Model[Mean Estimate (CY14$)], Model[Estimate Type], "IC*", Model[Phase], U$3)</f>
        <v>0</v>
      </c>
      <c r="V21" s="9">
        <f>SUMIFS(Model[Mean Estimate (CY14$)], Model[Estimate Type], "IC*", Model[Phase], V$3)</f>
        <v>0</v>
      </c>
      <c r="W21" s="9">
        <f>SUMIFS(Model[Mean Estimate (CY14$)], Model[Estimate Type], "IC*", Model[Phase], W$3)</f>
        <v>0</v>
      </c>
      <c r="X21" s="9">
        <f>SUMIFS(Model[Mean Estimate (CY14$)], Model[Estimate Type], "IC*", Model[Phase], X$3)</f>
        <v>0</v>
      </c>
      <c r="Y21" s="9">
        <f>SUMIFS(Model[Mean Estimate (CY14$)], Model[Estimate Type], "IC*", Model[Phase], Y$3)</f>
        <v>0</v>
      </c>
      <c r="AA21" s="11">
        <f t="shared" si="6"/>
        <v>0</v>
      </c>
      <c r="AB21" s="8">
        <f t="shared" si="2"/>
        <v>0</v>
      </c>
      <c r="AC21" s="9">
        <f>SUMIFS(Model[Point Estimate (TY$)], Model[Estimate Type], "IC*", Model[Phase], AC$3)</f>
        <v>0</v>
      </c>
      <c r="AD21" s="9">
        <f>SUMIFS(Model[Point Estimate (TY$)], Model[Estimate Type], "IC*", Model[Phase], AD$3)</f>
        <v>0</v>
      </c>
      <c r="AE21" s="9">
        <f>SUMIFS(Model[Point Estimate (TY$)], Model[Estimate Type], "IC*", Model[Phase], AE$3)</f>
        <v>0</v>
      </c>
      <c r="AF21" s="9">
        <f>SUMIFS(Model[Point Estimate (TY$)], Model[Estimate Type], "IC*", Model[Phase], AF$3)</f>
        <v>0</v>
      </c>
      <c r="AG21" s="9">
        <f>SUMIFS(Model[Point Estimate (TY$)], Model[Estimate Type], "IC*", Model[Phase], AG$3)</f>
        <v>0</v>
      </c>
      <c r="AH21" s="9">
        <f>SUMIFS(Model[Point Estimate (TY$)], Model[Estimate Type], "IC*", Model[Phase], AH$3)</f>
        <v>0</v>
      </c>
      <c r="AJ21" s="11">
        <f t="shared" si="7"/>
        <v>0</v>
      </c>
      <c r="AK21" s="8">
        <f t="shared" si="3"/>
        <v>0</v>
      </c>
      <c r="AL21" s="9">
        <f>SUMIFS(Model[Mean Estimate (TY$)], Model[Estimate Type], "IC*", Model[Phase], AL$3)</f>
        <v>0</v>
      </c>
      <c r="AM21" s="9">
        <f>SUMIFS(Model[Mean Estimate (TY$)], Model[Estimate Type], "IC*", Model[Phase], AM$3)</f>
        <v>0</v>
      </c>
      <c r="AN21" s="9">
        <f>SUMIFS(Model[Mean Estimate (TY$)], Model[Estimate Type], "IC*", Model[Phase], AN$3)</f>
        <v>0</v>
      </c>
      <c r="AO21" s="9">
        <f>SUMIFS(Model[Mean Estimate (TY$)], Model[Estimate Type], "IC*", Model[Phase], AO$3)</f>
        <v>0</v>
      </c>
      <c r="AP21" s="9">
        <f>SUMIFS(Model[Mean Estimate (TY$)], Model[Estimate Type], "IC*", Model[Phase], AP$3)</f>
        <v>0</v>
      </c>
      <c r="AQ21" s="9">
        <f>SUMIFS(Model[Mean Estimate (TY$)], Model[Estimate Type], "IC*", Model[Phase], AQ$3)</f>
        <v>0</v>
      </c>
    </row>
    <row r="22" spans="1:43">
      <c r="A22" s="1"/>
      <c r="B22" s="6">
        <v>18</v>
      </c>
      <c r="C22" s="6"/>
      <c r="D22" s="6"/>
      <c r="E22" s="6"/>
      <c r="F22" s="10"/>
      <c r="G22" s="7"/>
      <c r="H22" s="6"/>
      <c r="I22" s="11">
        <f t="shared" si="4"/>
        <v>0</v>
      </c>
      <c r="J22" s="8">
        <f t="shared" si="0"/>
        <v>0</v>
      </c>
      <c r="K22" s="9">
        <f>SUMIFS(Model[Point Estimate (CY14$)], Model[Estimate Type], "IC*", Model[Phase], K$3)</f>
        <v>0</v>
      </c>
      <c r="L22" s="9">
        <f>SUMIFS(Model[Point Estimate (CY14$)], Model[Estimate Type], "IC*", Model[Phase], L$3)</f>
        <v>0</v>
      </c>
      <c r="M22" s="9">
        <f>SUMIFS(Model[Point Estimate (CY14$)], Model[Estimate Type], "IC*", Model[Phase], M$3)</f>
        <v>0</v>
      </c>
      <c r="N22" s="9">
        <f>SUMIFS(Model[Point Estimate (CY14$)], Model[Estimate Type], "IC*", Model[Phase], N$3)</f>
        <v>0</v>
      </c>
      <c r="O22" s="9">
        <f>SUMIFS(Model[Point Estimate (CY14$)], Model[Estimate Type], "IC*", Model[Phase], O$3)</f>
        <v>0</v>
      </c>
      <c r="P22" s="9">
        <f>SUMIFS(Model[Point Estimate (CY14$)], Model[Estimate Type], "IC*", Model[Phase], P$3)</f>
        <v>0</v>
      </c>
      <c r="R22" s="11">
        <f t="shared" si="5"/>
        <v>0</v>
      </c>
      <c r="S22" s="8">
        <f t="shared" si="1"/>
        <v>0</v>
      </c>
      <c r="T22" s="9">
        <f>SUMIFS(Model[Mean Estimate (CY14$)], Model[Estimate Type], "IC*", Model[Phase], T$3)</f>
        <v>0</v>
      </c>
      <c r="U22" s="9">
        <f>SUMIFS(Model[Mean Estimate (CY14$)], Model[Estimate Type], "IC*", Model[Phase], U$3)</f>
        <v>0</v>
      </c>
      <c r="V22" s="9">
        <f>SUMIFS(Model[Mean Estimate (CY14$)], Model[Estimate Type], "IC*", Model[Phase], V$3)</f>
        <v>0</v>
      </c>
      <c r="W22" s="9">
        <f>SUMIFS(Model[Mean Estimate (CY14$)], Model[Estimate Type], "IC*", Model[Phase], W$3)</f>
        <v>0</v>
      </c>
      <c r="X22" s="9">
        <f>SUMIFS(Model[Mean Estimate (CY14$)], Model[Estimate Type], "IC*", Model[Phase], X$3)</f>
        <v>0</v>
      </c>
      <c r="Y22" s="9">
        <f>SUMIFS(Model[Mean Estimate (CY14$)], Model[Estimate Type], "IC*", Model[Phase], Y$3)</f>
        <v>0</v>
      </c>
      <c r="AA22" s="11">
        <f t="shared" si="6"/>
        <v>0</v>
      </c>
      <c r="AB22" s="8">
        <f t="shared" si="2"/>
        <v>0</v>
      </c>
      <c r="AC22" s="9">
        <f>SUMIFS(Model[Point Estimate (TY$)], Model[Estimate Type], "IC*", Model[Phase], AC$3)</f>
        <v>0</v>
      </c>
      <c r="AD22" s="9">
        <f>SUMIFS(Model[Point Estimate (TY$)], Model[Estimate Type], "IC*", Model[Phase], AD$3)</f>
        <v>0</v>
      </c>
      <c r="AE22" s="9">
        <f>SUMIFS(Model[Point Estimate (TY$)], Model[Estimate Type], "IC*", Model[Phase], AE$3)</f>
        <v>0</v>
      </c>
      <c r="AF22" s="9">
        <f>SUMIFS(Model[Point Estimate (TY$)], Model[Estimate Type], "IC*", Model[Phase], AF$3)</f>
        <v>0</v>
      </c>
      <c r="AG22" s="9">
        <f>SUMIFS(Model[Point Estimate (TY$)], Model[Estimate Type], "IC*", Model[Phase], AG$3)</f>
        <v>0</v>
      </c>
      <c r="AH22" s="9">
        <f>SUMIFS(Model[Point Estimate (TY$)], Model[Estimate Type], "IC*", Model[Phase], AH$3)</f>
        <v>0</v>
      </c>
      <c r="AJ22" s="11">
        <f t="shared" si="7"/>
        <v>0</v>
      </c>
      <c r="AK22" s="8">
        <f t="shared" si="3"/>
        <v>0</v>
      </c>
      <c r="AL22" s="9">
        <f>SUMIFS(Model[Mean Estimate (TY$)], Model[Estimate Type], "IC*", Model[Phase], AL$3)</f>
        <v>0</v>
      </c>
      <c r="AM22" s="9">
        <f>SUMIFS(Model[Mean Estimate (TY$)], Model[Estimate Type], "IC*", Model[Phase], AM$3)</f>
        <v>0</v>
      </c>
      <c r="AN22" s="9">
        <f>SUMIFS(Model[Mean Estimate (TY$)], Model[Estimate Type], "IC*", Model[Phase], AN$3)</f>
        <v>0</v>
      </c>
      <c r="AO22" s="9">
        <f>SUMIFS(Model[Mean Estimate (TY$)], Model[Estimate Type], "IC*", Model[Phase], AO$3)</f>
        <v>0</v>
      </c>
      <c r="AP22" s="9">
        <f>SUMIFS(Model[Mean Estimate (TY$)], Model[Estimate Type], "IC*", Model[Phase], AP$3)</f>
        <v>0</v>
      </c>
      <c r="AQ22" s="9">
        <f>SUMIFS(Model[Mean Estimate (TY$)], Model[Estimate Type], "IC*", Model[Phase], AQ$3)</f>
        <v>0</v>
      </c>
    </row>
    <row r="23" spans="1:43">
      <c r="A23" s="1"/>
      <c r="B23" s="6">
        <v>19</v>
      </c>
      <c r="C23" s="6"/>
      <c r="D23" s="6"/>
      <c r="E23" s="6"/>
      <c r="F23" s="10"/>
      <c r="G23" s="7"/>
      <c r="H23" s="6"/>
      <c r="I23" s="11">
        <f t="shared" si="4"/>
        <v>0</v>
      </c>
      <c r="J23" s="8">
        <f t="shared" si="0"/>
        <v>0</v>
      </c>
      <c r="K23" s="9">
        <f>SUMIFS(Model[Point Estimate (CY14$)], Model[Estimate Type], "IC*", Model[Phase], K$3)</f>
        <v>0</v>
      </c>
      <c r="L23" s="9">
        <f>SUMIFS(Model[Point Estimate (CY14$)], Model[Estimate Type], "IC*", Model[Phase], L$3)</f>
        <v>0</v>
      </c>
      <c r="M23" s="9">
        <f>SUMIFS(Model[Point Estimate (CY14$)], Model[Estimate Type], "IC*", Model[Phase], M$3)</f>
        <v>0</v>
      </c>
      <c r="N23" s="9">
        <f>SUMIFS(Model[Point Estimate (CY14$)], Model[Estimate Type], "IC*", Model[Phase], N$3)</f>
        <v>0</v>
      </c>
      <c r="O23" s="9">
        <f>SUMIFS(Model[Point Estimate (CY14$)], Model[Estimate Type], "IC*", Model[Phase], O$3)</f>
        <v>0</v>
      </c>
      <c r="P23" s="9">
        <f>SUMIFS(Model[Point Estimate (CY14$)], Model[Estimate Type], "IC*", Model[Phase], P$3)</f>
        <v>0</v>
      </c>
      <c r="R23" s="11">
        <f t="shared" si="5"/>
        <v>0</v>
      </c>
      <c r="S23" s="8">
        <f t="shared" si="1"/>
        <v>0</v>
      </c>
      <c r="T23" s="9">
        <f>SUMIFS(Model[Mean Estimate (CY14$)], Model[Estimate Type], "IC*", Model[Phase], T$3)</f>
        <v>0</v>
      </c>
      <c r="U23" s="9">
        <f>SUMIFS(Model[Mean Estimate (CY14$)], Model[Estimate Type], "IC*", Model[Phase], U$3)</f>
        <v>0</v>
      </c>
      <c r="V23" s="9">
        <f>SUMIFS(Model[Mean Estimate (CY14$)], Model[Estimate Type], "IC*", Model[Phase], V$3)</f>
        <v>0</v>
      </c>
      <c r="W23" s="9">
        <f>SUMIFS(Model[Mean Estimate (CY14$)], Model[Estimate Type], "IC*", Model[Phase], W$3)</f>
        <v>0</v>
      </c>
      <c r="X23" s="9">
        <f>SUMIFS(Model[Mean Estimate (CY14$)], Model[Estimate Type], "IC*", Model[Phase], X$3)</f>
        <v>0</v>
      </c>
      <c r="Y23" s="9">
        <f>SUMIFS(Model[Mean Estimate (CY14$)], Model[Estimate Type], "IC*", Model[Phase], Y$3)</f>
        <v>0</v>
      </c>
      <c r="AA23" s="11">
        <f t="shared" si="6"/>
        <v>0</v>
      </c>
      <c r="AB23" s="8">
        <f t="shared" si="2"/>
        <v>0</v>
      </c>
      <c r="AC23" s="9">
        <f>SUMIFS(Model[Point Estimate (TY$)], Model[Estimate Type], "IC*", Model[Phase], AC$3)</f>
        <v>0</v>
      </c>
      <c r="AD23" s="9">
        <f>SUMIFS(Model[Point Estimate (TY$)], Model[Estimate Type], "IC*", Model[Phase], AD$3)</f>
        <v>0</v>
      </c>
      <c r="AE23" s="9">
        <f>SUMIFS(Model[Point Estimate (TY$)], Model[Estimate Type], "IC*", Model[Phase], AE$3)</f>
        <v>0</v>
      </c>
      <c r="AF23" s="9">
        <f>SUMIFS(Model[Point Estimate (TY$)], Model[Estimate Type], "IC*", Model[Phase], AF$3)</f>
        <v>0</v>
      </c>
      <c r="AG23" s="9">
        <f>SUMIFS(Model[Point Estimate (TY$)], Model[Estimate Type], "IC*", Model[Phase], AG$3)</f>
        <v>0</v>
      </c>
      <c r="AH23" s="9">
        <f>SUMIFS(Model[Point Estimate (TY$)], Model[Estimate Type], "IC*", Model[Phase], AH$3)</f>
        <v>0</v>
      </c>
      <c r="AJ23" s="11">
        <f t="shared" si="7"/>
        <v>0</v>
      </c>
      <c r="AK23" s="8">
        <f t="shared" si="3"/>
        <v>0</v>
      </c>
      <c r="AL23" s="9">
        <f>SUMIFS(Model[Mean Estimate (TY$)], Model[Estimate Type], "IC*", Model[Phase], AL$3)</f>
        <v>0</v>
      </c>
      <c r="AM23" s="9">
        <f>SUMIFS(Model[Mean Estimate (TY$)], Model[Estimate Type], "IC*", Model[Phase], AM$3)</f>
        <v>0</v>
      </c>
      <c r="AN23" s="9">
        <f>SUMIFS(Model[Mean Estimate (TY$)], Model[Estimate Type], "IC*", Model[Phase], AN$3)</f>
        <v>0</v>
      </c>
      <c r="AO23" s="9">
        <f>SUMIFS(Model[Mean Estimate (TY$)], Model[Estimate Type], "IC*", Model[Phase], AO$3)</f>
        <v>0</v>
      </c>
      <c r="AP23" s="9">
        <f>SUMIFS(Model[Mean Estimate (TY$)], Model[Estimate Type], "IC*", Model[Phase], AP$3)</f>
        <v>0</v>
      </c>
      <c r="AQ23" s="9">
        <f>SUMIFS(Model[Mean Estimate (TY$)], Model[Estimate Type], "IC*", Model[Phase], AQ$3)</f>
        <v>0</v>
      </c>
    </row>
    <row r="24" spans="1:43">
      <c r="A24" s="1"/>
      <c r="B24" s="6">
        <v>20</v>
      </c>
      <c r="C24" s="6"/>
      <c r="D24" s="6"/>
      <c r="E24" s="6"/>
      <c r="F24" s="10"/>
      <c r="G24" s="7"/>
      <c r="H24" s="6"/>
      <c r="I24" s="11">
        <f t="shared" si="4"/>
        <v>0</v>
      </c>
      <c r="J24" s="8">
        <f t="shared" si="0"/>
        <v>0</v>
      </c>
      <c r="K24" s="9">
        <f>SUMIFS(Model[Point Estimate (CY14$)], Model[Estimate Type], "IC*", Model[Phase], K$3)</f>
        <v>0</v>
      </c>
      <c r="L24" s="9">
        <f>SUMIFS(Model[Point Estimate (CY14$)], Model[Estimate Type], "IC*", Model[Phase], L$3)</f>
        <v>0</v>
      </c>
      <c r="M24" s="9">
        <f>SUMIFS(Model[Point Estimate (CY14$)], Model[Estimate Type], "IC*", Model[Phase], M$3)</f>
        <v>0</v>
      </c>
      <c r="N24" s="9">
        <f>SUMIFS(Model[Point Estimate (CY14$)], Model[Estimate Type], "IC*", Model[Phase], N$3)</f>
        <v>0</v>
      </c>
      <c r="O24" s="9">
        <f>SUMIFS(Model[Point Estimate (CY14$)], Model[Estimate Type], "IC*", Model[Phase], O$3)</f>
        <v>0</v>
      </c>
      <c r="P24" s="9">
        <f>SUMIFS(Model[Point Estimate (CY14$)], Model[Estimate Type], "IC*", Model[Phase], P$3)</f>
        <v>0</v>
      </c>
      <c r="R24" s="11">
        <f t="shared" si="5"/>
        <v>0</v>
      </c>
      <c r="S24" s="8">
        <f t="shared" si="1"/>
        <v>0</v>
      </c>
      <c r="T24" s="9">
        <f>SUMIFS(Model[Mean Estimate (CY14$)], Model[Estimate Type], "IC*", Model[Phase], T$3)</f>
        <v>0</v>
      </c>
      <c r="U24" s="9">
        <f>SUMIFS(Model[Mean Estimate (CY14$)], Model[Estimate Type], "IC*", Model[Phase], U$3)</f>
        <v>0</v>
      </c>
      <c r="V24" s="9">
        <f>SUMIFS(Model[Mean Estimate (CY14$)], Model[Estimate Type], "IC*", Model[Phase], V$3)</f>
        <v>0</v>
      </c>
      <c r="W24" s="9">
        <f>SUMIFS(Model[Mean Estimate (CY14$)], Model[Estimate Type], "IC*", Model[Phase], W$3)</f>
        <v>0</v>
      </c>
      <c r="X24" s="9">
        <f>SUMIFS(Model[Mean Estimate (CY14$)], Model[Estimate Type], "IC*", Model[Phase], X$3)</f>
        <v>0</v>
      </c>
      <c r="Y24" s="9">
        <f>SUMIFS(Model[Mean Estimate (CY14$)], Model[Estimate Type], "IC*", Model[Phase], Y$3)</f>
        <v>0</v>
      </c>
      <c r="AA24" s="11">
        <f t="shared" si="6"/>
        <v>0</v>
      </c>
      <c r="AB24" s="8">
        <f t="shared" si="2"/>
        <v>0</v>
      </c>
      <c r="AC24" s="9">
        <f>SUMIFS(Model[Point Estimate (TY$)], Model[Estimate Type], "IC*", Model[Phase], AC$3)</f>
        <v>0</v>
      </c>
      <c r="AD24" s="9">
        <f>SUMIFS(Model[Point Estimate (TY$)], Model[Estimate Type], "IC*", Model[Phase], AD$3)</f>
        <v>0</v>
      </c>
      <c r="AE24" s="9">
        <f>SUMIFS(Model[Point Estimate (TY$)], Model[Estimate Type], "IC*", Model[Phase], AE$3)</f>
        <v>0</v>
      </c>
      <c r="AF24" s="9">
        <f>SUMIFS(Model[Point Estimate (TY$)], Model[Estimate Type], "IC*", Model[Phase], AF$3)</f>
        <v>0</v>
      </c>
      <c r="AG24" s="9">
        <f>SUMIFS(Model[Point Estimate (TY$)], Model[Estimate Type], "IC*", Model[Phase], AG$3)</f>
        <v>0</v>
      </c>
      <c r="AH24" s="9">
        <f>SUMIFS(Model[Point Estimate (TY$)], Model[Estimate Type], "IC*", Model[Phase], AH$3)</f>
        <v>0</v>
      </c>
      <c r="AJ24" s="11">
        <f t="shared" si="7"/>
        <v>0</v>
      </c>
      <c r="AK24" s="8">
        <f t="shared" si="3"/>
        <v>0</v>
      </c>
      <c r="AL24" s="9">
        <f>SUMIFS(Model[Mean Estimate (TY$)], Model[Estimate Type], "IC*", Model[Phase], AL$3)</f>
        <v>0</v>
      </c>
      <c r="AM24" s="9">
        <f>SUMIFS(Model[Mean Estimate (TY$)], Model[Estimate Type], "IC*", Model[Phase], AM$3)</f>
        <v>0</v>
      </c>
      <c r="AN24" s="9">
        <f>SUMIFS(Model[Mean Estimate (TY$)], Model[Estimate Type], "IC*", Model[Phase], AN$3)</f>
        <v>0</v>
      </c>
      <c r="AO24" s="9">
        <f>SUMIFS(Model[Mean Estimate (TY$)], Model[Estimate Type], "IC*", Model[Phase], AO$3)</f>
        <v>0</v>
      </c>
      <c r="AP24" s="9">
        <f>SUMIFS(Model[Mean Estimate (TY$)], Model[Estimate Type], "IC*", Model[Phase], AP$3)</f>
        <v>0</v>
      </c>
      <c r="AQ24" s="9">
        <f>SUMIFS(Model[Mean Estimate (TY$)], Model[Estimate Type], "IC*", Model[Phase], AQ$3)</f>
        <v>0</v>
      </c>
    </row>
    <row r="25" spans="1:43">
      <c r="A25" s="1"/>
      <c r="B25" s="6">
        <v>21</v>
      </c>
      <c r="C25" s="6"/>
      <c r="D25" s="6"/>
      <c r="E25" s="6"/>
      <c r="F25" s="10"/>
      <c r="G25" s="7"/>
      <c r="H25" s="6"/>
      <c r="I25" s="11">
        <f t="shared" si="4"/>
        <v>0</v>
      </c>
      <c r="J25" s="8">
        <f t="shared" si="0"/>
        <v>0</v>
      </c>
      <c r="K25" s="9">
        <f>SUMIFS(Model[Point Estimate (CY14$)], Model[Estimate Type], "IC*", Model[Phase], K$3)</f>
        <v>0</v>
      </c>
      <c r="L25" s="9">
        <f>SUMIFS(Model[Point Estimate (CY14$)], Model[Estimate Type], "IC*", Model[Phase], L$3)</f>
        <v>0</v>
      </c>
      <c r="M25" s="9">
        <f>SUMIFS(Model[Point Estimate (CY14$)], Model[Estimate Type], "IC*", Model[Phase], M$3)</f>
        <v>0</v>
      </c>
      <c r="N25" s="9">
        <f>SUMIFS(Model[Point Estimate (CY14$)], Model[Estimate Type], "IC*", Model[Phase], N$3)</f>
        <v>0</v>
      </c>
      <c r="O25" s="9">
        <f>SUMIFS(Model[Point Estimate (CY14$)], Model[Estimate Type], "IC*", Model[Phase], O$3)</f>
        <v>0</v>
      </c>
      <c r="P25" s="9">
        <f>SUMIFS(Model[Point Estimate (CY14$)], Model[Estimate Type], "IC*", Model[Phase], P$3)</f>
        <v>0</v>
      </c>
      <c r="R25" s="11">
        <f t="shared" si="5"/>
        <v>0</v>
      </c>
      <c r="S25" s="8">
        <f t="shared" si="1"/>
        <v>0</v>
      </c>
      <c r="T25" s="9">
        <f>SUMIFS(Model[Mean Estimate (CY14$)], Model[Estimate Type], "IC*", Model[Phase], T$3)</f>
        <v>0</v>
      </c>
      <c r="U25" s="9">
        <f>SUMIFS(Model[Mean Estimate (CY14$)], Model[Estimate Type], "IC*", Model[Phase], U$3)</f>
        <v>0</v>
      </c>
      <c r="V25" s="9">
        <f>SUMIFS(Model[Mean Estimate (CY14$)], Model[Estimate Type], "IC*", Model[Phase], V$3)</f>
        <v>0</v>
      </c>
      <c r="W25" s="9">
        <f>SUMIFS(Model[Mean Estimate (CY14$)], Model[Estimate Type], "IC*", Model[Phase], W$3)</f>
        <v>0</v>
      </c>
      <c r="X25" s="9">
        <f>SUMIFS(Model[Mean Estimate (CY14$)], Model[Estimate Type], "IC*", Model[Phase], X$3)</f>
        <v>0</v>
      </c>
      <c r="Y25" s="9">
        <f>SUMIFS(Model[Mean Estimate (CY14$)], Model[Estimate Type], "IC*", Model[Phase], Y$3)</f>
        <v>0</v>
      </c>
      <c r="AA25" s="11">
        <f t="shared" si="6"/>
        <v>0</v>
      </c>
      <c r="AB25" s="8">
        <f t="shared" si="2"/>
        <v>0</v>
      </c>
      <c r="AC25" s="9">
        <f>SUMIFS(Model[Point Estimate (TY$)], Model[Estimate Type], "IC*", Model[Phase], AC$3)</f>
        <v>0</v>
      </c>
      <c r="AD25" s="9">
        <f>SUMIFS(Model[Point Estimate (TY$)], Model[Estimate Type], "IC*", Model[Phase], AD$3)</f>
        <v>0</v>
      </c>
      <c r="AE25" s="9">
        <f>SUMIFS(Model[Point Estimate (TY$)], Model[Estimate Type], "IC*", Model[Phase], AE$3)</f>
        <v>0</v>
      </c>
      <c r="AF25" s="9">
        <f>SUMIFS(Model[Point Estimate (TY$)], Model[Estimate Type], "IC*", Model[Phase], AF$3)</f>
        <v>0</v>
      </c>
      <c r="AG25" s="9">
        <f>SUMIFS(Model[Point Estimate (TY$)], Model[Estimate Type], "IC*", Model[Phase], AG$3)</f>
        <v>0</v>
      </c>
      <c r="AH25" s="9">
        <f>SUMIFS(Model[Point Estimate (TY$)], Model[Estimate Type], "IC*", Model[Phase], AH$3)</f>
        <v>0</v>
      </c>
      <c r="AJ25" s="11">
        <f t="shared" si="7"/>
        <v>0</v>
      </c>
      <c r="AK25" s="8">
        <f t="shared" si="3"/>
        <v>0</v>
      </c>
      <c r="AL25" s="9">
        <f>SUMIFS(Model[Mean Estimate (TY$)], Model[Estimate Type], "IC*", Model[Phase], AL$3)</f>
        <v>0</v>
      </c>
      <c r="AM25" s="9">
        <f>SUMIFS(Model[Mean Estimate (TY$)], Model[Estimate Type], "IC*", Model[Phase], AM$3)</f>
        <v>0</v>
      </c>
      <c r="AN25" s="9">
        <f>SUMIFS(Model[Mean Estimate (TY$)], Model[Estimate Type], "IC*", Model[Phase], AN$3)</f>
        <v>0</v>
      </c>
      <c r="AO25" s="9">
        <f>SUMIFS(Model[Mean Estimate (TY$)], Model[Estimate Type], "IC*", Model[Phase], AO$3)</f>
        <v>0</v>
      </c>
      <c r="AP25" s="9">
        <f>SUMIFS(Model[Mean Estimate (TY$)], Model[Estimate Type], "IC*", Model[Phase], AP$3)</f>
        <v>0</v>
      </c>
      <c r="AQ25" s="9">
        <f>SUMIFS(Model[Mean Estimate (TY$)], Model[Estimate Type], "IC*", Model[Phase], AQ$3)</f>
        <v>0</v>
      </c>
    </row>
    <row r="26" spans="1:43">
      <c r="A26" s="1"/>
      <c r="B26" s="6">
        <v>22</v>
      </c>
      <c r="C26" s="6"/>
      <c r="D26" s="6"/>
      <c r="E26" s="6"/>
      <c r="F26" s="10"/>
      <c r="G26" s="7"/>
      <c r="H26" s="6"/>
      <c r="I26" s="11">
        <f t="shared" si="4"/>
        <v>0</v>
      </c>
      <c r="J26" s="8">
        <f t="shared" si="0"/>
        <v>0</v>
      </c>
      <c r="K26" s="9">
        <f>SUMIFS(Model[Point Estimate (CY14$)], Model[Estimate Type], "IC*", Model[Phase], K$3)</f>
        <v>0</v>
      </c>
      <c r="L26" s="9">
        <f>SUMIFS(Model[Point Estimate (CY14$)], Model[Estimate Type], "IC*", Model[Phase], L$3)</f>
        <v>0</v>
      </c>
      <c r="M26" s="9">
        <f>SUMIFS(Model[Point Estimate (CY14$)], Model[Estimate Type], "IC*", Model[Phase], M$3)</f>
        <v>0</v>
      </c>
      <c r="N26" s="9">
        <f>SUMIFS(Model[Point Estimate (CY14$)], Model[Estimate Type], "IC*", Model[Phase], N$3)</f>
        <v>0</v>
      </c>
      <c r="O26" s="9">
        <f>SUMIFS(Model[Point Estimate (CY14$)], Model[Estimate Type], "IC*", Model[Phase], O$3)</f>
        <v>0</v>
      </c>
      <c r="P26" s="9">
        <f>SUMIFS(Model[Point Estimate (CY14$)], Model[Estimate Type], "IC*", Model[Phase], P$3)</f>
        <v>0</v>
      </c>
      <c r="R26" s="11">
        <f t="shared" si="5"/>
        <v>0</v>
      </c>
      <c r="S26" s="8">
        <f t="shared" si="1"/>
        <v>0</v>
      </c>
      <c r="T26" s="9">
        <f>SUMIFS(Model[Mean Estimate (CY14$)], Model[Estimate Type], "IC*", Model[Phase], T$3)</f>
        <v>0</v>
      </c>
      <c r="U26" s="9">
        <f>SUMIFS(Model[Mean Estimate (CY14$)], Model[Estimate Type], "IC*", Model[Phase], U$3)</f>
        <v>0</v>
      </c>
      <c r="V26" s="9">
        <f>SUMIFS(Model[Mean Estimate (CY14$)], Model[Estimate Type], "IC*", Model[Phase], V$3)</f>
        <v>0</v>
      </c>
      <c r="W26" s="9">
        <f>SUMIFS(Model[Mean Estimate (CY14$)], Model[Estimate Type], "IC*", Model[Phase], W$3)</f>
        <v>0</v>
      </c>
      <c r="X26" s="9">
        <f>SUMIFS(Model[Mean Estimate (CY14$)], Model[Estimate Type], "IC*", Model[Phase], X$3)</f>
        <v>0</v>
      </c>
      <c r="Y26" s="9">
        <f>SUMIFS(Model[Mean Estimate (CY14$)], Model[Estimate Type], "IC*", Model[Phase], Y$3)</f>
        <v>0</v>
      </c>
      <c r="AA26" s="11">
        <f t="shared" si="6"/>
        <v>0</v>
      </c>
      <c r="AB26" s="8">
        <f t="shared" si="2"/>
        <v>0</v>
      </c>
      <c r="AC26" s="9">
        <f>SUMIFS(Model[Point Estimate (TY$)], Model[Estimate Type], "IC*", Model[Phase], AC$3)</f>
        <v>0</v>
      </c>
      <c r="AD26" s="9">
        <f>SUMIFS(Model[Point Estimate (TY$)], Model[Estimate Type], "IC*", Model[Phase], AD$3)</f>
        <v>0</v>
      </c>
      <c r="AE26" s="9">
        <f>SUMIFS(Model[Point Estimate (TY$)], Model[Estimate Type], "IC*", Model[Phase], AE$3)</f>
        <v>0</v>
      </c>
      <c r="AF26" s="9">
        <f>SUMIFS(Model[Point Estimate (TY$)], Model[Estimate Type], "IC*", Model[Phase], AF$3)</f>
        <v>0</v>
      </c>
      <c r="AG26" s="9">
        <f>SUMIFS(Model[Point Estimate (TY$)], Model[Estimate Type], "IC*", Model[Phase], AG$3)</f>
        <v>0</v>
      </c>
      <c r="AH26" s="9">
        <f>SUMIFS(Model[Point Estimate (TY$)], Model[Estimate Type], "IC*", Model[Phase], AH$3)</f>
        <v>0</v>
      </c>
      <c r="AJ26" s="11">
        <f t="shared" si="7"/>
        <v>0</v>
      </c>
      <c r="AK26" s="8">
        <f t="shared" si="3"/>
        <v>0</v>
      </c>
      <c r="AL26" s="9">
        <f>SUMIFS(Model[Mean Estimate (TY$)], Model[Estimate Type], "IC*", Model[Phase], AL$3)</f>
        <v>0</v>
      </c>
      <c r="AM26" s="9">
        <f>SUMIFS(Model[Mean Estimate (TY$)], Model[Estimate Type], "IC*", Model[Phase], AM$3)</f>
        <v>0</v>
      </c>
      <c r="AN26" s="9">
        <f>SUMIFS(Model[Mean Estimate (TY$)], Model[Estimate Type], "IC*", Model[Phase], AN$3)</f>
        <v>0</v>
      </c>
      <c r="AO26" s="9">
        <f>SUMIFS(Model[Mean Estimate (TY$)], Model[Estimate Type], "IC*", Model[Phase], AO$3)</f>
        <v>0</v>
      </c>
      <c r="AP26" s="9">
        <f>SUMIFS(Model[Mean Estimate (TY$)], Model[Estimate Type], "IC*", Model[Phase], AP$3)</f>
        <v>0</v>
      </c>
      <c r="AQ26" s="9">
        <f>SUMIFS(Model[Mean Estimate (TY$)], Model[Estimate Type], "IC*", Model[Phase], AQ$3)</f>
        <v>0</v>
      </c>
    </row>
    <row r="27" spans="1:43">
      <c r="A27" s="1"/>
      <c r="B27" s="6">
        <v>23</v>
      </c>
      <c r="C27" s="6"/>
      <c r="D27" s="6"/>
      <c r="E27" s="6"/>
      <c r="F27" s="10"/>
      <c r="G27" s="7"/>
      <c r="H27" s="6"/>
      <c r="I27" s="11">
        <f t="shared" si="4"/>
        <v>0</v>
      </c>
      <c r="J27" s="8">
        <f t="shared" si="0"/>
        <v>0</v>
      </c>
      <c r="K27" s="9">
        <f>SUMIFS(Model[Point Estimate (CY14$)], Model[Estimate Type], "IC*", Model[Phase], K$3)</f>
        <v>0</v>
      </c>
      <c r="L27" s="9">
        <f>SUMIFS(Model[Point Estimate (CY14$)], Model[Estimate Type], "IC*", Model[Phase], L$3)</f>
        <v>0</v>
      </c>
      <c r="M27" s="9">
        <f>SUMIFS(Model[Point Estimate (CY14$)], Model[Estimate Type], "IC*", Model[Phase], M$3)</f>
        <v>0</v>
      </c>
      <c r="N27" s="9">
        <f>SUMIFS(Model[Point Estimate (CY14$)], Model[Estimate Type], "IC*", Model[Phase], N$3)</f>
        <v>0</v>
      </c>
      <c r="O27" s="9">
        <f>SUMIFS(Model[Point Estimate (CY14$)], Model[Estimate Type], "IC*", Model[Phase], O$3)</f>
        <v>0</v>
      </c>
      <c r="P27" s="9">
        <f>SUMIFS(Model[Point Estimate (CY14$)], Model[Estimate Type], "IC*", Model[Phase], P$3)</f>
        <v>0</v>
      </c>
      <c r="R27" s="11">
        <f t="shared" si="5"/>
        <v>0</v>
      </c>
      <c r="S27" s="8">
        <f t="shared" si="1"/>
        <v>0</v>
      </c>
      <c r="T27" s="9">
        <f>SUMIFS(Model[Mean Estimate (CY14$)], Model[Estimate Type], "IC*", Model[Phase], T$3)</f>
        <v>0</v>
      </c>
      <c r="U27" s="9">
        <f>SUMIFS(Model[Mean Estimate (CY14$)], Model[Estimate Type], "IC*", Model[Phase], U$3)</f>
        <v>0</v>
      </c>
      <c r="V27" s="9">
        <f>SUMIFS(Model[Mean Estimate (CY14$)], Model[Estimate Type], "IC*", Model[Phase], V$3)</f>
        <v>0</v>
      </c>
      <c r="W27" s="9">
        <f>SUMIFS(Model[Mean Estimate (CY14$)], Model[Estimate Type], "IC*", Model[Phase], W$3)</f>
        <v>0</v>
      </c>
      <c r="X27" s="9">
        <f>SUMIFS(Model[Mean Estimate (CY14$)], Model[Estimate Type], "IC*", Model[Phase], X$3)</f>
        <v>0</v>
      </c>
      <c r="Y27" s="9">
        <f>SUMIFS(Model[Mean Estimate (CY14$)], Model[Estimate Type], "IC*", Model[Phase], Y$3)</f>
        <v>0</v>
      </c>
      <c r="AA27" s="11">
        <f t="shared" si="6"/>
        <v>0</v>
      </c>
      <c r="AB27" s="8">
        <f t="shared" si="2"/>
        <v>0</v>
      </c>
      <c r="AC27" s="9">
        <f>SUMIFS(Model[Point Estimate (TY$)], Model[Estimate Type], "IC*", Model[Phase], AC$3)</f>
        <v>0</v>
      </c>
      <c r="AD27" s="9">
        <f>SUMIFS(Model[Point Estimate (TY$)], Model[Estimate Type], "IC*", Model[Phase], AD$3)</f>
        <v>0</v>
      </c>
      <c r="AE27" s="9">
        <f>SUMIFS(Model[Point Estimate (TY$)], Model[Estimate Type], "IC*", Model[Phase], AE$3)</f>
        <v>0</v>
      </c>
      <c r="AF27" s="9">
        <f>SUMIFS(Model[Point Estimate (TY$)], Model[Estimate Type], "IC*", Model[Phase], AF$3)</f>
        <v>0</v>
      </c>
      <c r="AG27" s="9">
        <f>SUMIFS(Model[Point Estimate (TY$)], Model[Estimate Type], "IC*", Model[Phase], AG$3)</f>
        <v>0</v>
      </c>
      <c r="AH27" s="9">
        <f>SUMIFS(Model[Point Estimate (TY$)], Model[Estimate Type], "IC*", Model[Phase], AH$3)</f>
        <v>0</v>
      </c>
      <c r="AJ27" s="11">
        <f t="shared" si="7"/>
        <v>0</v>
      </c>
      <c r="AK27" s="8">
        <f t="shared" si="3"/>
        <v>0</v>
      </c>
      <c r="AL27" s="9">
        <f>SUMIFS(Model[Mean Estimate (TY$)], Model[Estimate Type], "IC*", Model[Phase], AL$3)</f>
        <v>0</v>
      </c>
      <c r="AM27" s="9">
        <f>SUMIFS(Model[Mean Estimate (TY$)], Model[Estimate Type], "IC*", Model[Phase], AM$3)</f>
        <v>0</v>
      </c>
      <c r="AN27" s="9">
        <f>SUMIFS(Model[Mean Estimate (TY$)], Model[Estimate Type], "IC*", Model[Phase], AN$3)</f>
        <v>0</v>
      </c>
      <c r="AO27" s="9">
        <f>SUMIFS(Model[Mean Estimate (TY$)], Model[Estimate Type], "IC*", Model[Phase], AO$3)</f>
        <v>0</v>
      </c>
      <c r="AP27" s="9">
        <f>SUMIFS(Model[Mean Estimate (TY$)], Model[Estimate Type], "IC*", Model[Phase], AP$3)</f>
        <v>0</v>
      </c>
      <c r="AQ27" s="9">
        <f>SUMIFS(Model[Mean Estimate (TY$)], Model[Estimate Type], "IC*", Model[Phase], AQ$3)</f>
        <v>0</v>
      </c>
    </row>
    <row r="28" spans="1:43">
      <c r="A28" s="1"/>
      <c r="B28" s="6">
        <v>24</v>
      </c>
      <c r="C28" s="6"/>
      <c r="D28" s="6"/>
      <c r="E28" s="6"/>
      <c r="F28" s="10"/>
      <c r="G28" s="7"/>
      <c r="H28" s="6"/>
      <c r="I28" s="11">
        <f t="shared" si="4"/>
        <v>0</v>
      </c>
      <c r="J28" s="8">
        <f t="shared" si="0"/>
        <v>0</v>
      </c>
      <c r="K28" s="9">
        <f>SUMIFS(Model[Point Estimate (CY14$)], Model[Estimate Type], "IC*", Model[Phase], K$3)</f>
        <v>0</v>
      </c>
      <c r="L28" s="9">
        <f>SUMIFS(Model[Point Estimate (CY14$)], Model[Estimate Type], "IC*", Model[Phase], L$3)</f>
        <v>0</v>
      </c>
      <c r="M28" s="9">
        <f>SUMIFS(Model[Point Estimate (CY14$)], Model[Estimate Type], "IC*", Model[Phase], M$3)</f>
        <v>0</v>
      </c>
      <c r="N28" s="9">
        <f>SUMIFS(Model[Point Estimate (CY14$)], Model[Estimate Type], "IC*", Model[Phase], N$3)</f>
        <v>0</v>
      </c>
      <c r="O28" s="9">
        <f>SUMIFS(Model[Point Estimate (CY14$)], Model[Estimate Type], "IC*", Model[Phase], O$3)</f>
        <v>0</v>
      </c>
      <c r="P28" s="9">
        <f>SUMIFS(Model[Point Estimate (CY14$)], Model[Estimate Type], "IC*", Model[Phase], P$3)</f>
        <v>0</v>
      </c>
      <c r="R28" s="11">
        <f t="shared" si="5"/>
        <v>0</v>
      </c>
      <c r="S28" s="8">
        <f t="shared" si="1"/>
        <v>0</v>
      </c>
      <c r="T28" s="9">
        <f>SUMIFS(Model[Mean Estimate (CY14$)], Model[Estimate Type], "IC*", Model[Phase], T$3)</f>
        <v>0</v>
      </c>
      <c r="U28" s="9">
        <f>SUMIFS(Model[Mean Estimate (CY14$)], Model[Estimate Type], "IC*", Model[Phase], U$3)</f>
        <v>0</v>
      </c>
      <c r="V28" s="9">
        <f>SUMIFS(Model[Mean Estimate (CY14$)], Model[Estimate Type], "IC*", Model[Phase], V$3)</f>
        <v>0</v>
      </c>
      <c r="W28" s="9">
        <f>SUMIFS(Model[Mean Estimate (CY14$)], Model[Estimate Type], "IC*", Model[Phase], W$3)</f>
        <v>0</v>
      </c>
      <c r="X28" s="9">
        <f>SUMIFS(Model[Mean Estimate (CY14$)], Model[Estimate Type], "IC*", Model[Phase], X$3)</f>
        <v>0</v>
      </c>
      <c r="Y28" s="9">
        <f>SUMIFS(Model[Mean Estimate (CY14$)], Model[Estimate Type], "IC*", Model[Phase], Y$3)</f>
        <v>0</v>
      </c>
      <c r="AA28" s="11">
        <f t="shared" si="6"/>
        <v>0</v>
      </c>
      <c r="AB28" s="8">
        <f t="shared" si="2"/>
        <v>0</v>
      </c>
      <c r="AC28" s="9">
        <f>SUMIFS(Model[Point Estimate (TY$)], Model[Estimate Type], "IC*", Model[Phase], AC$3)</f>
        <v>0</v>
      </c>
      <c r="AD28" s="9">
        <f>SUMIFS(Model[Point Estimate (TY$)], Model[Estimate Type], "IC*", Model[Phase], AD$3)</f>
        <v>0</v>
      </c>
      <c r="AE28" s="9">
        <f>SUMIFS(Model[Point Estimate (TY$)], Model[Estimate Type], "IC*", Model[Phase], AE$3)</f>
        <v>0</v>
      </c>
      <c r="AF28" s="9">
        <f>SUMIFS(Model[Point Estimate (TY$)], Model[Estimate Type], "IC*", Model[Phase], AF$3)</f>
        <v>0</v>
      </c>
      <c r="AG28" s="9">
        <f>SUMIFS(Model[Point Estimate (TY$)], Model[Estimate Type], "IC*", Model[Phase], AG$3)</f>
        <v>0</v>
      </c>
      <c r="AH28" s="9">
        <f>SUMIFS(Model[Point Estimate (TY$)], Model[Estimate Type], "IC*", Model[Phase], AH$3)</f>
        <v>0</v>
      </c>
      <c r="AJ28" s="11">
        <f t="shared" si="7"/>
        <v>0</v>
      </c>
      <c r="AK28" s="8">
        <f t="shared" si="3"/>
        <v>0</v>
      </c>
      <c r="AL28" s="9">
        <f>SUMIFS(Model[Mean Estimate (TY$)], Model[Estimate Type], "IC*", Model[Phase], AL$3)</f>
        <v>0</v>
      </c>
      <c r="AM28" s="9">
        <f>SUMIFS(Model[Mean Estimate (TY$)], Model[Estimate Type], "IC*", Model[Phase], AM$3)</f>
        <v>0</v>
      </c>
      <c r="AN28" s="9">
        <f>SUMIFS(Model[Mean Estimate (TY$)], Model[Estimate Type], "IC*", Model[Phase], AN$3)</f>
        <v>0</v>
      </c>
      <c r="AO28" s="9">
        <f>SUMIFS(Model[Mean Estimate (TY$)], Model[Estimate Type], "IC*", Model[Phase], AO$3)</f>
        <v>0</v>
      </c>
      <c r="AP28" s="9">
        <f>SUMIFS(Model[Mean Estimate (TY$)], Model[Estimate Type], "IC*", Model[Phase], AP$3)</f>
        <v>0</v>
      </c>
      <c r="AQ28" s="9">
        <f>SUMIFS(Model[Mean Estimate (TY$)], Model[Estimate Type], "IC*", Model[Phase], AQ$3)</f>
        <v>0</v>
      </c>
    </row>
    <row r="29" spans="1:43">
      <c r="A29" s="1"/>
      <c r="B29" s="6">
        <v>25</v>
      </c>
      <c r="C29" s="6"/>
      <c r="D29" s="6"/>
      <c r="E29" s="6"/>
      <c r="F29" s="10"/>
      <c r="G29" s="7"/>
      <c r="H29" s="6"/>
      <c r="I29" s="11">
        <f t="shared" si="4"/>
        <v>0</v>
      </c>
      <c r="J29" s="8">
        <f t="shared" si="0"/>
        <v>0</v>
      </c>
      <c r="K29" s="9">
        <f>SUMIFS(Model[Point Estimate (CY14$)], Model[Estimate Type], "IC*", Model[Phase], K$3)</f>
        <v>0</v>
      </c>
      <c r="L29" s="9">
        <f>SUMIFS(Model[Point Estimate (CY14$)], Model[Estimate Type], "IC*", Model[Phase], L$3)</f>
        <v>0</v>
      </c>
      <c r="M29" s="9">
        <f>SUMIFS(Model[Point Estimate (CY14$)], Model[Estimate Type], "IC*", Model[Phase], M$3)</f>
        <v>0</v>
      </c>
      <c r="N29" s="9">
        <f>SUMIFS(Model[Point Estimate (CY14$)], Model[Estimate Type], "IC*", Model[Phase], N$3)</f>
        <v>0</v>
      </c>
      <c r="O29" s="9">
        <f>SUMIFS(Model[Point Estimate (CY14$)], Model[Estimate Type], "IC*", Model[Phase], O$3)</f>
        <v>0</v>
      </c>
      <c r="P29" s="9">
        <f>SUMIFS(Model[Point Estimate (CY14$)], Model[Estimate Type], "IC*", Model[Phase], P$3)</f>
        <v>0</v>
      </c>
      <c r="R29" s="11">
        <f t="shared" si="5"/>
        <v>0</v>
      </c>
      <c r="S29" s="8">
        <f t="shared" si="1"/>
        <v>0</v>
      </c>
      <c r="T29" s="9">
        <f>SUMIFS(Model[Mean Estimate (CY14$)], Model[Estimate Type], "IC*", Model[Phase], T$3)</f>
        <v>0</v>
      </c>
      <c r="U29" s="9">
        <f>SUMIFS(Model[Mean Estimate (CY14$)], Model[Estimate Type], "IC*", Model[Phase], U$3)</f>
        <v>0</v>
      </c>
      <c r="V29" s="9">
        <f>SUMIFS(Model[Mean Estimate (CY14$)], Model[Estimate Type], "IC*", Model[Phase], V$3)</f>
        <v>0</v>
      </c>
      <c r="W29" s="9">
        <f>SUMIFS(Model[Mean Estimate (CY14$)], Model[Estimate Type], "IC*", Model[Phase], W$3)</f>
        <v>0</v>
      </c>
      <c r="X29" s="9">
        <f>SUMIFS(Model[Mean Estimate (CY14$)], Model[Estimate Type], "IC*", Model[Phase], X$3)</f>
        <v>0</v>
      </c>
      <c r="Y29" s="9">
        <f>SUMIFS(Model[Mean Estimate (CY14$)], Model[Estimate Type], "IC*", Model[Phase], Y$3)</f>
        <v>0</v>
      </c>
      <c r="AA29" s="11">
        <f t="shared" si="6"/>
        <v>0</v>
      </c>
      <c r="AB29" s="8">
        <f t="shared" si="2"/>
        <v>0</v>
      </c>
      <c r="AC29" s="9">
        <f>SUMIFS(Model[Point Estimate (TY$)], Model[Estimate Type], "IC*", Model[Phase], AC$3)</f>
        <v>0</v>
      </c>
      <c r="AD29" s="9">
        <f>SUMIFS(Model[Point Estimate (TY$)], Model[Estimate Type], "IC*", Model[Phase], AD$3)</f>
        <v>0</v>
      </c>
      <c r="AE29" s="9">
        <f>SUMIFS(Model[Point Estimate (TY$)], Model[Estimate Type], "IC*", Model[Phase], AE$3)</f>
        <v>0</v>
      </c>
      <c r="AF29" s="9">
        <f>SUMIFS(Model[Point Estimate (TY$)], Model[Estimate Type], "IC*", Model[Phase], AF$3)</f>
        <v>0</v>
      </c>
      <c r="AG29" s="9">
        <f>SUMIFS(Model[Point Estimate (TY$)], Model[Estimate Type], "IC*", Model[Phase], AG$3)</f>
        <v>0</v>
      </c>
      <c r="AH29" s="9">
        <f>SUMIFS(Model[Point Estimate (TY$)], Model[Estimate Type], "IC*", Model[Phase], AH$3)</f>
        <v>0</v>
      </c>
      <c r="AJ29" s="11">
        <f t="shared" si="7"/>
        <v>0</v>
      </c>
      <c r="AK29" s="8">
        <f t="shared" si="3"/>
        <v>0</v>
      </c>
      <c r="AL29" s="9">
        <f>SUMIFS(Model[Mean Estimate (TY$)], Model[Estimate Type], "IC*", Model[Phase], AL$3)</f>
        <v>0</v>
      </c>
      <c r="AM29" s="9">
        <f>SUMIFS(Model[Mean Estimate (TY$)], Model[Estimate Type], "IC*", Model[Phase], AM$3)</f>
        <v>0</v>
      </c>
      <c r="AN29" s="9">
        <f>SUMIFS(Model[Mean Estimate (TY$)], Model[Estimate Type], "IC*", Model[Phase], AN$3)</f>
        <v>0</v>
      </c>
      <c r="AO29" s="9">
        <f>SUMIFS(Model[Mean Estimate (TY$)], Model[Estimate Type], "IC*", Model[Phase], AO$3)</f>
        <v>0</v>
      </c>
      <c r="AP29" s="9">
        <f>SUMIFS(Model[Mean Estimate (TY$)], Model[Estimate Type], "IC*", Model[Phase], AP$3)</f>
        <v>0</v>
      </c>
      <c r="AQ29" s="9">
        <f>SUMIFS(Model[Mean Estimate (TY$)], Model[Estimate Type], "IC*", Model[Phase], AQ$3)</f>
        <v>0</v>
      </c>
    </row>
    <row r="30" spans="1:43">
      <c r="A30" s="1"/>
      <c r="B30" s="6">
        <v>26</v>
      </c>
      <c r="C30" s="6"/>
      <c r="D30" s="6"/>
      <c r="E30" s="6"/>
      <c r="F30" s="10"/>
      <c r="G30" s="7"/>
      <c r="H30" s="6"/>
      <c r="I30" s="11">
        <f t="shared" si="4"/>
        <v>0</v>
      </c>
      <c r="J30" s="8">
        <f t="shared" si="0"/>
        <v>0</v>
      </c>
      <c r="K30" s="9">
        <f>SUMIFS(Model[Point Estimate (CY14$)], Model[Estimate Type], "IC*", Model[Phase], K$3)</f>
        <v>0</v>
      </c>
      <c r="L30" s="9">
        <f>SUMIFS(Model[Point Estimate (CY14$)], Model[Estimate Type], "IC*", Model[Phase], L$3)</f>
        <v>0</v>
      </c>
      <c r="M30" s="9">
        <f>SUMIFS(Model[Point Estimate (CY14$)], Model[Estimate Type], "IC*", Model[Phase], M$3)</f>
        <v>0</v>
      </c>
      <c r="N30" s="9">
        <f>SUMIFS(Model[Point Estimate (CY14$)], Model[Estimate Type], "IC*", Model[Phase], N$3)</f>
        <v>0</v>
      </c>
      <c r="O30" s="9">
        <f>SUMIFS(Model[Point Estimate (CY14$)], Model[Estimate Type], "IC*", Model[Phase], O$3)</f>
        <v>0</v>
      </c>
      <c r="P30" s="9">
        <f>SUMIFS(Model[Point Estimate (CY14$)], Model[Estimate Type], "IC*", Model[Phase], P$3)</f>
        <v>0</v>
      </c>
      <c r="R30" s="11">
        <f t="shared" si="5"/>
        <v>0</v>
      </c>
      <c r="S30" s="8">
        <f t="shared" si="1"/>
        <v>0</v>
      </c>
      <c r="T30" s="9">
        <f>SUMIFS(Model[Mean Estimate (CY14$)], Model[Estimate Type], "IC*", Model[Phase], T$3)</f>
        <v>0</v>
      </c>
      <c r="U30" s="9">
        <f>SUMIFS(Model[Mean Estimate (CY14$)], Model[Estimate Type], "IC*", Model[Phase], U$3)</f>
        <v>0</v>
      </c>
      <c r="V30" s="9">
        <f>SUMIFS(Model[Mean Estimate (CY14$)], Model[Estimate Type], "IC*", Model[Phase], V$3)</f>
        <v>0</v>
      </c>
      <c r="W30" s="9">
        <f>SUMIFS(Model[Mean Estimate (CY14$)], Model[Estimate Type], "IC*", Model[Phase], W$3)</f>
        <v>0</v>
      </c>
      <c r="X30" s="9">
        <f>SUMIFS(Model[Mean Estimate (CY14$)], Model[Estimate Type], "IC*", Model[Phase], X$3)</f>
        <v>0</v>
      </c>
      <c r="Y30" s="9">
        <f>SUMIFS(Model[Mean Estimate (CY14$)], Model[Estimate Type], "IC*", Model[Phase], Y$3)</f>
        <v>0</v>
      </c>
      <c r="AA30" s="11">
        <f t="shared" si="6"/>
        <v>0</v>
      </c>
      <c r="AB30" s="8">
        <f t="shared" si="2"/>
        <v>0</v>
      </c>
      <c r="AC30" s="9">
        <f>SUMIFS(Model[Point Estimate (TY$)], Model[Estimate Type], "IC*", Model[Phase], AC$3)</f>
        <v>0</v>
      </c>
      <c r="AD30" s="9">
        <f>SUMIFS(Model[Point Estimate (TY$)], Model[Estimate Type], "IC*", Model[Phase], AD$3)</f>
        <v>0</v>
      </c>
      <c r="AE30" s="9">
        <f>SUMIFS(Model[Point Estimate (TY$)], Model[Estimate Type], "IC*", Model[Phase], AE$3)</f>
        <v>0</v>
      </c>
      <c r="AF30" s="9">
        <f>SUMIFS(Model[Point Estimate (TY$)], Model[Estimate Type], "IC*", Model[Phase], AF$3)</f>
        <v>0</v>
      </c>
      <c r="AG30" s="9">
        <f>SUMIFS(Model[Point Estimate (TY$)], Model[Estimate Type], "IC*", Model[Phase], AG$3)</f>
        <v>0</v>
      </c>
      <c r="AH30" s="9">
        <f>SUMIFS(Model[Point Estimate (TY$)], Model[Estimate Type], "IC*", Model[Phase], AH$3)</f>
        <v>0</v>
      </c>
      <c r="AJ30" s="11">
        <f t="shared" si="7"/>
        <v>0</v>
      </c>
      <c r="AK30" s="8">
        <f t="shared" si="3"/>
        <v>0</v>
      </c>
      <c r="AL30" s="9">
        <f>SUMIFS(Model[Mean Estimate (TY$)], Model[Estimate Type], "IC*", Model[Phase], AL$3)</f>
        <v>0</v>
      </c>
      <c r="AM30" s="9">
        <f>SUMIFS(Model[Mean Estimate (TY$)], Model[Estimate Type], "IC*", Model[Phase], AM$3)</f>
        <v>0</v>
      </c>
      <c r="AN30" s="9">
        <f>SUMIFS(Model[Mean Estimate (TY$)], Model[Estimate Type], "IC*", Model[Phase], AN$3)</f>
        <v>0</v>
      </c>
      <c r="AO30" s="9">
        <f>SUMIFS(Model[Mean Estimate (TY$)], Model[Estimate Type], "IC*", Model[Phase], AO$3)</f>
        <v>0</v>
      </c>
      <c r="AP30" s="9">
        <f>SUMIFS(Model[Mean Estimate (TY$)], Model[Estimate Type], "IC*", Model[Phase], AP$3)</f>
        <v>0</v>
      </c>
      <c r="AQ30" s="9">
        <f>SUMIFS(Model[Mean Estimate (TY$)], Model[Estimate Type], "IC*", Model[Phase], AQ$3)</f>
        <v>0</v>
      </c>
    </row>
    <row r="31" spans="1:43">
      <c r="A31" s="1"/>
      <c r="B31" s="6">
        <v>27</v>
      </c>
      <c r="C31" s="6"/>
      <c r="D31" s="6"/>
      <c r="E31" s="6"/>
      <c r="F31" s="10"/>
      <c r="G31" s="7"/>
      <c r="H31" s="6"/>
      <c r="I31" s="11">
        <f t="shared" si="4"/>
        <v>0</v>
      </c>
      <c r="J31" s="8">
        <f t="shared" si="0"/>
        <v>0</v>
      </c>
      <c r="K31" s="9">
        <f>SUMIFS(Model[Point Estimate (CY14$)], Model[Estimate Type], "IC*", Model[Phase], K$3)</f>
        <v>0</v>
      </c>
      <c r="L31" s="9">
        <f>SUMIFS(Model[Point Estimate (CY14$)], Model[Estimate Type], "IC*", Model[Phase], L$3)</f>
        <v>0</v>
      </c>
      <c r="M31" s="9">
        <f>SUMIFS(Model[Point Estimate (CY14$)], Model[Estimate Type], "IC*", Model[Phase], M$3)</f>
        <v>0</v>
      </c>
      <c r="N31" s="9">
        <f>SUMIFS(Model[Point Estimate (CY14$)], Model[Estimate Type], "IC*", Model[Phase], N$3)</f>
        <v>0</v>
      </c>
      <c r="O31" s="9">
        <f>SUMIFS(Model[Point Estimate (CY14$)], Model[Estimate Type], "IC*", Model[Phase], O$3)</f>
        <v>0</v>
      </c>
      <c r="P31" s="9">
        <f>SUMIFS(Model[Point Estimate (CY14$)], Model[Estimate Type], "IC*", Model[Phase], P$3)</f>
        <v>0</v>
      </c>
      <c r="R31" s="11">
        <f t="shared" si="5"/>
        <v>0</v>
      </c>
      <c r="S31" s="8">
        <f t="shared" si="1"/>
        <v>0</v>
      </c>
      <c r="T31" s="9">
        <f>SUMIFS(Model[Mean Estimate (CY14$)], Model[Estimate Type], "IC*", Model[Phase], T$3)</f>
        <v>0</v>
      </c>
      <c r="U31" s="9">
        <f>SUMIFS(Model[Mean Estimate (CY14$)], Model[Estimate Type], "IC*", Model[Phase], U$3)</f>
        <v>0</v>
      </c>
      <c r="V31" s="9">
        <f>SUMIFS(Model[Mean Estimate (CY14$)], Model[Estimate Type], "IC*", Model[Phase], V$3)</f>
        <v>0</v>
      </c>
      <c r="W31" s="9">
        <f>SUMIFS(Model[Mean Estimate (CY14$)], Model[Estimate Type], "IC*", Model[Phase], W$3)</f>
        <v>0</v>
      </c>
      <c r="X31" s="9">
        <f>SUMIFS(Model[Mean Estimate (CY14$)], Model[Estimate Type], "IC*", Model[Phase], X$3)</f>
        <v>0</v>
      </c>
      <c r="Y31" s="9">
        <f>SUMIFS(Model[Mean Estimate (CY14$)], Model[Estimate Type], "IC*", Model[Phase], Y$3)</f>
        <v>0</v>
      </c>
      <c r="AA31" s="11">
        <f t="shared" si="6"/>
        <v>0</v>
      </c>
      <c r="AB31" s="8">
        <f t="shared" si="2"/>
        <v>0</v>
      </c>
      <c r="AC31" s="9">
        <f>SUMIFS(Model[Point Estimate (TY$)], Model[Estimate Type], "IC*", Model[Phase], AC$3)</f>
        <v>0</v>
      </c>
      <c r="AD31" s="9">
        <f>SUMIFS(Model[Point Estimate (TY$)], Model[Estimate Type], "IC*", Model[Phase], AD$3)</f>
        <v>0</v>
      </c>
      <c r="AE31" s="9">
        <f>SUMIFS(Model[Point Estimate (TY$)], Model[Estimate Type], "IC*", Model[Phase], AE$3)</f>
        <v>0</v>
      </c>
      <c r="AF31" s="9">
        <f>SUMIFS(Model[Point Estimate (TY$)], Model[Estimate Type], "IC*", Model[Phase], AF$3)</f>
        <v>0</v>
      </c>
      <c r="AG31" s="9">
        <f>SUMIFS(Model[Point Estimate (TY$)], Model[Estimate Type], "IC*", Model[Phase], AG$3)</f>
        <v>0</v>
      </c>
      <c r="AH31" s="9">
        <f>SUMIFS(Model[Point Estimate (TY$)], Model[Estimate Type], "IC*", Model[Phase], AH$3)</f>
        <v>0</v>
      </c>
      <c r="AJ31" s="11">
        <f t="shared" si="7"/>
        <v>0</v>
      </c>
      <c r="AK31" s="8">
        <f t="shared" si="3"/>
        <v>0</v>
      </c>
      <c r="AL31" s="9">
        <f>SUMIFS(Model[Mean Estimate (TY$)], Model[Estimate Type], "IC*", Model[Phase], AL$3)</f>
        <v>0</v>
      </c>
      <c r="AM31" s="9">
        <f>SUMIFS(Model[Mean Estimate (TY$)], Model[Estimate Type], "IC*", Model[Phase], AM$3)</f>
        <v>0</v>
      </c>
      <c r="AN31" s="9">
        <f>SUMIFS(Model[Mean Estimate (TY$)], Model[Estimate Type], "IC*", Model[Phase], AN$3)</f>
        <v>0</v>
      </c>
      <c r="AO31" s="9">
        <f>SUMIFS(Model[Mean Estimate (TY$)], Model[Estimate Type], "IC*", Model[Phase], AO$3)</f>
        <v>0</v>
      </c>
      <c r="AP31" s="9">
        <f>SUMIFS(Model[Mean Estimate (TY$)], Model[Estimate Type], "IC*", Model[Phase], AP$3)</f>
        <v>0</v>
      </c>
      <c r="AQ31" s="9">
        <f>SUMIFS(Model[Mean Estimate (TY$)], Model[Estimate Type], "IC*", Model[Phase], AQ$3)</f>
        <v>0</v>
      </c>
    </row>
    <row r="32" spans="1:43">
      <c r="A32" s="1"/>
      <c r="B32" s="6">
        <v>28</v>
      </c>
      <c r="C32" s="6"/>
      <c r="D32" s="6"/>
      <c r="E32" s="6"/>
      <c r="F32" s="10"/>
      <c r="G32" s="7"/>
      <c r="H32" s="6"/>
      <c r="I32" s="11">
        <f t="shared" si="4"/>
        <v>0</v>
      </c>
      <c r="J32" s="8">
        <f t="shared" si="0"/>
        <v>0</v>
      </c>
      <c r="K32" s="9">
        <f>SUMIFS(Model[Point Estimate (CY14$)], Model[Estimate Type], "IC*", Model[Phase], K$3)</f>
        <v>0</v>
      </c>
      <c r="L32" s="9">
        <f>SUMIFS(Model[Point Estimate (CY14$)], Model[Estimate Type], "IC*", Model[Phase], L$3)</f>
        <v>0</v>
      </c>
      <c r="M32" s="9">
        <f>SUMIFS(Model[Point Estimate (CY14$)], Model[Estimate Type], "IC*", Model[Phase], M$3)</f>
        <v>0</v>
      </c>
      <c r="N32" s="9">
        <f>SUMIFS(Model[Point Estimate (CY14$)], Model[Estimate Type], "IC*", Model[Phase], N$3)</f>
        <v>0</v>
      </c>
      <c r="O32" s="9">
        <f>SUMIFS(Model[Point Estimate (CY14$)], Model[Estimate Type], "IC*", Model[Phase], O$3)</f>
        <v>0</v>
      </c>
      <c r="P32" s="9">
        <f>SUMIFS(Model[Point Estimate (CY14$)], Model[Estimate Type], "IC*", Model[Phase], P$3)</f>
        <v>0</v>
      </c>
      <c r="R32" s="11">
        <f t="shared" si="5"/>
        <v>0</v>
      </c>
      <c r="S32" s="8">
        <f t="shared" si="1"/>
        <v>0</v>
      </c>
      <c r="T32" s="9">
        <f>SUMIFS(Model[Mean Estimate (CY14$)], Model[Estimate Type], "IC*", Model[Phase], T$3)</f>
        <v>0</v>
      </c>
      <c r="U32" s="9">
        <f>SUMIFS(Model[Mean Estimate (CY14$)], Model[Estimate Type], "IC*", Model[Phase], U$3)</f>
        <v>0</v>
      </c>
      <c r="V32" s="9">
        <f>SUMIFS(Model[Mean Estimate (CY14$)], Model[Estimate Type], "IC*", Model[Phase], V$3)</f>
        <v>0</v>
      </c>
      <c r="W32" s="9">
        <f>SUMIFS(Model[Mean Estimate (CY14$)], Model[Estimate Type], "IC*", Model[Phase], W$3)</f>
        <v>0</v>
      </c>
      <c r="X32" s="9">
        <f>SUMIFS(Model[Mean Estimate (CY14$)], Model[Estimate Type], "IC*", Model[Phase], X$3)</f>
        <v>0</v>
      </c>
      <c r="Y32" s="9">
        <f>SUMIFS(Model[Mean Estimate (CY14$)], Model[Estimate Type], "IC*", Model[Phase], Y$3)</f>
        <v>0</v>
      </c>
      <c r="AA32" s="11">
        <f t="shared" si="6"/>
        <v>0</v>
      </c>
      <c r="AB32" s="8">
        <f t="shared" si="2"/>
        <v>0</v>
      </c>
      <c r="AC32" s="9">
        <f>SUMIFS(Model[Point Estimate (TY$)], Model[Estimate Type], "IC*", Model[Phase], AC$3)</f>
        <v>0</v>
      </c>
      <c r="AD32" s="9">
        <f>SUMIFS(Model[Point Estimate (TY$)], Model[Estimate Type], "IC*", Model[Phase], AD$3)</f>
        <v>0</v>
      </c>
      <c r="AE32" s="9">
        <f>SUMIFS(Model[Point Estimate (TY$)], Model[Estimate Type], "IC*", Model[Phase], AE$3)</f>
        <v>0</v>
      </c>
      <c r="AF32" s="9">
        <f>SUMIFS(Model[Point Estimate (TY$)], Model[Estimate Type], "IC*", Model[Phase], AF$3)</f>
        <v>0</v>
      </c>
      <c r="AG32" s="9">
        <f>SUMIFS(Model[Point Estimate (TY$)], Model[Estimate Type], "IC*", Model[Phase], AG$3)</f>
        <v>0</v>
      </c>
      <c r="AH32" s="9">
        <f>SUMIFS(Model[Point Estimate (TY$)], Model[Estimate Type], "IC*", Model[Phase], AH$3)</f>
        <v>0</v>
      </c>
      <c r="AJ32" s="11">
        <f t="shared" si="7"/>
        <v>0</v>
      </c>
      <c r="AK32" s="8">
        <f t="shared" si="3"/>
        <v>0</v>
      </c>
      <c r="AL32" s="9">
        <f>SUMIFS(Model[Mean Estimate (TY$)], Model[Estimate Type], "IC*", Model[Phase], AL$3)</f>
        <v>0</v>
      </c>
      <c r="AM32" s="9">
        <f>SUMIFS(Model[Mean Estimate (TY$)], Model[Estimate Type], "IC*", Model[Phase], AM$3)</f>
        <v>0</v>
      </c>
      <c r="AN32" s="9">
        <f>SUMIFS(Model[Mean Estimate (TY$)], Model[Estimate Type], "IC*", Model[Phase], AN$3)</f>
        <v>0</v>
      </c>
      <c r="AO32" s="9">
        <f>SUMIFS(Model[Mean Estimate (TY$)], Model[Estimate Type], "IC*", Model[Phase], AO$3)</f>
        <v>0</v>
      </c>
      <c r="AP32" s="9">
        <f>SUMIFS(Model[Mean Estimate (TY$)], Model[Estimate Type], "IC*", Model[Phase], AP$3)</f>
        <v>0</v>
      </c>
      <c r="AQ32" s="9">
        <f>SUMIFS(Model[Mean Estimate (TY$)], Model[Estimate Type], "IC*", Model[Phase], AQ$3)</f>
        <v>0</v>
      </c>
    </row>
    <row r="33" spans="1:43">
      <c r="A33" s="1"/>
      <c r="B33" s="6">
        <v>29</v>
      </c>
      <c r="C33" s="6"/>
      <c r="D33" s="6"/>
      <c r="E33" s="6"/>
      <c r="F33" s="10"/>
      <c r="G33" s="7"/>
      <c r="H33" s="6"/>
      <c r="I33" s="11">
        <f t="shared" si="4"/>
        <v>0</v>
      </c>
      <c r="J33" s="8">
        <f t="shared" si="0"/>
        <v>0</v>
      </c>
      <c r="K33" s="9">
        <f>SUMIFS(Model[Point Estimate (CY14$)], Model[Estimate Type], "IC*", Model[Phase], K$3)</f>
        <v>0</v>
      </c>
      <c r="L33" s="9">
        <f>SUMIFS(Model[Point Estimate (CY14$)], Model[Estimate Type], "IC*", Model[Phase], L$3)</f>
        <v>0</v>
      </c>
      <c r="M33" s="9">
        <f>SUMIFS(Model[Point Estimate (CY14$)], Model[Estimate Type], "IC*", Model[Phase], M$3)</f>
        <v>0</v>
      </c>
      <c r="N33" s="9">
        <f>SUMIFS(Model[Point Estimate (CY14$)], Model[Estimate Type], "IC*", Model[Phase], N$3)</f>
        <v>0</v>
      </c>
      <c r="O33" s="9">
        <f>SUMIFS(Model[Point Estimate (CY14$)], Model[Estimate Type], "IC*", Model[Phase], O$3)</f>
        <v>0</v>
      </c>
      <c r="P33" s="9">
        <f>SUMIFS(Model[Point Estimate (CY14$)], Model[Estimate Type], "IC*", Model[Phase], P$3)</f>
        <v>0</v>
      </c>
      <c r="R33" s="11">
        <f t="shared" si="5"/>
        <v>0</v>
      </c>
      <c r="S33" s="8">
        <f t="shared" si="1"/>
        <v>0</v>
      </c>
      <c r="T33" s="9">
        <f>SUMIFS(Model[Mean Estimate (CY14$)], Model[Estimate Type], "IC*", Model[Phase], T$3)</f>
        <v>0</v>
      </c>
      <c r="U33" s="9">
        <f>SUMIFS(Model[Mean Estimate (CY14$)], Model[Estimate Type], "IC*", Model[Phase], U$3)</f>
        <v>0</v>
      </c>
      <c r="V33" s="9">
        <f>SUMIFS(Model[Mean Estimate (CY14$)], Model[Estimate Type], "IC*", Model[Phase], V$3)</f>
        <v>0</v>
      </c>
      <c r="W33" s="9">
        <f>SUMIFS(Model[Mean Estimate (CY14$)], Model[Estimate Type], "IC*", Model[Phase], W$3)</f>
        <v>0</v>
      </c>
      <c r="X33" s="9">
        <f>SUMIFS(Model[Mean Estimate (CY14$)], Model[Estimate Type], "IC*", Model[Phase], X$3)</f>
        <v>0</v>
      </c>
      <c r="Y33" s="9">
        <f>SUMIFS(Model[Mean Estimate (CY14$)], Model[Estimate Type], "IC*", Model[Phase], Y$3)</f>
        <v>0</v>
      </c>
      <c r="AA33" s="11">
        <f t="shared" si="6"/>
        <v>0</v>
      </c>
      <c r="AB33" s="8">
        <f t="shared" si="2"/>
        <v>0</v>
      </c>
      <c r="AC33" s="9">
        <f>SUMIFS(Model[Point Estimate (TY$)], Model[Estimate Type], "IC*", Model[Phase], AC$3)</f>
        <v>0</v>
      </c>
      <c r="AD33" s="9">
        <f>SUMIFS(Model[Point Estimate (TY$)], Model[Estimate Type], "IC*", Model[Phase], AD$3)</f>
        <v>0</v>
      </c>
      <c r="AE33" s="9">
        <f>SUMIFS(Model[Point Estimate (TY$)], Model[Estimate Type], "IC*", Model[Phase], AE$3)</f>
        <v>0</v>
      </c>
      <c r="AF33" s="9">
        <f>SUMIFS(Model[Point Estimate (TY$)], Model[Estimate Type], "IC*", Model[Phase], AF$3)</f>
        <v>0</v>
      </c>
      <c r="AG33" s="9">
        <f>SUMIFS(Model[Point Estimate (TY$)], Model[Estimate Type], "IC*", Model[Phase], AG$3)</f>
        <v>0</v>
      </c>
      <c r="AH33" s="9">
        <f>SUMIFS(Model[Point Estimate (TY$)], Model[Estimate Type], "IC*", Model[Phase], AH$3)</f>
        <v>0</v>
      </c>
      <c r="AJ33" s="11">
        <f t="shared" si="7"/>
        <v>0</v>
      </c>
      <c r="AK33" s="8">
        <f t="shared" si="3"/>
        <v>0</v>
      </c>
      <c r="AL33" s="9">
        <f>SUMIFS(Model[Mean Estimate (TY$)], Model[Estimate Type], "IC*", Model[Phase], AL$3)</f>
        <v>0</v>
      </c>
      <c r="AM33" s="9">
        <f>SUMIFS(Model[Mean Estimate (TY$)], Model[Estimate Type], "IC*", Model[Phase], AM$3)</f>
        <v>0</v>
      </c>
      <c r="AN33" s="9">
        <f>SUMIFS(Model[Mean Estimate (TY$)], Model[Estimate Type], "IC*", Model[Phase], AN$3)</f>
        <v>0</v>
      </c>
      <c r="AO33" s="9">
        <f>SUMIFS(Model[Mean Estimate (TY$)], Model[Estimate Type], "IC*", Model[Phase], AO$3)</f>
        <v>0</v>
      </c>
      <c r="AP33" s="9">
        <f>SUMIFS(Model[Mean Estimate (TY$)], Model[Estimate Type], "IC*", Model[Phase], AP$3)</f>
        <v>0</v>
      </c>
      <c r="AQ33" s="9">
        <f>SUMIFS(Model[Mean Estimate (TY$)], Model[Estimate Type], "IC*", Model[Phase], AQ$3)</f>
        <v>0</v>
      </c>
    </row>
    <row r="34" spans="1:43">
      <c r="A34" s="1"/>
      <c r="B34" s="6">
        <v>30</v>
      </c>
      <c r="C34" s="6"/>
      <c r="D34" s="6"/>
      <c r="E34" s="6"/>
      <c r="F34" s="10"/>
      <c r="G34" s="7"/>
      <c r="H34" s="6"/>
      <c r="I34" s="11">
        <f t="shared" si="4"/>
        <v>0</v>
      </c>
      <c r="J34" s="8">
        <f t="shared" si="0"/>
        <v>0</v>
      </c>
      <c r="K34" s="9">
        <f>SUMIFS(Model[Point Estimate (CY14$)], Model[Estimate Type], "IC*", Model[Phase], K$3)</f>
        <v>0</v>
      </c>
      <c r="L34" s="9">
        <f>SUMIFS(Model[Point Estimate (CY14$)], Model[Estimate Type], "IC*", Model[Phase], L$3)</f>
        <v>0</v>
      </c>
      <c r="M34" s="9">
        <f>SUMIFS(Model[Point Estimate (CY14$)], Model[Estimate Type], "IC*", Model[Phase], M$3)</f>
        <v>0</v>
      </c>
      <c r="N34" s="9">
        <f>SUMIFS(Model[Point Estimate (CY14$)], Model[Estimate Type], "IC*", Model[Phase], N$3)</f>
        <v>0</v>
      </c>
      <c r="O34" s="9">
        <f>SUMIFS(Model[Point Estimate (CY14$)], Model[Estimate Type], "IC*", Model[Phase], O$3)</f>
        <v>0</v>
      </c>
      <c r="P34" s="9">
        <f>SUMIFS(Model[Point Estimate (CY14$)], Model[Estimate Type], "IC*", Model[Phase], P$3)</f>
        <v>0</v>
      </c>
      <c r="R34" s="11">
        <f t="shared" si="5"/>
        <v>0</v>
      </c>
      <c r="S34" s="8">
        <f t="shared" si="1"/>
        <v>0</v>
      </c>
      <c r="T34" s="9">
        <f>SUMIFS(Model[Mean Estimate (CY14$)], Model[Estimate Type], "IC*", Model[Phase], T$3)</f>
        <v>0</v>
      </c>
      <c r="U34" s="9">
        <f>SUMIFS(Model[Mean Estimate (CY14$)], Model[Estimate Type], "IC*", Model[Phase], U$3)</f>
        <v>0</v>
      </c>
      <c r="V34" s="9">
        <f>SUMIFS(Model[Mean Estimate (CY14$)], Model[Estimate Type], "IC*", Model[Phase], V$3)</f>
        <v>0</v>
      </c>
      <c r="W34" s="9">
        <f>SUMIFS(Model[Mean Estimate (CY14$)], Model[Estimate Type], "IC*", Model[Phase], W$3)</f>
        <v>0</v>
      </c>
      <c r="X34" s="9">
        <f>SUMIFS(Model[Mean Estimate (CY14$)], Model[Estimate Type], "IC*", Model[Phase], X$3)</f>
        <v>0</v>
      </c>
      <c r="Y34" s="9">
        <f>SUMIFS(Model[Mean Estimate (CY14$)], Model[Estimate Type], "IC*", Model[Phase], Y$3)</f>
        <v>0</v>
      </c>
      <c r="AA34" s="11">
        <f t="shared" si="6"/>
        <v>0</v>
      </c>
      <c r="AB34" s="8">
        <f t="shared" si="2"/>
        <v>0</v>
      </c>
      <c r="AC34" s="9">
        <f>SUMIFS(Model[Point Estimate (TY$)], Model[Estimate Type], "IC*", Model[Phase], AC$3)</f>
        <v>0</v>
      </c>
      <c r="AD34" s="9">
        <f>SUMIFS(Model[Point Estimate (TY$)], Model[Estimate Type], "IC*", Model[Phase], AD$3)</f>
        <v>0</v>
      </c>
      <c r="AE34" s="9">
        <f>SUMIFS(Model[Point Estimate (TY$)], Model[Estimate Type], "IC*", Model[Phase], AE$3)</f>
        <v>0</v>
      </c>
      <c r="AF34" s="9">
        <f>SUMIFS(Model[Point Estimate (TY$)], Model[Estimate Type], "IC*", Model[Phase], AF$3)</f>
        <v>0</v>
      </c>
      <c r="AG34" s="9">
        <f>SUMIFS(Model[Point Estimate (TY$)], Model[Estimate Type], "IC*", Model[Phase], AG$3)</f>
        <v>0</v>
      </c>
      <c r="AH34" s="9">
        <f>SUMIFS(Model[Point Estimate (TY$)], Model[Estimate Type], "IC*", Model[Phase], AH$3)</f>
        <v>0</v>
      </c>
      <c r="AJ34" s="11">
        <f t="shared" si="7"/>
        <v>0</v>
      </c>
      <c r="AK34" s="8">
        <f t="shared" si="3"/>
        <v>0</v>
      </c>
      <c r="AL34" s="9">
        <f>SUMIFS(Model[Mean Estimate (TY$)], Model[Estimate Type], "IC*", Model[Phase], AL$3)</f>
        <v>0</v>
      </c>
      <c r="AM34" s="9">
        <f>SUMIFS(Model[Mean Estimate (TY$)], Model[Estimate Type], "IC*", Model[Phase], AM$3)</f>
        <v>0</v>
      </c>
      <c r="AN34" s="9">
        <f>SUMIFS(Model[Mean Estimate (TY$)], Model[Estimate Type], "IC*", Model[Phase], AN$3)</f>
        <v>0</v>
      </c>
      <c r="AO34" s="9">
        <f>SUMIFS(Model[Mean Estimate (TY$)], Model[Estimate Type], "IC*", Model[Phase], AO$3)</f>
        <v>0</v>
      </c>
      <c r="AP34" s="9">
        <f>SUMIFS(Model[Mean Estimate (TY$)], Model[Estimate Type], "IC*", Model[Phase], AP$3)</f>
        <v>0</v>
      </c>
      <c r="AQ34" s="9">
        <f>SUMIFS(Model[Mean Estimate (TY$)], Model[Estimate Type], "IC*", Model[Phase], AQ$3)</f>
        <v>0</v>
      </c>
    </row>
    <row r="40" spans="1:43">
      <c r="A40" t="s">
        <v>587</v>
      </c>
      <c r="G40" s="234"/>
    </row>
    <row r="41" spans="1:43">
      <c r="C41" s="1" t="s">
        <v>161</v>
      </c>
      <c r="G41" s="234"/>
    </row>
    <row r="42" spans="1:43">
      <c r="C42" s="1" t="s">
        <v>589</v>
      </c>
      <c r="G42" s="234"/>
    </row>
    <row r="43" spans="1:43">
      <c r="C43" s="1" t="s">
        <v>389</v>
      </c>
      <c r="D43" s="129" t="s">
        <v>588</v>
      </c>
      <c r="G43" s="235"/>
    </row>
    <row r="44" spans="1:43">
      <c r="G44" s="235"/>
    </row>
    <row r="45" spans="1:43">
      <c r="G45" s="235"/>
    </row>
    <row r="48" spans="1:43">
      <c r="G48" s="235"/>
    </row>
  </sheetData>
  <dataValidations count="1">
    <dataValidation type="list" allowBlank="1" showInputMessage="1" showErrorMessage="1" sqref="D5:D34">
      <formula1>"Economic, Quantity, Schedule, Engineering, Estimating, Other, Support"</formula1>
    </dataValidation>
  </dataValidations>
  <hyperlinks>
    <hyperlink ref="A1" location="'TOC'!A1" display="TO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28"/>
  <sheetViews>
    <sheetView workbookViewId="0">
      <selection activeCell="B11" sqref="B11:B26"/>
    </sheetView>
  </sheetViews>
  <sheetFormatPr defaultRowHeight="15.5"/>
  <cols>
    <col min="1" max="2" width="36.58203125" customWidth="1"/>
  </cols>
  <sheetData>
    <row r="1" spans="1:3">
      <c r="A1" s="193" t="s">
        <v>294</v>
      </c>
    </row>
    <row r="3" spans="1:3">
      <c r="A3" t="s">
        <v>295</v>
      </c>
      <c r="B3" t="s">
        <v>296</v>
      </c>
      <c r="C3">
        <v>0</v>
      </c>
    </row>
    <row r="4" spans="1:3">
      <c r="A4" t="s">
        <v>297</v>
      </c>
    </row>
    <row r="5" spans="1:3">
      <c r="A5" t="s">
        <v>298</v>
      </c>
    </row>
    <row r="7" spans="1:3">
      <c r="A7" s="193" t="s">
        <v>299</v>
      </c>
      <c r="B7" t="s">
        <v>300</v>
      </c>
    </row>
    <row r="8" spans="1:3">
      <c r="B8">
        <v>1</v>
      </c>
    </row>
    <row r="10" spans="1:3">
      <c r="A10" t="s">
        <v>301</v>
      </c>
    </row>
    <row r="11" spans="1:3">
      <c r="A11" t="e">
        <f>CB_DATA_!#REF!</f>
        <v>#REF!</v>
      </c>
    </row>
    <row r="13" spans="1:3">
      <c r="A13" t="s">
        <v>302</v>
      </c>
    </row>
    <row r="14" spans="1:3">
      <c r="A14" t="s">
        <v>510</v>
      </c>
    </row>
    <row r="16" spans="1:3">
      <c r="A16" t="s">
        <v>303</v>
      </c>
    </row>
    <row r="19" spans="1:1">
      <c r="A19" t="s">
        <v>304</v>
      </c>
    </row>
    <row r="20" spans="1:1">
      <c r="A20">
        <v>28</v>
      </c>
    </row>
    <row r="25" spans="1:1">
      <c r="A25" s="193" t="s">
        <v>305</v>
      </c>
    </row>
    <row r="26" spans="1:1">
      <c r="A26" s="324" t="s">
        <v>511</v>
      </c>
    </row>
    <row r="27" spans="1:1">
      <c r="A27" t="s">
        <v>512</v>
      </c>
    </row>
    <row r="28" spans="1:1">
      <c r="A28" s="324" t="s">
        <v>513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499984740745262"/>
    <outlinePr summaryBelow="0" summaryRight="0"/>
    <pageSetUpPr fitToPage="1"/>
  </sheetPr>
  <dimension ref="A1:JQ16"/>
  <sheetViews>
    <sheetView showGridLines="0" tabSelected="1" zoomScale="108" zoomScaleNormal="108" workbookViewId="0">
      <selection activeCell="U4" sqref="U4"/>
    </sheetView>
  </sheetViews>
  <sheetFormatPr defaultColWidth="9" defaultRowHeight="15.5" outlineLevelCol="2"/>
  <cols>
    <col min="1" max="1" width="0.25" style="194" customWidth="1"/>
    <col min="2" max="2" width="8.5" style="194" hidden="1" customWidth="1" collapsed="1"/>
    <col min="3" max="3" width="14.33203125" style="194" hidden="1" customWidth="1" outlineLevel="1"/>
    <col min="4" max="4" width="13.83203125" style="194" hidden="1" customWidth="1" outlineLevel="1"/>
    <col min="5" max="5" width="13.58203125" style="194" hidden="1" customWidth="1" outlineLevel="1"/>
    <col min="6" max="6" width="17.08203125" style="194" hidden="1" customWidth="1" outlineLevel="1"/>
    <col min="7" max="7" width="11.75" style="194" hidden="1" customWidth="1" outlineLevel="1"/>
    <col min="8" max="14" width="12.33203125" style="194" hidden="1" customWidth="1" outlineLevel="1"/>
    <col min="15" max="15" width="14.58203125" style="194" hidden="1" customWidth="1" outlineLevel="1"/>
    <col min="16" max="16" width="17.25" style="194" hidden="1" customWidth="1" outlineLevel="1"/>
    <col min="17" max="17" width="40" style="194" hidden="1" customWidth="1" outlineLevel="1"/>
    <col min="18" max="18" width="32" style="196" hidden="1" customWidth="1" outlineLevel="1"/>
    <col min="19" max="19" width="38" style="194" hidden="1" customWidth="1" outlineLevel="1" collapsed="1"/>
    <col min="20" max="20" width="31.33203125" style="194" hidden="1" customWidth="1" outlineLevel="1"/>
    <col min="21" max="21" width="12.08203125" style="194" customWidth="1" outlineLevel="1" collapsed="1"/>
    <col min="22" max="22" width="13.58203125" style="194" hidden="1" customWidth="1" outlineLevel="2"/>
    <col min="23" max="23" width="11.83203125" style="194" hidden="1" customWidth="1" outlineLevel="2"/>
    <col min="24" max="24" width="11.5" style="194" hidden="1" customWidth="1" outlineLevel="2"/>
    <col min="25" max="25" width="11.75" style="194" hidden="1" customWidth="1" outlineLevel="2"/>
    <col min="26" max="26" width="11" style="194" customWidth="1"/>
    <col min="27" max="27" width="38.25" style="194" customWidth="1"/>
    <col min="28" max="28" width="11.08203125" style="194" customWidth="1"/>
    <col min="29" max="29" width="11.58203125" style="194" customWidth="1"/>
    <col min="30" max="30" width="10.25" style="194" customWidth="1"/>
    <col min="31" max="31" width="6" style="194" hidden="1" customWidth="1" collapsed="1"/>
    <col min="32" max="32" width="12.58203125" style="194" hidden="1" customWidth="1" outlineLevel="1" collapsed="1"/>
    <col min="33" max="33" width="11.75" style="194" hidden="1" customWidth="1" outlineLevel="1"/>
    <col min="34" max="34" width="12.33203125" style="194" hidden="1" customWidth="1" outlineLevel="1"/>
    <col min="35" max="35" width="13.33203125" style="194" hidden="1" customWidth="1" outlineLevel="1"/>
    <col min="36" max="36" width="13.83203125" style="194" hidden="1" customWidth="1" outlineLevel="1" collapsed="1"/>
    <col min="37" max="37" width="11.83203125" style="194" hidden="1" customWidth="1" outlineLevel="1"/>
    <col min="38" max="38" width="0.33203125" customWidth="1" collapsed="1"/>
    <col min="39" max="39" width="7.58203125" hidden="1" customWidth="1" outlineLevel="1"/>
    <col min="40" max="40" width="7.08203125" hidden="1" customWidth="1" outlineLevel="1"/>
    <col min="41" max="48" width="7.58203125" hidden="1" customWidth="1" outlineLevel="1"/>
    <col min="49" max="55" width="8.25" hidden="1" customWidth="1" outlineLevel="1"/>
    <col min="56" max="61" width="12" style="130" customWidth="1"/>
    <col min="62" max="62" width="12" style="130" customWidth="1" collapsed="1"/>
    <col min="63" max="86" width="8.83203125" style="130" hidden="1" customWidth="1" outlineLevel="1"/>
    <col min="87" max="87" width="8.83203125" style="130" hidden="1" customWidth="1" outlineLevel="1" collapsed="1"/>
    <col min="88" max="92" width="8.83203125" style="130" hidden="1" customWidth="1" outlineLevel="1"/>
    <col min="93" max="97" width="8.83203125" style="133" hidden="1" customWidth="1" outlineLevel="1"/>
    <col min="98" max="98" width="8.83203125" style="133" hidden="1" customWidth="1" outlineLevel="1" collapsed="1"/>
    <col min="99" max="155" width="8.83203125" style="133" hidden="1" customWidth="1" outlineLevel="1"/>
    <col min="156" max="156" width="0.25" style="133" customWidth="1" collapsed="1"/>
    <col min="157" max="173" width="8.83203125" style="133" hidden="1" customWidth="1" outlineLevel="1"/>
    <col min="174" max="179" width="12" style="133" customWidth="1"/>
    <col min="180" max="180" width="12" style="133" customWidth="1" collapsed="1"/>
    <col min="181" max="187" width="10.08203125" style="133" hidden="1" customWidth="1" outlineLevel="1"/>
    <col min="188" max="204" width="6.5" style="133" hidden="1" customWidth="1" outlineLevel="1"/>
    <col min="205" max="205" width="6.5" style="133" hidden="1" customWidth="1" outlineLevel="1" collapsed="1"/>
    <col min="206" max="215" width="6.5" style="133" hidden="1" customWidth="1" outlineLevel="1"/>
    <col min="216" max="216" width="6.5" style="133" hidden="1" customWidth="1" outlineLevel="1" collapsed="1"/>
    <col min="217" max="265" width="6.5" style="133" hidden="1" customWidth="1" outlineLevel="1"/>
    <col min="266" max="273" width="6.33203125" style="133" hidden="1" customWidth="1" outlineLevel="1"/>
    <col min="274" max="275" width="6.33203125" style="133" customWidth="1"/>
    <col min="276" max="276" width="5.5" style="133" customWidth="1"/>
    <col min="277" max="277" width="9" style="133"/>
    <col min="278" max="16384" width="9" style="194"/>
  </cols>
  <sheetData>
    <row r="1" spans="1:277">
      <c r="A1" s="354" t="s">
        <v>467</v>
      </c>
    </row>
    <row r="2" spans="1:277">
      <c r="U2" s="437" t="b">
        <f>IF(LEN(SUBSTITUTE(Model[[#Headers],[Point Estimate (CY14$)]], RIGHT(Base_Year, 2), ""))-LEN(Model[[#Headers],[Point Estimate (CY14$)]]) &lt;0, TRUE(), "Update CY")</f>
        <v>1</v>
      </c>
      <c r="BD2" s="221" t="str">
        <f>"CY"&amp;RIGHT(Base_Year, 2) &amp; Units</f>
        <v>CY14$</v>
      </c>
      <c r="FR2" s="222" t="str">
        <f>"TY"&amp;Units</f>
        <v>TY$</v>
      </c>
    </row>
    <row r="3" spans="1:277" ht="49" customHeight="1">
      <c r="B3" s="394" t="s">
        <v>542</v>
      </c>
      <c r="C3" s="367" t="s">
        <v>159</v>
      </c>
      <c r="D3" s="368" t="s">
        <v>162</v>
      </c>
      <c r="E3" s="367" t="s">
        <v>163</v>
      </c>
      <c r="F3" s="367" t="s">
        <v>164</v>
      </c>
      <c r="G3" s="367" t="s">
        <v>166</v>
      </c>
      <c r="H3" s="367" t="s">
        <v>169</v>
      </c>
      <c r="I3" s="367" t="s">
        <v>170</v>
      </c>
      <c r="J3" s="367" t="s">
        <v>171</v>
      </c>
      <c r="K3" s="367" t="s">
        <v>172</v>
      </c>
      <c r="L3" s="367" t="s">
        <v>173</v>
      </c>
      <c r="M3" s="367" t="s">
        <v>174</v>
      </c>
      <c r="N3" s="367" t="s">
        <v>175</v>
      </c>
      <c r="O3" s="367" t="s">
        <v>176</v>
      </c>
      <c r="P3" s="367" t="s">
        <v>177</v>
      </c>
      <c r="Q3" s="369" t="s">
        <v>178</v>
      </c>
      <c r="R3" s="367" t="s">
        <v>179</v>
      </c>
      <c r="S3" s="367" t="s">
        <v>180</v>
      </c>
      <c r="T3" s="367" t="s">
        <v>682</v>
      </c>
      <c r="U3" s="367" t="s">
        <v>752</v>
      </c>
      <c r="V3" s="367" t="s">
        <v>751</v>
      </c>
      <c r="W3" s="367" t="s">
        <v>543</v>
      </c>
      <c r="X3" s="367" t="s">
        <v>753</v>
      </c>
      <c r="Y3" s="367" t="s">
        <v>754</v>
      </c>
      <c r="Z3" s="367" t="s">
        <v>306</v>
      </c>
      <c r="AA3" s="367" t="s">
        <v>158</v>
      </c>
      <c r="AB3" s="367" t="s">
        <v>747</v>
      </c>
      <c r="AC3" s="367" t="s">
        <v>748</v>
      </c>
      <c r="AD3" s="367" t="s">
        <v>749</v>
      </c>
      <c r="AE3" s="367" t="s">
        <v>813</v>
      </c>
      <c r="AF3" s="408" t="s">
        <v>161</v>
      </c>
      <c r="AG3" s="367" t="s">
        <v>401</v>
      </c>
      <c r="AH3" s="367" t="s">
        <v>167</v>
      </c>
      <c r="AI3" s="367" t="s">
        <v>168</v>
      </c>
      <c r="AJ3" s="367" t="s">
        <v>400</v>
      </c>
      <c r="AK3" s="395" t="s">
        <v>165</v>
      </c>
      <c r="AL3" s="392" t="s">
        <v>579</v>
      </c>
      <c r="AM3" s="389">
        <f t="shared" ref="AM3:AT3" si="0">AN3-1</f>
        <v>1997</v>
      </c>
      <c r="AN3" s="389">
        <f t="shared" si="0"/>
        <v>1998</v>
      </c>
      <c r="AO3" s="389">
        <f t="shared" si="0"/>
        <v>1999</v>
      </c>
      <c r="AP3" s="389">
        <f t="shared" si="0"/>
        <v>2000</v>
      </c>
      <c r="AQ3" s="389">
        <f t="shared" si="0"/>
        <v>2001</v>
      </c>
      <c r="AR3" s="389">
        <f t="shared" si="0"/>
        <v>2002</v>
      </c>
      <c r="AS3" s="389">
        <f t="shared" si="0"/>
        <v>2003</v>
      </c>
      <c r="AT3" s="389">
        <f t="shared" si="0"/>
        <v>2004</v>
      </c>
      <c r="AU3" s="389">
        <f t="shared" ref="AU3:BB3" si="1">AV3-1</f>
        <v>2005</v>
      </c>
      <c r="AV3" s="389">
        <f t="shared" si="1"/>
        <v>2006</v>
      </c>
      <c r="AW3" s="389">
        <f t="shared" si="1"/>
        <v>2007</v>
      </c>
      <c r="AX3" s="389">
        <f t="shared" si="1"/>
        <v>2008</v>
      </c>
      <c r="AY3" s="389">
        <f t="shared" si="1"/>
        <v>2009</v>
      </c>
      <c r="AZ3" s="389">
        <f t="shared" si="1"/>
        <v>2010</v>
      </c>
      <c r="BA3" s="389">
        <f t="shared" si="1"/>
        <v>2011</v>
      </c>
      <c r="BB3" s="389">
        <f t="shared" si="1"/>
        <v>2012</v>
      </c>
      <c r="BC3" s="389">
        <f>BD3-1</f>
        <v>2013</v>
      </c>
      <c r="BD3" s="389">
        <f>Model_First_Year</f>
        <v>2014</v>
      </c>
      <c r="BE3" s="389">
        <f t="shared" ref="BE3:CJ3" si="2">BD3+1</f>
        <v>2015</v>
      </c>
      <c r="BF3" s="389">
        <f t="shared" si="2"/>
        <v>2016</v>
      </c>
      <c r="BG3" s="389">
        <f t="shared" si="2"/>
        <v>2017</v>
      </c>
      <c r="BH3" s="389">
        <f t="shared" si="2"/>
        <v>2018</v>
      </c>
      <c r="BI3" s="389">
        <f t="shared" si="2"/>
        <v>2019</v>
      </c>
      <c r="BJ3" s="389">
        <f t="shared" si="2"/>
        <v>2020</v>
      </c>
      <c r="BK3" s="389">
        <f t="shared" si="2"/>
        <v>2021</v>
      </c>
      <c r="BL3" s="389">
        <f t="shared" si="2"/>
        <v>2022</v>
      </c>
      <c r="BM3" s="389">
        <f t="shared" si="2"/>
        <v>2023</v>
      </c>
      <c r="BN3" s="389">
        <f t="shared" si="2"/>
        <v>2024</v>
      </c>
      <c r="BO3" s="389">
        <f t="shared" si="2"/>
        <v>2025</v>
      </c>
      <c r="BP3" s="389">
        <f t="shared" si="2"/>
        <v>2026</v>
      </c>
      <c r="BQ3" s="389">
        <f t="shared" si="2"/>
        <v>2027</v>
      </c>
      <c r="BR3" s="389">
        <f t="shared" si="2"/>
        <v>2028</v>
      </c>
      <c r="BS3" s="389">
        <f t="shared" si="2"/>
        <v>2029</v>
      </c>
      <c r="BT3" s="389">
        <f t="shared" si="2"/>
        <v>2030</v>
      </c>
      <c r="BU3" s="389">
        <f t="shared" si="2"/>
        <v>2031</v>
      </c>
      <c r="BV3" s="389">
        <f t="shared" si="2"/>
        <v>2032</v>
      </c>
      <c r="BW3" s="389">
        <f t="shared" si="2"/>
        <v>2033</v>
      </c>
      <c r="BX3" s="389">
        <f t="shared" si="2"/>
        <v>2034</v>
      </c>
      <c r="BY3" s="389">
        <f t="shared" si="2"/>
        <v>2035</v>
      </c>
      <c r="BZ3" s="389">
        <f t="shared" si="2"/>
        <v>2036</v>
      </c>
      <c r="CA3" s="389">
        <f t="shared" si="2"/>
        <v>2037</v>
      </c>
      <c r="CB3" s="389">
        <f t="shared" si="2"/>
        <v>2038</v>
      </c>
      <c r="CC3" s="389">
        <f t="shared" si="2"/>
        <v>2039</v>
      </c>
      <c r="CD3" s="389">
        <f t="shared" si="2"/>
        <v>2040</v>
      </c>
      <c r="CE3" s="389">
        <f t="shared" si="2"/>
        <v>2041</v>
      </c>
      <c r="CF3" s="389">
        <f t="shared" si="2"/>
        <v>2042</v>
      </c>
      <c r="CG3" s="389">
        <f t="shared" si="2"/>
        <v>2043</v>
      </c>
      <c r="CH3" s="389">
        <f t="shared" si="2"/>
        <v>2044</v>
      </c>
      <c r="CI3" s="389">
        <f t="shared" si="2"/>
        <v>2045</v>
      </c>
      <c r="CJ3" s="389">
        <f t="shared" si="2"/>
        <v>2046</v>
      </c>
      <c r="CK3" s="389">
        <f t="shared" ref="CK3:DP3" si="3">CJ3+1</f>
        <v>2047</v>
      </c>
      <c r="CL3" s="389">
        <f t="shared" si="3"/>
        <v>2048</v>
      </c>
      <c r="CM3" s="389">
        <f t="shared" si="3"/>
        <v>2049</v>
      </c>
      <c r="CN3" s="389">
        <f t="shared" si="3"/>
        <v>2050</v>
      </c>
      <c r="CO3" s="389">
        <f t="shared" si="3"/>
        <v>2051</v>
      </c>
      <c r="CP3" s="389">
        <f t="shared" si="3"/>
        <v>2052</v>
      </c>
      <c r="CQ3" s="389">
        <f t="shared" si="3"/>
        <v>2053</v>
      </c>
      <c r="CR3" s="389">
        <f t="shared" si="3"/>
        <v>2054</v>
      </c>
      <c r="CS3" s="389">
        <f t="shared" si="3"/>
        <v>2055</v>
      </c>
      <c r="CT3" s="389">
        <f t="shared" si="3"/>
        <v>2056</v>
      </c>
      <c r="CU3" s="389">
        <f t="shared" si="3"/>
        <v>2057</v>
      </c>
      <c r="CV3" s="389">
        <f t="shared" si="3"/>
        <v>2058</v>
      </c>
      <c r="CW3" s="389">
        <f t="shared" si="3"/>
        <v>2059</v>
      </c>
      <c r="CX3" s="389">
        <f t="shared" si="3"/>
        <v>2060</v>
      </c>
      <c r="CY3" s="389">
        <f t="shared" si="3"/>
        <v>2061</v>
      </c>
      <c r="CZ3" s="389">
        <f t="shared" si="3"/>
        <v>2062</v>
      </c>
      <c r="DA3" s="389">
        <f t="shared" si="3"/>
        <v>2063</v>
      </c>
      <c r="DB3" s="389">
        <f t="shared" si="3"/>
        <v>2064</v>
      </c>
      <c r="DC3" s="389">
        <f t="shared" si="3"/>
        <v>2065</v>
      </c>
      <c r="DD3" s="389">
        <f t="shared" si="3"/>
        <v>2066</v>
      </c>
      <c r="DE3" s="389">
        <f t="shared" si="3"/>
        <v>2067</v>
      </c>
      <c r="DF3" s="389">
        <f t="shared" si="3"/>
        <v>2068</v>
      </c>
      <c r="DG3" s="389">
        <f t="shared" si="3"/>
        <v>2069</v>
      </c>
      <c r="DH3" s="389">
        <f t="shared" si="3"/>
        <v>2070</v>
      </c>
      <c r="DI3" s="389">
        <f t="shared" si="3"/>
        <v>2071</v>
      </c>
      <c r="DJ3" s="389">
        <f t="shared" si="3"/>
        <v>2072</v>
      </c>
      <c r="DK3" s="389">
        <f t="shared" si="3"/>
        <v>2073</v>
      </c>
      <c r="DL3" s="389">
        <f t="shared" si="3"/>
        <v>2074</v>
      </c>
      <c r="DM3" s="389">
        <f t="shared" si="3"/>
        <v>2075</v>
      </c>
      <c r="DN3" s="389">
        <f t="shared" si="3"/>
        <v>2076</v>
      </c>
      <c r="DO3" s="389">
        <f t="shared" si="3"/>
        <v>2077</v>
      </c>
      <c r="DP3" s="389">
        <f t="shared" si="3"/>
        <v>2078</v>
      </c>
      <c r="DQ3" s="389">
        <f t="shared" ref="DQ3:EY3" si="4">DP3+1</f>
        <v>2079</v>
      </c>
      <c r="DR3" s="389">
        <f t="shared" si="4"/>
        <v>2080</v>
      </c>
      <c r="DS3" s="389">
        <f t="shared" si="4"/>
        <v>2081</v>
      </c>
      <c r="DT3" s="389">
        <f t="shared" si="4"/>
        <v>2082</v>
      </c>
      <c r="DU3" s="389">
        <f t="shared" si="4"/>
        <v>2083</v>
      </c>
      <c r="DV3" s="389">
        <f t="shared" si="4"/>
        <v>2084</v>
      </c>
      <c r="DW3" s="389">
        <f t="shared" si="4"/>
        <v>2085</v>
      </c>
      <c r="DX3" s="389">
        <f t="shared" si="4"/>
        <v>2086</v>
      </c>
      <c r="DY3" s="389">
        <f t="shared" si="4"/>
        <v>2087</v>
      </c>
      <c r="DZ3" s="389">
        <f t="shared" si="4"/>
        <v>2088</v>
      </c>
      <c r="EA3" s="389">
        <f t="shared" si="4"/>
        <v>2089</v>
      </c>
      <c r="EB3" s="389">
        <f t="shared" si="4"/>
        <v>2090</v>
      </c>
      <c r="EC3" s="389">
        <f t="shared" si="4"/>
        <v>2091</v>
      </c>
      <c r="ED3" s="389">
        <f t="shared" si="4"/>
        <v>2092</v>
      </c>
      <c r="EE3" s="389">
        <f t="shared" si="4"/>
        <v>2093</v>
      </c>
      <c r="EF3" s="389">
        <f t="shared" si="4"/>
        <v>2094</v>
      </c>
      <c r="EG3" s="389">
        <f t="shared" si="4"/>
        <v>2095</v>
      </c>
      <c r="EH3" s="389">
        <f t="shared" si="4"/>
        <v>2096</v>
      </c>
      <c r="EI3" s="389">
        <f t="shared" si="4"/>
        <v>2097</v>
      </c>
      <c r="EJ3" s="389">
        <f t="shared" si="4"/>
        <v>2098</v>
      </c>
      <c r="EK3" s="389">
        <f t="shared" si="4"/>
        <v>2099</v>
      </c>
      <c r="EL3" s="389">
        <f t="shared" si="4"/>
        <v>2100</v>
      </c>
      <c r="EM3" s="389">
        <f t="shared" si="4"/>
        <v>2101</v>
      </c>
      <c r="EN3" s="389">
        <f t="shared" si="4"/>
        <v>2102</v>
      </c>
      <c r="EO3" s="389">
        <f t="shared" si="4"/>
        <v>2103</v>
      </c>
      <c r="EP3" s="389">
        <f t="shared" si="4"/>
        <v>2104</v>
      </c>
      <c r="EQ3" s="389">
        <f t="shared" si="4"/>
        <v>2105</v>
      </c>
      <c r="ER3" s="389">
        <f t="shared" si="4"/>
        <v>2106</v>
      </c>
      <c r="ES3" s="389">
        <f t="shared" si="4"/>
        <v>2107</v>
      </c>
      <c r="ET3" s="389">
        <f t="shared" si="4"/>
        <v>2108</v>
      </c>
      <c r="EU3" s="389">
        <f t="shared" si="4"/>
        <v>2109</v>
      </c>
      <c r="EV3" s="389">
        <f t="shared" si="4"/>
        <v>2110</v>
      </c>
      <c r="EW3" s="389">
        <f t="shared" si="4"/>
        <v>2111</v>
      </c>
      <c r="EX3" s="389">
        <f t="shared" si="4"/>
        <v>2112</v>
      </c>
      <c r="EY3" s="389">
        <f t="shared" si="4"/>
        <v>2113</v>
      </c>
      <c r="EZ3" s="391" t="s">
        <v>578</v>
      </c>
      <c r="FA3" s="390">
        <f>FB3-1</f>
        <v>1997</v>
      </c>
      <c r="FB3" s="390">
        <f>FC3-1</f>
        <v>1998</v>
      </c>
      <c r="FC3" s="390">
        <f>FD3-1</f>
        <v>1999</v>
      </c>
      <c r="FD3" s="390">
        <f>FE3-1</f>
        <v>2000</v>
      </c>
      <c r="FE3" s="390">
        <f t="shared" ref="FE3:FP3" si="5">FF3-1</f>
        <v>2001</v>
      </c>
      <c r="FF3" s="390">
        <f t="shared" si="5"/>
        <v>2002</v>
      </c>
      <c r="FG3" s="390">
        <f t="shared" si="5"/>
        <v>2003</v>
      </c>
      <c r="FH3" s="390">
        <f t="shared" si="5"/>
        <v>2004</v>
      </c>
      <c r="FI3" s="390">
        <f t="shared" si="5"/>
        <v>2005</v>
      </c>
      <c r="FJ3" s="390">
        <f t="shared" si="5"/>
        <v>2006</v>
      </c>
      <c r="FK3" s="390">
        <f t="shared" si="5"/>
        <v>2007</v>
      </c>
      <c r="FL3" s="390">
        <f t="shared" si="5"/>
        <v>2008</v>
      </c>
      <c r="FM3" s="390">
        <f t="shared" si="5"/>
        <v>2009</v>
      </c>
      <c r="FN3" s="390">
        <f t="shared" si="5"/>
        <v>2010</v>
      </c>
      <c r="FO3" s="390">
        <f t="shared" si="5"/>
        <v>2011</v>
      </c>
      <c r="FP3" s="390">
        <f t="shared" si="5"/>
        <v>2012</v>
      </c>
      <c r="FQ3" s="390">
        <f>FR3-1</f>
        <v>2013</v>
      </c>
      <c r="FR3" s="390">
        <f t="shared" ref="FR3:GW3" si="6">BD3</f>
        <v>2014</v>
      </c>
      <c r="FS3" s="390">
        <f t="shared" si="6"/>
        <v>2015</v>
      </c>
      <c r="FT3" s="390">
        <f t="shared" si="6"/>
        <v>2016</v>
      </c>
      <c r="FU3" s="390">
        <f t="shared" si="6"/>
        <v>2017</v>
      </c>
      <c r="FV3" s="390">
        <f t="shared" si="6"/>
        <v>2018</v>
      </c>
      <c r="FW3" s="390">
        <f t="shared" si="6"/>
        <v>2019</v>
      </c>
      <c r="FX3" s="390">
        <f t="shared" si="6"/>
        <v>2020</v>
      </c>
      <c r="FY3" s="390">
        <f t="shared" si="6"/>
        <v>2021</v>
      </c>
      <c r="FZ3" s="390">
        <f t="shared" si="6"/>
        <v>2022</v>
      </c>
      <c r="GA3" s="390">
        <f t="shared" si="6"/>
        <v>2023</v>
      </c>
      <c r="GB3" s="390">
        <f t="shared" si="6"/>
        <v>2024</v>
      </c>
      <c r="GC3" s="390">
        <f t="shared" si="6"/>
        <v>2025</v>
      </c>
      <c r="GD3" s="390">
        <f t="shared" si="6"/>
        <v>2026</v>
      </c>
      <c r="GE3" s="390">
        <f t="shared" si="6"/>
        <v>2027</v>
      </c>
      <c r="GF3" s="390">
        <f t="shared" si="6"/>
        <v>2028</v>
      </c>
      <c r="GG3" s="390">
        <f t="shared" si="6"/>
        <v>2029</v>
      </c>
      <c r="GH3" s="390">
        <f t="shared" si="6"/>
        <v>2030</v>
      </c>
      <c r="GI3" s="390">
        <f t="shared" si="6"/>
        <v>2031</v>
      </c>
      <c r="GJ3" s="390">
        <f t="shared" si="6"/>
        <v>2032</v>
      </c>
      <c r="GK3" s="390">
        <f t="shared" si="6"/>
        <v>2033</v>
      </c>
      <c r="GL3" s="390">
        <f t="shared" si="6"/>
        <v>2034</v>
      </c>
      <c r="GM3" s="390">
        <f t="shared" si="6"/>
        <v>2035</v>
      </c>
      <c r="GN3" s="390">
        <f t="shared" si="6"/>
        <v>2036</v>
      </c>
      <c r="GO3" s="390">
        <f t="shared" si="6"/>
        <v>2037</v>
      </c>
      <c r="GP3" s="390">
        <f t="shared" si="6"/>
        <v>2038</v>
      </c>
      <c r="GQ3" s="390">
        <f t="shared" si="6"/>
        <v>2039</v>
      </c>
      <c r="GR3" s="390">
        <f t="shared" si="6"/>
        <v>2040</v>
      </c>
      <c r="GS3" s="390">
        <f t="shared" si="6"/>
        <v>2041</v>
      </c>
      <c r="GT3" s="390">
        <f t="shared" si="6"/>
        <v>2042</v>
      </c>
      <c r="GU3" s="390">
        <f t="shared" si="6"/>
        <v>2043</v>
      </c>
      <c r="GV3" s="390">
        <f t="shared" si="6"/>
        <v>2044</v>
      </c>
      <c r="GW3" s="390">
        <f t="shared" si="6"/>
        <v>2045</v>
      </c>
      <c r="GX3" s="390">
        <f t="shared" ref="GX3:IC3" si="7">CJ3</f>
        <v>2046</v>
      </c>
      <c r="GY3" s="390">
        <f t="shared" si="7"/>
        <v>2047</v>
      </c>
      <c r="GZ3" s="390">
        <f t="shared" si="7"/>
        <v>2048</v>
      </c>
      <c r="HA3" s="390">
        <f t="shared" si="7"/>
        <v>2049</v>
      </c>
      <c r="HB3" s="390">
        <f t="shared" si="7"/>
        <v>2050</v>
      </c>
      <c r="HC3" s="390">
        <f t="shared" si="7"/>
        <v>2051</v>
      </c>
      <c r="HD3" s="390">
        <f t="shared" si="7"/>
        <v>2052</v>
      </c>
      <c r="HE3" s="390">
        <f t="shared" si="7"/>
        <v>2053</v>
      </c>
      <c r="HF3" s="390">
        <f t="shared" si="7"/>
        <v>2054</v>
      </c>
      <c r="HG3" s="390">
        <f t="shared" si="7"/>
        <v>2055</v>
      </c>
      <c r="HH3" s="390">
        <f t="shared" si="7"/>
        <v>2056</v>
      </c>
      <c r="HI3" s="390">
        <f t="shared" si="7"/>
        <v>2057</v>
      </c>
      <c r="HJ3" s="390">
        <f t="shared" si="7"/>
        <v>2058</v>
      </c>
      <c r="HK3" s="390">
        <f t="shared" si="7"/>
        <v>2059</v>
      </c>
      <c r="HL3" s="390">
        <f t="shared" si="7"/>
        <v>2060</v>
      </c>
      <c r="HM3" s="390">
        <f t="shared" si="7"/>
        <v>2061</v>
      </c>
      <c r="HN3" s="390">
        <f t="shared" si="7"/>
        <v>2062</v>
      </c>
      <c r="HO3" s="390">
        <f t="shared" si="7"/>
        <v>2063</v>
      </c>
      <c r="HP3" s="390">
        <f t="shared" si="7"/>
        <v>2064</v>
      </c>
      <c r="HQ3" s="390">
        <f t="shared" si="7"/>
        <v>2065</v>
      </c>
      <c r="HR3" s="390">
        <f t="shared" si="7"/>
        <v>2066</v>
      </c>
      <c r="HS3" s="390">
        <f t="shared" si="7"/>
        <v>2067</v>
      </c>
      <c r="HT3" s="390">
        <f t="shared" si="7"/>
        <v>2068</v>
      </c>
      <c r="HU3" s="390">
        <f t="shared" si="7"/>
        <v>2069</v>
      </c>
      <c r="HV3" s="390">
        <f t="shared" si="7"/>
        <v>2070</v>
      </c>
      <c r="HW3" s="390">
        <f t="shared" si="7"/>
        <v>2071</v>
      </c>
      <c r="HX3" s="390">
        <f t="shared" si="7"/>
        <v>2072</v>
      </c>
      <c r="HY3" s="390">
        <f t="shared" si="7"/>
        <v>2073</v>
      </c>
      <c r="HZ3" s="390">
        <f t="shared" si="7"/>
        <v>2074</v>
      </c>
      <c r="IA3" s="390">
        <f t="shared" si="7"/>
        <v>2075</v>
      </c>
      <c r="IB3" s="390">
        <f t="shared" si="7"/>
        <v>2076</v>
      </c>
      <c r="IC3" s="390">
        <f t="shared" si="7"/>
        <v>2077</v>
      </c>
      <c r="ID3" s="390">
        <f t="shared" ref="ID3:JI3" si="8">DP3</f>
        <v>2078</v>
      </c>
      <c r="IE3" s="390">
        <f t="shared" si="8"/>
        <v>2079</v>
      </c>
      <c r="IF3" s="390">
        <f t="shared" si="8"/>
        <v>2080</v>
      </c>
      <c r="IG3" s="390">
        <f t="shared" si="8"/>
        <v>2081</v>
      </c>
      <c r="IH3" s="390">
        <f t="shared" si="8"/>
        <v>2082</v>
      </c>
      <c r="II3" s="390">
        <f t="shared" si="8"/>
        <v>2083</v>
      </c>
      <c r="IJ3" s="390">
        <f t="shared" si="8"/>
        <v>2084</v>
      </c>
      <c r="IK3" s="390">
        <f t="shared" si="8"/>
        <v>2085</v>
      </c>
      <c r="IL3" s="390">
        <f t="shared" si="8"/>
        <v>2086</v>
      </c>
      <c r="IM3" s="390">
        <f t="shared" si="8"/>
        <v>2087</v>
      </c>
      <c r="IN3" s="390">
        <f t="shared" si="8"/>
        <v>2088</v>
      </c>
      <c r="IO3" s="390">
        <f t="shared" si="8"/>
        <v>2089</v>
      </c>
      <c r="IP3" s="390">
        <f t="shared" si="8"/>
        <v>2090</v>
      </c>
      <c r="IQ3" s="390">
        <f t="shared" si="8"/>
        <v>2091</v>
      </c>
      <c r="IR3" s="390">
        <f t="shared" si="8"/>
        <v>2092</v>
      </c>
      <c r="IS3" s="390">
        <f t="shared" si="8"/>
        <v>2093</v>
      </c>
      <c r="IT3" s="390">
        <f t="shared" si="8"/>
        <v>2094</v>
      </c>
      <c r="IU3" s="390">
        <f t="shared" si="8"/>
        <v>2095</v>
      </c>
      <c r="IV3" s="390">
        <f t="shared" si="8"/>
        <v>2096</v>
      </c>
      <c r="IW3" s="390">
        <f t="shared" si="8"/>
        <v>2097</v>
      </c>
      <c r="IX3" s="390">
        <f t="shared" si="8"/>
        <v>2098</v>
      </c>
      <c r="IY3" s="390">
        <f t="shared" si="8"/>
        <v>2099</v>
      </c>
      <c r="IZ3" s="390">
        <f t="shared" si="8"/>
        <v>2100</v>
      </c>
      <c r="JA3" s="390">
        <f t="shared" si="8"/>
        <v>2101</v>
      </c>
      <c r="JB3" s="390">
        <f t="shared" si="8"/>
        <v>2102</v>
      </c>
      <c r="JC3" s="390">
        <f t="shared" si="8"/>
        <v>2103</v>
      </c>
      <c r="JD3" s="390">
        <f t="shared" si="8"/>
        <v>2104</v>
      </c>
      <c r="JE3" s="390">
        <f t="shared" si="8"/>
        <v>2105</v>
      </c>
      <c r="JF3" s="390">
        <f t="shared" si="8"/>
        <v>2106</v>
      </c>
      <c r="JG3" s="390">
        <f t="shared" si="8"/>
        <v>2107</v>
      </c>
      <c r="JH3" s="390">
        <f t="shared" si="8"/>
        <v>2108</v>
      </c>
      <c r="JI3" s="390">
        <f t="shared" si="8"/>
        <v>2109</v>
      </c>
      <c r="JJ3" s="390">
        <f t="shared" ref="JJ3:JM3" si="9">EV3</f>
        <v>2110</v>
      </c>
      <c r="JK3" s="390">
        <f t="shared" si="9"/>
        <v>2111</v>
      </c>
      <c r="JL3" s="390">
        <f t="shared" si="9"/>
        <v>2112</v>
      </c>
      <c r="JM3" s="390">
        <f t="shared" si="9"/>
        <v>2113</v>
      </c>
      <c r="JN3" s="194"/>
      <c r="JO3" s="194"/>
      <c r="JP3" s="194"/>
      <c r="JQ3" s="194"/>
    </row>
    <row r="4" spans="1:277" customFormat="1">
      <c r="A4" s="193"/>
      <c r="B4" s="396"/>
      <c r="C4" s="393"/>
      <c r="D4" s="439" t="str">
        <f t="shared" ref="D4:D15" si="10">Program_Short_Name</f>
        <v>Missle System</v>
      </c>
      <c r="E4" s="393"/>
      <c r="F4" s="393"/>
      <c r="G4" s="393"/>
      <c r="H4" s="393"/>
      <c r="I4" s="393"/>
      <c r="J4" s="393"/>
      <c r="K4" s="393"/>
      <c r="L4" s="393"/>
      <c r="M4" s="393"/>
      <c r="N4" s="393"/>
      <c r="O4" s="393"/>
      <c r="P4" s="393"/>
      <c r="Q4" s="321" t="s">
        <v>701</v>
      </c>
      <c r="R4" s="393"/>
      <c r="S4" s="439" t="s">
        <v>702</v>
      </c>
      <c r="T4" s="393"/>
      <c r="U4" s="502">
        <f t="shared" ref="U4" si="11">SUM(AM4:EZ4)</f>
        <v>83539170.407959267</v>
      </c>
      <c r="V4" s="387">
        <f t="shared" ref="V4" si="12">SUM(FA4:JN4)</f>
        <v>88100859.230464652</v>
      </c>
      <c r="W4" s="388">
        <f>IFERROR(Model[[#This Row],[Point Estimate (CY14$)]]/SUMIFS(Model[Point Estimate (CY14$)], Model[Phase], Model[[#This Row],[Phase]]), 0)</f>
        <v>0.31457523166999862</v>
      </c>
      <c r="X4" s="387">
        <f>Model[[#This Row],[Point Estimate (CY14$)]]</f>
        <v>83539170.407959267</v>
      </c>
      <c r="Y4" s="387">
        <f>Model[[#This Row],[Point Estimate (TY$)]]</f>
        <v>88100859.230464652</v>
      </c>
      <c r="Z4" s="438">
        <v>1</v>
      </c>
      <c r="AA4" s="393" t="s">
        <v>686</v>
      </c>
      <c r="AB4" s="487"/>
      <c r="AC4" s="487"/>
      <c r="AD4" s="487"/>
      <c r="AE4" s="487"/>
      <c r="AF4" s="439" t="s">
        <v>129</v>
      </c>
      <c r="AG4" s="387"/>
      <c r="AH4" s="439" t="s">
        <v>101</v>
      </c>
      <c r="AI4" s="441" t="s">
        <v>72</v>
      </c>
      <c r="AJ4" s="439" t="s">
        <v>344</v>
      </c>
      <c r="AK4" s="442" t="s">
        <v>338</v>
      </c>
      <c r="AM4" s="443"/>
      <c r="AN4" s="443"/>
      <c r="AO4" s="443"/>
      <c r="AP4" s="443"/>
      <c r="AQ4" s="443"/>
      <c r="AR4" s="443"/>
      <c r="AS4" s="443"/>
      <c r="AT4" s="443"/>
      <c r="AU4" s="443"/>
      <c r="AV4" s="443"/>
      <c r="AW4" s="443"/>
      <c r="AX4" s="443"/>
      <c r="AY4" s="443"/>
      <c r="AZ4" s="443"/>
      <c r="BA4" s="443"/>
      <c r="BB4" s="443"/>
      <c r="BC4" s="443"/>
      <c r="BD4" s="501">
        <f>SUM(BD5)</f>
        <v>13425117.016859479</v>
      </c>
      <c r="BE4" s="501">
        <f t="shared" ref="BE4:BJ4" si="13">SUM(BE5)</f>
        <v>16118972.734058259</v>
      </c>
      <c r="BF4" s="501">
        <f t="shared" si="13"/>
        <v>16797445.248715241</v>
      </c>
      <c r="BG4" s="501">
        <f t="shared" si="13"/>
        <v>18384806.957069244</v>
      </c>
      <c r="BH4" s="501">
        <f t="shared" si="13"/>
        <v>16118972.734058259</v>
      </c>
      <c r="BI4" s="501">
        <f t="shared" si="13"/>
        <v>2693855.7171987775</v>
      </c>
      <c r="BJ4" s="501">
        <f t="shared" si="13"/>
        <v>0</v>
      </c>
      <c r="BK4" s="443"/>
      <c r="BL4" s="443"/>
      <c r="BM4" s="443"/>
      <c r="BN4" s="443"/>
      <c r="BO4" s="443"/>
      <c r="BP4" s="443"/>
      <c r="BQ4" s="443"/>
      <c r="BR4" s="443"/>
      <c r="BS4" s="443"/>
      <c r="BT4" s="443"/>
      <c r="BU4" s="443"/>
      <c r="BV4" s="443"/>
      <c r="BW4" s="443"/>
      <c r="BX4" s="443"/>
      <c r="BY4" s="443"/>
      <c r="BZ4" s="443"/>
      <c r="CA4" s="443"/>
      <c r="CB4" s="443"/>
      <c r="CC4" s="443"/>
      <c r="CD4" s="443"/>
      <c r="CE4" s="443"/>
      <c r="CF4" s="443"/>
      <c r="CG4" s="443"/>
      <c r="CH4" s="443"/>
      <c r="CI4" s="443"/>
      <c r="CJ4" s="443"/>
      <c r="CK4" s="443"/>
      <c r="CL4" s="443"/>
      <c r="CM4" s="443"/>
      <c r="CN4" s="443"/>
      <c r="CO4" s="443"/>
      <c r="CP4" s="443"/>
      <c r="CQ4" s="443"/>
      <c r="CR4" s="443"/>
      <c r="CS4" s="443"/>
      <c r="CT4" s="443"/>
      <c r="CU4" s="443"/>
      <c r="CV4" s="443"/>
      <c r="CW4" s="443"/>
      <c r="CX4" s="443"/>
      <c r="CY4" s="443"/>
      <c r="CZ4" s="443"/>
      <c r="DA4" s="443"/>
      <c r="DB4" s="443"/>
      <c r="DC4" s="443"/>
      <c r="DD4" s="443"/>
      <c r="DE4" s="443"/>
      <c r="DF4" s="443"/>
      <c r="DG4" s="443"/>
      <c r="DH4" s="443"/>
      <c r="DI4" s="443"/>
      <c r="DJ4" s="443"/>
      <c r="DK4" s="443"/>
      <c r="DL4" s="443"/>
      <c r="DM4" s="443"/>
      <c r="DN4" s="443"/>
      <c r="DO4" s="443"/>
      <c r="DP4" s="443"/>
      <c r="DQ4" s="443"/>
      <c r="DR4" s="443"/>
      <c r="DS4" s="443"/>
      <c r="DT4" s="443"/>
      <c r="DU4" s="443"/>
      <c r="DV4" s="443"/>
      <c r="DW4" s="443"/>
      <c r="DX4" s="443"/>
      <c r="DY4" s="443"/>
      <c r="DZ4" s="443"/>
      <c r="EA4" s="443"/>
      <c r="EB4" s="443"/>
      <c r="EC4" s="443"/>
      <c r="ED4" s="443"/>
      <c r="EE4" s="443"/>
      <c r="EF4" s="443"/>
      <c r="EG4" s="443"/>
      <c r="EH4" s="443"/>
      <c r="EI4" s="443"/>
      <c r="EJ4" s="443"/>
      <c r="EK4" s="443"/>
      <c r="EL4" s="443"/>
      <c r="EM4" s="443"/>
      <c r="EN4" s="443"/>
      <c r="EO4" s="443"/>
      <c r="EP4" s="443"/>
      <c r="EQ4" s="443"/>
      <c r="ER4" s="443"/>
      <c r="ES4" s="443"/>
      <c r="ET4" s="443"/>
      <c r="EU4" s="443"/>
      <c r="EV4" s="443"/>
      <c r="EW4" s="443"/>
      <c r="EX4" s="443"/>
      <c r="EY4" s="443"/>
      <c r="EZ4" s="133"/>
      <c r="FA4" s="443"/>
      <c r="FB4" s="443"/>
      <c r="FC4" s="443"/>
      <c r="FD4" s="443"/>
      <c r="FE4" s="443"/>
      <c r="FF4" s="443"/>
      <c r="FG4" s="443"/>
      <c r="FH4" s="443"/>
      <c r="FI4" s="443"/>
      <c r="FJ4" s="443"/>
      <c r="FK4" s="443"/>
      <c r="FL4" s="443"/>
      <c r="FM4" s="443"/>
      <c r="FN4" s="443"/>
      <c r="FO4" s="443"/>
      <c r="FP4" s="443"/>
      <c r="FQ4" s="443"/>
      <c r="FR4" s="501">
        <f>SUM(FR5)</f>
        <v>13614915.590286359</v>
      </c>
      <c r="FS4" s="501">
        <f t="shared" ref="FS4" si="14">SUM(FS5)</f>
        <v>16638765.932742432</v>
      </c>
      <c r="FT4" s="501">
        <f t="shared" ref="FT4" si="15">SUM(FT5)</f>
        <v>17648841.509757444</v>
      </c>
      <c r="FU4" s="501">
        <f t="shared" ref="FU4" si="16">SUM(FU5)</f>
        <v>19663249.557510734</v>
      </c>
      <c r="FV4" s="501">
        <f t="shared" ref="FV4" si="17">SUM(FV5)</f>
        <v>17549483.53857857</v>
      </c>
      <c r="FW4" s="501">
        <f t="shared" ref="FW4" si="18">SUM(FW5)</f>
        <v>2985603.1015891065</v>
      </c>
      <c r="FX4" s="501">
        <f t="shared" ref="FX4" si="19">SUM(FX5)</f>
        <v>0</v>
      </c>
      <c r="FY4" s="443"/>
      <c r="FZ4" s="443"/>
      <c r="GA4" s="443"/>
      <c r="GB4" s="443"/>
      <c r="GC4" s="443"/>
      <c r="GD4" s="443"/>
      <c r="GE4" s="443"/>
      <c r="GF4" s="443"/>
      <c r="GG4" s="443"/>
      <c r="GH4" s="443"/>
      <c r="GI4" s="443"/>
      <c r="GJ4" s="443"/>
      <c r="GK4" s="443"/>
      <c r="GL4" s="443"/>
      <c r="GM4" s="443"/>
      <c r="GN4" s="443"/>
      <c r="GO4" s="443"/>
      <c r="GP4" s="443"/>
      <c r="GQ4" s="443"/>
      <c r="GR4" s="443"/>
      <c r="GS4" s="443"/>
      <c r="GT4" s="443"/>
      <c r="GU4" s="443"/>
      <c r="GV4" s="443"/>
      <c r="GW4" s="443"/>
      <c r="GX4" s="443"/>
      <c r="GY4" s="443"/>
      <c r="GZ4" s="443"/>
      <c r="HA4" s="443"/>
      <c r="HB4" s="443"/>
      <c r="HC4" s="443"/>
      <c r="HD4" s="443"/>
      <c r="HE4" s="443"/>
      <c r="HF4" s="443"/>
      <c r="HG4" s="443"/>
      <c r="HH4" s="443"/>
      <c r="HI4" s="443"/>
      <c r="HJ4" s="443"/>
      <c r="HK4" s="443"/>
      <c r="HL4" s="443"/>
      <c r="HM4" s="443"/>
      <c r="HN4" s="443"/>
      <c r="HO4" s="443"/>
      <c r="HP4" s="443"/>
      <c r="HQ4" s="443"/>
      <c r="HR4" s="443"/>
      <c r="HS4" s="443"/>
      <c r="HT4" s="443"/>
      <c r="HU4" s="443"/>
      <c r="HV4" s="443"/>
      <c r="HW4" s="443"/>
      <c r="HX4" s="443"/>
      <c r="HY4" s="443"/>
      <c r="HZ4" s="443"/>
      <c r="IA4" s="443"/>
      <c r="IB4" s="443"/>
      <c r="IC4" s="443"/>
      <c r="ID4" s="443"/>
      <c r="IE4" s="443"/>
      <c r="IF4" s="443"/>
      <c r="IG4" s="443"/>
      <c r="IH4" s="443"/>
      <c r="II4" s="443"/>
      <c r="IJ4" s="443"/>
      <c r="IK4" s="443"/>
      <c r="IL4" s="443"/>
      <c r="IM4" s="443"/>
      <c r="IN4" s="443"/>
      <c r="IO4" s="443"/>
      <c r="IP4" s="443"/>
      <c r="IQ4" s="443"/>
      <c r="IR4" s="443"/>
      <c r="IS4" s="443"/>
      <c r="IT4" s="443"/>
      <c r="IU4" s="443"/>
      <c r="IV4" s="443"/>
      <c r="IW4" s="443"/>
      <c r="IX4" s="443"/>
      <c r="IY4" s="443"/>
      <c r="IZ4" s="443"/>
      <c r="JA4" s="443"/>
      <c r="JB4" s="443"/>
      <c r="JC4" s="443"/>
      <c r="JD4" s="443"/>
      <c r="JE4" s="443"/>
      <c r="JF4" s="443"/>
      <c r="JG4" s="443"/>
      <c r="JH4" s="443"/>
      <c r="JI4" s="443"/>
      <c r="JJ4" s="443"/>
      <c r="JK4" s="443"/>
      <c r="JL4" s="443"/>
      <c r="JM4" s="443"/>
    </row>
    <row r="5" spans="1:277">
      <c r="B5" s="397" t="s">
        <v>182</v>
      </c>
      <c r="C5" s="321"/>
      <c r="D5" s="440" t="str">
        <f t="shared" si="10"/>
        <v>Missle System</v>
      </c>
      <c r="E5" s="321"/>
      <c r="F5" s="321"/>
      <c r="G5" s="321"/>
      <c r="H5" s="321"/>
      <c r="I5" s="321"/>
      <c r="J5" s="321"/>
      <c r="K5" s="321"/>
      <c r="L5" s="321"/>
      <c r="M5" s="321"/>
      <c r="N5" s="321"/>
      <c r="O5" s="321"/>
      <c r="P5" s="321"/>
      <c r="Q5" s="321" t="s">
        <v>700</v>
      </c>
      <c r="R5" s="403"/>
      <c r="S5" s="439" t="s">
        <v>702</v>
      </c>
      <c r="T5" s="321"/>
      <c r="U5" s="502">
        <f>SUM(AM5:EZ5)</f>
        <v>83539170.407959267</v>
      </c>
      <c r="V5" s="387">
        <f>SUM(FA5:JN5)</f>
        <v>88100859.230464652</v>
      </c>
      <c r="W5" s="388">
        <f>IFERROR(Model[[#This Row],[Point Estimate (CY14$)]]/SUMIFS(Model[Point Estimate (CY14$)], Model[Phase], Model[[#This Row],[Phase]]), 0)</f>
        <v>0.31457523166999862</v>
      </c>
      <c r="X5" s="387">
        <f>Model[[#This Row],[Point Estimate (CY14$)]]</f>
        <v>83539170.407959267</v>
      </c>
      <c r="Y5" s="387">
        <f>Model[[#This Row],[Point Estimate (TY$)]]</f>
        <v>88100859.230464652</v>
      </c>
      <c r="Z5" s="398" t="s">
        <v>307</v>
      </c>
      <c r="AA5" s="398" t="s">
        <v>814</v>
      </c>
      <c r="AB5" s="488"/>
      <c r="AC5" s="488"/>
      <c r="AD5" s="488"/>
      <c r="AE5" s="488"/>
      <c r="AF5" s="439" t="s">
        <v>129</v>
      </c>
      <c r="AG5" s="387"/>
      <c r="AH5" s="439" t="s">
        <v>101</v>
      </c>
      <c r="AI5" s="441" t="s">
        <v>72</v>
      </c>
      <c r="AJ5" s="439" t="s">
        <v>344</v>
      </c>
      <c r="AK5" s="442" t="s">
        <v>338</v>
      </c>
      <c r="AM5" s="443"/>
      <c r="AN5" s="443"/>
      <c r="AO5" s="443"/>
      <c r="AP5" s="443"/>
      <c r="AQ5" s="443"/>
      <c r="AR5" s="443"/>
      <c r="AS5" s="443"/>
      <c r="AT5" s="443"/>
      <c r="AU5" s="443"/>
      <c r="AV5" s="443"/>
      <c r="AW5" s="443"/>
      <c r="AX5" s="443"/>
      <c r="AY5" s="443"/>
      <c r="AZ5" s="443"/>
      <c r="BA5" s="443"/>
      <c r="BB5" s="443"/>
      <c r="BC5" s="443"/>
      <c r="BD5" s="501">
        <f>SUM(BD6, BD9, BD10, BD11, BD12, BD13, BD14, BD15)</f>
        <v>13425117.016859479</v>
      </c>
      <c r="BE5" s="501">
        <f t="shared" ref="BE5:BJ5" si="20">SUM(BE6, BE9, BE10, BE11, BE12, BE13, BE14, BE15)</f>
        <v>16118972.734058259</v>
      </c>
      <c r="BF5" s="501">
        <f t="shared" si="20"/>
        <v>16797445.248715241</v>
      </c>
      <c r="BG5" s="501">
        <f t="shared" si="20"/>
        <v>18384806.957069244</v>
      </c>
      <c r="BH5" s="501">
        <f t="shared" si="20"/>
        <v>16118972.734058259</v>
      </c>
      <c r="BI5" s="501">
        <f t="shared" si="20"/>
        <v>2693855.7171987775</v>
      </c>
      <c r="BJ5" s="501">
        <f t="shared" si="20"/>
        <v>0</v>
      </c>
      <c r="BK5" s="443"/>
      <c r="BL5" s="443"/>
      <c r="BM5" s="443"/>
      <c r="BN5" s="443"/>
      <c r="BO5" s="443"/>
      <c r="BP5" s="443"/>
      <c r="BQ5" s="443"/>
      <c r="BR5" s="443"/>
      <c r="BS5" s="443"/>
      <c r="BT5" s="443"/>
      <c r="BU5" s="443"/>
      <c r="BV5" s="443"/>
      <c r="BW5" s="443"/>
      <c r="BX5" s="443"/>
      <c r="BY5" s="443"/>
      <c r="BZ5" s="443"/>
      <c r="CA5" s="443"/>
      <c r="CB5" s="443"/>
      <c r="CC5" s="443"/>
      <c r="CD5" s="443"/>
      <c r="CE5" s="443"/>
      <c r="CF5" s="443"/>
      <c r="CG5" s="443"/>
      <c r="CH5" s="443"/>
      <c r="CI5" s="443"/>
      <c r="CJ5" s="443"/>
      <c r="CK5" s="443"/>
      <c r="CL5" s="443"/>
      <c r="CM5" s="443"/>
      <c r="CN5" s="443"/>
      <c r="CO5" s="443"/>
      <c r="CP5" s="443"/>
      <c r="CQ5" s="443"/>
      <c r="CR5" s="443"/>
      <c r="CS5" s="443"/>
      <c r="CT5" s="443"/>
      <c r="CU5" s="443"/>
      <c r="CV5" s="443"/>
      <c r="CW5" s="443"/>
      <c r="CX5" s="443"/>
      <c r="CY5" s="443"/>
      <c r="CZ5" s="443"/>
      <c r="DA5" s="443"/>
      <c r="DB5" s="443"/>
      <c r="DC5" s="443"/>
      <c r="DD5" s="443"/>
      <c r="DE5" s="443"/>
      <c r="DF5" s="443"/>
      <c r="DG5" s="443"/>
      <c r="DH5" s="443"/>
      <c r="DI5" s="443"/>
      <c r="DJ5" s="443"/>
      <c r="DK5" s="443"/>
      <c r="DL5" s="443"/>
      <c r="DM5" s="443"/>
      <c r="DN5" s="443"/>
      <c r="DO5" s="443"/>
      <c r="DP5" s="443"/>
      <c r="DQ5" s="443"/>
      <c r="DR5" s="443"/>
      <c r="DS5" s="443"/>
      <c r="DT5" s="443"/>
      <c r="DU5" s="443"/>
      <c r="DV5" s="443"/>
      <c r="DW5" s="443"/>
      <c r="DX5" s="443"/>
      <c r="DY5" s="443"/>
      <c r="DZ5" s="443"/>
      <c r="EA5" s="443"/>
      <c r="EB5" s="443"/>
      <c r="EC5" s="443"/>
      <c r="ED5" s="443"/>
      <c r="EE5" s="443"/>
      <c r="EF5" s="443"/>
      <c r="EG5" s="443"/>
      <c r="EH5" s="443"/>
      <c r="EI5" s="443"/>
      <c r="EJ5" s="443"/>
      <c r="EK5" s="443"/>
      <c r="EL5" s="443"/>
      <c r="EM5" s="443"/>
      <c r="EN5" s="443"/>
      <c r="EO5" s="443"/>
      <c r="EP5" s="443"/>
      <c r="EQ5" s="443"/>
      <c r="ER5" s="443"/>
      <c r="ES5" s="443"/>
      <c r="ET5" s="443"/>
      <c r="EU5" s="443"/>
      <c r="EV5" s="443"/>
      <c r="EW5" s="443"/>
      <c r="EX5" s="443"/>
      <c r="EY5" s="443"/>
      <c r="FA5" s="443"/>
      <c r="FB5" s="443"/>
      <c r="FC5" s="443"/>
      <c r="FD5" s="443"/>
      <c r="FE5" s="443"/>
      <c r="FF5" s="443"/>
      <c r="FG5" s="443"/>
      <c r="FH5" s="443"/>
      <c r="FI5" s="443"/>
      <c r="FJ5" s="443"/>
      <c r="FK5" s="443"/>
      <c r="FL5" s="443"/>
      <c r="FM5" s="443"/>
      <c r="FN5" s="443"/>
      <c r="FO5" s="443"/>
      <c r="FP5" s="443"/>
      <c r="FQ5" s="443"/>
      <c r="FR5" s="501">
        <f>SUM(FR6, FR9, FR10, FR11, FR12, FR13, FR14, FR15)</f>
        <v>13614915.590286359</v>
      </c>
      <c r="FS5" s="501">
        <f t="shared" ref="FS5" si="21">SUM(FS6, FS9, FS10, FS11, FS12, FS13, FS14, FS15)</f>
        <v>16638765.932742432</v>
      </c>
      <c r="FT5" s="501">
        <f t="shared" ref="FT5" si="22">SUM(FT6, FT9, FT10, FT11, FT12, FT13, FT14, FT15)</f>
        <v>17648841.509757444</v>
      </c>
      <c r="FU5" s="501">
        <f t="shared" ref="FU5" si="23">SUM(FU6, FU9, FU10, FU11, FU12, FU13, FU14, FU15)</f>
        <v>19663249.557510734</v>
      </c>
      <c r="FV5" s="501">
        <f t="shared" ref="FV5" si="24">SUM(FV6, FV9, FV10, FV11, FV12, FV13, FV14, FV15)</f>
        <v>17549483.53857857</v>
      </c>
      <c r="FW5" s="501">
        <f t="shared" ref="FW5" si="25">SUM(FW6, FW9, FW10, FW11, FW12, FW13, FW14, FW15)</f>
        <v>2985603.1015891065</v>
      </c>
      <c r="FX5" s="501">
        <f t="shared" ref="FX5" si="26">SUM(FX6, FX9, FX10, FX11, FX12, FX13, FX14, FX15)</f>
        <v>0</v>
      </c>
      <c r="FY5" s="443"/>
      <c r="FZ5" s="443"/>
      <c r="GA5" s="443"/>
      <c r="GB5" s="443"/>
      <c r="GC5" s="443"/>
      <c r="GD5" s="443"/>
      <c r="GE5" s="443"/>
      <c r="GF5" s="443"/>
      <c r="GG5" s="443"/>
      <c r="GH5" s="443"/>
      <c r="GI5" s="443"/>
      <c r="GJ5" s="443"/>
      <c r="GK5" s="443"/>
      <c r="GL5" s="443"/>
      <c r="GM5" s="443"/>
      <c r="GN5" s="443"/>
      <c r="GO5" s="443"/>
      <c r="GP5" s="443"/>
      <c r="GQ5" s="443"/>
      <c r="GR5" s="443"/>
      <c r="GS5" s="443"/>
      <c r="GT5" s="443"/>
      <c r="GU5" s="443"/>
      <c r="GV5" s="443"/>
      <c r="GW5" s="443"/>
      <c r="GX5" s="443"/>
      <c r="GY5" s="443"/>
      <c r="GZ5" s="443"/>
      <c r="HA5" s="443"/>
      <c r="HB5" s="443"/>
      <c r="HC5" s="443"/>
      <c r="HD5" s="443"/>
      <c r="HE5" s="443"/>
      <c r="HF5" s="443"/>
      <c r="HG5" s="443"/>
      <c r="HH5" s="443"/>
      <c r="HI5" s="443"/>
      <c r="HJ5" s="443"/>
      <c r="HK5" s="443"/>
      <c r="HL5" s="443"/>
      <c r="HM5" s="443"/>
      <c r="HN5" s="443"/>
      <c r="HO5" s="443"/>
      <c r="HP5" s="443"/>
      <c r="HQ5" s="443"/>
      <c r="HR5" s="443"/>
      <c r="HS5" s="443"/>
      <c r="HT5" s="443"/>
      <c r="HU5" s="443"/>
      <c r="HV5" s="443"/>
      <c r="HW5" s="443"/>
      <c r="HX5" s="443"/>
      <c r="HY5" s="443"/>
      <c r="HZ5" s="443"/>
      <c r="IA5" s="443"/>
      <c r="IB5" s="443"/>
      <c r="IC5" s="443"/>
      <c r="ID5" s="443"/>
      <c r="IE5" s="443"/>
      <c r="IF5" s="443"/>
      <c r="IG5" s="443"/>
      <c r="IH5" s="443"/>
      <c r="II5" s="443"/>
      <c r="IJ5" s="443"/>
      <c r="IK5" s="443"/>
      <c r="IL5" s="443"/>
      <c r="IM5" s="443"/>
      <c r="IN5" s="443"/>
      <c r="IO5" s="443"/>
      <c r="IP5" s="443"/>
      <c r="IQ5" s="443"/>
      <c r="IR5" s="443"/>
      <c r="IS5" s="443"/>
      <c r="IT5" s="443"/>
      <c r="IU5" s="443"/>
      <c r="IV5" s="443"/>
      <c r="IW5" s="443"/>
      <c r="IX5" s="443"/>
      <c r="IY5" s="443"/>
      <c r="IZ5" s="443"/>
      <c r="JA5" s="443"/>
      <c r="JB5" s="443"/>
      <c r="JC5" s="443"/>
      <c r="JD5" s="443"/>
      <c r="JE5" s="443"/>
      <c r="JF5" s="443"/>
      <c r="JG5" s="443"/>
      <c r="JH5" s="443"/>
      <c r="JI5" s="443"/>
      <c r="JJ5" s="443"/>
      <c r="JK5" s="443"/>
      <c r="JL5" s="443"/>
      <c r="JM5" s="443"/>
      <c r="JN5"/>
    </row>
    <row r="6" spans="1:277">
      <c r="B6" s="397" t="s">
        <v>182</v>
      </c>
      <c r="C6" s="321"/>
      <c r="D6" s="440" t="str">
        <f t="shared" si="10"/>
        <v>Missle System</v>
      </c>
      <c r="E6" s="321"/>
      <c r="F6" s="321"/>
      <c r="G6" s="321"/>
      <c r="H6" s="321"/>
      <c r="I6" s="321"/>
      <c r="J6" s="321"/>
      <c r="K6" s="321"/>
      <c r="L6" s="321"/>
      <c r="M6" s="321"/>
      <c r="N6" s="321"/>
      <c r="O6" s="321"/>
      <c r="P6" s="321"/>
      <c r="Q6" s="321" t="s">
        <v>699</v>
      </c>
      <c r="R6" s="403"/>
      <c r="S6" s="439" t="s">
        <v>702</v>
      </c>
      <c r="T6" s="321"/>
      <c r="U6" s="502">
        <f t="shared" ref="U6:U15" si="27">SUM(AM6:EZ6)</f>
        <v>14944306.73766797</v>
      </c>
      <c r="V6" s="387">
        <f t="shared" ref="V6:V15" si="28">SUM(FA6:JN6)</f>
        <v>15786880.226465655</v>
      </c>
      <c r="W6" s="388">
        <f>IFERROR(Model[[#This Row],[Point Estimate (CY14$)]]/SUMIFS(Model[Point Estimate (CY14$)], Model[Phase], Model[[#This Row],[Phase]]), 0)</f>
        <v>5.6274304990004083E-2</v>
      </c>
      <c r="X6" s="387">
        <f>Model[[#This Row],[Point Estimate (CY14$)]]</f>
        <v>14944306.73766797</v>
      </c>
      <c r="Y6" s="387">
        <f>Model[[#This Row],[Point Estimate (TY$)]]</f>
        <v>15786880.226465655</v>
      </c>
      <c r="Z6" s="399" t="s">
        <v>308</v>
      </c>
      <c r="AA6" s="399" t="s">
        <v>815</v>
      </c>
      <c r="AB6" s="489"/>
      <c r="AC6" s="489"/>
      <c r="AD6" s="489"/>
      <c r="AE6" s="489"/>
      <c r="AF6" s="439" t="s">
        <v>129</v>
      </c>
      <c r="AG6" s="387"/>
      <c r="AH6" s="439" t="s">
        <v>101</v>
      </c>
      <c r="AI6" s="441" t="s">
        <v>72</v>
      </c>
      <c r="AJ6" s="439" t="s">
        <v>344</v>
      </c>
      <c r="AK6" s="442" t="s">
        <v>338</v>
      </c>
      <c r="AM6" s="443"/>
      <c r="AN6" s="443"/>
      <c r="AO6" s="443"/>
      <c r="AP6" s="443"/>
      <c r="AQ6" s="443"/>
      <c r="AR6" s="443"/>
      <c r="AS6" s="443"/>
      <c r="AT6" s="443"/>
      <c r="AU6" s="443"/>
      <c r="AV6" s="443"/>
      <c r="AW6" s="443"/>
      <c r="AX6" s="443"/>
      <c r="AY6" s="443"/>
      <c r="AZ6" s="443"/>
      <c r="BA6" s="443"/>
      <c r="BB6" s="443"/>
      <c r="BC6" s="443"/>
      <c r="BD6" s="501">
        <f>SUM(BD7, BD8)</f>
        <v>1998904.1095890412</v>
      </c>
      <c r="BE6" s="501">
        <f t="shared" ref="BE6:BJ6" si="29">SUM(BE7, BE8)</f>
        <v>2400000</v>
      </c>
      <c r="BF6" s="501">
        <f t="shared" si="29"/>
        <v>3078472.5146569796</v>
      </c>
      <c r="BG6" s="501">
        <f t="shared" si="29"/>
        <v>4665834.2230109889</v>
      </c>
      <c r="BH6" s="501">
        <f t="shared" si="29"/>
        <v>2400000</v>
      </c>
      <c r="BI6" s="501">
        <f t="shared" si="29"/>
        <v>401095.89041095891</v>
      </c>
      <c r="BJ6" s="501">
        <f t="shared" si="29"/>
        <v>0</v>
      </c>
      <c r="BK6" s="443"/>
      <c r="BL6" s="443"/>
      <c r="BM6" s="443"/>
      <c r="BN6" s="443"/>
      <c r="BO6" s="443"/>
      <c r="BP6" s="443"/>
      <c r="BQ6" s="443"/>
      <c r="BR6" s="443"/>
      <c r="BS6" s="443"/>
      <c r="BT6" s="443"/>
      <c r="BU6" s="443"/>
      <c r="BV6" s="443"/>
      <c r="BW6" s="443"/>
      <c r="BX6" s="443"/>
      <c r="BY6" s="443"/>
      <c r="BZ6" s="443"/>
      <c r="CA6" s="443"/>
      <c r="CB6" s="443"/>
      <c r="CC6" s="443"/>
      <c r="CD6" s="443"/>
      <c r="CE6" s="443"/>
      <c r="CF6" s="443"/>
      <c r="CG6" s="443"/>
      <c r="CH6" s="443"/>
      <c r="CI6" s="443"/>
      <c r="CJ6" s="443"/>
      <c r="CK6" s="443"/>
      <c r="CL6" s="443"/>
      <c r="CM6" s="443"/>
      <c r="CN6" s="443"/>
      <c r="CO6" s="443"/>
      <c r="CP6" s="443"/>
      <c r="CQ6" s="443"/>
      <c r="CR6" s="443"/>
      <c r="CS6" s="443"/>
      <c r="CT6" s="443"/>
      <c r="CU6" s="443"/>
      <c r="CV6" s="443"/>
      <c r="CW6" s="443"/>
      <c r="CX6" s="443"/>
      <c r="CY6" s="443"/>
      <c r="CZ6" s="443"/>
      <c r="DA6" s="443"/>
      <c r="DB6" s="443"/>
      <c r="DC6" s="443"/>
      <c r="DD6" s="443"/>
      <c r="DE6" s="443"/>
      <c r="DF6" s="443"/>
      <c r="DG6" s="443"/>
      <c r="DH6" s="443"/>
      <c r="DI6" s="443"/>
      <c r="DJ6" s="443"/>
      <c r="DK6" s="443"/>
      <c r="DL6" s="443"/>
      <c r="DM6" s="443"/>
      <c r="DN6" s="443"/>
      <c r="DO6" s="443"/>
      <c r="DP6" s="443"/>
      <c r="DQ6" s="443"/>
      <c r="DR6" s="443"/>
      <c r="DS6" s="443"/>
      <c r="DT6" s="443"/>
      <c r="DU6" s="443"/>
      <c r="DV6" s="443"/>
      <c r="DW6" s="443"/>
      <c r="DX6" s="443"/>
      <c r="DY6" s="443"/>
      <c r="DZ6" s="443"/>
      <c r="EA6" s="443"/>
      <c r="EB6" s="443"/>
      <c r="EC6" s="443"/>
      <c r="ED6" s="443"/>
      <c r="EE6" s="443"/>
      <c r="EF6" s="443"/>
      <c r="EG6" s="443"/>
      <c r="EH6" s="443"/>
      <c r="EI6" s="443"/>
      <c r="EJ6" s="443"/>
      <c r="EK6" s="443"/>
      <c r="EL6" s="443"/>
      <c r="EM6" s="443"/>
      <c r="EN6" s="443"/>
      <c r="EO6" s="443"/>
      <c r="EP6" s="443"/>
      <c r="EQ6" s="443"/>
      <c r="ER6" s="443"/>
      <c r="ES6" s="443"/>
      <c r="ET6" s="443"/>
      <c r="EU6" s="443"/>
      <c r="EV6" s="443"/>
      <c r="EW6" s="443"/>
      <c r="EX6" s="443"/>
      <c r="EY6" s="443"/>
      <c r="FA6" s="443"/>
      <c r="FB6" s="443"/>
      <c r="FC6" s="443"/>
      <c r="FD6" s="443"/>
      <c r="FE6" s="443"/>
      <c r="FF6" s="443"/>
      <c r="FG6" s="443"/>
      <c r="FH6" s="443"/>
      <c r="FI6" s="443"/>
      <c r="FJ6" s="443"/>
      <c r="FK6" s="443"/>
      <c r="FL6" s="443"/>
      <c r="FM6" s="443"/>
      <c r="FN6" s="443"/>
      <c r="FO6" s="443"/>
      <c r="FP6" s="443"/>
      <c r="FQ6" s="443"/>
      <c r="FR6" s="501">
        <f>SUM(FR7, FR8)</f>
        <v>2027163.7625917436</v>
      </c>
      <c r="FS6" s="501">
        <f t="shared" ref="FS6" si="30">SUM(FS7, FS8)</f>
        <v>2477393.4975524913</v>
      </c>
      <c r="FT6" s="501">
        <f t="shared" ref="FT6" si="31">SUM(FT7, FT8)</f>
        <v>3234508.1468553119</v>
      </c>
      <c r="FU6" s="501">
        <f t="shared" ref="FU6" si="32">SUM(FU7, FU8)</f>
        <v>4990286.976375442</v>
      </c>
      <c r="FV6" s="501">
        <f t="shared" ref="FV6" si="33">SUM(FV7, FV8)</f>
        <v>2612992.849326842</v>
      </c>
      <c r="FW6" s="501">
        <f t="shared" ref="FW6" si="34">SUM(FW7, FW8)</f>
        <v>444534.99376382516</v>
      </c>
      <c r="FX6" s="501">
        <f t="shared" ref="FX6" si="35">SUM(FX7, FX8)</f>
        <v>0</v>
      </c>
      <c r="FY6" s="443"/>
      <c r="FZ6" s="443"/>
      <c r="GA6" s="443"/>
      <c r="GB6" s="443"/>
      <c r="GC6" s="443"/>
      <c r="GD6" s="443"/>
      <c r="GE6" s="443"/>
      <c r="GF6" s="443"/>
      <c r="GG6" s="443"/>
      <c r="GH6" s="443"/>
      <c r="GI6" s="443"/>
      <c r="GJ6" s="443"/>
      <c r="GK6" s="443"/>
      <c r="GL6" s="443"/>
      <c r="GM6" s="443"/>
      <c r="GN6" s="443"/>
      <c r="GO6" s="443"/>
      <c r="GP6" s="443"/>
      <c r="GQ6" s="443"/>
      <c r="GR6" s="443"/>
      <c r="GS6" s="443"/>
      <c r="GT6" s="443"/>
      <c r="GU6" s="443"/>
      <c r="GV6" s="443"/>
      <c r="GW6" s="443"/>
      <c r="GX6" s="443"/>
      <c r="GY6" s="443"/>
      <c r="GZ6" s="443"/>
      <c r="HA6" s="443"/>
      <c r="HB6" s="443"/>
      <c r="HC6" s="443"/>
      <c r="HD6" s="443"/>
      <c r="HE6" s="443"/>
      <c r="HF6" s="443"/>
      <c r="HG6" s="443"/>
      <c r="HH6" s="443"/>
      <c r="HI6" s="443"/>
      <c r="HJ6" s="443"/>
      <c r="HK6" s="443"/>
      <c r="HL6" s="443"/>
      <c r="HM6" s="443"/>
      <c r="HN6" s="443"/>
      <c r="HO6" s="443"/>
      <c r="HP6" s="443"/>
      <c r="HQ6" s="443"/>
      <c r="HR6" s="443"/>
      <c r="HS6" s="443"/>
      <c r="HT6" s="443"/>
      <c r="HU6" s="443"/>
      <c r="HV6" s="443"/>
      <c r="HW6" s="443"/>
      <c r="HX6" s="443"/>
      <c r="HY6" s="443"/>
      <c r="HZ6" s="443"/>
      <c r="IA6" s="443"/>
      <c r="IB6" s="443"/>
      <c r="IC6" s="443"/>
      <c r="ID6" s="443"/>
      <c r="IE6" s="443"/>
      <c r="IF6" s="443"/>
      <c r="IG6" s="443"/>
      <c r="IH6" s="443"/>
      <c r="II6" s="443"/>
      <c r="IJ6" s="443"/>
      <c r="IK6" s="443"/>
      <c r="IL6" s="443"/>
      <c r="IM6" s="443"/>
      <c r="IN6" s="443"/>
      <c r="IO6" s="443"/>
      <c r="IP6" s="443"/>
      <c r="IQ6" s="443"/>
      <c r="IR6" s="443"/>
      <c r="IS6" s="443"/>
      <c r="IT6" s="443"/>
      <c r="IU6" s="443"/>
      <c r="IV6" s="443"/>
      <c r="IW6" s="443"/>
      <c r="IX6" s="443"/>
      <c r="IY6" s="443"/>
      <c r="IZ6" s="443"/>
      <c r="JA6" s="443"/>
      <c r="JB6" s="443"/>
      <c r="JC6" s="443"/>
      <c r="JD6" s="443"/>
      <c r="JE6" s="443"/>
      <c r="JF6" s="443"/>
      <c r="JG6" s="443"/>
      <c r="JH6" s="443"/>
      <c r="JI6" s="443"/>
      <c r="JJ6" s="443"/>
      <c r="JK6" s="443"/>
      <c r="JL6" s="443"/>
      <c r="JM6" s="443"/>
      <c r="JN6"/>
    </row>
    <row r="7" spans="1:277">
      <c r="B7" s="397" t="s">
        <v>182</v>
      </c>
      <c r="C7" s="321"/>
      <c r="D7" s="440" t="str">
        <f t="shared" si="10"/>
        <v>Missle System</v>
      </c>
      <c r="E7" s="321"/>
      <c r="F7" s="321"/>
      <c r="G7" s="321"/>
      <c r="H7" s="321"/>
      <c r="I7" s="321"/>
      <c r="J7" s="321"/>
      <c r="K7" s="321"/>
      <c r="L7" s="321"/>
      <c r="M7" s="321"/>
      <c r="N7" s="321"/>
      <c r="O7" s="321"/>
      <c r="P7" s="321"/>
      <c r="Q7" s="321" t="s">
        <v>690</v>
      </c>
      <c r="R7" s="403"/>
      <c r="S7" s="439" t="s">
        <v>702</v>
      </c>
      <c r="T7" s="321"/>
      <c r="U7" s="502">
        <f t="shared" si="27"/>
        <v>12000000</v>
      </c>
      <c r="V7" s="387">
        <f t="shared" si="28"/>
        <v>12650622.825332934</v>
      </c>
      <c r="W7" s="388">
        <f>IFERROR(Model[[#This Row],[Point Estimate (CY14$)]]/SUMIFS(Model[Point Estimate (CY14$)], Model[Phase], Model[[#This Row],[Phase]]), 0)</f>
        <v>4.5187218901090821E-2</v>
      </c>
      <c r="X7" s="387">
        <f>Model[[#This Row],[Point Estimate (CY14$)]]</f>
        <v>12000000</v>
      </c>
      <c r="Y7" s="387">
        <f>Model[[#This Row],[Point Estimate (TY$)]]</f>
        <v>12650622.825332934</v>
      </c>
      <c r="Z7" s="400" t="s">
        <v>688</v>
      </c>
      <c r="AA7" s="400" t="s">
        <v>816</v>
      </c>
      <c r="AB7" s="490"/>
      <c r="AC7" s="490"/>
      <c r="AD7" s="490"/>
      <c r="AE7" s="490"/>
      <c r="AF7" s="439" t="s">
        <v>129</v>
      </c>
      <c r="AG7" s="387"/>
      <c r="AH7" s="439" t="s">
        <v>101</v>
      </c>
      <c r="AI7" s="441" t="s">
        <v>72</v>
      </c>
      <c r="AJ7" s="439" t="s">
        <v>344</v>
      </c>
      <c r="AK7" s="442" t="s">
        <v>338</v>
      </c>
      <c r="AM7" s="443"/>
      <c r="AN7" s="443"/>
      <c r="AO7" s="443"/>
      <c r="AP7" s="443"/>
      <c r="AQ7" s="443"/>
      <c r="AR7" s="443"/>
      <c r="AS7" s="443"/>
      <c r="AT7" s="443"/>
      <c r="AU7" s="443"/>
      <c r="AV7" s="443"/>
      <c r="AW7" s="443"/>
      <c r="AX7" s="443"/>
      <c r="AY7" s="443"/>
      <c r="AZ7" s="443"/>
      <c r="BA7" s="443"/>
      <c r="BB7" s="443"/>
      <c r="BC7" s="443"/>
      <c r="BD7" s="501">
        <f>'1.1.1.1'!D5</f>
        <v>1998904.1095890412</v>
      </c>
      <c r="BE7" s="501">
        <f>'1.1.1.1'!E5</f>
        <v>2400000</v>
      </c>
      <c r="BF7" s="501">
        <f>'1.1.1.1'!F5</f>
        <v>2400000</v>
      </c>
      <c r="BG7" s="501">
        <f>'1.1.1.1'!G5</f>
        <v>2400000</v>
      </c>
      <c r="BH7" s="501">
        <f>'1.1.1.1'!H5</f>
        <v>2400000</v>
      </c>
      <c r="BI7" s="501">
        <f>'1.1.1.1'!I5</f>
        <v>401095.89041095891</v>
      </c>
      <c r="BJ7" s="501">
        <f>'1.1.1.1'!J5</f>
        <v>0</v>
      </c>
      <c r="BK7" s="443"/>
      <c r="BL7" s="443"/>
      <c r="BM7" s="443"/>
      <c r="BN7" s="443"/>
      <c r="BO7" s="443"/>
      <c r="BP7" s="443"/>
      <c r="BQ7" s="443"/>
      <c r="BR7" s="443"/>
      <c r="BS7" s="443"/>
      <c r="BT7" s="443"/>
      <c r="BU7" s="443"/>
      <c r="BV7" s="443"/>
      <c r="BW7" s="443"/>
      <c r="BX7" s="443"/>
      <c r="BY7" s="443"/>
      <c r="BZ7" s="443"/>
      <c r="CA7" s="443"/>
      <c r="CB7" s="443"/>
      <c r="CC7" s="443"/>
      <c r="CD7" s="443"/>
      <c r="CE7" s="443"/>
      <c r="CF7" s="443"/>
      <c r="CG7" s="443"/>
      <c r="CH7" s="443"/>
      <c r="CI7" s="443"/>
      <c r="CJ7" s="443"/>
      <c r="CK7" s="443"/>
      <c r="CL7" s="443"/>
      <c r="CM7" s="443"/>
      <c r="CN7" s="443"/>
      <c r="CO7" s="443"/>
      <c r="CP7" s="443"/>
      <c r="CQ7" s="443"/>
      <c r="CR7" s="443"/>
      <c r="CS7" s="443"/>
      <c r="CT7" s="443"/>
      <c r="CU7" s="443"/>
      <c r="CV7" s="443"/>
      <c r="CW7" s="443"/>
      <c r="CX7" s="443"/>
      <c r="CY7" s="443"/>
      <c r="CZ7" s="443"/>
      <c r="DA7" s="443"/>
      <c r="DB7" s="443"/>
      <c r="DC7" s="443"/>
      <c r="DD7" s="443"/>
      <c r="DE7" s="443"/>
      <c r="DF7" s="443"/>
      <c r="DG7" s="443"/>
      <c r="DH7" s="443"/>
      <c r="DI7" s="443"/>
      <c r="DJ7" s="443"/>
      <c r="DK7" s="443"/>
      <c r="DL7" s="443"/>
      <c r="DM7" s="443"/>
      <c r="DN7" s="443"/>
      <c r="DO7" s="443"/>
      <c r="DP7" s="443"/>
      <c r="DQ7" s="443"/>
      <c r="DR7" s="443"/>
      <c r="DS7" s="443"/>
      <c r="DT7" s="443"/>
      <c r="DU7" s="443"/>
      <c r="DV7" s="443"/>
      <c r="DW7" s="443"/>
      <c r="DX7" s="443"/>
      <c r="DY7" s="443"/>
      <c r="DZ7" s="443"/>
      <c r="EA7" s="443"/>
      <c r="EB7" s="443"/>
      <c r="EC7" s="443"/>
      <c r="ED7" s="443"/>
      <c r="EE7" s="443"/>
      <c r="EF7" s="443"/>
      <c r="EG7" s="443"/>
      <c r="EH7" s="443"/>
      <c r="EI7" s="443"/>
      <c r="EJ7" s="443"/>
      <c r="EK7" s="443"/>
      <c r="EL7" s="443"/>
      <c r="EM7" s="443"/>
      <c r="EN7" s="443"/>
      <c r="EO7" s="443"/>
      <c r="EP7" s="443"/>
      <c r="EQ7" s="443"/>
      <c r="ER7" s="443"/>
      <c r="ES7" s="443"/>
      <c r="ET7" s="443"/>
      <c r="EU7" s="443"/>
      <c r="EV7" s="443"/>
      <c r="EW7" s="443"/>
      <c r="EX7" s="443"/>
      <c r="EY7" s="443"/>
      <c r="FA7" s="443"/>
      <c r="FB7" s="443"/>
      <c r="FC7" s="443"/>
      <c r="FD7" s="443"/>
      <c r="FE7" s="443"/>
      <c r="FF7" s="443"/>
      <c r="FG7" s="443"/>
      <c r="FH7" s="443"/>
      <c r="FI7" s="443"/>
      <c r="FJ7" s="443"/>
      <c r="FK7" s="443"/>
      <c r="FL7" s="443"/>
      <c r="FM7" s="443"/>
      <c r="FN7" s="443"/>
      <c r="FO7" s="443"/>
      <c r="FP7" s="443"/>
      <c r="FQ7" s="443"/>
      <c r="FR7" s="501">
        <f>'1.1.1.1'!D9</f>
        <v>2027163.7625917436</v>
      </c>
      <c r="FS7" s="501">
        <f>'1.1.1.1'!E9</f>
        <v>2477393.4975524913</v>
      </c>
      <c r="FT7" s="501">
        <f>'1.1.1.1'!F9</f>
        <v>2521646.535901499</v>
      </c>
      <c r="FU7" s="501">
        <f>'1.1.1.1'!G9</f>
        <v>2566891.186196534</v>
      </c>
      <c r="FV7" s="501">
        <f>'1.1.1.1'!H9</f>
        <v>2612992.849326842</v>
      </c>
      <c r="FW7" s="501">
        <f>'1.1.1.1'!I9</f>
        <v>444534.99376382516</v>
      </c>
      <c r="FX7" s="501">
        <f>'1.1.1.1'!J9</f>
        <v>0</v>
      </c>
      <c r="FY7" s="443"/>
      <c r="FZ7" s="443"/>
      <c r="GA7" s="443"/>
      <c r="GB7" s="443"/>
      <c r="GC7" s="443"/>
      <c r="GD7" s="443"/>
      <c r="GE7" s="443"/>
      <c r="GF7" s="443"/>
      <c r="GG7" s="443"/>
      <c r="GH7" s="443"/>
      <c r="GI7" s="443"/>
      <c r="GJ7" s="443"/>
      <c r="GK7" s="443"/>
      <c r="GL7" s="443"/>
      <c r="GM7" s="443"/>
      <c r="GN7" s="443"/>
      <c r="GO7" s="443"/>
      <c r="GP7" s="443"/>
      <c r="GQ7" s="443"/>
      <c r="GR7" s="443"/>
      <c r="GS7" s="443"/>
      <c r="GT7" s="443"/>
      <c r="GU7" s="443"/>
      <c r="GV7" s="443"/>
      <c r="GW7" s="443"/>
      <c r="GX7" s="443"/>
      <c r="GY7" s="443"/>
      <c r="GZ7" s="443"/>
      <c r="HA7" s="443"/>
      <c r="HB7" s="443"/>
      <c r="HC7" s="443"/>
      <c r="HD7" s="443"/>
      <c r="HE7" s="443"/>
      <c r="HF7" s="443"/>
      <c r="HG7" s="443"/>
      <c r="HH7" s="443"/>
      <c r="HI7" s="443"/>
      <c r="HJ7" s="443"/>
      <c r="HK7" s="443"/>
      <c r="HL7" s="443"/>
      <c r="HM7" s="443"/>
      <c r="HN7" s="443"/>
      <c r="HO7" s="443"/>
      <c r="HP7" s="443"/>
      <c r="HQ7" s="443"/>
      <c r="HR7" s="443"/>
      <c r="HS7" s="443"/>
      <c r="HT7" s="443"/>
      <c r="HU7" s="443"/>
      <c r="HV7" s="443"/>
      <c r="HW7" s="443"/>
      <c r="HX7" s="443"/>
      <c r="HY7" s="443"/>
      <c r="HZ7" s="443"/>
      <c r="IA7" s="443"/>
      <c r="IB7" s="443"/>
      <c r="IC7" s="443"/>
      <c r="ID7" s="443"/>
      <c r="IE7" s="443"/>
      <c r="IF7" s="443"/>
      <c r="IG7" s="443"/>
      <c r="IH7" s="443"/>
      <c r="II7" s="443"/>
      <c r="IJ7" s="443"/>
      <c r="IK7" s="443"/>
      <c r="IL7" s="443"/>
      <c r="IM7" s="443"/>
      <c r="IN7" s="443"/>
      <c r="IO7" s="443"/>
      <c r="IP7" s="443"/>
      <c r="IQ7" s="443"/>
      <c r="IR7" s="443"/>
      <c r="IS7" s="443"/>
      <c r="IT7" s="443"/>
      <c r="IU7" s="443"/>
      <c r="IV7" s="443"/>
      <c r="IW7" s="443"/>
      <c r="IX7" s="443"/>
      <c r="IY7" s="443"/>
      <c r="IZ7" s="443"/>
      <c r="JA7" s="443"/>
      <c r="JB7" s="443"/>
      <c r="JC7" s="443"/>
      <c r="JD7" s="443"/>
      <c r="JE7" s="443"/>
      <c r="JF7" s="443"/>
      <c r="JG7" s="443"/>
      <c r="JH7" s="443"/>
      <c r="JI7" s="443"/>
      <c r="JJ7" s="443"/>
      <c r="JK7" s="443"/>
      <c r="JL7" s="443"/>
      <c r="JM7" s="443"/>
      <c r="JN7"/>
    </row>
    <row r="8" spans="1:277">
      <c r="B8" s="397" t="s">
        <v>182</v>
      </c>
      <c r="C8" s="321"/>
      <c r="D8" s="440" t="str">
        <f t="shared" si="10"/>
        <v>Missle System</v>
      </c>
      <c r="E8" s="321"/>
      <c r="F8" s="321"/>
      <c r="G8" s="321"/>
      <c r="H8" s="321"/>
      <c r="I8" s="321"/>
      <c r="J8" s="321"/>
      <c r="K8" s="321"/>
      <c r="L8" s="321"/>
      <c r="M8" s="321"/>
      <c r="N8" s="321"/>
      <c r="O8" s="321"/>
      <c r="P8" s="321"/>
      <c r="Q8" s="321" t="s">
        <v>691</v>
      </c>
      <c r="R8" s="403"/>
      <c r="S8" s="439" t="s">
        <v>702</v>
      </c>
      <c r="T8" s="321"/>
      <c r="U8" s="502">
        <f t="shared" si="27"/>
        <v>2944306.7376679685</v>
      </c>
      <c r="V8" s="387">
        <f t="shared" si="28"/>
        <v>3136257.401132721</v>
      </c>
      <c r="W8" s="388">
        <f>IFERROR(Model[[#This Row],[Point Estimate (CY14$)]]/SUMIFS(Model[Point Estimate (CY14$)], Model[Phase], Model[[#This Row],[Phase]]), 0)</f>
        <v>1.1087086088913256E-2</v>
      </c>
      <c r="X8" s="387">
        <f>Model[[#This Row],[Point Estimate (CY14$)]]</f>
        <v>2944306.7376679685</v>
      </c>
      <c r="Y8" s="387">
        <f>Model[[#This Row],[Point Estimate (TY$)]]</f>
        <v>3136257.401132721</v>
      </c>
      <c r="Z8" s="400" t="s">
        <v>687</v>
      </c>
      <c r="AA8" s="400" t="s">
        <v>817</v>
      </c>
      <c r="AB8" s="490"/>
      <c r="AC8" s="490"/>
      <c r="AD8" s="490"/>
      <c r="AE8" s="490"/>
      <c r="AF8" s="439" t="s">
        <v>129</v>
      </c>
      <c r="AG8" s="387"/>
      <c r="AH8" s="439" t="s">
        <v>101</v>
      </c>
      <c r="AI8" s="441" t="s">
        <v>72</v>
      </c>
      <c r="AJ8" s="439" t="s">
        <v>344</v>
      </c>
      <c r="AK8" s="442" t="s">
        <v>338</v>
      </c>
      <c r="AM8" s="443"/>
      <c r="AN8" s="443"/>
      <c r="AO8" s="443"/>
      <c r="AP8" s="443"/>
      <c r="AQ8" s="443"/>
      <c r="AR8" s="443"/>
      <c r="AS8" s="443"/>
      <c r="AT8" s="443"/>
      <c r="AU8" s="443"/>
      <c r="AV8" s="443"/>
      <c r="AW8" s="443"/>
      <c r="AX8" s="443"/>
      <c r="AY8" s="443"/>
      <c r="AZ8" s="443"/>
      <c r="BA8" s="443"/>
      <c r="BB8" s="443"/>
      <c r="BC8" s="443"/>
      <c r="BD8" s="501">
        <f>'1.1.1.2'!D5</f>
        <v>0</v>
      </c>
      <c r="BE8" s="501">
        <f>'1.1.1.2'!E5</f>
        <v>0</v>
      </c>
      <c r="BF8" s="501">
        <f>'1.1.1.2'!F5</f>
        <v>678472.51465697936</v>
      </c>
      <c r="BG8" s="501">
        <f>'1.1.1.2'!G5</f>
        <v>2265834.2230109889</v>
      </c>
      <c r="BH8" s="501">
        <f>'1.1.1.2'!H5</f>
        <v>0</v>
      </c>
      <c r="BI8" s="501">
        <f>'1.1.1.2'!I5</f>
        <v>0</v>
      </c>
      <c r="BJ8" s="501">
        <f>'1.1.1.2'!J5</f>
        <v>0</v>
      </c>
      <c r="BK8" s="443"/>
      <c r="BL8" s="443"/>
      <c r="BM8" s="443"/>
      <c r="BN8" s="443"/>
      <c r="BO8" s="443"/>
      <c r="BP8" s="443"/>
      <c r="BQ8" s="443"/>
      <c r="BR8" s="443"/>
      <c r="BS8" s="443"/>
      <c r="BT8" s="443"/>
      <c r="BU8" s="443"/>
      <c r="BV8" s="443"/>
      <c r="BW8" s="443"/>
      <c r="BX8" s="443"/>
      <c r="BY8" s="443"/>
      <c r="BZ8" s="443"/>
      <c r="CA8" s="443"/>
      <c r="CB8" s="443"/>
      <c r="CC8" s="443"/>
      <c r="CD8" s="443"/>
      <c r="CE8" s="443"/>
      <c r="CF8" s="443"/>
      <c r="CG8" s="443"/>
      <c r="CH8" s="443"/>
      <c r="CI8" s="443"/>
      <c r="CJ8" s="443"/>
      <c r="CK8" s="443"/>
      <c r="CL8" s="443"/>
      <c r="CM8" s="443"/>
      <c r="CN8" s="443"/>
      <c r="CO8" s="443"/>
      <c r="CP8" s="443"/>
      <c r="CQ8" s="443"/>
      <c r="CR8" s="443"/>
      <c r="CS8" s="443"/>
      <c r="CT8" s="443"/>
      <c r="CU8" s="443"/>
      <c r="CV8" s="443"/>
      <c r="CW8" s="443"/>
      <c r="CX8" s="443"/>
      <c r="CY8" s="443"/>
      <c r="CZ8" s="443"/>
      <c r="DA8" s="443"/>
      <c r="DB8" s="443"/>
      <c r="DC8" s="443"/>
      <c r="DD8" s="443"/>
      <c r="DE8" s="443"/>
      <c r="DF8" s="443"/>
      <c r="DG8" s="443"/>
      <c r="DH8" s="443"/>
      <c r="DI8" s="443"/>
      <c r="DJ8" s="443"/>
      <c r="DK8" s="443"/>
      <c r="DL8" s="443"/>
      <c r="DM8" s="443"/>
      <c r="DN8" s="443"/>
      <c r="DO8" s="443"/>
      <c r="DP8" s="443"/>
      <c r="DQ8" s="443"/>
      <c r="DR8" s="443"/>
      <c r="DS8" s="443"/>
      <c r="DT8" s="443"/>
      <c r="DU8" s="443"/>
      <c r="DV8" s="443"/>
      <c r="DW8" s="443"/>
      <c r="DX8" s="443"/>
      <c r="DY8" s="443"/>
      <c r="DZ8" s="443"/>
      <c r="EA8" s="443"/>
      <c r="EB8" s="443"/>
      <c r="EC8" s="443"/>
      <c r="ED8" s="443"/>
      <c r="EE8" s="443"/>
      <c r="EF8" s="443"/>
      <c r="EG8" s="443"/>
      <c r="EH8" s="443"/>
      <c r="EI8" s="443"/>
      <c r="EJ8" s="443"/>
      <c r="EK8" s="443"/>
      <c r="EL8" s="443"/>
      <c r="EM8" s="443"/>
      <c r="EN8" s="443"/>
      <c r="EO8" s="443"/>
      <c r="EP8" s="443"/>
      <c r="EQ8" s="443"/>
      <c r="ER8" s="443"/>
      <c r="ES8" s="443"/>
      <c r="ET8" s="443"/>
      <c r="EU8" s="443"/>
      <c r="EV8" s="443"/>
      <c r="EW8" s="443"/>
      <c r="EX8" s="443"/>
      <c r="EY8" s="443"/>
      <c r="FA8" s="443"/>
      <c r="FB8" s="443"/>
      <c r="FC8" s="443"/>
      <c r="FD8" s="443"/>
      <c r="FE8" s="443"/>
      <c r="FF8" s="443"/>
      <c r="FG8" s="443"/>
      <c r="FH8" s="443"/>
      <c r="FI8" s="443"/>
      <c r="FJ8" s="443"/>
      <c r="FK8" s="443"/>
      <c r="FL8" s="443"/>
      <c r="FM8" s="443"/>
      <c r="FN8" s="443"/>
      <c r="FO8" s="443"/>
      <c r="FP8" s="443"/>
      <c r="FQ8" s="443"/>
      <c r="FR8" s="501">
        <f>'1.1.1.2'!D9</f>
        <v>0</v>
      </c>
      <c r="FS8" s="501">
        <f>'1.1.1.2'!E9</f>
        <v>0</v>
      </c>
      <c r="FT8" s="501">
        <f>'1.1.1.2'!F9</f>
        <v>712861.61095381295</v>
      </c>
      <c r="FU8" s="501">
        <f>'1.1.1.2'!G9</f>
        <v>2423395.790178908</v>
      </c>
      <c r="FV8" s="501">
        <f>'1.1.1.2'!H9</f>
        <v>0</v>
      </c>
      <c r="FW8" s="501">
        <f>'1.1.1.2'!I9</f>
        <v>0</v>
      </c>
      <c r="FX8" s="501">
        <f>'1.1.1.2'!J9</f>
        <v>0</v>
      </c>
      <c r="FY8" s="443"/>
      <c r="FZ8" s="443"/>
      <c r="GA8" s="443"/>
      <c r="GB8" s="443"/>
      <c r="GC8" s="443"/>
      <c r="GD8" s="443"/>
      <c r="GE8" s="443"/>
      <c r="GF8" s="443"/>
      <c r="GG8" s="443"/>
      <c r="GH8" s="443"/>
      <c r="GI8" s="443"/>
      <c r="GJ8" s="443"/>
      <c r="GK8" s="443"/>
      <c r="GL8" s="443"/>
      <c r="GM8" s="443"/>
      <c r="GN8" s="443"/>
      <c r="GO8" s="443"/>
      <c r="GP8" s="443"/>
      <c r="GQ8" s="443"/>
      <c r="GR8" s="443"/>
      <c r="GS8" s="443"/>
      <c r="GT8" s="443"/>
      <c r="GU8" s="443"/>
      <c r="GV8" s="443"/>
      <c r="GW8" s="443"/>
      <c r="GX8" s="443"/>
      <c r="GY8" s="443"/>
      <c r="GZ8" s="443"/>
      <c r="HA8" s="443"/>
      <c r="HB8" s="443"/>
      <c r="HC8" s="443"/>
      <c r="HD8" s="443"/>
      <c r="HE8" s="443"/>
      <c r="HF8" s="443"/>
      <c r="HG8" s="443"/>
      <c r="HH8" s="443"/>
      <c r="HI8" s="443"/>
      <c r="HJ8" s="443"/>
      <c r="HK8" s="443"/>
      <c r="HL8" s="443"/>
      <c r="HM8" s="443"/>
      <c r="HN8" s="443"/>
      <c r="HO8" s="443"/>
      <c r="HP8" s="443"/>
      <c r="HQ8" s="443"/>
      <c r="HR8" s="443"/>
      <c r="HS8" s="443"/>
      <c r="HT8" s="443"/>
      <c r="HU8" s="443"/>
      <c r="HV8" s="443"/>
      <c r="HW8" s="443"/>
      <c r="HX8" s="443"/>
      <c r="HY8" s="443"/>
      <c r="HZ8" s="443"/>
      <c r="IA8" s="443"/>
      <c r="IB8" s="443"/>
      <c r="IC8" s="443"/>
      <c r="ID8" s="443"/>
      <c r="IE8" s="443"/>
      <c r="IF8" s="443"/>
      <c r="IG8" s="443"/>
      <c r="IH8" s="443"/>
      <c r="II8" s="443"/>
      <c r="IJ8" s="443"/>
      <c r="IK8" s="443"/>
      <c r="IL8" s="443"/>
      <c r="IM8" s="443"/>
      <c r="IN8" s="443"/>
      <c r="IO8" s="443"/>
      <c r="IP8" s="443"/>
      <c r="IQ8" s="443"/>
      <c r="IR8" s="443"/>
      <c r="IS8" s="443"/>
      <c r="IT8" s="443"/>
      <c r="IU8" s="443"/>
      <c r="IV8" s="443"/>
      <c r="IW8" s="443"/>
      <c r="IX8" s="443"/>
      <c r="IY8" s="443"/>
      <c r="IZ8" s="443"/>
      <c r="JA8" s="443"/>
      <c r="JB8" s="443"/>
      <c r="JC8" s="443"/>
      <c r="JD8" s="443"/>
      <c r="JE8" s="443"/>
      <c r="JF8" s="443"/>
      <c r="JG8" s="443"/>
      <c r="JH8" s="443"/>
      <c r="JI8" s="443"/>
      <c r="JJ8" s="443"/>
      <c r="JK8" s="443"/>
      <c r="JL8" s="443"/>
      <c r="JM8" s="443"/>
      <c r="JN8"/>
    </row>
    <row r="9" spans="1:277">
      <c r="B9" s="397" t="s">
        <v>182</v>
      </c>
      <c r="C9" s="321"/>
      <c r="D9" s="440" t="str">
        <f t="shared" si="10"/>
        <v>Missle System</v>
      </c>
      <c r="E9" s="321"/>
      <c r="F9" s="321"/>
      <c r="G9" s="321"/>
      <c r="H9" s="321"/>
      <c r="I9" s="321"/>
      <c r="J9" s="321"/>
      <c r="K9" s="321"/>
      <c r="L9" s="321"/>
      <c r="M9" s="321"/>
      <c r="N9" s="321"/>
      <c r="O9" s="321"/>
      <c r="P9" s="321"/>
      <c r="Q9" s="321" t="s">
        <v>692</v>
      </c>
      <c r="R9" s="403"/>
      <c r="S9" s="439" t="s">
        <v>702</v>
      </c>
      <c r="T9" s="321"/>
      <c r="U9" s="502">
        <f t="shared" si="27"/>
        <v>31499999.999999996</v>
      </c>
      <c r="V9" s="387">
        <f t="shared" si="28"/>
        <v>33207884.916498959</v>
      </c>
      <c r="W9" s="388">
        <f>IFERROR(Model[[#This Row],[Point Estimate (CY14$)]]/SUMIFS(Model[Point Estimate (CY14$)], Model[Phase], Model[[#This Row],[Phase]]), 0)</f>
        <v>0.11861644961536338</v>
      </c>
      <c r="X9" s="387">
        <f>Model[[#This Row],[Point Estimate (CY14$)]]</f>
        <v>31499999.999999996</v>
      </c>
      <c r="Y9" s="387">
        <f>Model[[#This Row],[Point Estimate (TY$)]]</f>
        <v>33207884.916498959</v>
      </c>
      <c r="Z9" s="399" t="s">
        <v>309</v>
      </c>
      <c r="AA9" s="399" t="s">
        <v>818</v>
      </c>
      <c r="AB9" s="491"/>
      <c r="AC9" s="491"/>
      <c r="AD9" s="491"/>
      <c r="AE9" s="491"/>
      <c r="AF9" s="439" t="s">
        <v>129</v>
      </c>
      <c r="AG9" s="387"/>
      <c r="AH9" s="439" t="s">
        <v>101</v>
      </c>
      <c r="AI9" s="441" t="s">
        <v>72</v>
      </c>
      <c r="AJ9" s="439" t="s">
        <v>344</v>
      </c>
      <c r="AK9" s="442" t="s">
        <v>338</v>
      </c>
      <c r="AM9" s="443"/>
      <c r="AN9" s="443"/>
      <c r="AO9" s="443"/>
      <c r="AP9" s="443"/>
      <c r="AQ9" s="443"/>
      <c r="AR9" s="443"/>
      <c r="AS9" s="443"/>
      <c r="AT9" s="443"/>
      <c r="AU9" s="443"/>
      <c r="AV9" s="443"/>
      <c r="AW9" s="443"/>
      <c r="AX9" s="443"/>
      <c r="AY9" s="443"/>
      <c r="AZ9" s="443"/>
      <c r="BA9" s="443"/>
      <c r="BB9" s="443"/>
      <c r="BC9" s="443"/>
      <c r="BD9" s="501">
        <f>'1.1.2'!D5</f>
        <v>5247123.2876712326</v>
      </c>
      <c r="BE9" s="501">
        <f>'1.1.2'!E5</f>
        <v>6300000</v>
      </c>
      <c r="BF9" s="501">
        <f>'1.1.2'!F5</f>
        <v>6300000</v>
      </c>
      <c r="BG9" s="501">
        <f>'1.1.2'!G5</f>
        <v>6300000</v>
      </c>
      <c r="BH9" s="501">
        <f>'1.1.2'!H5</f>
        <v>6300000</v>
      </c>
      <c r="BI9" s="501">
        <f>'1.1.2'!I5</f>
        <v>1052876.7123287672</v>
      </c>
      <c r="BJ9" s="501">
        <f>'1.1.2'!J5</f>
        <v>0</v>
      </c>
      <c r="BK9" s="443"/>
      <c r="BL9" s="443"/>
      <c r="BM9" s="443"/>
      <c r="BN9" s="443"/>
      <c r="BO9" s="443"/>
      <c r="BP9" s="443"/>
      <c r="BQ9" s="443"/>
      <c r="BR9" s="443"/>
      <c r="BS9" s="443"/>
      <c r="BT9" s="443"/>
      <c r="BU9" s="443"/>
      <c r="BV9" s="443"/>
      <c r="BW9" s="443"/>
      <c r="BX9" s="443"/>
      <c r="BY9" s="443"/>
      <c r="BZ9" s="443"/>
      <c r="CA9" s="443"/>
      <c r="CB9" s="443"/>
      <c r="CC9" s="443"/>
      <c r="CD9" s="443"/>
      <c r="CE9" s="443"/>
      <c r="CF9" s="443"/>
      <c r="CG9" s="443"/>
      <c r="CH9" s="443"/>
      <c r="CI9" s="443"/>
      <c r="CJ9" s="443"/>
      <c r="CK9" s="443"/>
      <c r="CL9" s="443"/>
      <c r="CM9" s="443"/>
      <c r="CN9" s="443"/>
      <c r="CO9" s="443"/>
      <c r="CP9" s="443"/>
      <c r="CQ9" s="443"/>
      <c r="CR9" s="443"/>
      <c r="CS9" s="443"/>
      <c r="CT9" s="443"/>
      <c r="CU9" s="443"/>
      <c r="CV9" s="443"/>
      <c r="CW9" s="443"/>
      <c r="CX9" s="443"/>
      <c r="CY9" s="443"/>
      <c r="CZ9" s="443"/>
      <c r="DA9" s="443"/>
      <c r="DB9" s="443"/>
      <c r="DC9" s="443"/>
      <c r="DD9" s="443"/>
      <c r="DE9" s="443"/>
      <c r="DF9" s="443"/>
      <c r="DG9" s="443"/>
      <c r="DH9" s="443"/>
      <c r="DI9" s="443"/>
      <c r="DJ9" s="443"/>
      <c r="DK9" s="443"/>
      <c r="DL9" s="443"/>
      <c r="DM9" s="443"/>
      <c r="DN9" s="443"/>
      <c r="DO9" s="443"/>
      <c r="DP9" s="443"/>
      <c r="DQ9" s="443"/>
      <c r="DR9" s="443"/>
      <c r="DS9" s="443"/>
      <c r="DT9" s="443"/>
      <c r="DU9" s="443"/>
      <c r="DV9" s="443"/>
      <c r="DW9" s="443"/>
      <c r="DX9" s="443"/>
      <c r="DY9" s="443"/>
      <c r="DZ9" s="443"/>
      <c r="EA9" s="443"/>
      <c r="EB9" s="443"/>
      <c r="EC9" s="443"/>
      <c r="ED9" s="443"/>
      <c r="EE9" s="443"/>
      <c r="EF9" s="443"/>
      <c r="EG9" s="443"/>
      <c r="EH9" s="443"/>
      <c r="EI9" s="443"/>
      <c r="EJ9" s="443"/>
      <c r="EK9" s="443"/>
      <c r="EL9" s="443"/>
      <c r="EM9" s="443"/>
      <c r="EN9" s="443"/>
      <c r="EO9" s="443"/>
      <c r="EP9" s="443"/>
      <c r="EQ9" s="443"/>
      <c r="ER9" s="443"/>
      <c r="ES9" s="443"/>
      <c r="ET9" s="443"/>
      <c r="EU9" s="443"/>
      <c r="EV9" s="443"/>
      <c r="EW9" s="443"/>
      <c r="EX9" s="443"/>
      <c r="EY9" s="443"/>
      <c r="FA9" s="443"/>
      <c r="FB9" s="443"/>
      <c r="FC9" s="443"/>
      <c r="FD9" s="443"/>
      <c r="FE9" s="443"/>
      <c r="FF9" s="443"/>
      <c r="FG9" s="443"/>
      <c r="FH9" s="443"/>
      <c r="FI9" s="443"/>
      <c r="FJ9" s="443"/>
      <c r="FK9" s="443"/>
      <c r="FL9" s="443"/>
      <c r="FM9" s="443"/>
      <c r="FN9" s="443"/>
      <c r="FO9" s="443"/>
      <c r="FP9" s="443"/>
      <c r="FQ9" s="443"/>
      <c r="FR9" s="501">
        <f>'1.1.2'!D9</f>
        <v>5321304.8768033264</v>
      </c>
      <c r="FS9" s="501">
        <f>'1.1.2'!E9</f>
        <v>6503157.9310752898</v>
      </c>
      <c r="FT9" s="501">
        <f>'1.1.2'!F9</f>
        <v>6619322.1567414356</v>
      </c>
      <c r="FU9" s="501">
        <f>'1.1.2'!G9</f>
        <v>6738089.3637659019</v>
      </c>
      <c r="FV9" s="501">
        <f>'1.1.2'!H9</f>
        <v>6859106.2294829609</v>
      </c>
      <c r="FW9" s="501">
        <f>'1.1.2'!I9</f>
        <v>1166904.3586300411</v>
      </c>
      <c r="FX9" s="501">
        <f>'1.1.2'!J9</f>
        <v>0</v>
      </c>
      <c r="FY9" s="443"/>
      <c r="FZ9" s="443"/>
      <c r="GA9" s="443"/>
      <c r="GB9" s="443"/>
      <c r="GC9" s="443"/>
      <c r="GD9" s="443"/>
      <c r="GE9" s="443"/>
      <c r="GF9" s="443"/>
      <c r="GG9" s="443"/>
      <c r="GH9" s="443"/>
      <c r="GI9" s="443"/>
      <c r="GJ9" s="443"/>
      <c r="GK9" s="443"/>
      <c r="GL9" s="443"/>
      <c r="GM9" s="443"/>
      <c r="GN9" s="443"/>
      <c r="GO9" s="443"/>
      <c r="GP9" s="443"/>
      <c r="GQ9" s="443"/>
      <c r="GR9" s="443"/>
      <c r="GS9" s="443"/>
      <c r="GT9" s="443"/>
      <c r="GU9" s="443"/>
      <c r="GV9" s="443"/>
      <c r="GW9" s="443"/>
      <c r="GX9" s="443"/>
      <c r="GY9" s="443"/>
      <c r="GZ9" s="443"/>
      <c r="HA9" s="443"/>
      <c r="HB9" s="443"/>
      <c r="HC9" s="443"/>
      <c r="HD9" s="443"/>
      <c r="HE9" s="443"/>
      <c r="HF9" s="443"/>
      <c r="HG9" s="443"/>
      <c r="HH9" s="443"/>
      <c r="HI9" s="443"/>
      <c r="HJ9" s="443"/>
      <c r="HK9" s="443"/>
      <c r="HL9" s="443"/>
      <c r="HM9" s="443"/>
      <c r="HN9" s="443"/>
      <c r="HO9" s="443"/>
      <c r="HP9" s="443"/>
      <c r="HQ9" s="443"/>
      <c r="HR9" s="443"/>
      <c r="HS9" s="443"/>
      <c r="HT9" s="443"/>
      <c r="HU9" s="443"/>
      <c r="HV9" s="443"/>
      <c r="HW9" s="443"/>
      <c r="HX9" s="443"/>
      <c r="HY9" s="443"/>
      <c r="HZ9" s="443"/>
      <c r="IA9" s="443"/>
      <c r="IB9" s="443"/>
      <c r="IC9" s="443"/>
      <c r="ID9" s="443"/>
      <c r="IE9" s="443"/>
      <c r="IF9" s="443"/>
      <c r="IG9" s="443"/>
      <c r="IH9" s="443"/>
      <c r="II9" s="443"/>
      <c r="IJ9" s="443"/>
      <c r="IK9" s="443"/>
      <c r="IL9" s="443"/>
      <c r="IM9" s="443"/>
      <c r="IN9" s="443"/>
      <c r="IO9" s="443"/>
      <c r="IP9" s="443"/>
      <c r="IQ9" s="443"/>
      <c r="IR9" s="443"/>
      <c r="IS9" s="443"/>
      <c r="IT9" s="443"/>
      <c r="IU9" s="443"/>
      <c r="IV9" s="443"/>
      <c r="IW9" s="443"/>
      <c r="IX9" s="443"/>
      <c r="IY9" s="443"/>
      <c r="IZ9" s="443"/>
      <c r="JA9" s="443"/>
      <c r="JB9" s="443"/>
      <c r="JC9" s="443"/>
      <c r="JD9" s="443"/>
      <c r="JE9" s="443"/>
      <c r="JF9" s="443"/>
      <c r="JG9" s="443"/>
      <c r="JH9" s="443"/>
      <c r="JI9" s="443"/>
      <c r="JJ9" s="443"/>
      <c r="JK9" s="443"/>
      <c r="JL9" s="443"/>
      <c r="JM9" s="443"/>
      <c r="JN9"/>
    </row>
    <row r="10" spans="1:277">
      <c r="B10" s="397" t="s">
        <v>182</v>
      </c>
      <c r="C10" s="321"/>
      <c r="D10" s="440" t="str">
        <f t="shared" si="10"/>
        <v>Missle System</v>
      </c>
      <c r="E10" s="321"/>
      <c r="F10" s="321"/>
      <c r="G10" s="321"/>
      <c r="H10" s="321"/>
      <c r="I10" s="321"/>
      <c r="J10" s="321"/>
      <c r="K10" s="321"/>
      <c r="L10" s="321"/>
      <c r="M10" s="321"/>
      <c r="N10" s="321"/>
      <c r="O10" s="321"/>
      <c r="P10" s="321"/>
      <c r="Q10" s="321" t="s">
        <v>693</v>
      </c>
      <c r="R10" s="403"/>
      <c r="S10" s="439" t="s">
        <v>702</v>
      </c>
      <c r="T10" s="321"/>
      <c r="U10" s="502">
        <f t="shared" si="27"/>
        <v>17500000</v>
      </c>
      <c r="V10" s="387">
        <f t="shared" si="28"/>
        <v>18448824.953610528</v>
      </c>
      <c r="W10" s="388">
        <f>IFERROR(Model[[#This Row],[Point Estimate (CY14$)]]/SUMIFS(Model[Point Estimate (CY14$)], Model[Phase], Model[[#This Row],[Phase]]), 0)</f>
        <v>6.5898027564090772E-2</v>
      </c>
      <c r="X10" s="387">
        <f>Model[[#This Row],[Point Estimate (CY14$)]]</f>
        <v>17500000</v>
      </c>
      <c r="Y10" s="387">
        <f>Model[[#This Row],[Point Estimate (TY$)]]</f>
        <v>18448824.953610528</v>
      </c>
      <c r="Z10" s="399" t="s">
        <v>689</v>
      </c>
      <c r="AA10" s="399" t="s">
        <v>819</v>
      </c>
      <c r="AB10" s="492"/>
      <c r="AC10" s="492"/>
      <c r="AD10" s="492"/>
      <c r="AE10" s="492"/>
      <c r="AF10" s="439" t="s">
        <v>129</v>
      </c>
      <c r="AG10" s="387"/>
      <c r="AH10" s="439" t="s">
        <v>101</v>
      </c>
      <c r="AI10" s="441" t="s">
        <v>72</v>
      </c>
      <c r="AJ10" s="439" t="s">
        <v>344</v>
      </c>
      <c r="AK10" s="442" t="s">
        <v>338</v>
      </c>
      <c r="AM10" s="443"/>
      <c r="AN10" s="443"/>
      <c r="AO10" s="443"/>
      <c r="AP10" s="443"/>
      <c r="AQ10" s="443"/>
      <c r="AR10" s="443"/>
      <c r="AS10" s="443"/>
      <c r="AT10" s="443"/>
      <c r="AU10" s="443"/>
      <c r="AV10" s="443"/>
      <c r="AW10" s="443"/>
      <c r="AX10" s="443"/>
      <c r="AY10" s="443"/>
      <c r="AZ10" s="443"/>
      <c r="BA10" s="443"/>
      <c r="BB10" s="443"/>
      <c r="BC10" s="443"/>
      <c r="BD10" s="501">
        <f>'1.1.3'!D5</f>
        <v>2915068.493150685</v>
      </c>
      <c r="BE10" s="501">
        <f>'1.1.3'!E5</f>
        <v>3500000</v>
      </c>
      <c r="BF10" s="501">
        <f>'1.1.3'!F5</f>
        <v>3500000</v>
      </c>
      <c r="BG10" s="501">
        <f>'1.1.3'!G5</f>
        <v>3500000</v>
      </c>
      <c r="BH10" s="501">
        <f>'1.1.3'!H5</f>
        <v>3500000</v>
      </c>
      <c r="BI10" s="501">
        <f>'1.1.3'!I5</f>
        <v>584931.50684931513</v>
      </c>
      <c r="BJ10" s="501">
        <f>'1.1.3'!J5</f>
        <v>0</v>
      </c>
      <c r="BK10" s="443"/>
      <c r="BL10" s="443"/>
      <c r="BM10" s="443"/>
      <c r="BN10" s="443"/>
      <c r="BO10" s="443"/>
      <c r="BP10" s="443"/>
      <c r="BQ10" s="443"/>
      <c r="BR10" s="443"/>
      <c r="BS10" s="443"/>
      <c r="BT10" s="443"/>
      <c r="BU10" s="443"/>
      <c r="BV10" s="443"/>
      <c r="BW10" s="443"/>
      <c r="BX10" s="443"/>
      <c r="BY10" s="443"/>
      <c r="BZ10" s="443"/>
      <c r="CA10" s="443"/>
      <c r="CB10" s="443"/>
      <c r="CC10" s="443"/>
      <c r="CD10" s="443"/>
      <c r="CE10" s="443"/>
      <c r="CF10" s="443"/>
      <c r="CG10" s="443"/>
      <c r="CH10" s="443"/>
      <c r="CI10" s="443"/>
      <c r="CJ10" s="443"/>
      <c r="CK10" s="443"/>
      <c r="CL10" s="443"/>
      <c r="CM10" s="443"/>
      <c r="CN10" s="443"/>
      <c r="CO10" s="443"/>
      <c r="CP10" s="443"/>
      <c r="CQ10" s="443"/>
      <c r="CR10" s="443"/>
      <c r="CS10" s="443"/>
      <c r="CT10" s="443"/>
      <c r="CU10" s="443"/>
      <c r="CV10" s="443"/>
      <c r="CW10" s="443"/>
      <c r="CX10" s="443"/>
      <c r="CY10" s="443"/>
      <c r="CZ10" s="443"/>
      <c r="DA10" s="443"/>
      <c r="DB10" s="443"/>
      <c r="DC10" s="443"/>
      <c r="DD10" s="443"/>
      <c r="DE10" s="443"/>
      <c r="DF10" s="443"/>
      <c r="DG10" s="443"/>
      <c r="DH10" s="443"/>
      <c r="DI10" s="443"/>
      <c r="DJ10" s="443"/>
      <c r="DK10" s="443"/>
      <c r="DL10" s="443"/>
      <c r="DM10" s="443"/>
      <c r="DN10" s="443"/>
      <c r="DO10" s="443"/>
      <c r="DP10" s="443"/>
      <c r="DQ10" s="443"/>
      <c r="DR10" s="443"/>
      <c r="DS10" s="443"/>
      <c r="DT10" s="443"/>
      <c r="DU10" s="443"/>
      <c r="DV10" s="443"/>
      <c r="DW10" s="443"/>
      <c r="DX10" s="443"/>
      <c r="DY10" s="443"/>
      <c r="DZ10" s="443"/>
      <c r="EA10" s="443"/>
      <c r="EB10" s="443"/>
      <c r="EC10" s="443"/>
      <c r="ED10" s="443"/>
      <c r="EE10" s="443"/>
      <c r="EF10" s="443"/>
      <c r="EG10" s="443"/>
      <c r="EH10" s="443"/>
      <c r="EI10" s="443"/>
      <c r="EJ10" s="443"/>
      <c r="EK10" s="443"/>
      <c r="EL10" s="443"/>
      <c r="EM10" s="443"/>
      <c r="EN10" s="443"/>
      <c r="EO10" s="443"/>
      <c r="EP10" s="443"/>
      <c r="EQ10" s="443"/>
      <c r="ER10" s="443"/>
      <c r="ES10" s="443"/>
      <c r="ET10" s="443"/>
      <c r="EU10" s="443"/>
      <c r="EV10" s="443"/>
      <c r="EW10" s="443"/>
      <c r="EX10" s="443"/>
      <c r="EY10" s="443"/>
      <c r="FA10" s="443"/>
      <c r="FB10" s="443"/>
      <c r="FC10" s="443"/>
      <c r="FD10" s="443"/>
      <c r="FE10" s="443"/>
      <c r="FF10" s="443"/>
      <c r="FG10" s="443"/>
      <c r="FH10" s="443"/>
      <c r="FI10" s="443"/>
      <c r="FJ10" s="443"/>
      <c r="FK10" s="443"/>
      <c r="FL10" s="443"/>
      <c r="FM10" s="443"/>
      <c r="FN10" s="443"/>
      <c r="FO10" s="443"/>
      <c r="FP10" s="443"/>
      <c r="FQ10" s="443"/>
      <c r="FR10" s="501">
        <f>'1.1.3'!D9</f>
        <v>2956280.4871129594</v>
      </c>
      <c r="FS10" s="501">
        <f>'1.1.3'!E9</f>
        <v>3612865.51726405</v>
      </c>
      <c r="FT10" s="501">
        <f>'1.1.3'!F9</f>
        <v>3677401.1981896861</v>
      </c>
      <c r="FU10" s="501">
        <f>'1.1.3'!G9</f>
        <v>3743382.9798699454</v>
      </c>
      <c r="FV10" s="501">
        <f>'1.1.3'!H9</f>
        <v>3810614.571934978</v>
      </c>
      <c r="FW10" s="501">
        <f>'1.1.3'!I9</f>
        <v>648280.19923891174</v>
      </c>
      <c r="FX10" s="501">
        <f>'1.1.3'!J9</f>
        <v>0</v>
      </c>
      <c r="FY10" s="443"/>
      <c r="FZ10" s="443"/>
      <c r="GA10" s="443"/>
      <c r="GB10" s="443"/>
      <c r="GC10" s="443"/>
      <c r="GD10" s="443"/>
      <c r="GE10" s="443"/>
      <c r="GF10" s="443"/>
      <c r="GG10" s="443"/>
      <c r="GH10" s="443"/>
      <c r="GI10" s="443"/>
      <c r="GJ10" s="443"/>
      <c r="GK10" s="443"/>
      <c r="GL10" s="443"/>
      <c r="GM10" s="443"/>
      <c r="GN10" s="443"/>
      <c r="GO10" s="443"/>
      <c r="GP10" s="443"/>
      <c r="GQ10" s="443"/>
      <c r="GR10" s="443"/>
      <c r="GS10" s="443"/>
      <c r="GT10" s="443"/>
      <c r="GU10" s="443"/>
      <c r="GV10" s="443"/>
      <c r="GW10" s="443"/>
      <c r="GX10" s="443"/>
      <c r="GY10" s="443"/>
      <c r="GZ10" s="443"/>
      <c r="HA10" s="443"/>
      <c r="HB10" s="443"/>
      <c r="HC10" s="443"/>
      <c r="HD10" s="443"/>
      <c r="HE10" s="443"/>
      <c r="HF10" s="443"/>
      <c r="HG10" s="443"/>
      <c r="HH10" s="443"/>
      <c r="HI10" s="443"/>
      <c r="HJ10" s="443"/>
      <c r="HK10" s="443"/>
      <c r="HL10" s="443"/>
      <c r="HM10" s="443"/>
      <c r="HN10" s="443"/>
      <c r="HO10" s="443"/>
      <c r="HP10" s="443"/>
      <c r="HQ10" s="443"/>
      <c r="HR10" s="443"/>
      <c r="HS10" s="443"/>
      <c r="HT10" s="443"/>
      <c r="HU10" s="443"/>
      <c r="HV10" s="443"/>
      <c r="HW10" s="443"/>
      <c r="HX10" s="443"/>
      <c r="HY10" s="443"/>
      <c r="HZ10" s="443"/>
      <c r="IA10" s="443"/>
      <c r="IB10" s="443"/>
      <c r="IC10" s="443"/>
      <c r="ID10" s="443"/>
      <c r="IE10" s="443"/>
      <c r="IF10" s="443"/>
      <c r="IG10" s="443"/>
      <c r="IH10" s="443"/>
      <c r="II10" s="443"/>
      <c r="IJ10" s="443"/>
      <c r="IK10" s="443"/>
      <c r="IL10" s="443"/>
      <c r="IM10" s="443"/>
      <c r="IN10" s="443"/>
      <c r="IO10" s="443"/>
      <c r="IP10" s="443"/>
      <c r="IQ10" s="443"/>
      <c r="IR10" s="443"/>
      <c r="IS10" s="443"/>
      <c r="IT10" s="443"/>
      <c r="IU10" s="443"/>
      <c r="IV10" s="443"/>
      <c r="IW10" s="443"/>
      <c r="IX10" s="443"/>
      <c r="IY10" s="443"/>
      <c r="IZ10" s="443"/>
      <c r="JA10" s="443"/>
      <c r="JB10" s="443"/>
      <c r="JC10" s="443"/>
      <c r="JD10" s="443"/>
      <c r="JE10" s="443"/>
      <c r="JF10" s="443"/>
      <c r="JG10" s="443"/>
      <c r="JH10" s="443"/>
      <c r="JI10" s="443"/>
      <c r="JJ10" s="443"/>
      <c r="JK10" s="443"/>
      <c r="JL10" s="443"/>
      <c r="JM10" s="443"/>
      <c r="JN10"/>
    </row>
    <row r="11" spans="1:277">
      <c r="B11" s="397" t="s">
        <v>182</v>
      </c>
      <c r="C11" s="321"/>
      <c r="D11" s="440" t="str">
        <f t="shared" si="10"/>
        <v>Missle System</v>
      </c>
      <c r="E11" s="321"/>
      <c r="F11" s="321"/>
      <c r="G11" s="321"/>
      <c r="H11" s="321"/>
      <c r="I11" s="321"/>
      <c r="J11" s="321"/>
      <c r="K11" s="321"/>
      <c r="L11" s="321"/>
      <c r="M11" s="321"/>
      <c r="N11" s="321"/>
      <c r="O11" s="321"/>
      <c r="P11" s="321"/>
      <c r="Q11" s="321" t="s">
        <v>694</v>
      </c>
      <c r="R11" s="403"/>
      <c r="S11" s="439" t="s">
        <v>702</v>
      </c>
      <c r="T11" s="321"/>
      <c r="U11" s="502">
        <f t="shared" si="27"/>
        <v>14999999.999999998</v>
      </c>
      <c r="V11" s="387">
        <f t="shared" si="28"/>
        <v>15813278.531666171</v>
      </c>
      <c r="W11" s="388">
        <f>IFERROR(Model[[#This Row],[Point Estimate (CY14$)]]/SUMIFS(Model[Point Estimate (CY14$)], Model[Phase], Model[[#This Row],[Phase]]), 0)</f>
        <v>5.6484023626363518E-2</v>
      </c>
      <c r="X11" s="387">
        <f>Model[[#This Row],[Point Estimate (CY14$)]]</f>
        <v>14999999.999999998</v>
      </c>
      <c r="Y11" s="387">
        <f>Model[[#This Row],[Point Estimate (TY$)]]</f>
        <v>15813278.531666171</v>
      </c>
      <c r="Z11" s="399" t="s">
        <v>795</v>
      </c>
      <c r="AA11" s="399" t="s">
        <v>820</v>
      </c>
      <c r="AB11" s="492"/>
      <c r="AC11" s="492"/>
      <c r="AD11" s="492"/>
      <c r="AE11" s="492"/>
      <c r="AF11" s="439" t="s">
        <v>129</v>
      </c>
      <c r="AG11" s="387"/>
      <c r="AH11" s="439" t="s">
        <v>101</v>
      </c>
      <c r="AI11" s="441" t="s">
        <v>72</v>
      </c>
      <c r="AJ11" s="439" t="s">
        <v>344</v>
      </c>
      <c r="AK11" s="442" t="s">
        <v>338</v>
      </c>
      <c r="AM11" s="443"/>
      <c r="AN11" s="443"/>
      <c r="AO11" s="443"/>
      <c r="AP11" s="443"/>
      <c r="AQ11" s="443"/>
      <c r="AR11" s="443"/>
      <c r="AS11" s="443"/>
      <c r="AT11" s="443"/>
      <c r="AU11" s="443"/>
      <c r="AV11" s="443"/>
      <c r="AW11" s="443"/>
      <c r="AX11" s="443"/>
      <c r="AY11" s="443"/>
      <c r="AZ11" s="443"/>
      <c r="BA11" s="443"/>
      <c r="BB11" s="443"/>
      <c r="BC11" s="443"/>
      <c r="BD11" s="501">
        <f>'1.1.4'!D5</f>
        <v>2498630.1369863013</v>
      </c>
      <c r="BE11" s="501">
        <f>'1.1.4'!E5</f>
        <v>3000000</v>
      </c>
      <c r="BF11" s="501">
        <f>'1.1.4'!F5</f>
        <v>3000000</v>
      </c>
      <c r="BG11" s="501">
        <f>'1.1.4'!G5</f>
        <v>3000000</v>
      </c>
      <c r="BH11" s="501">
        <f>'1.1.4'!H5</f>
        <v>3000000</v>
      </c>
      <c r="BI11" s="501">
        <f>'1.1.4'!I5</f>
        <v>501369.86301369866</v>
      </c>
      <c r="BJ11" s="501">
        <f>'1.1.4'!J5</f>
        <v>0</v>
      </c>
      <c r="BK11" s="443"/>
      <c r="BL11" s="443"/>
      <c r="BM11" s="443"/>
      <c r="BN11" s="443"/>
      <c r="BO11" s="443"/>
      <c r="BP11" s="443"/>
      <c r="BQ11" s="443"/>
      <c r="BR11" s="443"/>
      <c r="BS11" s="443"/>
      <c r="BT11" s="443"/>
      <c r="BU11" s="443"/>
      <c r="BV11" s="443"/>
      <c r="BW11" s="443"/>
      <c r="BX11" s="443"/>
      <c r="BY11" s="443"/>
      <c r="BZ11" s="443"/>
      <c r="CA11" s="443"/>
      <c r="CB11" s="443"/>
      <c r="CC11" s="443"/>
      <c r="CD11" s="443"/>
      <c r="CE11" s="443"/>
      <c r="CF11" s="443"/>
      <c r="CG11" s="443"/>
      <c r="CH11" s="443"/>
      <c r="CI11" s="443"/>
      <c r="CJ11" s="443"/>
      <c r="CK11" s="443"/>
      <c r="CL11" s="443"/>
      <c r="CM11" s="443"/>
      <c r="CN11" s="443"/>
      <c r="CO11" s="443"/>
      <c r="CP11" s="443"/>
      <c r="CQ11" s="443"/>
      <c r="CR11" s="443"/>
      <c r="CS11" s="443"/>
      <c r="CT11" s="443"/>
      <c r="CU11" s="443"/>
      <c r="CV11" s="443"/>
      <c r="CW11" s="443"/>
      <c r="CX11" s="443"/>
      <c r="CY11" s="443"/>
      <c r="CZ11" s="443"/>
      <c r="DA11" s="443"/>
      <c r="DB11" s="443"/>
      <c r="DC11" s="443"/>
      <c r="DD11" s="443"/>
      <c r="DE11" s="443"/>
      <c r="DF11" s="443"/>
      <c r="DG11" s="443"/>
      <c r="DH11" s="443"/>
      <c r="DI11" s="443"/>
      <c r="DJ11" s="443"/>
      <c r="DK11" s="443"/>
      <c r="DL11" s="443"/>
      <c r="DM11" s="443"/>
      <c r="DN11" s="443"/>
      <c r="DO11" s="443"/>
      <c r="DP11" s="443"/>
      <c r="DQ11" s="443"/>
      <c r="DR11" s="443"/>
      <c r="DS11" s="443"/>
      <c r="DT11" s="443"/>
      <c r="DU11" s="443"/>
      <c r="DV11" s="443"/>
      <c r="DW11" s="443"/>
      <c r="DX11" s="443"/>
      <c r="DY11" s="443"/>
      <c r="DZ11" s="443"/>
      <c r="EA11" s="443"/>
      <c r="EB11" s="443"/>
      <c r="EC11" s="443"/>
      <c r="ED11" s="443"/>
      <c r="EE11" s="443"/>
      <c r="EF11" s="443"/>
      <c r="EG11" s="443"/>
      <c r="EH11" s="443"/>
      <c r="EI11" s="443"/>
      <c r="EJ11" s="443"/>
      <c r="EK11" s="443"/>
      <c r="EL11" s="443"/>
      <c r="EM11" s="443"/>
      <c r="EN11" s="443"/>
      <c r="EO11" s="443"/>
      <c r="EP11" s="443"/>
      <c r="EQ11" s="443"/>
      <c r="ER11" s="443"/>
      <c r="ES11" s="443"/>
      <c r="ET11" s="443"/>
      <c r="EU11" s="443"/>
      <c r="EV11" s="443"/>
      <c r="EW11" s="443"/>
      <c r="EX11" s="443"/>
      <c r="EY11" s="443"/>
      <c r="FA11" s="443"/>
      <c r="FB11" s="443"/>
      <c r="FC11" s="443"/>
      <c r="FD11" s="443"/>
      <c r="FE11" s="443"/>
      <c r="FF11" s="443"/>
      <c r="FG11" s="443"/>
      <c r="FH11" s="443"/>
      <c r="FI11" s="443"/>
      <c r="FJ11" s="443"/>
      <c r="FK11" s="443"/>
      <c r="FL11" s="443"/>
      <c r="FM11" s="443"/>
      <c r="FN11" s="443"/>
      <c r="FO11" s="443"/>
      <c r="FP11" s="443"/>
      <c r="FQ11" s="443"/>
      <c r="FR11" s="501">
        <f>'1.1.4'!D9</f>
        <v>2533954.7032396793</v>
      </c>
      <c r="FS11" s="501">
        <f>'1.1.4'!E9</f>
        <v>3096741.8719406142</v>
      </c>
      <c r="FT11" s="501">
        <f>'1.1.4'!F9</f>
        <v>3152058.169876874</v>
      </c>
      <c r="FU11" s="501">
        <f>'1.1.4'!G9</f>
        <v>3208613.9827456675</v>
      </c>
      <c r="FV11" s="501">
        <f>'1.1.4'!H9</f>
        <v>3266241.0616585528</v>
      </c>
      <c r="FW11" s="501">
        <f>'1.1.4'!I9</f>
        <v>555668.74220478151</v>
      </c>
      <c r="FX11" s="501">
        <f>'1.1.4'!J9</f>
        <v>0</v>
      </c>
      <c r="FY11" s="443"/>
      <c r="FZ11" s="443"/>
      <c r="GA11" s="443"/>
      <c r="GB11" s="443"/>
      <c r="GC11" s="443"/>
      <c r="GD11" s="443"/>
      <c r="GE11" s="443"/>
      <c r="GF11" s="443"/>
      <c r="GG11" s="443"/>
      <c r="GH11" s="443"/>
      <c r="GI11" s="443"/>
      <c r="GJ11" s="443"/>
      <c r="GK11" s="443"/>
      <c r="GL11" s="443"/>
      <c r="GM11" s="443"/>
      <c r="GN11" s="443"/>
      <c r="GO11" s="443"/>
      <c r="GP11" s="443"/>
      <c r="GQ11" s="443"/>
      <c r="GR11" s="443"/>
      <c r="GS11" s="443"/>
      <c r="GT11" s="443"/>
      <c r="GU11" s="443"/>
      <c r="GV11" s="443"/>
      <c r="GW11" s="443"/>
      <c r="GX11" s="443"/>
      <c r="GY11" s="443"/>
      <c r="GZ11" s="443"/>
      <c r="HA11" s="443"/>
      <c r="HB11" s="443"/>
      <c r="HC11" s="443"/>
      <c r="HD11" s="443"/>
      <c r="HE11" s="443"/>
      <c r="HF11" s="443"/>
      <c r="HG11" s="443"/>
      <c r="HH11" s="443"/>
      <c r="HI11" s="443"/>
      <c r="HJ11" s="443"/>
      <c r="HK11" s="443"/>
      <c r="HL11" s="443"/>
      <c r="HM11" s="443"/>
      <c r="HN11" s="443"/>
      <c r="HO11" s="443"/>
      <c r="HP11" s="443"/>
      <c r="HQ11" s="443"/>
      <c r="HR11" s="443"/>
      <c r="HS11" s="443"/>
      <c r="HT11" s="443"/>
      <c r="HU11" s="443"/>
      <c r="HV11" s="443"/>
      <c r="HW11" s="443"/>
      <c r="HX11" s="443"/>
      <c r="HY11" s="443"/>
      <c r="HZ11" s="443"/>
      <c r="IA11" s="443"/>
      <c r="IB11" s="443"/>
      <c r="IC11" s="443"/>
      <c r="ID11" s="443"/>
      <c r="IE11" s="443"/>
      <c r="IF11" s="443"/>
      <c r="IG11" s="443"/>
      <c r="IH11" s="443"/>
      <c r="II11" s="443"/>
      <c r="IJ11" s="443"/>
      <c r="IK11" s="443"/>
      <c r="IL11" s="443"/>
      <c r="IM11" s="443"/>
      <c r="IN11" s="443"/>
      <c r="IO11" s="443"/>
      <c r="IP11" s="443"/>
      <c r="IQ11" s="443"/>
      <c r="IR11" s="443"/>
      <c r="IS11" s="443"/>
      <c r="IT11" s="443"/>
      <c r="IU11" s="443"/>
      <c r="IV11" s="443"/>
      <c r="IW11" s="443"/>
      <c r="IX11" s="443"/>
      <c r="IY11" s="443"/>
      <c r="IZ11" s="443"/>
      <c r="JA11" s="443"/>
      <c r="JB11" s="443"/>
      <c r="JC11" s="443"/>
      <c r="JD11" s="443"/>
      <c r="JE11" s="443"/>
      <c r="JF11" s="443"/>
      <c r="JG11" s="443"/>
      <c r="JH11" s="443"/>
      <c r="JI11" s="443"/>
      <c r="JJ11" s="443"/>
      <c r="JK11" s="443"/>
      <c r="JL11" s="443"/>
      <c r="JM11" s="443"/>
      <c r="JN11"/>
    </row>
    <row r="12" spans="1:277">
      <c r="B12" s="397" t="s">
        <v>182</v>
      </c>
      <c r="C12" s="321"/>
      <c r="D12" s="440" t="str">
        <f t="shared" si="10"/>
        <v>Missle System</v>
      </c>
      <c r="E12" s="321"/>
      <c r="F12" s="321"/>
      <c r="G12" s="321"/>
      <c r="H12" s="321"/>
      <c r="I12" s="321"/>
      <c r="J12" s="321"/>
      <c r="K12" s="321"/>
      <c r="L12" s="321"/>
      <c r="M12" s="321"/>
      <c r="N12" s="321"/>
      <c r="O12" s="321"/>
      <c r="P12" s="321"/>
      <c r="Q12" s="321" t="s">
        <v>695</v>
      </c>
      <c r="R12" s="403"/>
      <c r="S12" s="439" t="s">
        <v>702</v>
      </c>
      <c r="T12" s="321"/>
      <c r="U12" s="502">
        <f t="shared" si="27"/>
        <v>1766584.042600781</v>
      </c>
      <c r="V12" s="387">
        <f t="shared" si="28"/>
        <v>1862365.7010161974</v>
      </c>
      <c r="W12" s="388">
        <f>IFERROR(Model[[#This Row],[Point Estimate (CY14$)]]/SUMIFS(Model[Point Estimate (CY14$)], Model[Phase], Model[[#This Row],[Phase]]), 0)</f>
        <v>6.6522516533479526E-3</v>
      </c>
      <c r="X12" s="387">
        <f>Model[[#This Row],[Point Estimate (CY14$)]]</f>
        <v>1766584.042600781</v>
      </c>
      <c r="Y12" s="387">
        <f>Model[[#This Row],[Point Estimate (TY$)]]</f>
        <v>1862365.7010161974</v>
      </c>
      <c r="Z12" s="399" t="s">
        <v>796</v>
      </c>
      <c r="AA12" s="399" t="s">
        <v>821</v>
      </c>
      <c r="AB12" s="492"/>
      <c r="AC12" s="492"/>
      <c r="AD12" s="492"/>
      <c r="AE12" s="492"/>
      <c r="AF12" s="439" t="s">
        <v>129</v>
      </c>
      <c r="AG12" s="387"/>
      <c r="AH12" s="439" t="s">
        <v>101</v>
      </c>
      <c r="AI12" s="441" t="s">
        <v>72</v>
      </c>
      <c r="AJ12" s="439" t="s">
        <v>344</v>
      </c>
      <c r="AK12" s="442" t="s">
        <v>338</v>
      </c>
      <c r="AM12" s="443"/>
      <c r="AN12" s="443"/>
      <c r="AO12" s="443"/>
      <c r="AP12" s="443"/>
      <c r="AQ12" s="443"/>
      <c r="AR12" s="443"/>
      <c r="AS12" s="443"/>
      <c r="AT12" s="443"/>
      <c r="AU12" s="443"/>
      <c r="AV12" s="443"/>
      <c r="AW12" s="443"/>
      <c r="AX12" s="443"/>
      <c r="AY12" s="443"/>
      <c r="AZ12" s="443"/>
      <c r="BA12" s="443"/>
      <c r="BB12" s="443"/>
      <c r="BC12" s="443"/>
      <c r="BD12" s="501">
        <f>'1.1.5'!D5</f>
        <v>294269.34189076023</v>
      </c>
      <c r="BE12" s="501">
        <f>'1.1.5'!E5</f>
        <v>353316.80852015619</v>
      </c>
      <c r="BF12" s="501">
        <f>'1.1.5'!F5</f>
        <v>353316.80852015619</v>
      </c>
      <c r="BG12" s="501">
        <f>'1.1.5'!G5</f>
        <v>353316.80852015619</v>
      </c>
      <c r="BH12" s="501">
        <f>'1.1.5'!H5</f>
        <v>353316.80852015619</v>
      </c>
      <c r="BI12" s="501">
        <f>'1.1.5'!I5</f>
        <v>59047.466629395967</v>
      </c>
      <c r="BJ12" s="501">
        <f>'1.1.5'!J5</f>
        <v>0</v>
      </c>
      <c r="BK12" s="443"/>
      <c r="BL12" s="443"/>
      <c r="BM12" s="443"/>
      <c r="BN12" s="443"/>
      <c r="BO12" s="443"/>
      <c r="BP12" s="443"/>
      <c r="BQ12" s="443"/>
      <c r="BR12" s="443"/>
      <c r="BS12" s="443"/>
      <c r="BT12" s="443"/>
      <c r="BU12" s="443"/>
      <c r="BV12" s="443"/>
      <c r="BW12" s="443"/>
      <c r="BX12" s="443"/>
      <c r="BY12" s="443"/>
      <c r="BZ12" s="443"/>
      <c r="CA12" s="443"/>
      <c r="CB12" s="443"/>
      <c r="CC12" s="443"/>
      <c r="CD12" s="443"/>
      <c r="CE12" s="443"/>
      <c r="CF12" s="443"/>
      <c r="CG12" s="443"/>
      <c r="CH12" s="443"/>
      <c r="CI12" s="443"/>
      <c r="CJ12" s="443"/>
      <c r="CK12" s="443"/>
      <c r="CL12" s="443"/>
      <c r="CM12" s="443"/>
      <c r="CN12" s="443"/>
      <c r="CO12" s="443"/>
      <c r="CP12" s="443"/>
      <c r="CQ12" s="443"/>
      <c r="CR12" s="443"/>
      <c r="CS12" s="443"/>
      <c r="CT12" s="443"/>
      <c r="CU12" s="443"/>
      <c r="CV12" s="443"/>
      <c r="CW12" s="443"/>
      <c r="CX12" s="443"/>
      <c r="CY12" s="443"/>
      <c r="CZ12" s="443"/>
      <c r="DA12" s="443"/>
      <c r="DB12" s="443"/>
      <c r="DC12" s="443"/>
      <c r="DD12" s="443"/>
      <c r="DE12" s="443"/>
      <c r="DF12" s="443"/>
      <c r="DG12" s="443"/>
      <c r="DH12" s="443"/>
      <c r="DI12" s="443"/>
      <c r="DJ12" s="443"/>
      <c r="DK12" s="443"/>
      <c r="DL12" s="443"/>
      <c r="DM12" s="443"/>
      <c r="DN12" s="443"/>
      <c r="DO12" s="443"/>
      <c r="DP12" s="443"/>
      <c r="DQ12" s="443"/>
      <c r="DR12" s="443"/>
      <c r="DS12" s="443"/>
      <c r="DT12" s="443"/>
      <c r="DU12" s="443"/>
      <c r="DV12" s="443"/>
      <c r="DW12" s="443"/>
      <c r="DX12" s="443"/>
      <c r="DY12" s="443"/>
      <c r="DZ12" s="443"/>
      <c r="EA12" s="443"/>
      <c r="EB12" s="443"/>
      <c r="EC12" s="443"/>
      <c r="ED12" s="443"/>
      <c r="EE12" s="443"/>
      <c r="EF12" s="443"/>
      <c r="EG12" s="443"/>
      <c r="EH12" s="443"/>
      <c r="EI12" s="443"/>
      <c r="EJ12" s="443"/>
      <c r="EK12" s="443"/>
      <c r="EL12" s="443"/>
      <c r="EM12" s="443"/>
      <c r="EN12" s="443"/>
      <c r="EO12" s="443"/>
      <c r="EP12" s="443"/>
      <c r="EQ12" s="443"/>
      <c r="ER12" s="443"/>
      <c r="ES12" s="443"/>
      <c r="ET12" s="443"/>
      <c r="EU12" s="443"/>
      <c r="EV12" s="443"/>
      <c r="EW12" s="443"/>
      <c r="EX12" s="443"/>
      <c r="EY12" s="443"/>
      <c r="FA12" s="443"/>
      <c r="FB12" s="443"/>
      <c r="FC12" s="443"/>
      <c r="FD12" s="443"/>
      <c r="FE12" s="443"/>
      <c r="FF12" s="443"/>
      <c r="FG12" s="443"/>
      <c r="FH12" s="443"/>
      <c r="FI12" s="443"/>
      <c r="FJ12" s="443"/>
      <c r="FK12" s="443"/>
      <c r="FL12" s="443"/>
      <c r="FM12" s="443"/>
      <c r="FN12" s="443"/>
      <c r="FO12" s="443"/>
      <c r="FP12" s="443"/>
      <c r="FQ12" s="443"/>
      <c r="FR12" s="501">
        <f>'1.1.5'!D9</f>
        <v>298429.59622776101</v>
      </c>
      <c r="FS12" s="501">
        <f>'1.1.5'!E9</f>
        <v>364710.31833493069</v>
      </c>
      <c r="FT12" s="501">
        <f>'1.1.5'!F9</f>
        <v>371225.04428359383</v>
      </c>
      <c r="FU12" s="501">
        <f>'1.1.5'!G9</f>
        <v>377885.75071894896</v>
      </c>
      <c r="FV12" s="501">
        <f>'1.1.5'!H9</f>
        <v>384672.62258756219</v>
      </c>
      <c r="FW12" s="501">
        <f>'1.1.5'!I9</f>
        <v>65442.36886340093</v>
      </c>
      <c r="FX12" s="501">
        <f>'1.1.5'!J9</f>
        <v>0</v>
      </c>
      <c r="FY12" s="443"/>
      <c r="FZ12" s="443"/>
      <c r="GA12" s="443"/>
      <c r="GB12" s="443"/>
      <c r="GC12" s="443"/>
      <c r="GD12" s="443"/>
      <c r="GE12" s="443"/>
      <c r="GF12" s="443"/>
      <c r="GG12" s="443"/>
      <c r="GH12" s="443"/>
      <c r="GI12" s="443"/>
      <c r="GJ12" s="443"/>
      <c r="GK12" s="443"/>
      <c r="GL12" s="443"/>
      <c r="GM12" s="443"/>
      <c r="GN12" s="443"/>
      <c r="GO12" s="443"/>
      <c r="GP12" s="443"/>
      <c r="GQ12" s="443"/>
      <c r="GR12" s="443"/>
      <c r="GS12" s="443"/>
      <c r="GT12" s="443"/>
      <c r="GU12" s="443"/>
      <c r="GV12" s="443"/>
      <c r="GW12" s="443"/>
      <c r="GX12" s="443"/>
      <c r="GY12" s="443"/>
      <c r="GZ12" s="443"/>
      <c r="HA12" s="443"/>
      <c r="HB12" s="443"/>
      <c r="HC12" s="443"/>
      <c r="HD12" s="443"/>
      <c r="HE12" s="443"/>
      <c r="HF12" s="443"/>
      <c r="HG12" s="443"/>
      <c r="HH12" s="443"/>
      <c r="HI12" s="443"/>
      <c r="HJ12" s="443"/>
      <c r="HK12" s="443"/>
      <c r="HL12" s="443"/>
      <c r="HM12" s="443"/>
      <c r="HN12" s="443"/>
      <c r="HO12" s="443"/>
      <c r="HP12" s="443"/>
      <c r="HQ12" s="443"/>
      <c r="HR12" s="443"/>
      <c r="HS12" s="443"/>
      <c r="HT12" s="443"/>
      <c r="HU12" s="443"/>
      <c r="HV12" s="443"/>
      <c r="HW12" s="443"/>
      <c r="HX12" s="443"/>
      <c r="HY12" s="443"/>
      <c r="HZ12" s="443"/>
      <c r="IA12" s="443"/>
      <c r="IB12" s="443"/>
      <c r="IC12" s="443"/>
      <c r="ID12" s="443"/>
      <c r="IE12" s="443"/>
      <c r="IF12" s="443"/>
      <c r="IG12" s="443"/>
      <c r="IH12" s="443"/>
      <c r="II12" s="443"/>
      <c r="IJ12" s="443"/>
      <c r="IK12" s="443"/>
      <c r="IL12" s="443"/>
      <c r="IM12" s="443"/>
      <c r="IN12" s="443"/>
      <c r="IO12" s="443"/>
      <c r="IP12" s="443"/>
      <c r="IQ12" s="443"/>
      <c r="IR12" s="443"/>
      <c r="IS12" s="443"/>
      <c r="IT12" s="443"/>
      <c r="IU12" s="443"/>
      <c r="IV12" s="443"/>
      <c r="IW12" s="443"/>
      <c r="IX12" s="443"/>
      <c r="IY12" s="443"/>
      <c r="IZ12" s="443"/>
      <c r="JA12" s="443"/>
      <c r="JB12" s="443"/>
      <c r="JC12" s="443"/>
      <c r="JD12" s="443"/>
      <c r="JE12" s="443"/>
      <c r="JF12" s="443"/>
      <c r="JG12" s="443"/>
      <c r="JH12" s="443"/>
      <c r="JI12" s="443"/>
      <c r="JJ12" s="443"/>
      <c r="JK12" s="443"/>
      <c r="JL12" s="443"/>
      <c r="JM12" s="443"/>
      <c r="JN12"/>
    </row>
    <row r="13" spans="1:277">
      <c r="B13" s="397" t="s">
        <v>182</v>
      </c>
      <c r="C13" s="321"/>
      <c r="D13" s="440" t="str">
        <f t="shared" si="10"/>
        <v>Missle System</v>
      </c>
      <c r="E13" s="321"/>
      <c r="F13" s="321"/>
      <c r="G13" s="321"/>
      <c r="H13" s="321"/>
      <c r="I13" s="321"/>
      <c r="J13" s="321"/>
      <c r="K13" s="321"/>
      <c r="L13" s="321"/>
      <c r="M13" s="321"/>
      <c r="N13" s="321"/>
      <c r="O13" s="321"/>
      <c r="P13" s="321"/>
      <c r="Q13" s="321" t="s">
        <v>696</v>
      </c>
      <c r="R13" s="403"/>
      <c r="S13" s="439" t="s">
        <v>702</v>
      </c>
      <c r="T13" s="321"/>
      <c r="U13" s="502">
        <f t="shared" si="27"/>
        <v>896658.4042600781</v>
      </c>
      <c r="V13" s="387">
        <f t="shared" si="28"/>
        <v>945273.93962159578</v>
      </c>
      <c r="W13" s="388">
        <f>IFERROR(Model[[#This Row],[Point Estimate (CY14$)]]/SUMIFS(Model[Point Estimate (CY14$)], Model[Phase], Model[[#This Row],[Phase]]), 0)</f>
        <v>3.3764582994002443E-3</v>
      </c>
      <c r="X13" s="387">
        <f>Model[[#This Row],[Point Estimate (CY14$)]]</f>
        <v>896658.4042600781</v>
      </c>
      <c r="Y13" s="387">
        <f>Model[[#This Row],[Point Estimate (TY$)]]</f>
        <v>945273.93962159578</v>
      </c>
      <c r="Z13" s="399" t="s">
        <v>797</v>
      </c>
      <c r="AA13" s="399" t="s">
        <v>822</v>
      </c>
      <c r="AB13" s="491"/>
      <c r="AC13" s="491"/>
      <c r="AD13" s="491"/>
      <c r="AE13" s="491"/>
      <c r="AF13" s="439" t="s">
        <v>129</v>
      </c>
      <c r="AG13" s="387"/>
      <c r="AH13" s="439" t="s">
        <v>101</v>
      </c>
      <c r="AI13" s="441" t="s">
        <v>72</v>
      </c>
      <c r="AJ13" s="439" t="s">
        <v>344</v>
      </c>
      <c r="AK13" s="442" t="s">
        <v>338</v>
      </c>
      <c r="AM13" s="443"/>
      <c r="AN13" s="443"/>
      <c r="AO13" s="443"/>
      <c r="AP13" s="443"/>
      <c r="AQ13" s="443"/>
      <c r="AR13" s="443"/>
      <c r="AS13" s="443"/>
      <c r="AT13" s="443"/>
      <c r="AU13" s="443"/>
      <c r="AV13" s="443"/>
      <c r="AW13" s="443"/>
      <c r="AX13" s="443"/>
      <c r="AY13" s="443"/>
      <c r="AZ13" s="443"/>
      <c r="BA13" s="443"/>
      <c r="BB13" s="443"/>
      <c r="BC13" s="443"/>
      <c r="BD13" s="501">
        <f>'1.1.6'!D5</f>
        <v>149361.1807644185</v>
      </c>
      <c r="BE13" s="501">
        <f>'1.1.6'!E5</f>
        <v>179331.68085201562</v>
      </c>
      <c r="BF13" s="501">
        <f>'1.1.6'!F5</f>
        <v>179331.68085201562</v>
      </c>
      <c r="BG13" s="501">
        <f>'1.1.6'!G5</f>
        <v>179331.68085201562</v>
      </c>
      <c r="BH13" s="501">
        <f>'1.1.6'!H5</f>
        <v>179331.68085201562</v>
      </c>
      <c r="BI13" s="501">
        <f>'1.1.6'!I5</f>
        <v>29970.500087597131</v>
      </c>
      <c r="BJ13" s="501">
        <f>'1.1.6'!J5</f>
        <v>0</v>
      </c>
      <c r="BK13" s="501">
        <f>'1.1.6'!K5</f>
        <v>0</v>
      </c>
      <c r="BL13" s="501">
        <f>'1.1.6'!L5</f>
        <v>0</v>
      </c>
      <c r="BM13" s="501">
        <f>'1.1.6'!M5</f>
        <v>0</v>
      </c>
      <c r="BN13" s="501">
        <f>'1.1.6'!N5</f>
        <v>0</v>
      </c>
      <c r="BO13" s="501">
        <f>'1.1.6'!O5</f>
        <v>0</v>
      </c>
      <c r="BP13" s="501">
        <f>'1.1.6'!P5</f>
        <v>0</v>
      </c>
      <c r="BQ13" s="501">
        <f>'1.1.6'!Q5</f>
        <v>0</v>
      </c>
      <c r="BR13" s="501">
        <f>'1.1.6'!R5</f>
        <v>0</v>
      </c>
      <c r="BS13" s="501">
        <f>'1.1.6'!S5</f>
        <v>0</v>
      </c>
      <c r="BT13" s="501">
        <f>'1.1.6'!T5</f>
        <v>0</v>
      </c>
      <c r="BU13" s="501">
        <f>'1.1.6'!U5</f>
        <v>0</v>
      </c>
      <c r="BV13" s="501">
        <f>'1.1.6'!V5</f>
        <v>0</v>
      </c>
      <c r="BW13" s="501">
        <f>'1.1.6'!W5</f>
        <v>0</v>
      </c>
      <c r="BX13" s="501">
        <f>'1.1.6'!X5</f>
        <v>0</v>
      </c>
      <c r="BY13" s="501">
        <f>'1.1.6'!Y5</f>
        <v>0</v>
      </c>
      <c r="BZ13" s="501">
        <f>'1.1.6'!Z5</f>
        <v>0</v>
      </c>
      <c r="CA13" s="501">
        <f>'1.1.6'!AA5</f>
        <v>0</v>
      </c>
      <c r="CB13" s="501">
        <f>'1.1.6'!AB5</f>
        <v>0</v>
      </c>
      <c r="CC13" s="501">
        <f>'1.1.6'!AC5</f>
        <v>0</v>
      </c>
      <c r="CD13" s="501">
        <f>'1.1.6'!AD5</f>
        <v>0</v>
      </c>
      <c r="CE13" s="501">
        <f>'1.1.6'!AE5</f>
        <v>0</v>
      </c>
      <c r="CF13" s="501">
        <f>'1.1.6'!AF5</f>
        <v>0</v>
      </c>
      <c r="CG13" s="501">
        <f>'1.1.6'!AG5</f>
        <v>0</v>
      </c>
      <c r="CH13" s="501">
        <f>'1.1.6'!AH5</f>
        <v>0</v>
      </c>
      <c r="CI13" s="501">
        <f>'1.1.6'!AI5</f>
        <v>0</v>
      </c>
      <c r="CJ13" s="501">
        <f>'1.1.6'!AJ5</f>
        <v>0</v>
      </c>
      <c r="CK13" s="501">
        <f>'1.1.6'!AK5</f>
        <v>0</v>
      </c>
      <c r="CL13" s="501">
        <f>'1.1.6'!AL5</f>
        <v>0</v>
      </c>
      <c r="CM13" s="501">
        <f>'1.1.6'!AM5</f>
        <v>0</v>
      </c>
      <c r="CN13" s="501">
        <f>'1.1.6'!AN5</f>
        <v>0</v>
      </c>
      <c r="CO13" s="501">
        <f>'1.1.6'!AO5</f>
        <v>0</v>
      </c>
      <c r="CP13" s="501">
        <f>'1.1.6'!AP5</f>
        <v>0</v>
      </c>
      <c r="CQ13" s="501">
        <f>'1.1.6'!AQ5</f>
        <v>0</v>
      </c>
      <c r="CR13" s="501">
        <f>'1.1.6'!AR5</f>
        <v>0</v>
      </c>
      <c r="CS13" s="501">
        <f>'1.1.6'!AS5</f>
        <v>0</v>
      </c>
      <c r="CT13" s="501">
        <f>'1.1.6'!AT5</f>
        <v>0</v>
      </c>
      <c r="CU13" s="501">
        <f>'1.1.6'!AU5</f>
        <v>0</v>
      </c>
      <c r="CV13" s="501">
        <f>'1.1.6'!AV5</f>
        <v>0</v>
      </c>
      <c r="CW13" s="501">
        <f>'1.1.6'!AW5</f>
        <v>0</v>
      </c>
      <c r="CX13" s="501">
        <f>'1.1.6'!AX5</f>
        <v>0</v>
      </c>
      <c r="CY13" s="501">
        <f>'1.1.6'!AY5</f>
        <v>0</v>
      </c>
      <c r="CZ13" s="501">
        <f>'1.1.6'!AZ5</f>
        <v>0</v>
      </c>
      <c r="DA13" s="501">
        <f>'1.1.6'!BA5</f>
        <v>0</v>
      </c>
      <c r="DB13" s="501">
        <f>'1.1.6'!BB5</f>
        <v>0</v>
      </c>
      <c r="DC13" s="501">
        <f>'1.1.6'!BC5</f>
        <v>0</v>
      </c>
      <c r="DD13" s="501">
        <f>'1.1.6'!BD5</f>
        <v>0</v>
      </c>
      <c r="DE13" s="501">
        <f>'1.1.6'!BE5</f>
        <v>0</v>
      </c>
      <c r="DF13" s="501">
        <f>'1.1.6'!BF5</f>
        <v>0</v>
      </c>
      <c r="DG13" s="501">
        <f>'1.1.6'!BG5</f>
        <v>0</v>
      </c>
      <c r="DH13" s="501">
        <f>'1.1.6'!BH5</f>
        <v>0</v>
      </c>
      <c r="DI13" s="501">
        <f>'1.1.6'!BI5</f>
        <v>0</v>
      </c>
      <c r="DJ13" s="501">
        <f>'1.1.6'!BJ5</f>
        <v>0</v>
      </c>
      <c r="DK13" s="501">
        <f>'1.1.6'!BK5</f>
        <v>0</v>
      </c>
      <c r="DL13" s="501">
        <f>'1.1.6'!BL5</f>
        <v>0</v>
      </c>
      <c r="DM13" s="501">
        <f>'1.1.6'!BM5</f>
        <v>0</v>
      </c>
      <c r="DN13" s="501">
        <f>'1.1.6'!BN5</f>
        <v>0</v>
      </c>
      <c r="DO13" s="501">
        <f>'1.1.6'!BO5</f>
        <v>0</v>
      </c>
      <c r="DP13" s="501">
        <f>'1.1.6'!BP5</f>
        <v>0</v>
      </c>
      <c r="DQ13" s="501">
        <f>'1.1.6'!BQ5</f>
        <v>0</v>
      </c>
      <c r="DR13" s="501">
        <f>'1.1.6'!BR5</f>
        <v>0</v>
      </c>
      <c r="DS13" s="501">
        <f>'1.1.6'!BS5</f>
        <v>0</v>
      </c>
      <c r="DT13" s="501">
        <f>'1.1.6'!BT5</f>
        <v>0</v>
      </c>
      <c r="DU13" s="501">
        <f>'1.1.6'!BU5</f>
        <v>0</v>
      </c>
      <c r="DV13" s="501">
        <f>'1.1.6'!BV5</f>
        <v>0</v>
      </c>
      <c r="DW13" s="501">
        <f>'1.1.6'!BW5</f>
        <v>0</v>
      </c>
      <c r="DX13" s="501">
        <f>'1.1.6'!BX5</f>
        <v>0</v>
      </c>
      <c r="DY13" s="501">
        <f>'1.1.6'!BY5</f>
        <v>0</v>
      </c>
      <c r="DZ13" s="501">
        <f>'1.1.6'!BZ5</f>
        <v>0</v>
      </c>
      <c r="EA13" s="501">
        <f>'1.1.6'!CA5</f>
        <v>0</v>
      </c>
      <c r="EB13" s="501">
        <f>'1.1.6'!CB5</f>
        <v>0</v>
      </c>
      <c r="EC13" s="501">
        <f>'1.1.6'!CC5</f>
        <v>0</v>
      </c>
      <c r="ED13" s="501">
        <f>'1.1.6'!CD5</f>
        <v>0</v>
      </c>
      <c r="EE13" s="501">
        <f>'1.1.6'!CE5</f>
        <v>0</v>
      </c>
      <c r="EF13" s="501">
        <f>'1.1.6'!CF5</f>
        <v>0</v>
      </c>
      <c r="EG13" s="501">
        <f>'1.1.6'!CG5</f>
        <v>0</v>
      </c>
      <c r="EH13" s="501">
        <f>'1.1.6'!CH5</f>
        <v>0</v>
      </c>
      <c r="EI13" s="501">
        <f>'1.1.6'!CI5</f>
        <v>0</v>
      </c>
      <c r="EJ13" s="501">
        <f>'1.1.6'!CJ5</f>
        <v>0</v>
      </c>
      <c r="EK13" s="501">
        <f>'1.1.6'!CK5</f>
        <v>0</v>
      </c>
      <c r="EL13" s="501">
        <f>'1.1.6'!CL5</f>
        <v>0</v>
      </c>
      <c r="EM13" s="501">
        <f>'1.1.6'!CM5</f>
        <v>0</v>
      </c>
      <c r="EN13" s="501">
        <f>'1.1.6'!CN5</f>
        <v>0</v>
      </c>
      <c r="EO13" s="501">
        <f>'1.1.6'!CO5</f>
        <v>0</v>
      </c>
      <c r="EP13" s="501">
        <f>'1.1.6'!CP5</f>
        <v>0</v>
      </c>
      <c r="EQ13" s="501">
        <f>'1.1.6'!CQ5</f>
        <v>0</v>
      </c>
      <c r="ER13" s="501">
        <f>'1.1.6'!CR5</f>
        <v>0</v>
      </c>
      <c r="ES13" s="501">
        <f>'1.1.6'!CS5</f>
        <v>0</v>
      </c>
      <c r="ET13" s="501">
        <f>'1.1.6'!CT5</f>
        <v>0</v>
      </c>
      <c r="EU13" s="501">
        <f>'1.1.6'!CU5</f>
        <v>0</v>
      </c>
      <c r="EV13" s="501">
        <f>'1.1.6'!CV5</f>
        <v>0</v>
      </c>
      <c r="EW13" s="501">
        <f>'1.1.6'!CW5</f>
        <v>0</v>
      </c>
      <c r="EX13" s="501">
        <f>'1.1.6'!CX5</f>
        <v>0</v>
      </c>
      <c r="EY13" s="501">
        <f>'1.1.6'!CY5</f>
        <v>0</v>
      </c>
      <c r="EZ13" s="501">
        <f>'1.1.6'!CZ5</f>
        <v>0</v>
      </c>
      <c r="FA13" s="443"/>
      <c r="FB13" s="443"/>
      <c r="FC13" s="443"/>
      <c r="FD13" s="443"/>
      <c r="FE13" s="443"/>
      <c r="FF13" s="443"/>
      <c r="FG13" s="443"/>
      <c r="FH13" s="443"/>
      <c r="FI13" s="443"/>
      <c r="FJ13" s="443"/>
      <c r="FK13" s="443"/>
      <c r="FL13" s="443"/>
      <c r="FM13" s="443"/>
      <c r="FN13" s="443"/>
      <c r="FO13" s="443"/>
      <c r="FP13" s="443"/>
      <c r="FQ13" s="443"/>
      <c r="FR13" s="501">
        <f>'1.1.6'!D9</f>
        <v>151472.78537828074</v>
      </c>
      <c r="FS13" s="501">
        <f>'1.1.6'!E9</f>
        <v>185114.64168664254</v>
      </c>
      <c r="FT13" s="501">
        <f>'1.1.6'!F9</f>
        <v>188421.29658244931</v>
      </c>
      <c r="FU13" s="501">
        <f>'1.1.6'!G9</f>
        <v>191802.04624368693</v>
      </c>
      <c r="FV13" s="501">
        <f>'1.1.6'!H9</f>
        <v>195246.83321836675</v>
      </c>
      <c r="FW13" s="501">
        <f>'1.1.6'!I9</f>
        <v>33216.336512169604</v>
      </c>
      <c r="FX13" s="501">
        <f>'1.1.6'!J9</f>
        <v>0</v>
      </c>
      <c r="FY13" s="443"/>
      <c r="FZ13" s="443"/>
      <c r="GA13" s="443"/>
      <c r="GB13" s="443"/>
      <c r="GC13" s="443"/>
      <c r="GD13" s="443"/>
      <c r="GE13" s="443"/>
      <c r="GF13" s="443"/>
      <c r="GG13" s="443"/>
      <c r="GH13" s="443"/>
      <c r="GI13" s="443"/>
      <c r="GJ13" s="443"/>
      <c r="GK13" s="443"/>
      <c r="GL13" s="443"/>
      <c r="GM13" s="443"/>
      <c r="GN13" s="443"/>
      <c r="GO13" s="443"/>
      <c r="GP13" s="443"/>
      <c r="GQ13" s="443"/>
      <c r="GR13" s="443"/>
      <c r="GS13" s="443"/>
      <c r="GT13" s="443"/>
      <c r="GU13" s="443"/>
      <c r="GV13" s="443"/>
      <c r="GW13" s="443"/>
      <c r="GX13" s="443"/>
      <c r="GY13" s="443"/>
      <c r="GZ13" s="443"/>
      <c r="HA13" s="443"/>
      <c r="HB13" s="443"/>
      <c r="HC13" s="443"/>
      <c r="HD13" s="443"/>
      <c r="HE13" s="443"/>
      <c r="HF13" s="443"/>
      <c r="HG13" s="443"/>
      <c r="HH13" s="443"/>
      <c r="HI13" s="443"/>
      <c r="HJ13" s="443"/>
      <c r="HK13" s="443"/>
      <c r="HL13" s="443"/>
      <c r="HM13" s="443"/>
      <c r="HN13" s="443"/>
      <c r="HO13" s="443"/>
      <c r="HP13" s="443"/>
      <c r="HQ13" s="443"/>
      <c r="HR13" s="443"/>
      <c r="HS13" s="443"/>
      <c r="HT13" s="443"/>
      <c r="HU13" s="443"/>
      <c r="HV13" s="443"/>
      <c r="HW13" s="443"/>
      <c r="HX13" s="443"/>
      <c r="HY13" s="443"/>
      <c r="HZ13" s="443"/>
      <c r="IA13" s="443"/>
      <c r="IB13" s="443"/>
      <c r="IC13" s="443"/>
      <c r="ID13" s="443"/>
      <c r="IE13" s="443"/>
      <c r="IF13" s="443"/>
      <c r="IG13" s="443"/>
      <c r="IH13" s="443"/>
      <c r="II13" s="443"/>
      <c r="IJ13" s="443"/>
      <c r="IK13" s="443"/>
      <c r="IL13" s="443"/>
      <c r="IM13" s="443"/>
      <c r="IN13" s="443"/>
      <c r="IO13" s="443"/>
      <c r="IP13" s="443"/>
      <c r="IQ13" s="443"/>
      <c r="IR13" s="443"/>
      <c r="IS13" s="443"/>
      <c r="IT13" s="443"/>
      <c r="IU13" s="443"/>
      <c r="IV13" s="443"/>
      <c r="IW13" s="443"/>
      <c r="IX13" s="443"/>
      <c r="IY13" s="443"/>
      <c r="IZ13" s="443"/>
      <c r="JA13" s="443"/>
      <c r="JB13" s="443"/>
      <c r="JC13" s="443"/>
      <c r="JD13" s="443"/>
      <c r="JE13" s="443"/>
      <c r="JF13" s="443"/>
      <c r="JG13" s="443"/>
      <c r="JH13" s="443"/>
      <c r="JI13" s="443"/>
      <c r="JJ13" s="443"/>
      <c r="JK13" s="443"/>
      <c r="JL13" s="443"/>
      <c r="JM13" s="443"/>
      <c r="JN13"/>
    </row>
    <row r="14" spans="1:277">
      <c r="B14" s="397" t="s">
        <v>182</v>
      </c>
      <c r="C14" s="321"/>
      <c r="D14" s="440" t="str">
        <f t="shared" si="10"/>
        <v>Missle System</v>
      </c>
      <c r="E14" s="321"/>
      <c r="F14" s="321"/>
      <c r="G14" s="321"/>
      <c r="H14" s="321"/>
      <c r="I14" s="321"/>
      <c r="J14" s="321"/>
      <c r="K14" s="321"/>
      <c r="L14" s="321"/>
      <c r="M14" s="321"/>
      <c r="N14" s="321"/>
      <c r="O14" s="321"/>
      <c r="P14" s="321"/>
      <c r="Q14" s="321" t="s">
        <v>697</v>
      </c>
      <c r="R14" s="403"/>
      <c r="S14" s="439" t="s">
        <v>702</v>
      </c>
      <c r="T14" s="321"/>
      <c r="U14" s="502">
        <f t="shared" si="27"/>
        <v>1195544.5390134375</v>
      </c>
      <c r="V14" s="387">
        <f t="shared" si="28"/>
        <v>1260365.2528287945</v>
      </c>
      <c r="W14" s="388">
        <f>IFERROR(Model[[#This Row],[Point Estimate (CY14$)]]/SUMIFS(Model[Point Estimate (CY14$)], Model[Phase], Model[[#This Row],[Phase]]), 0)</f>
        <v>4.5019443992003255E-3</v>
      </c>
      <c r="X14" s="387">
        <f>Model[[#This Row],[Point Estimate (CY14$)]]</f>
        <v>1195544.5390134375</v>
      </c>
      <c r="Y14" s="387">
        <f>Model[[#This Row],[Point Estimate (TY$)]]</f>
        <v>1260365.2528287945</v>
      </c>
      <c r="Z14" s="399" t="s">
        <v>798</v>
      </c>
      <c r="AA14" s="399" t="s">
        <v>823</v>
      </c>
      <c r="AB14" s="492"/>
      <c r="AC14" s="492"/>
      <c r="AD14" s="492"/>
      <c r="AE14" s="492"/>
      <c r="AF14" s="439" t="s">
        <v>129</v>
      </c>
      <c r="AG14" s="387"/>
      <c r="AH14" s="439" t="s">
        <v>101</v>
      </c>
      <c r="AI14" s="441" t="s">
        <v>72</v>
      </c>
      <c r="AJ14" s="439" t="s">
        <v>344</v>
      </c>
      <c r="AK14" s="442" t="s">
        <v>338</v>
      </c>
      <c r="AM14" s="443"/>
      <c r="AN14" s="443"/>
      <c r="AO14" s="443"/>
      <c r="AP14" s="443"/>
      <c r="AQ14" s="443"/>
      <c r="AR14" s="443"/>
      <c r="AS14" s="443"/>
      <c r="AT14" s="443"/>
      <c r="AU14" s="443"/>
      <c r="AV14" s="443"/>
      <c r="AW14" s="443"/>
      <c r="AX14" s="443"/>
      <c r="AY14" s="443"/>
      <c r="AZ14" s="443"/>
      <c r="BA14" s="443"/>
      <c r="BB14" s="443"/>
      <c r="BC14" s="443"/>
      <c r="BD14" s="501">
        <f>'1.1.7'!D5</f>
        <v>199148.24101922466</v>
      </c>
      <c r="BE14" s="501">
        <f>'1.1.7'!E5</f>
        <v>239108.90780268749</v>
      </c>
      <c r="BF14" s="501">
        <f>'1.1.7'!F5</f>
        <v>239108.90780268749</v>
      </c>
      <c r="BG14" s="501">
        <f>'1.1.7'!G5</f>
        <v>239108.90780268749</v>
      </c>
      <c r="BH14" s="501">
        <f>'1.1.7'!H5</f>
        <v>239108.90780268749</v>
      </c>
      <c r="BI14" s="501">
        <f>'1.1.7'!I5</f>
        <v>39960.666783462846</v>
      </c>
      <c r="BJ14" s="501">
        <f>'1.1.7'!J5</f>
        <v>0</v>
      </c>
      <c r="BK14" s="443"/>
      <c r="BL14" s="443"/>
      <c r="BM14" s="443"/>
      <c r="BN14" s="443"/>
      <c r="BO14" s="443"/>
      <c r="BP14" s="443"/>
      <c r="BQ14" s="443"/>
      <c r="BR14" s="443"/>
      <c r="BS14" s="443"/>
      <c r="BT14" s="443"/>
      <c r="BU14" s="443"/>
      <c r="BV14" s="443"/>
      <c r="BW14" s="443"/>
      <c r="BX14" s="443"/>
      <c r="BY14" s="443"/>
      <c r="BZ14" s="443"/>
      <c r="CA14" s="443"/>
      <c r="CB14" s="443"/>
      <c r="CC14" s="443"/>
      <c r="CD14" s="443"/>
      <c r="CE14" s="443"/>
      <c r="CF14" s="443"/>
      <c r="CG14" s="443"/>
      <c r="CH14" s="443"/>
      <c r="CI14" s="443"/>
      <c r="CJ14" s="443"/>
      <c r="CK14" s="443"/>
      <c r="CL14" s="443"/>
      <c r="CM14" s="443"/>
      <c r="CN14" s="443"/>
      <c r="CO14" s="443"/>
      <c r="CP14" s="443"/>
      <c r="CQ14" s="443"/>
      <c r="CR14" s="443"/>
      <c r="CS14" s="443"/>
      <c r="CT14" s="443"/>
      <c r="CU14" s="443"/>
      <c r="CV14" s="443"/>
      <c r="CW14" s="443"/>
      <c r="CX14" s="443"/>
      <c r="CY14" s="443"/>
      <c r="CZ14" s="443"/>
      <c r="DA14" s="443"/>
      <c r="DB14" s="443"/>
      <c r="DC14" s="443"/>
      <c r="DD14" s="443"/>
      <c r="DE14" s="443"/>
      <c r="DF14" s="443"/>
      <c r="DG14" s="443"/>
      <c r="DH14" s="443"/>
      <c r="DI14" s="443"/>
      <c r="DJ14" s="443"/>
      <c r="DK14" s="443"/>
      <c r="DL14" s="443"/>
      <c r="DM14" s="443"/>
      <c r="DN14" s="443"/>
      <c r="DO14" s="443"/>
      <c r="DP14" s="443"/>
      <c r="DQ14" s="443"/>
      <c r="DR14" s="443"/>
      <c r="DS14" s="443"/>
      <c r="DT14" s="443"/>
      <c r="DU14" s="443"/>
      <c r="DV14" s="443"/>
      <c r="DW14" s="443"/>
      <c r="DX14" s="443"/>
      <c r="DY14" s="443"/>
      <c r="DZ14" s="443"/>
      <c r="EA14" s="443"/>
      <c r="EB14" s="443"/>
      <c r="EC14" s="443"/>
      <c r="ED14" s="443"/>
      <c r="EE14" s="443"/>
      <c r="EF14" s="443"/>
      <c r="EG14" s="443"/>
      <c r="EH14" s="443"/>
      <c r="EI14" s="443"/>
      <c r="EJ14" s="443"/>
      <c r="EK14" s="443"/>
      <c r="EL14" s="443"/>
      <c r="EM14" s="443"/>
      <c r="EN14" s="443"/>
      <c r="EO14" s="443"/>
      <c r="EP14" s="443"/>
      <c r="EQ14" s="443"/>
      <c r="ER14" s="443"/>
      <c r="ES14" s="443"/>
      <c r="ET14" s="443"/>
      <c r="EU14" s="443"/>
      <c r="EV14" s="443"/>
      <c r="EW14" s="443"/>
      <c r="EX14" s="443"/>
      <c r="EY14" s="443"/>
      <c r="FA14" s="443"/>
      <c r="FB14" s="443"/>
      <c r="FC14" s="443"/>
      <c r="FD14" s="443"/>
      <c r="FE14" s="443"/>
      <c r="FF14" s="443"/>
      <c r="FG14" s="443"/>
      <c r="FH14" s="443"/>
      <c r="FI14" s="443"/>
      <c r="FJ14" s="443"/>
      <c r="FK14" s="443"/>
      <c r="FL14" s="443"/>
      <c r="FM14" s="443"/>
      <c r="FN14" s="443"/>
      <c r="FO14" s="443"/>
      <c r="FP14" s="443"/>
      <c r="FQ14" s="443"/>
      <c r="FR14" s="501">
        <f>'1.1.7'!D9</f>
        <v>201963.71383770762</v>
      </c>
      <c r="FS14" s="501">
        <f>'1.1.7'!E9</f>
        <v>246819.52224885672</v>
      </c>
      <c r="FT14" s="501">
        <f>'1.1.7'!F9</f>
        <v>251228.39544326576</v>
      </c>
      <c r="FU14" s="501">
        <f>'1.1.7'!G9</f>
        <v>255736.06165824927</v>
      </c>
      <c r="FV14" s="501">
        <f>'1.1.7'!H9</f>
        <v>260329.11095782233</v>
      </c>
      <c r="FW14" s="501">
        <f>'1.1.7'!I9</f>
        <v>44288.448682892806</v>
      </c>
      <c r="FX14" s="501">
        <f>'1.1.7'!J9</f>
        <v>0</v>
      </c>
      <c r="FY14" s="443"/>
      <c r="FZ14" s="443"/>
      <c r="GA14" s="443"/>
      <c r="GB14" s="443"/>
      <c r="GC14" s="443"/>
      <c r="GD14" s="443"/>
      <c r="GE14" s="443"/>
      <c r="GF14" s="443"/>
      <c r="GG14" s="443"/>
      <c r="GH14" s="443"/>
      <c r="GI14" s="443"/>
      <c r="GJ14" s="443"/>
      <c r="GK14" s="443"/>
      <c r="GL14" s="443"/>
      <c r="GM14" s="443"/>
      <c r="GN14" s="443"/>
      <c r="GO14" s="443"/>
      <c r="GP14" s="443"/>
      <c r="GQ14" s="443"/>
      <c r="GR14" s="443"/>
      <c r="GS14" s="443"/>
      <c r="GT14" s="443"/>
      <c r="GU14" s="443"/>
      <c r="GV14" s="443"/>
      <c r="GW14" s="443"/>
      <c r="GX14" s="443"/>
      <c r="GY14" s="443"/>
      <c r="GZ14" s="443"/>
      <c r="HA14" s="443"/>
      <c r="HB14" s="443"/>
      <c r="HC14" s="443"/>
      <c r="HD14" s="443"/>
      <c r="HE14" s="443"/>
      <c r="HF14" s="443"/>
      <c r="HG14" s="443"/>
      <c r="HH14" s="443"/>
      <c r="HI14" s="443"/>
      <c r="HJ14" s="443"/>
      <c r="HK14" s="443"/>
      <c r="HL14" s="443"/>
      <c r="HM14" s="443"/>
      <c r="HN14" s="443"/>
      <c r="HO14" s="443"/>
      <c r="HP14" s="443"/>
      <c r="HQ14" s="443"/>
      <c r="HR14" s="443"/>
      <c r="HS14" s="443"/>
      <c r="HT14" s="443"/>
      <c r="HU14" s="443"/>
      <c r="HV14" s="443"/>
      <c r="HW14" s="443"/>
      <c r="HX14" s="443"/>
      <c r="HY14" s="443"/>
      <c r="HZ14" s="443"/>
      <c r="IA14" s="443"/>
      <c r="IB14" s="443"/>
      <c r="IC14" s="443"/>
      <c r="ID14" s="443"/>
      <c r="IE14" s="443"/>
      <c r="IF14" s="443"/>
      <c r="IG14" s="443"/>
      <c r="IH14" s="443"/>
      <c r="II14" s="443"/>
      <c r="IJ14" s="443"/>
      <c r="IK14" s="443"/>
      <c r="IL14" s="443"/>
      <c r="IM14" s="443"/>
      <c r="IN14" s="443"/>
      <c r="IO14" s="443"/>
      <c r="IP14" s="443"/>
      <c r="IQ14" s="443"/>
      <c r="IR14" s="443"/>
      <c r="IS14" s="443"/>
      <c r="IT14" s="443"/>
      <c r="IU14" s="443"/>
      <c r="IV14" s="443"/>
      <c r="IW14" s="443"/>
      <c r="IX14" s="443"/>
      <c r="IY14" s="443"/>
      <c r="IZ14" s="443"/>
      <c r="JA14" s="443"/>
      <c r="JB14" s="443"/>
      <c r="JC14" s="443"/>
      <c r="JD14" s="443"/>
      <c r="JE14" s="443"/>
      <c r="JF14" s="443"/>
      <c r="JG14" s="443"/>
      <c r="JH14" s="443"/>
      <c r="JI14" s="443"/>
      <c r="JJ14" s="443"/>
      <c r="JK14" s="443"/>
      <c r="JL14" s="443"/>
      <c r="JM14" s="443"/>
      <c r="JN14"/>
    </row>
    <row r="15" spans="1:277">
      <c r="B15" s="397" t="s">
        <v>182</v>
      </c>
      <c r="C15" s="321"/>
      <c r="D15" s="440" t="str">
        <f t="shared" si="10"/>
        <v>Missle System</v>
      </c>
      <c r="E15" s="321"/>
      <c r="F15" s="321"/>
      <c r="G15" s="321"/>
      <c r="H15" s="321"/>
      <c r="I15" s="321"/>
      <c r="J15" s="321"/>
      <c r="K15" s="321"/>
      <c r="L15" s="321"/>
      <c r="M15" s="321"/>
      <c r="N15" s="321"/>
      <c r="O15" s="321"/>
      <c r="P15" s="321"/>
      <c r="Q15" s="321" t="s">
        <v>698</v>
      </c>
      <c r="R15" s="403"/>
      <c r="S15" s="439" t="s">
        <v>702</v>
      </c>
      <c r="T15" s="321"/>
      <c r="U15" s="502">
        <f t="shared" si="27"/>
        <v>736076.68441699224</v>
      </c>
      <c r="V15" s="387">
        <f t="shared" si="28"/>
        <v>775985.70875674905</v>
      </c>
      <c r="W15" s="388">
        <f>IFERROR(Model[[#This Row],[Point Estimate (CY14$)]]/SUMIFS(Model[Point Estimate (CY14$)], Model[Phase], Model[[#This Row],[Phase]]), 0)</f>
        <v>2.7717715222283145E-3</v>
      </c>
      <c r="X15" s="387">
        <f>Model[[#This Row],[Point Estimate (CY14$)]]</f>
        <v>736076.68441699224</v>
      </c>
      <c r="Y15" s="387">
        <f>Model[[#This Row],[Point Estimate (TY$)]]</f>
        <v>775985.70875674905</v>
      </c>
      <c r="Z15" s="399" t="s">
        <v>799</v>
      </c>
      <c r="AA15" s="399" t="s">
        <v>824</v>
      </c>
      <c r="AB15" s="492"/>
      <c r="AC15" s="492"/>
      <c r="AD15" s="492"/>
      <c r="AE15" s="492"/>
      <c r="AF15" s="439" t="s">
        <v>129</v>
      </c>
      <c r="AG15" s="387"/>
      <c r="AH15" s="439" t="s">
        <v>101</v>
      </c>
      <c r="AI15" s="441" t="s">
        <v>72</v>
      </c>
      <c r="AJ15" s="439" t="s">
        <v>344</v>
      </c>
      <c r="AK15" s="442" t="s">
        <v>338</v>
      </c>
      <c r="AM15" s="443"/>
      <c r="AN15" s="443"/>
      <c r="AO15" s="443"/>
      <c r="AP15" s="443"/>
      <c r="AQ15" s="443"/>
      <c r="AR15" s="443"/>
      <c r="AS15" s="443"/>
      <c r="AT15" s="443"/>
      <c r="AU15" s="443"/>
      <c r="AV15" s="443"/>
      <c r="AW15" s="443"/>
      <c r="AX15" s="443"/>
      <c r="AY15" s="443"/>
      <c r="AZ15" s="443"/>
      <c r="BA15" s="443"/>
      <c r="BB15" s="443"/>
      <c r="BC15" s="443"/>
      <c r="BD15" s="501">
        <f>'1.1.8'!D5</f>
        <v>122612.22578781679</v>
      </c>
      <c r="BE15" s="501">
        <f>'1.1.8'!E5</f>
        <v>147215.33688339844</v>
      </c>
      <c r="BF15" s="501">
        <f>'1.1.8'!F5</f>
        <v>147215.33688339844</v>
      </c>
      <c r="BG15" s="501">
        <f>'1.1.8'!G5</f>
        <v>147215.33688339844</v>
      </c>
      <c r="BH15" s="501">
        <f>'1.1.8'!H5</f>
        <v>147215.33688339844</v>
      </c>
      <c r="BI15" s="501">
        <f>'1.1.8'!I5</f>
        <v>24603.111095581658</v>
      </c>
      <c r="BJ15" s="501">
        <f>'1.1.8'!J5</f>
        <v>0</v>
      </c>
      <c r="BK15" s="443"/>
      <c r="BL15" s="443"/>
      <c r="BM15" s="443"/>
      <c r="BN15" s="443"/>
      <c r="BO15" s="443"/>
      <c r="BP15" s="443"/>
      <c r="BQ15" s="443"/>
      <c r="BR15" s="443"/>
      <c r="BS15" s="443"/>
      <c r="BT15" s="443"/>
      <c r="BU15" s="443"/>
      <c r="BV15" s="443"/>
      <c r="BW15" s="443"/>
      <c r="BX15" s="443"/>
      <c r="BY15" s="443"/>
      <c r="BZ15" s="443"/>
      <c r="CA15" s="443"/>
      <c r="CB15" s="443"/>
      <c r="CC15" s="443"/>
      <c r="CD15" s="443"/>
      <c r="CE15" s="443"/>
      <c r="CF15" s="443"/>
      <c r="CG15" s="443"/>
      <c r="CH15" s="443"/>
      <c r="CI15" s="443"/>
      <c r="CJ15" s="443"/>
      <c r="CK15" s="443"/>
      <c r="CL15" s="443"/>
      <c r="CM15" s="443"/>
      <c r="CN15" s="443"/>
      <c r="CO15" s="443"/>
      <c r="CP15" s="443"/>
      <c r="CQ15" s="443"/>
      <c r="CR15" s="443"/>
      <c r="CS15" s="443"/>
      <c r="CT15" s="443"/>
      <c r="CU15" s="443"/>
      <c r="CV15" s="443"/>
      <c r="CW15" s="443"/>
      <c r="CX15" s="443"/>
      <c r="CY15" s="443"/>
      <c r="CZ15" s="443"/>
      <c r="DA15" s="443"/>
      <c r="DB15" s="443"/>
      <c r="DC15" s="443"/>
      <c r="DD15" s="443"/>
      <c r="DE15" s="443"/>
      <c r="DF15" s="443"/>
      <c r="DG15" s="443"/>
      <c r="DH15" s="443"/>
      <c r="DI15" s="443"/>
      <c r="DJ15" s="443"/>
      <c r="DK15" s="443"/>
      <c r="DL15" s="443"/>
      <c r="DM15" s="443"/>
      <c r="DN15" s="443"/>
      <c r="DO15" s="443"/>
      <c r="DP15" s="443"/>
      <c r="DQ15" s="443"/>
      <c r="DR15" s="443"/>
      <c r="DS15" s="443"/>
      <c r="DT15" s="443"/>
      <c r="DU15" s="443"/>
      <c r="DV15" s="443"/>
      <c r="DW15" s="443"/>
      <c r="DX15" s="443"/>
      <c r="DY15" s="443"/>
      <c r="DZ15" s="443"/>
      <c r="EA15" s="443"/>
      <c r="EB15" s="443"/>
      <c r="EC15" s="443"/>
      <c r="ED15" s="443"/>
      <c r="EE15" s="443"/>
      <c r="EF15" s="443"/>
      <c r="EG15" s="443"/>
      <c r="EH15" s="443"/>
      <c r="EI15" s="443"/>
      <c r="EJ15" s="443"/>
      <c r="EK15" s="443"/>
      <c r="EL15" s="443"/>
      <c r="EM15" s="443"/>
      <c r="EN15" s="443"/>
      <c r="EO15" s="443"/>
      <c r="EP15" s="443"/>
      <c r="EQ15" s="443"/>
      <c r="ER15" s="443"/>
      <c r="ES15" s="443"/>
      <c r="ET15" s="443"/>
      <c r="EU15" s="443"/>
      <c r="EV15" s="443"/>
      <c r="EW15" s="443"/>
      <c r="EX15" s="443"/>
      <c r="EY15" s="443"/>
      <c r="FA15" s="443"/>
      <c r="FB15" s="443"/>
      <c r="FC15" s="443"/>
      <c r="FD15" s="443"/>
      <c r="FE15" s="443"/>
      <c r="FF15" s="443"/>
      <c r="FG15" s="443"/>
      <c r="FH15" s="443"/>
      <c r="FI15" s="443"/>
      <c r="FJ15" s="443"/>
      <c r="FK15" s="443"/>
      <c r="FL15" s="443"/>
      <c r="FM15" s="443"/>
      <c r="FN15" s="443"/>
      <c r="FO15" s="443"/>
      <c r="FP15" s="443"/>
      <c r="FQ15" s="443"/>
      <c r="FR15" s="501">
        <f>'1.1.8'!D9</f>
        <v>124345.66509490045</v>
      </c>
      <c r="FS15" s="501">
        <f>'1.1.8'!E9</f>
        <v>151962.63263955447</v>
      </c>
      <c r="FT15" s="501">
        <f>'1.1.8'!F9</f>
        <v>154677.1017848308</v>
      </c>
      <c r="FU15" s="501">
        <f>'1.1.8'!G9</f>
        <v>157452.39613289543</v>
      </c>
      <c r="FV15" s="501">
        <f>'1.1.8'!H9</f>
        <v>160280.25941148427</v>
      </c>
      <c r="FW15" s="501">
        <f>'1.1.8'!I9</f>
        <v>27267.653693083728</v>
      </c>
      <c r="FX15" s="501">
        <f>'1.1.8'!J9</f>
        <v>0</v>
      </c>
      <c r="FY15" s="443"/>
      <c r="FZ15" s="443"/>
      <c r="GA15" s="443"/>
      <c r="GB15" s="443"/>
      <c r="GC15" s="443"/>
      <c r="GD15" s="443"/>
      <c r="GE15" s="443"/>
      <c r="GF15" s="443"/>
      <c r="GG15" s="443"/>
      <c r="GH15" s="443"/>
      <c r="GI15" s="443"/>
      <c r="GJ15" s="443"/>
      <c r="GK15" s="443"/>
      <c r="GL15" s="443"/>
      <c r="GM15" s="443"/>
      <c r="GN15" s="443"/>
      <c r="GO15" s="443"/>
      <c r="GP15" s="443"/>
      <c r="GQ15" s="443"/>
      <c r="GR15" s="443"/>
      <c r="GS15" s="443"/>
      <c r="GT15" s="443"/>
      <c r="GU15" s="443"/>
      <c r="GV15" s="443"/>
      <c r="GW15" s="443"/>
      <c r="GX15" s="443"/>
      <c r="GY15" s="443"/>
      <c r="GZ15" s="443"/>
      <c r="HA15" s="443"/>
      <c r="HB15" s="443"/>
      <c r="HC15" s="443"/>
      <c r="HD15" s="443"/>
      <c r="HE15" s="443"/>
      <c r="HF15" s="443"/>
      <c r="HG15" s="443"/>
      <c r="HH15" s="443"/>
      <c r="HI15" s="443"/>
      <c r="HJ15" s="443"/>
      <c r="HK15" s="443"/>
      <c r="HL15" s="443"/>
      <c r="HM15" s="443"/>
      <c r="HN15" s="443"/>
      <c r="HO15" s="443"/>
      <c r="HP15" s="443"/>
      <c r="HQ15" s="443"/>
      <c r="HR15" s="443"/>
      <c r="HS15" s="443"/>
      <c r="HT15" s="443"/>
      <c r="HU15" s="443"/>
      <c r="HV15" s="443"/>
      <c r="HW15" s="443"/>
      <c r="HX15" s="443"/>
      <c r="HY15" s="443"/>
      <c r="HZ15" s="443"/>
      <c r="IA15" s="443"/>
      <c r="IB15" s="443"/>
      <c r="IC15" s="443"/>
      <c r="ID15" s="443"/>
      <c r="IE15" s="443"/>
      <c r="IF15" s="443"/>
      <c r="IG15" s="443"/>
      <c r="IH15" s="443"/>
      <c r="II15" s="443"/>
      <c r="IJ15" s="443"/>
      <c r="IK15" s="443"/>
      <c r="IL15" s="443"/>
      <c r="IM15" s="443"/>
      <c r="IN15" s="443"/>
      <c r="IO15" s="443"/>
      <c r="IP15" s="443"/>
      <c r="IQ15" s="443"/>
      <c r="IR15" s="443"/>
      <c r="IS15" s="443"/>
      <c r="IT15" s="443"/>
      <c r="IU15" s="443"/>
      <c r="IV15" s="443"/>
      <c r="IW15" s="443"/>
      <c r="IX15" s="443"/>
      <c r="IY15" s="443"/>
      <c r="IZ15" s="443"/>
      <c r="JA15" s="443"/>
      <c r="JB15" s="443"/>
      <c r="JC15" s="443"/>
      <c r="JD15" s="443"/>
      <c r="JE15" s="443"/>
      <c r="JF15" s="443"/>
      <c r="JG15" s="443"/>
      <c r="JH15" s="443"/>
      <c r="JI15" s="443"/>
      <c r="JJ15" s="443"/>
      <c r="JK15" s="443"/>
      <c r="JL15" s="443"/>
      <c r="JM15" s="443"/>
      <c r="JN15"/>
    </row>
    <row r="16" spans="1:277" hidden="1">
      <c r="B16" s="401"/>
      <c r="C16" s="370"/>
      <c r="D16" s="444"/>
      <c r="E16" s="370"/>
      <c r="F16" s="370"/>
      <c r="G16" s="370"/>
      <c r="H16" s="370"/>
      <c r="I16" s="370"/>
      <c r="J16" s="370"/>
      <c r="K16" s="370"/>
      <c r="L16" s="370"/>
      <c r="M16" s="370"/>
      <c r="N16" s="370"/>
      <c r="O16" s="370"/>
      <c r="P16" s="370"/>
      <c r="Q16" s="370"/>
      <c r="R16" s="404"/>
      <c r="S16" s="370"/>
      <c r="T16" s="370"/>
      <c r="U16" s="503"/>
      <c r="V16" s="371">
        <f t="shared" ref="V16" si="36">SUM(FA16:JN16)</f>
        <v>0</v>
      </c>
      <c r="W16" s="388">
        <f>IFERROR(Model[[#This Row],[Point Estimate (CY14$)]]/SUMIFS(Model[Point Estimate (CY14$)], Model[Phase], Model[[#This Row],[Phase]]), 0)</f>
        <v>0</v>
      </c>
      <c r="X16" s="371">
        <f>Model[[#This Row],[Point Estimate (CY14$)]]</f>
        <v>0</v>
      </c>
      <c r="Y16" s="371">
        <f>Model[[#This Row],[Point Estimate (TY$)]]</f>
        <v>0</v>
      </c>
      <c r="Z16" s="372"/>
      <c r="AA16" s="372"/>
      <c r="AB16" s="372"/>
      <c r="AC16" s="372"/>
      <c r="AD16" s="372"/>
      <c r="AE16" s="372"/>
      <c r="AF16" s="393"/>
      <c r="AG16" s="371"/>
      <c r="AH16" s="370"/>
      <c r="AI16" s="370"/>
      <c r="AJ16" s="370"/>
      <c r="AK16" s="402"/>
      <c r="AM16" s="443"/>
      <c r="AN16" s="443"/>
      <c r="AO16" s="443"/>
      <c r="AP16" s="443"/>
      <c r="AQ16" s="443"/>
      <c r="AR16" s="443"/>
      <c r="AS16" s="443"/>
      <c r="AT16" s="443"/>
      <c r="AU16" s="443"/>
      <c r="AV16" s="443"/>
      <c r="AW16" s="443"/>
      <c r="AX16" s="443"/>
      <c r="AY16" s="443"/>
      <c r="AZ16" s="443"/>
      <c r="BA16" s="443"/>
      <c r="BB16" s="443"/>
      <c r="BC16" s="443"/>
      <c r="BD16" s="501"/>
      <c r="BE16" s="501"/>
      <c r="BF16" s="501"/>
      <c r="BG16" s="501"/>
      <c r="BH16" s="501"/>
      <c r="BI16" s="501"/>
      <c r="BJ16" s="501"/>
      <c r="BK16" s="443"/>
      <c r="BL16" s="443"/>
      <c r="BM16" s="443"/>
      <c r="BN16" s="443"/>
      <c r="BO16" s="443"/>
      <c r="BP16" s="443"/>
      <c r="BQ16" s="443"/>
      <c r="BR16" s="443"/>
      <c r="BS16" s="443"/>
      <c r="BT16" s="443"/>
      <c r="BU16" s="443"/>
      <c r="BV16" s="443"/>
      <c r="BW16" s="443"/>
      <c r="BX16" s="443"/>
      <c r="BY16" s="443"/>
      <c r="BZ16" s="443"/>
      <c r="CA16" s="443"/>
      <c r="CB16" s="443"/>
      <c r="CC16" s="443"/>
      <c r="CD16" s="443"/>
      <c r="CE16" s="443"/>
      <c r="CF16" s="443"/>
      <c r="CG16" s="443"/>
      <c r="CH16" s="443"/>
      <c r="CI16" s="443"/>
      <c r="CJ16" s="443"/>
      <c r="CK16" s="443"/>
      <c r="CL16" s="443"/>
      <c r="CM16" s="443"/>
      <c r="CN16" s="443"/>
      <c r="CO16" s="443"/>
      <c r="CP16" s="443"/>
      <c r="CQ16" s="443"/>
      <c r="CR16" s="443"/>
      <c r="CS16" s="443"/>
      <c r="CT16" s="443"/>
      <c r="CU16" s="443"/>
      <c r="CV16" s="443"/>
      <c r="CW16" s="443"/>
      <c r="CX16" s="443"/>
      <c r="CY16" s="443"/>
      <c r="CZ16" s="443"/>
      <c r="DA16" s="443"/>
      <c r="DB16" s="443"/>
      <c r="DC16" s="443"/>
      <c r="DD16" s="443"/>
      <c r="DE16" s="443"/>
      <c r="DF16" s="443"/>
      <c r="DG16" s="443"/>
      <c r="DH16" s="443"/>
      <c r="DI16" s="443"/>
      <c r="DJ16" s="443"/>
      <c r="DK16" s="443"/>
      <c r="DL16" s="443"/>
      <c r="DM16" s="443"/>
      <c r="DN16" s="443"/>
      <c r="DO16" s="443"/>
      <c r="DP16" s="443"/>
      <c r="DQ16" s="443"/>
      <c r="DR16" s="443"/>
      <c r="DS16" s="443"/>
      <c r="DT16" s="443"/>
      <c r="DU16" s="443"/>
      <c r="DV16" s="443"/>
      <c r="DW16" s="443"/>
      <c r="DX16" s="443"/>
      <c r="DY16" s="443"/>
      <c r="DZ16" s="443"/>
      <c r="EA16" s="443"/>
      <c r="EB16" s="443"/>
      <c r="EC16" s="443"/>
      <c r="ED16" s="443"/>
      <c r="EE16" s="443"/>
      <c r="EF16" s="443"/>
      <c r="EG16" s="443"/>
      <c r="EH16" s="443"/>
      <c r="EI16" s="443"/>
      <c r="EJ16" s="443"/>
      <c r="EK16" s="443"/>
      <c r="EL16" s="443"/>
      <c r="EM16" s="443"/>
      <c r="EN16" s="443"/>
      <c r="EO16" s="443"/>
      <c r="EP16" s="443"/>
      <c r="EQ16" s="443"/>
      <c r="ER16" s="443"/>
      <c r="ES16" s="443"/>
      <c r="ET16" s="443"/>
      <c r="EU16" s="443"/>
      <c r="EV16" s="443"/>
      <c r="EW16" s="443"/>
      <c r="EX16" s="443"/>
      <c r="EY16" s="443"/>
      <c r="FA16" s="443"/>
      <c r="FB16" s="443"/>
      <c r="FC16" s="443"/>
      <c r="FD16" s="443"/>
      <c r="FE16" s="443"/>
      <c r="FF16" s="443"/>
      <c r="FG16" s="443"/>
      <c r="FH16" s="443"/>
      <c r="FI16" s="443"/>
      <c r="FJ16" s="443"/>
      <c r="FK16" s="443"/>
      <c r="FL16" s="443"/>
      <c r="FM16" s="443"/>
      <c r="FN16" s="443"/>
      <c r="FO16" s="443"/>
      <c r="FP16" s="443"/>
      <c r="FQ16" s="443"/>
      <c r="FR16" s="443"/>
      <c r="FS16" s="443"/>
      <c r="FT16" s="443"/>
      <c r="FU16" s="443"/>
      <c r="FV16" s="443"/>
      <c r="FW16" s="443"/>
      <c r="FX16" s="443"/>
      <c r="FY16" s="443"/>
      <c r="FZ16" s="443"/>
      <c r="GA16" s="443"/>
      <c r="GB16" s="443"/>
      <c r="GC16" s="443"/>
      <c r="GD16" s="443"/>
      <c r="GE16" s="443"/>
      <c r="GF16" s="443"/>
      <c r="GG16" s="443"/>
      <c r="GH16" s="443"/>
      <c r="GI16" s="443"/>
      <c r="GJ16" s="443"/>
      <c r="GK16" s="443"/>
      <c r="GL16" s="443"/>
      <c r="GM16" s="443"/>
      <c r="GN16" s="443"/>
      <c r="GO16" s="443"/>
      <c r="GP16" s="443"/>
      <c r="GQ16" s="443"/>
      <c r="GR16" s="443"/>
      <c r="GS16" s="443"/>
      <c r="GT16" s="443"/>
      <c r="GU16" s="443"/>
      <c r="GV16" s="443"/>
      <c r="GW16" s="443"/>
      <c r="GX16" s="443"/>
      <c r="GY16" s="443"/>
      <c r="GZ16" s="443"/>
      <c r="HA16" s="443"/>
      <c r="HB16" s="443"/>
      <c r="HC16" s="443"/>
      <c r="HD16" s="443"/>
      <c r="HE16" s="443"/>
      <c r="HF16" s="443"/>
      <c r="HG16" s="443"/>
      <c r="HH16" s="443"/>
      <c r="HI16" s="443"/>
      <c r="HJ16" s="443"/>
      <c r="HK16" s="443"/>
      <c r="HL16" s="443"/>
      <c r="HM16" s="443"/>
      <c r="HN16" s="443"/>
      <c r="HO16" s="443"/>
      <c r="HP16" s="443"/>
      <c r="HQ16" s="443"/>
      <c r="HR16" s="443"/>
      <c r="HS16" s="443"/>
      <c r="HT16" s="443"/>
      <c r="HU16" s="443"/>
      <c r="HV16" s="443"/>
      <c r="HW16" s="443"/>
      <c r="HX16" s="443"/>
      <c r="HY16" s="443"/>
      <c r="HZ16" s="443"/>
      <c r="IA16" s="443"/>
      <c r="IB16" s="443"/>
      <c r="IC16" s="443"/>
      <c r="ID16" s="443"/>
      <c r="IE16" s="443"/>
      <c r="IF16" s="443"/>
      <c r="IG16" s="443"/>
      <c r="IH16" s="443"/>
      <c r="II16" s="443"/>
      <c r="IJ16" s="443"/>
      <c r="IK16" s="443"/>
      <c r="IL16" s="443"/>
      <c r="IM16" s="443"/>
      <c r="IN16" s="443"/>
      <c r="IO16" s="443"/>
      <c r="IP16" s="443"/>
      <c r="IQ16" s="443"/>
      <c r="IR16" s="443"/>
      <c r="IS16" s="443"/>
      <c r="IT16" s="443"/>
      <c r="IU16" s="443"/>
      <c r="IV16" s="443"/>
      <c r="IW16" s="443"/>
      <c r="IX16" s="443"/>
      <c r="IY16" s="443"/>
      <c r="IZ16" s="443"/>
      <c r="JA16" s="443"/>
      <c r="JB16" s="443"/>
      <c r="JC16" s="443"/>
      <c r="JD16" s="443"/>
      <c r="JE16" s="443"/>
      <c r="JF16" s="443"/>
      <c r="JG16" s="443"/>
      <c r="JH16" s="443"/>
      <c r="JI16" s="443"/>
      <c r="JJ16" s="443"/>
      <c r="JK16" s="443"/>
      <c r="JL16" s="443"/>
      <c r="JM16" s="443"/>
      <c r="JN16"/>
    </row>
  </sheetData>
  <conditionalFormatting sqref="U2:U3">
    <cfRule type="expression" dxfId="47" priority="1">
      <formula>$U$2&lt;&gt; TRUE()</formula>
    </cfRule>
  </conditionalFormatting>
  <dataValidations disablePrompts="1" count="7">
    <dataValidation type="list" showInputMessage="1" showErrorMessage="1" sqref="AF4:AF16">
      <formula1>list_Phase</formula1>
    </dataValidation>
    <dataValidation type="list" showInputMessage="1" showErrorMessage="1" sqref="AJ4:AJ16">
      <formula1>list_PMO</formula1>
    </dataValidation>
    <dataValidation type="list" showInputMessage="1" showErrorMessage="1" sqref="AG4:AG16">
      <formula1>list_Service</formula1>
    </dataValidation>
    <dataValidation type="list" showInputMessage="1" showErrorMessage="1" sqref="AK4:AK16">
      <formula1>list_KTR</formula1>
    </dataValidation>
    <dataValidation type="list" showInputMessage="1" showErrorMessage="1" sqref="AH4:AH16">
      <formula1>list_APPN</formula1>
    </dataValidation>
    <dataValidation type="list" showInputMessage="1" showErrorMessage="1" sqref="B4:B16">
      <formula1>list_Est_Type</formula1>
    </dataValidation>
    <dataValidation type="list" showInputMessage="1" showErrorMessage="1" sqref="AI4:AI16">
      <formula1>#REF!</formula1>
    </dataValidation>
  </dataValidations>
  <hyperlinks>
    <hyperlink ref="A1" location="'TOC'!A1" display="TOC"/>
  </hyperlinks>
  <pageMargins left="0.7" right="0.7" top="0.75" bottom="0.75" header="0.3" footer="0.3"/>
  <pageSetup paperSize="5" scale="64" fitToHeight="0" orientation="landscape" r:id="rId1"/>
  <cellWatches>
    <cellWatch r="U5"/>
    <cellWatch r="U6"/>
  </cellWatche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7"/>
    <outlinePr summaryBelow="0" summaryRight="0"/>
  </sheetPr>
  <dimension ref="A1:HC38"/>
  <sheetViews>
    <sheetView showGridLines="0" zoomScale="70" zoomScaleNormal="70" workbookViewId="0">
      <selection activeCell="H16" sqref="H16"/>
    </sheetView>
  </sheetViews>
  <sheetFormatPr defaultRowHeight="15.5" outlineLevelRow="2" outlineLevelCol="1"/>
  <cols>
    <col min="2" max="2" width="14.25" bestFit="1" customWidth="1"/>
    <col min="3" max="5" width="14.08203125" customWidth="1"/>
    <col min="6" max="6" width="10.33203125" customWidth="1"/>
    <col min="8" max="8" width="12.25" bestFit="1" customWidth="1"/>
    <col min="9" max="9" width="1.75" customWidth="1"/>
    <col min="16" max="109" width="9" customWidth="1" outlineLevel="1"/>
    <col min="110" max="110" width="1.75" customWidth="1"/>
    <col min="117" max="210" width="9" customWidth="1" outlineLevel="1"/>
    <col min="211" max="211" width="3.25" customWidth="1"/>
  </cols>
  <sheetData>
    <row r="1" spans="1:211">
      <c r="A1" s="354" t="s">
        <v>467</v>
      </c>
    </row>
    <row r="4" spans="1:211">
      <c r="A4" s="283" t="s">
        <v>476</v>
      </c>
      <c r="B4" s="283"/>
    </row>
    <row r="5" spans="1:211" outlineLevel="1">
      <c r="A5" s="220" t="s">
        <v>475</v>
      </c>
      <c r="B5" s="283"/>
    </row>
    <row r="6" spans="1:211" outlineLevel="2">
      <c r="J6" s="221" t="s">
        <v>156</v>
      </c>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222" t="s">
        <v>157</v>
      </c>
      <c r="DH6" s="133"/>
      <c r="DI6" s="133"/>
      <c r="DJ6" s="133"/>
      <c r="DK6" s="133"/>
      <c r="DL6" s="133"/>
      <c r="DM6" s="133"/>
      <c r="DN6" s="133"/>
      <c r="DO6" s="133"/>
      <c r="DP6" s="133"/>
      <c r="DQ6" s="133"/>
      <c r="DR6" s="133"/>
      <c r="DS6" s="133"/>
      <c r="DT6" s="133"/>
      <c r="DU6" s="133"/>
      <c r="DV6" s="133"/>
      <c r="DW6" s="133"/>
      <c r="DX6" s="133"/>
      <c r="DY6" s="133"/>
      <c r="DZ6" s="133"/>
      <c r="EA6" s="133"/>
      <c r="EB6" s="133"/>
      <c r="EC6" s="133"/>
      <c r="ED6" s="133"/>
      <c r="EE6" s="133"/>
      <c r="EF6" s="133"/>
      <c r="EG6" s="133"/>
      <c r="EH6" s="133"/>
      <c r="EI6" s="133"/>
      <c r="EJ6" s="133"/>
      <c r="EK6" s="133"/>
      <c r="EL6" s="133"/>
      <c r="EM6" s="133"/>
      <c r="EN6" s="133"/>
      <c r="EO6" s="133"/>
      <c r="EP6" s="133"/>
      <c r="EQ6" s="133"/>
      <c r="ER6" s="133"/>
      <c r="ES6" s="133"/>
      <c r="ET6" s="133"/>
      <c r="EU6" s="133"/>
      <c r="EV6" s="133"/>
      <c r="EW6" s="133"/>
      <c r="EX6" s="133"/>
      <c r="EY6" s="133"/>
      <c r="EZ6" s="133"/>
      <c r="FA6" s="133"/>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133"/>
      <c r="GQ6" s="133"/>
      <c r="GR6" s="133"/>
      <c r="GS6" s="133"/>
      <c r="GT6" s="133"/>
      <c r="GU6" s="133"/>
      <c r="GV6" s="133"/>
      <c r="GW6" s="133"/>
      <c r="GX6" s="133"/>
      <c r="GY6" s="133"/>
      <c r="GZ6" s="133"/>
      <c r="HA6" s="133"/>
      <c r="HB6" s="133"/>
      <c r="HC6" s="133"/>
    </row>
    <row r="7" spans="1:211" s="194" customFormat="1" ht="45" outlineLevel="2">
      <c r="B7" s="195" t="s">
        <v>542</v>
      </c>
      <c r="C7" s="195" t="s">
        <v>167</v>
      </c>
      <c r="D7" s="195" t="s">
        <v>346</v>
      </c>
      <c r="E7" s="195" t="s">
        <v>347</v>
      </c>
      <c r="F7" s="195" t="s">
        <v>341</v>
      </c>
      <c r="G7" s="195" t="s">
        <v>342</v>
      </c>
      <c r="H7" s="195" t="s">
        <v>400</v>
      </c>
      <c r="I7"/>
      <c r="J7" s="195">
        <f>Model_First_Year</f>
        <v>2014</v>
      </c>
      <c r="K7" s="232">
        <f t="shared" ref="K7:AP7" si="0">J7+1</f>
        <v>2015</v>
      </c>
      <c r="L7" s="232">
        <f t="shared" si="0"/>
        <v>2016</v>
      </c>
      <c r="M7" s="232">
        <f t="shared" si="0"/>
        <v>2017</v>
      </c>
      <c r="N7" s="232">
        <f t="shared" si="0"/>
        <v>2018</v>
      </c>
      <c r="O7" s="232">
        <f t="shared" si="0"/>
        <v>2019</v>
      </c>
      <c r="P7" s="232">
        <f t="shared" si="0"/>
        <v>2020</v>
      </c>
      <c r="Q7" s="232">
        <f t="shared" si="0"/>
        <v>2021</v>
      </c>
      <c r="R7" s="232">
        <f t="shared" si="0"/>
        <v>2022</v>
      </c>
      <c r="S7" s="232">
        <f t="shared" si="0"/>
        <v>2023</v>
      </c>
      <c r="T7" s="232">
        <f t="shared" si="0"/>
        <v>2024</v>
      </c>
      <c r="U7" s="232">
        <f t="shared" si="0"/>
        <v>2025</v>
      </c>
      <c r="V7" s="232">
        <f t="shared" si="0"/>
        <v>2026</v>
      </c>
      <c r="W7" s="232">
        <f t="shared" si="0"/>
        <v>2027</v>
      </c>
      <c r="X7" s="232">
        <f t="shared" si="0"/>
        <v>2028</v>
      </c>
      <c r="Y7" s="232">
        <f t="shared" si="0"/>
        <v>2029</v>
      </c>
      <c r="Z7" s="232">
        <f t="shared" si="0"/>
        <v>2030</v>
      </c>
      <c r="AA7" s="232">
        <f t="shared" si="0"/>
        <v>2031</v>
      </c>
      <c r="AB7" s="232">
        <f t="shared" si="0"/>
        <v>2032</v>
      </c>
      <c r="AC7" s="232">
        <f t="shared" si="0"/>
        <v>2033</v>
      </c>
      <c r="AD7" s="232">
        <f t="shared" si="0"/>
        <v>2034</v>
      </c>
      <c r="AE7" s="232">
        <f t="shared" si="0"/>
        <v>2035</v>
      </c>
      <c r="AF7" s="232">
        <f t="shared" si="0"/>
        <v>2036</v>
      </c>
      <c r="AG7" s="232">
        <f t="shared" si="0"/>
        <v>2037</v>
      </c>
      <c r="AH7" s="232">
        <f t="shared" si="0"/>
        <v>2038</v>
      </c>
      <c r="AI7" s="232">
        <f t="shared" si="0"/>
        <v>2039</v>
      </c>
      <c r="AJ7" s="232">
        <f t="shared" si="0"/>
        <v>2040</v>
      </c>
      <c r="AK7" s="232">
        <f t="shared" si="0"/>
        <v>2041</v>
      </c>
      <c r="AL7" s="232">
        <f t="shared" si="0"/>
        <v>2042</v>
      </c>
      <c r="AM7" s="232">
        <f t="shared" si="0"/>
        <v>2043</v>
      </c>
      <c r="AN7" s="232">
        <f t="shared" si="0"/>
        <v>2044</v>
      </c>
      <c r="AO7" s="232">
        <f t="shared" si="0"/>
        <v>2045</v>
      </c>
      <c r="AP7" s="232">
        <f t="shared" si="0"/>
        <v>2046</v>
      </c>
      <c r="AQ7" s="232">
        <f t="shared" ref="AQ7:BV7" si="1">AP7+1</f>
        <v>2047</v>
      </c>
      <c r="AR7" s="232">
        <f t="shared" si="1"/>
        <v>2048</v>
      </c>
      <c r="AS7" s="232">
        <f t="shared" si="1"/>
        <v>2049</v>
      </c>
      <c r="AT7" s="232">
        <f t="shared" si="1"/>
        <v>2050</v>
      </c>
      <c r="AU7" s="232">
        <f t="shared" si="1"/>
        <v>2051</v>
      </c>
      <c r="AV7" s="232">
        <f t="shared" si="1"/>
        <v>2052</v>
      </c>
      <c r="AW7" s="232">
        <f t="shared" si="1"/>
        <v>2053</v>
      </c>
      <c r="AX7" s="232">
        <f t="shared" si="1"/>
        <v>2054</v>
      </c>
      <c r="AY7" s="232">
        <f t="shared" si="1"/>
        <v>2055</v>
      </c>
      <c r="AZ7" s="232">
        <f t="shared" si="1"/>
        <v>2056</v>
      </c>
      <c r="BA7" s="232">
        <f t="shared" si="1"/>
        <v>2057</v>
      </c>
      <c r="BB7" s="232">
        <f t="shared" si="1"/>
        <v>2058</v>
      </c>
      <c r="BC7" s="232">
        <f t="shared" si="1"/>
        <v>2059</v>
      </c>
      <c r="BD7" s="232">
        <f t="shared" si="1"/>
        <v>2060</v>
      </c>
      <c r="BE7" s="232">
        <f t="shared" si="1"/>
        <v>2061</v>
      </c>
      <c r="BF7" s="232">
        <f t="shared" si="1"/>
        <v>2062</v>
      </c>
      <c r="BG7" s="232">
        <f t="shared" si="1"/>
        <v>2063</v>
      </c>
      <c r="BH7" s="232">
        <f t="shared" si="1"/>
        <v>2064</v>
      </c>
      <c r="BI7" s="232">
        <f t="shared" si="1"/>
        <v>2065</v>
      </c>
      <c r="BJ7" s="232">
        <f t="shared" si="1"/>
        <v>2066</v>
      </c>
      <c r="BK7" s="232">
        <f t="shared" si="1"/>
        <v>2067</v>
      </c>
      <c r="BL7" s="232">
        <f t="shared" si="1"/>
        <v>2068</v>
      </c>
      <c r="BM7" s="232">
        <f t="shared" si="1"/>
        <v>2069</v>
      </c>
      <c r="BN7" s="232">
        <f t="shared" si="1"/>
        <v>2070</v>
      </c>
      <c r="BO7" s="232">
        <f t="shared" si="1"/>
        <v>2071</v>
      </c>
      <c r="BP7" s="232">
        <f t="shared" si="1"/>
        <v>2072</v>
      </c>
      <c r="BQ7" s="232">
        <f t="shared" si="1"/>
        <v>2073</v>
      </c>
      <c r="BR7" s="232">
        <f t="shared" si="1"/>
        <v>2074</v>
      </c>
      <c r="BS7" s="232">
        <f t="shared" si="1"/>
        <v>2075</v>
      </c>
      <c r="BT7" s="232">
        <f t="shared" si="1"/>
        <v>2076</v>
      </c>
      <c r="BU7" s="232">
        <f t="shared" si="1"/>
        <v>2077</v>
      </c>
      <c r="BV7" s="232">
        <f t="shared" si="1"/>
        <v>2078</v>
      </c>
      <c r="BW7" s="232">
        <f t="shared" ref="BW7:DE7" si="2">BV7+1</f>
        <v>2079</v>
      </c>
      <c r="BX7" s="232">
        <f t="shared" si="2"/>
        <v>2080</v>
      </c>
      <c r="BY7" s="232">
        <f t="shared" si="2"/>
        <v>2081</v>
      </c>
      <c r="BZ7" s="232">
        <f t="shared" si="2"/>
        <v>2082</v>
      </c>
      <c r="CA7" s="232">
        <f t="shared" si="2"/>
        <v>2083</v>
      </c>
      <c r="CB7" s="232">
        <f t="shared" si="2"/>
        <v>2084</v>
      </c>
      <c r="CC7" s="232">
        <f t="shared" si="2"/>
        <v>2085</v>
      </c>
      <c r="CD7" s="232">
        <f t="shared" si="2"/>
        <v>2086</v>
      </c>
      <c r="CE7" s="232">
        <f t="shared" si="2"/>
        <v>2087</v>
      </c>
      <c r="CF7" s="232">
        <f t="shared" si="2"/>
        <v>2088</v>
      </c>
      <c r="CG7" s="232">
        <f t="shared" si="2"/>
        <v>2089</v>
      </c>
      <c r="CH7" s="232">
        <f t="shared" si="2"/>
        <v>2090</v>
      </c>
      <c r="CI7" s="232">
        <f t="shared" si="2"/>
        <v>2091</v>
      </c>
      <c r="CJ7" s="232">
        <f t="shared" si="2"/>
        <v>2092</v>
      </c>
      <c r="CK7" s="232">
        <f t="shared" si="2"/>
        <v>2093</v>
      </c>
      <c r="CL7" s="232">
        <f t="shared" si="2"/>
        <v>2094</v>
      </c>
      <c r="CM7" s="232">
        <f t="shared" si="2"/>
        <v>2095</v>
      </c>
      <c r="CN7" s="232">
        <f t="shared" si="2"/>
        <v>2096</v>
      </c>
      <c r="CO7" s="232">
        <f t="shared" si="2"/>
        <v>2097</v>
      </c>
      <c r="CP7" s="232">
        <f t="shared" si="2"/>
        <v>2098</v>
      </c>
      <c r="CQ7" s="232">
        <f t="shared" si="2"/>
        <v>2099</v>
      </c>
      <c r="CR7" s="232">
        <f t="shared" si="2"/>
        <v>2100</v>
      </c>
      <c r="CS7" s="232">
        <f t="shared" si="2"/>
        <v>2101</v>
      </c>
      <c r="CT7" s="232">
        <f t="shared" si="2"/>
        <v>2102</v>
      </c>
      <c r="CU7" s="232">
        <f t="shared" si="2"/>
        <v>2103</v>
      </c>
      <c r="CV7" s="232">
        <f t="shared" si="2"/>
        <v>2104</v>
      </c>
      <c r="CW7" s="232">
        <f t="shared" si="2"/>
        <v>2105</v>
      </c>
      <c r="CX7" s="232">
        <f t="shared" si="2"/>
        <v>2106</v>
      </c>
      <c r="CY7" s="232">
        <f t="shared" si="2"/>
        <v>2107</v>
      </c>
      <c r="CZ7" s="232">
        <f t="shared" si="2"/>
        <v>2108</v>
      </c>
      <c r="DA7" s="232">
        <f t="shared" si="2"/>
        <v>2109</v>
      </c>
      <c r="DB7" s="232">
        <f t="shared" si="2"/>
        <v>2110</v>
      </c>
      <c r="DC7" s="232">
        <f t="shared" si="2"/>
        <v>2111</v>
      </c>
      <c r="DD7" s="232">
        <f t="shared" si="2"/>
        <v>2112</v>
      </c>
      <c r="DE7" s="232">
        <f t="shared" si="2"/>
        <v>2113</v>
      </c>
      <c r="DF7" s="133"/>
      <c r="DG7" s="132">
        <f t="shared" ref="DG7:EL7" si="3">J7</f>
        <v>2014</v>
      </c>
      <c r="DH7" s="132">
        <f t="shared" si="3"/>
        <v>2015</v>
      </c>
      <c r="DI7" s="132">
        <f t="shared" si="3"/>
        <v>2016</v>
      </c>
      <c r="DJ7" s="132">
        <f t="shared" si="3"/>
        <v>2017</v>
      </c>
      <c r="DK7" s="132">
        <f t="shared" si="3"/>
        <v>2018</v>
      </c>
      <c r="DL7" s="132">
        <f t="shared" si="3"/>
        <v>2019</v>
      </c>
      <c r="DM7" s="132">
        <f t="shared" si="3"/>
        <v>2020</v>
      </c>
      <c r="DN7" s="132">
        <f t="shared" si="3"/>
        <v>2021</v>
      </c>
      <c r="DO7" s="132">
        <f t="shared" si="3"/>
        <v>2022</v>
      </c>
      <c r="DP7" s="132">
        <f t="shared" si="3"/>
        <v>2023</v>
      </c>
      <c r="DQ7" s="132">
        <f t="shared" si="3"/>
        <v>2024</v>
      </c>
      <c r="DR7" s="132">
        <f t="shared" si="3"/>
        <v>2025</v>
      </c>
      <c r="DS7" s="132">
        <f t="shared" si="3"/>
        <v>2026</v>
      </c>
      <c r="DT7" s="132">
        <f t="shared" si="3"/>
        <v>2027</v>
      </c>
      <c r="DU7" s="132">
        <f t="shared" si="3"/>
        <v>2028</v>
      </c>
      <c r="DV7" s="132">
        <f t="shared" si="3"/>
        <v>2029</v>
      </c>
      <c r="DW7" s="132">
        <f t="shared" si="3"/>
        <v>2030</v>
      </c>
      <c r="DX7" s="132">
        <f t="shared" si="3"/>
        <v>2031</v>
      </c>
      <c r="DY7" s="132">
        <f t="shared" si="3"/>
        <v>2032</v>
      </c>
      <c r="DZ7" s="132">
        <f t="shared" si="3"/>
        <v>2033</v>
      </c>
      <c r="EA7" s="132">
        <f t="shared" si="3"/>
        <v>2034</v>
      </c>
      <c r="EB7" s="132">
        <f t="shared" si="3"/>
        <v>2035</v>
      </c>
      <c r="EC7" s="132">
        <f t="shared" si="3"/>
        <v>2036</v>
      </c>
      <c r="ED7" s="132">
        <f t="shared" si="3"/>
        <v>2037</v>
      </c>
      <c r="EE7" s="132">
        <f t="shared" si="3"/>
        <v>2038</v>
      </c>
      <c r="EF7" s="132">
        <f t="shared" si="3"/>
        <v>2039</v>
      </c>
      <c r="EG7" s="132">
        <f t="shared" si="3"/>
        <v>2040</v>
      </c>
      <c r="EH7" s="132">
        <f t="shared" si="3"/>
        <v>2041</v>
      </c>
      <c r="EI7" s="132">
        <f t="shared" si="3"/>
        <v>2042</v>
      </c>
      <c r="EJ7" s="132">
        <f t="shared" si="3"/>
        <v>2043</v>
      </c>
      <c r="EK7" s="132">
        <f t="shared" si="3"/>
        <v>2044</v>
      </c>
      <c r="EL7" s="132">
        <f t="shared" si="3"/>
        <v>2045</v>
      </c>
      <c r="EM7" s="132">
        <f t="shared" ref="EM7:FR7" si="4">AP7</f>
        <v>2046</v>
      </c>
      <c r="EN7" s="132">
        <f t="shared" si="4"/>
        <v>2047</v>
      </c>
      <c r="EO7" s="132">
        <f t="shared" si="4"/>
        <v>2048</v>
      </c>
      <c r="EP7" s="132">
        <f t="shared" si="4"/>
        <v>2049</v>
      </c>
      <c r="EQ7" s="132">
        <f t="shared" si="4"/>
        <v>2050</v>
      </c>
      <c r="ER7" s="132">
        <f t="shared" si="4"/>
        <v>2051</v>
      </c>
      <c r="ES7" s="132">
        <f t="shared" si="4"/>
        <v>2052</v>
      </c>
      <c r="ET7" s="132">
        <f t="shared" si="4"/>
        <v>2053</v>
      </c>
      <c r="EU7" s="132">
        <f t="shared" si="4"/>
        <v>2054</v>
      </c>
      <c r="EV7" s="132">
        <f t="shared" si="4"/>
        <v>2055</v>
      </c>
      <c r="EW7" s="132">
        <f t="shared" si="4"/>
        <v>2056</v>
      </c>
      <c r="EX7" s="132">
        <f t="shared" si="4"/>
        <v>2057</v>
      </c>
      <c r="EY7" s="132">
        <f t="shared" si="4"/>
        <v>2058</v>
      </c>
      <c r="EZ7" s="132">
        <f t="shared" si="4"/>
        <v>2059</v>
      </c>
      <c r="FA7" s="132">
        <f t="shared" si="4"/>
        <v>2060</v>
      </c>
      <c r="FB7" s="132">
        <f t="shared" si="4"/>
        <v>2061</v>
      </c>
      <c r="FC7" s="132">
        <f t="shared" si="4"/>
        <v>2062</v>
      </c>
      <c r="FD7" s="132">
        <f t="shared" si="4"/>
        <v>2063</v>
      </c>
      <c r="FE7" s="132">
        <f t="shared" si="4"/>
        <v>2064</v>
      </c>
      <c r="FF7" s="132">
        <f t="shared" si="4"/>
        <v>2065</v>
      </c>
      <c r="FG7" s="132">
        <f t="shared" si="4"/>
        <v>2066</v>
      </c>
      <c r="FH7" s="132">
        <f t="shared" si="4"/>
        <v>2067</v>
      </c>
      <c r="FI7" s="132">
        <f t="shared" si="4"/>
        <v>2068</v>
      </c>
      <c r="FJ7" s="132">
        <f t="shared" si="4"/>
        <v>2069</v>
      </c>
      <c r="FK7" s="132">
        <f t="shared" si="4"/>
        <v>2070</v>
      </c>
      <c r="FL7" s="132">
        <f t="shared" si="4"/>
        <v>2071</v>
      </c>
      <c r="FM7" s="132">
        <f t="shared" si="4"/>
        <v>2072</v>
      </c>
      <c r="FN7" s="132">
        <f t="shared" si="4"/>
        <v>2073</v>
      </c>
      <c r="FO7" s="132">
        <f t="shared" si="4"/>
        <v>2074</v>
      </c>
      <c r="FP7" s="132">
        <f t="shared" si="4"/>
        <v>2075</v>
      </c>
      <c r="FQ7" s="132">
        <f t="shared" si="4"/>
        <v>2076</v>
      </c>
      <c r="FR7" s="132">
        <f t="shared" si="4"/>
        <v>2077</v>
      </c>
      <c r="FS7" s="132">
        <f t="shared" ref="FS7:GX7" si="5">BV7</f>
        <v>2078</v>
      </c>
      <c r="FT7" s="132">
        <f t="shared" si="5"/>
        <v>2079</v>
      </c>
      <c r="FU7" s="132">
        <f t="shared" si="5"/>
        <v>2080</v>
      </c>
      <c r="FV7" s="132">
        <f t="shared" si="5"/>
        <v>2081</v>
      </c>
      <c r="FW7" s="132">
        <f t="shared" si="5"/>
        <v>2082</v>
      </c>
      <c r="FX7" s="132">
        <f t="shared" si="5"/>
        <v>2083</v>
      </c>
      <c r="FY7" s="132">
        <f t="shared" si="5"/>
        <v>2084</v>
      </c>
      <c r="FZ7" s="132">
        <f t="shared" si="5"/>
        <v>2085</v>
      </c>
      <c r="GA7" s="132">
        <f t="shared" si="5"/>
        <v>2086</v>
      </c>
      <c r="GB7" s="132">
        <f t="shared" si="5"/>
        <v>2087</v>
      </c>
      <c r="GC7" s="132">
        <f t="shared" si="5"/>
        <v>2088</v>
      </c>
      <c r="GD7" s="132">
        <f t="shared" si="5"/>
        <v>2089</v>
      </c>
      <c r="GE7" s="132">
        <f t="shared" si="5"/>
        <v>2090</v>
      </c>
      <c r="GF7" s="132">
        <f t="shared" si="5"/>
        <v>2091</v>
      </c>
      <c r="GG7" s="132">
        <f t="shared" si="5"/>
        <v>2092</v>
      </c>
      <c r="GH7" s="132">
        <f t="shared" si="5"/>
        <v>2093</v>
      </c>
      <c r="GI7" s="132">
        <f t="shared" si="5"/>
        <v>2094</v>
      </c>
      <c r="GJ7" s="132">
        <f t="shared" si="5"/>
        <v>2095</v>
      </c>
      <c r="GK7" s="132">
        <f t="shared" si="5"/>
        <v>2096</v>
      </c>
      <c r="GL7" s="132">
        <f t="shared" si="5"/>
        <v>2097</v>
      </c>
      <c r="GM7" s="132">
        <f t="shared" si="5"/>
        <v>2098</v>
      </c>
      <c r="GN7" s="132">
        <f t="shared" si="5"/>
        <v>2099</v>
      </c>
      <c r="GO7" s="132">
        <f t="shared" si="5"/>
        <v>2100</v>
      </c>
      <c r="GP7" s="132">
        <f t="shared" si="5"/>
        <v>2101</v>
      </c>
      <c r="GQ7" s="132">
        <f t="shared" si="5"/>
        <v>2102</v>
      </c>
      <c r="GR7" s="132">
        <f t="shared" si="5"/>
        <v>2103</v>
      </c>
      <c r="GS7" s="132">
        <f t="shared" si="5"/>
        <v>2104</v>
      </c>
      <c r="GT7" s="132">
        <f t="shared" si="5"/>
        <v>2105</v>
      </c>
      <c r="GU7" s="132">
        <f t="shared" si="5"/>
        <v>2106</v>
      </c>
      <c r="GV7" s="132">
        <f t="shared" si="5"/>
        <v>2107</v>
      </c>
      <c r="GW7" s="132">
        <f t="shared" si="5"/>
        <v>2108</v>
      </c>
      <c r="GX7" s="132">
        <f t="shared" si="5"/>
        <v>2109</v>
      </c>
      <c r="GY7" s="132">
        <f>DB7</f>
        <v>2110</v>
      </c>
      <c r="GZ7" s="132">
        <f>DC7</f>
        <v>2111</v>
      </c>
      <c r="HA7" s="132">
        <f>DD7</f>
        <v>2112</v>
      </c>
      <c r="HB7" s="132">
        <f>DE7</f>
        <v>2113</v>
      </c>
    </row>
    <row r="8" spans="1:211" s="194" customFormat="1" outlineLevel="2">
      <c r="A8" s="220"/>
      <c r="B8" s="284"/>
      <c r="C8" s="223" t="s">
        <v>162</v>
      </c>
      <c r="D8" s="350"/>
      <c r="E8" s="350"/>
      <c r="F8" s="224">
        <f t="shared" ref="F8:F20" si="6">SUM(J8:DF8)</f>
        <v>0</v>
      </c>
      <c r="G8" s="224">
        <f t="shared" ref="G8:G20" si="7">SUM(DG8:FV8)</f>
        <v>0</v>
      </c>
      <c r="H8" s="233"/>
      <c r="I8"/>
      <c r="J8" s="134">
        <f t="shared" ref="J8:AO8" si="8">SUM(J9,J15)</f>
        <v>0</v>
      </c>
      <c r="K8" s="134">
        <f t="shared" si="8"/>
        <v>0</v>
      </c>
      <c r="L8" s="134">
        <f t="shared" si="8"/>
        <v>0</v>
      </c>
      <c r="M8" s="134">
        <f t="shared" si="8"/>
        <v>0</v>
      </c>
      <c r="N8" s="134">
        <f t="shared" si="8"/>
        <v>0</v>
      </c>
      <c r="O8" s="134">
        <f t="shared" si="8"/>
        <v>0</v>
      </c>
      <c r="P8" s="134">
        <f t="shared" si="8"/>
        <v>0</v>
      </c>
      <c r="Q8" s="134">
        <f t="shared" si="8"/>
        <v>0</v>
      </c>
      <c r="R8" s="134">
        <f t="shared" si="8"/>
        <v>0</v>
      </c>
      <c r="S8" s="134">
        <f t="shared" si="8"/>
        <v>0</v>
      </c>
      <c r="T8" s="134">
        <f t="shared" si="8"/>
        <v>0</v>
      </c>
      <c r="U8" s="134">
        <f t="shared" si="8"/>
        <v>0</v>
      </c>
      <c r="V8" s="134">
        <f t="shared" si="8"/>
        <v>0</v>
      </c>
      <c r="W8" s="134">
        <f t="shared" si="8"/>
        <v>0</v>
      </c>
      <c r="X8" s="134">
        <f t="shared" si="8"/>
        <v>0</v>
      </c>
      <c r="Y8" s="134">
        <f t="shared" si="8"/>
        <v>0</v>
      </c>
      <c r="Z8" s="134">
        <f t="shared" si="8"/>
        <v>0</v>
      </c>
      <c r="AA8" s="134">
        <f t="shared" si="8"/>
        <v>0</v>
      </c>
      <c r="AB8" s="134">
        <f t="shared" si="8"/>
        <v>0</v>
      </c>
      <c r="AC8" s="134">
        <f t="shared" si="8"/>
        <v>0</v>
      </c>
      <c r="AD8" s="134">
        <f t="shared" si="8"/>
        <v>0</v>
      </c>
      <c r="AE8" s="134">
        <f t="shared" si="8"/>
        <v>0</v>
      </c>
      <c r="AF8" s="134">
        <f t="shared" si="8"/>
        <v>0</v>
      </c>
      <c r="AG8" s="134">
        <f t="shared" si="8"/>
        <v>0</v>
      </c>
      <c r="AH8" s="134">
        <f t="shared" si="8"/>
        <v>0</v>
      </c>
      <c r="AI8" s="134">
        <f t="shared" si="8"/>
        <v>0</v>
      </c>
      <c r="AJ8" s="134">
        <f t="shared" si="8"/>
        <v>0</v>
      </c>
      <c r="AK8" s="134">
        <f t="shared" si="8"/>
        <v>0</v>
      </c>
      <c r="AL8" s="134">
        <f t="shared" si="8"/>
        <v>0</v>
      </c>
      <c r="AM8" s="134">
        <f t="shared" si="8"/>
        <v>0</v>
      </c>
      <c r="AN8" s="134">
        <f t="shared" si="8"/>
        <v>0</v>
      </c>
      <c r="AO8" s="134">
        <f t="shared" si="8"/>
        <v>0</v>
      </c>
      <c r="AP8" s="134">
        <f t="shared" ref="AP8:BU8" si="9">SUM(AP9,AP15)</f>
        <v>0</v>
      </c>
      <c r="AQ8" s="134">
        <f t="shared" si="9"/>
        <v>0</v>
      </c>
      <c r="AR8" s="134">
        <f t="shared" si="9"/>
        <v>0</v>
      </c>
      <c r="AS8" s="134">
        <f t="shared" si="9"/>
        <v>0</v>
      </c>
      <c r="AT8" s="134">
        <f t="shared" si="9"/>
        <v>0</v>
      </c>
      <c r="AU8" s="134">
        <f t="shared" si="9"/>
        <v>0</v>
      </c>
      <c r="AV8" s="134">
        <f t="shared" si="9"/>
        <v>0</v>
      </c>
      <c r="AW8" s="134">
        <f t="shared" si="9"/>
        <v>0</v>
      </c>
      <c r="AX8" s="134">
        <f t="shared" si="9"/>
        <v>0</v>
      </c>
      <c r="AY8" s="134">
        <f t="shared" si="9"/>
        <v>0</v>
      </c>
      <c r="AZ8" s="134">
        <f t="shared" si="9"/>
        <v>0</v>
      </c>
      <c r="BA8" s="134">
        <f t="shared" si="9"/>
        <v>0</v>
      </c>
      <c r="BB8" s="134">
        <f t="shared" si="9"/>
        <v>0</v>
      </c>
      <c r="BC8" s="134">
        <f t="shared" si="9"/>
        <v>0</v>
      </c>
      <c r="BD8" s="134">
        <f t="shared" si="9"/>
        <v>0</v>
      </c>
      <c r="BE8" s="134">
        <f t="shared" si="9"/>
        <v>0</v>
      </c>
      <c r="BF8" s="134">
        <f t="shared" si="9"/>
        <v>0</v>
      </c>
      <c r="BG8" s="134">
        <f t="shared" si="9"/>
        <v>0</v>
      </c>
      <c r="BH8" s="134">
        <f t="shared" si="9"/>
        <v>0</v>
      </c>
      <c r="BI8" s="134">
        <f t="shared" si="9"/>
        <v>0</v>
      </c>
      <c r="BJ8" s="134">
        <f t="shared" si="9"/>
        <v>0</v>
      </c>
      <c r="BK8" s="134">
        <f t="shared" si="9"/>
        <v>0</v>
      </c>
      <c r="BL8" s="134">
        <f t="shared" si="9"/>
        <v>0</v>
      </c>
      <c r="BM8" s="134">
        <f t="shared" si="9"/>
        <v>0</v>
      </c>
      <c r="BN8" s="134">
        <f t="shared" si="9"/>
        <v>0</v>
      </c>
      <c r="BO8" s="134">
        <f t="shared" si="9"/>
        <v>0</v>
      </c>
      <c r="BP8" s="134">
        <f t="shared" si="9"/>
        <v>0</v>
      </c>
      <c r="BQ8" s="134">
        <f t="shared" si="9"/>
        <v>0</v>
      </c>
      <c r="BR8" s="134">
        <f t="shared" si="9"/>
        <v>0</v>
      </c>
      <c r="BS8" s="134">
        <f t="shared" si="9"/>
        <v>0</v>
      </c>
      <c r="BT8" s="134">
        <f t="shared" si="9"/>
        <v>0</v>
      </c>
      <c r="BU8" s="134">
        <f t="shared" si="9"/>
        <v>0</v>
      </c>
      <c r="BV8" s="134">
        <f t="shared" ref="BV8:DA8" si="10">SUM(BV9,BV15)</f>
        <v>0</v>
      </c>
      <c r="BW8" s="134">
        <f t="shared" si="10"/>
        <v>0</v>
      </c>
      <c r="BX8" s="134">
        <f t="shared" si="10"/>
        <v>0</v>
      </c>
      <c r="BY8" s="134">
        <f t="shared" si="10"/>
        <v>0</v>
      </c>
      <c r="BZ8" s="134">
        <f t="shared" si="10"/>
        <v>0</v>
      </c>
      <c r="CA8" s="134">
        <f t="shared" si="10"/>
        <v>0</v>
      </c>
      <c r="CB8" s="134">
        <f t="shared" si="10"/>
        <v>0</v>
      </c>
      <c r="CC8" s="134">
        <f t="shared" si="10"/>
        <v>0</v>
      </c>
      <c r="CD8" s="134">
        <f t="shared" si="10"/>
        <v>0</v>
      </c>
      <c r="CE8" s="134">
        <f t="shared" si="10"/>
        <v>0</v>
      </c>
      <c r="CF8" s="134">
        <f t="shared" si="10"/>
        <v>0</v>
      </c>
      <c r="CG8" s="134">
        <f t="shared" si="10"/>
        <v>0</v>
      </c>
      <c r="CH8" s="134">
        <f t="shared" si="10"/>
        <v>0</v>
      </c>
      <c r="CI8" s="134">
        <f t="shared" si="10"/>
        <v>0</v>
      </c>
      <c r="CJ8" s="134">
        <f t="shared" si="10"/>
        <v>0</v>
      </c>
      <c r="CK8" s="134">
        <f t="shared" si="10"/>
        <v>0</v>
      </c>
      <c r="CL8" s="134">
        <f t="shared" si="10"/>
        <v>0</v>
      </c>
      <c r="CM8" s="134">
        <f t="shared" si="10"/>
        <v>0</v>
      </c>
      <c r="CN8" s="134">
        <f t="shared" si="10"/>
        <v>0</v>
      </c>
      <c r="CO8" s="134">
        <f t="shared" si="10"/>
        <v>0</v>
      </c>
      <c r="CP8" s="134">
        <f t="shared" si="10"/>
        <v>0</v>
      </c>
      <c r="CQ8" s="134">
        <f t="shared" si="10"/>
        <v>0</v>
      </c>
      <c r="CR8" s="134">
        <f t="shared" si="10"/>
        <v>0</v>
      </c>
      <c r="CS8" s="134">
        <f t="shared" si="10"/>
        <v>0</v>
      </c>
      <c r="CT8" s="134">
        <f t="shared" si="10"/>
        <v>0</v>
      </c>
      <c r="CU8" s="134">
        <f t="shared" si="10"/>
        <v>0</v>
      </c>
      <c r="CV8" s="134">
        <f t="shared" si="10"/>
        <v>0</v>
      </c>
      <c r="CW8" s="134">
        <f t="shared" si="10"/>
        <v>0</v>
      </c>
      <c r="CX8" s="134">
        <f t="shared" si="10"/>
        <v>0</v>
      </c>
      <c r="CY8" s="134">
        <f t="shared" si="10"/>
        <v>0</v>
      </c>
      <c r="CZ8" s="134">
        <f t="shared" si="10"/>
        <v>0</v>
      </c>
      <c r="DA8" s="134">
        <f t="shared" si="10"/>
        <v>0</v>
      </c>
      <c r="DB8" s="134">
        <f>SUM(DB9,DB15)</f>
        <v>0</v>
      </c>
      <c r="DC8" s="134">
        <f>SUM(DC9,DC15)</f>
        <v>0</v>
      </c>
      <c r="DD8" s="134">
        <f>SUM(DD9,DD15)</f>
        <v>0</v>
      </c>
      <c r="DE8" s="134">
        <f>SUM(DE9,DE15)</f>
        <v>0</v>
      </c>
      <c r="DF8"/>
      <c r="DG8" s="134">
        <f t="shared" ref="DG8:EL8" si="11">SUM(DG9,DG15)</f>
        <v>0</v>
      </c>
      <c r="DH8" s="134">
        <f t="shared" si="11"/>
        <v>0</v>
      </c>
      <c r="DI8" s="134">
        <f t="shared" si="11"/>
        <v>0</v>
      </c>
      <c r="DJ8" s="134">
        <f t="shared" si="11"/>
        <v>0</v>
      </c>
      <c r="DK8" s="134">
        <f t="shared" si="11"/>
        <v>0</v>
      </c>
      <c r="DL8" s="134">
        <f t="shared" si="11"/>
        <v>0</v>
      </c>
      <c r="DM8" s="134">
        <f t="shared" si="11"/>
        <v>0</v>
      </c>
      <c r="DN8" s="134">
        <f t="shared" si="11"/>
        <v>0</v>
      </c>
      <c r="DO8" s="134">
        <f t="shared" si="11"/>
        <v>0</v>
      </c>
      <c r="DP8" s="134">
        <f t="shared" si="11"/>
        <v>0</v>
      </c>
      <c r="DQ8" s="134">
        <f t="shared" si="11"/>
        <v>0</v>
      </c>
      <c r="DR8" s="134">
        <f t="shared" si="11"/>
        <v>0</v>
      </c>
      <c r="DS8" s="134">
        <f t="shared" si="11"/>
        <v>0</v>
      </c>
      <c r="DT8" s="134">
        <f t="shared" si="11"/>
        <v>0</v>
      </c>
      <c r="DU8" s="134">
        <f t="shared" si="11"/>
        <v>0</v>
      </c>
      <c r="DV8" s="134">
        <f t="shared" si="11"/>
        <v>0</v>
      </c>
      <c r="DW8" s="134">
        <f t="shared" si="11"/>
        <v>0</v>
      </c>
      <c r="DX8" s="134">
        <f t="shared" si="11"/>
        <v>0</v>
      </c>
      <c r="DY8" s="134">
        <f t="shared" si="11"/>
        <v>0</v>
      </c>
      <c r="DZ8" s="134">
        <f t="shared" si="11"/>
        <v>0</v>
      </c>
      <c r="EA8" s="134">
        <f t="shared" si="11"/>
        <v>0</v>
      </c>
      <c r="EB8" s="134">
        <f t="shared" si="11"/>
        <v>0</v>
      </c>
      <c r="EC8" s="134">
        <f t="shared" si="11"/>
        <v>0</v>
      </c>
      <c r="ED8" s="134">
        <f t="shared" si="11"/>
        <v>0</v>
      </c>
      <c r="EE8" s="134">
        <f t="shared" si="11"/>
        <v>0</v>
      </c>
      <c r="EF8" s="134">
        <f t="shared" si="11"/>
        <v>0</v>
      </c>
      <c r="EG8" s="134">
        <f t="shared" si="11"/>
        <v>0</v>
      </c>
      <c r="EH8" s="134">
        <f t="shared" si="11"/>
        <v>0</v>
      </c>
      <c r="EI8" s="134">
        <f t="shared" si="11"/>
        <v>0</v>
      </c>
      <c r="EJ8" s="134">
        <f t="shared" si="11"/>
        <v>0</v>
      </c>
      <c r="EK8" s="134">
        <f t="shared" si="11"/>
        <v>0</v>
      </c>
      <c r="EL8" s="134">
        <f t="shared" si="11"/>
        <v>0</v>
      </c>
      <c r="EM8" s="134">
        <f t="shared" ref="EM8:FR8" si="12">SUM(EM9,EM15)</f>
        <v>0</v>
      </c>
      <c r="EN8" s="134">
        <f t="shared" si="12"/>
        <v>0</v>
      </c>
      <c r="EO8" s="134">
        <f t="shared" si="12"/>
        <v>0</v>
      </c>
      <c r="EP8" s="134">
        <f t="shared" si="12"/>
        <v>0</v>
      </c>
      <c r="EQ8" s="134">
        <f t="shared" si="12"/>
        <v>0</v>
      </c>
      <c r="ER8" s="134">
        <f t="shared" si="12"/>
        <v>0</v>
      </c>
      <c r="ES8" s="134">
        <f t="shared" si="12"/>
        <v>0</v>
      </c>
      <c r="ET8" s="134">
        <f t="shared" si="12"/>
        <v>0</v>
      </c>
      <c r="EU8" s="134">
        <f t="shared" si="12"/>
        <v>0</v>
      </c>
      <c r="EV8" s="134">
        <f t="shared" si="12"/>
        <v>0</v>
      </c>
      <c r="EW8" s="134">
        <f t="shared" si="12"/>
        <v>0</v>
      </c>
      <c r="EX8" s="134">
        <f t="shared" si="12"/>
        <v>0</v>
      </c>
      <c r="EY8" s="134">
        <f t="shared" si="12"/>
        <v>0</v>
      </c>
      <c r="EZ8" s="134">
        <f t="shared" si="12"/>
        <v>0</v>
      </c>
      <c r="FA8" s="134">
        <f t="shared" si="12"/>
        <v>0</v>
      </c>
      <c r="FB8" s="134">
        <f t="shared" si="12"/>
        <v>0</v>
      </c>
      <c r="FC8" s="134">
        <f t="shared" si="12"/>
        <v>0</v>
      </c>
      <c r="FD8" s="134">
        <f t="shared" si="12"/>
        <v>0</v>
      </c>
      <c r="FE8" s="134">
        <f t="shared" si="12"/>
        <v>0</v>
      </c>
      <c r="FF8" s="134">
        <f t="shared" si="12"/>
        <v>0</v>
      </c>
      <c r="FG8" s="134">
        <f t="shared" si="12"/>
        <v>0</v>
      </c>
      <c r="FH8" s="134">
        <f t="shared" si="12"/>
        <v>0</v>
      </c>
      <c r="FI8" s="134">
        <f t="shared" si="12"/>
        <v>0</v>
      </c>
      <c r="FJ8" s="134">
        <f t="shared" si="12"/>
        <v>0</v>
      </c>
      <c r="FK8" s="134">
        <f t="shared" si="12"/>
        <v>0</v>
      </c>
      <c r="FL8" s="134">
        <f t="shared" si="12"/>
        <v>0</v>
      </c>
      <c r="FM8" s="134">
        <f t="shared" si="12"/>
        <v>0</v>
      </c>
      <c r="FN8" s="134">
        <f t="shared" si="12"/>
        <v>0</v>
      </c>
      <c r="FO8" s="134">
        <f t="shared" si="12"/>
        <v>0</v>
      </c>
      <c r="FP8" s="134">
        <f t="shared" si="12"/>
        <v>0</v>
      </c>
      <c r="FQ8" s="134">
        <f t="shared" si="12"/>
        <v>0</v>
      </c>
      <c r="FR8" s="134">
        <f t="shared" si="12"/>
        <v>0</v>
      </c>
      <c r="FS8" s="134">
        <f>SUM(FS9,FS15)</f>
        <v>0</v>
      </c>
      <c r="FT8" s="134">
        <f>SUM(FT9,FT15)</f>
        <v>0</v>
      </c>
      <c r="FU8" s="134">
        <f>SUM(FU9,FU15)</f>
        <v>0</v>
      </c>
    </row>
    <row r="9" spans="1:211" s="194" customFormat="1" outlineLevel="2">
      <c r="A9" s="220"/>
      <c r="B9" s="284"/>
      <c r="C9" s="226" t="s">
        <v>339</v>
      </c>
      <c r="D9" s="351"/>
      <c r="E9" s="351"/>
      <c r="F9" s="224">
        <f t="shared" si="6"/>
        <v>0</v>
      </c>
      <c r="G9" s="224">
        <f t="shared" si="7"/>
        <v>0</v>
      </c>
      <c r="H9" s="233"/>
      <c r="I9"/>
      <c r="J9" s="134">
        <f t="shared" ref="J9:AO9" si="13">SUM(J10:J14)</f>
        <v>0</v>
      </c>
      <c r="K9" s="134">
        <f t="shared" si="13"/>
        <v>0</v>
      </c>
      <c r="L9" s="134">
        <f t="shared" si="13"/>
        <v>0</v>
      </c>
      <c r="M9" s="134">
        <f t="shared" si="13"/>
        <v>0</v>
      </c>
      <c r="N9" s="134">
        <f t="shared" si="13"/>
        <v>0</v>
      </c>
      <c r="O9" s="134">
        <f t="shared" si="13"/>
        <v>0</v>
      </c>
      <c r="P9" s="134">
        <f t="shared" si="13"/>
        <v>0</v>
      </c>
      <c r="Q9" s="134">
        <f t="shared" si="13"/>
        <v>0</v>
      </c>
      <c r="R9" s="134">
        <f t="shared" si="13"/>
        <v>0</v>
      </c>
      <c r="S9" s="134">
        <f t="shared" si="13"/>
        <v>0</v>
      </c>
      <c r="T9" s="134">
        <f t="shared" si="13"/>
        <v>0</v>
      </c>
      <c r="U9" s="134">
        <f t="shared" si="13"/>
        <v>0</v>
      </c>
      <c r="V9" s="134">
        <f t="shared" si="13"/>
        <v>0</v>
      </c>
      <c r="W9" s="134">
        <f t="shared" si="13"/>
        <v>0</v>
      </c>
      <c r="X9" s="134">
        <f t="shared" si="13"/>
        <v>0</v>
      </c>
      <c r="Y9" s="134">
        <f t="shared" si="13"/>
        <v>0</v>
      </c>
      <c r="Z9" s="134">
        <f t="shared" si="13"/>
        <v>0</v>
      </c>
      <c r="AA9" s="134">
        <f t="shared" si="13"/>
        <v>0</v>
      </c>
      <c r="AB9" s="134">
        <f t="shared" si="13"/>
        <v>0</v>
      </c>
      <c r="AC9" s="134">
        <f t="shared" si="13"/>
        <v>0</v>
      </c>
      <c r="AD9" s="134">
        <f t="shared" si="13"/>
        <v>0</v>
      </c>
      <c r="AE9" s="134">
        <f t="shared" si="13"/>
        <v>0</v>
      </c>
      <c r="AF9" s="134">
        <f t="shared" si="13"/>
        <v>0</v>
      </c>
      <c r="AG9" s="134">
        <f t="shared" si="13"/>
        <v>0</v>
      </c>
      <c r="AH9" s="134">
        <f t="shared" si="13"/>
        <v>0</v>
      </c>
      <c r="AI9" s="134">
        <f t="shared" si="13"/>
        <v>0</v>
      </c>
      <c r="AJ9" s="134">
        <f t="shared" si="13"/>
        <v>0</v>
      </c>
      <c r="AK9" s="134">
        <f t="shared" si="13"/>
        <v>0</v>
      </c>
      <c r="AL9" s="134">
        <f t="shared" si="13"/>
        <v>0</v>
      </c>
      <c r="AM9" s="134">
        <f t="shared" si="13"/>
        <v>0</v>
      </c>
      <c r="AN9" s="134">
        <f t="shared" si="13"/>
        <v>0</v>
      </c>
      <c r="AO9" s="134">
        <f t="shared" si="13"/>
        <v>0</v>
      </c>
      <c r="AP9" s="134">
        <f t="shared" ref="AP9:BU9" si="14">SUM(AP10:AP14)</f>
        <v>0</v>
      </c>
      <c r="AQ9" s="134">
        <f t="shared" si="14"/>
        <v>0</v>
      </c>
      <c r="AR9" s="134">
        <f t="shared" si="14"/>
        <v>0</v>
      </c>
      <c r="AS9" s="134">
        <f t="shared" si="14"/>
        <v>0</v>
      </c>
      <c r="AT9" s="134">
        <f t="shared" si="14"/>
        <v>0</v>
      </c>
      <c r="AU9" s="134">
        <f t="shared" si="14"/>
        <v>0</v>
      </c>
      <c r="AV9" s="134">
        <f t="shared" si="14"/>
        <v>0</v>
      </c>
      <c r="AW9" s="134">
        <f t="shared" si="14"/>
        <v>0</v>
      </c>
      <c r="AX9" s="134">
        <f t="shared" si="14"/>
        <v>0</v>
      </c>
      <c r="AY9" s="134">
        <f t="shared" si="14"/>
        <v>0</v>
      </c>
      <c r="AZ9" s="134">
        <f t="shared" si="14"/>
        <v>0</v>
      </c>
      <c r="BA9" s="134">
        <f t="shared" si="14"/>
        <v>0</v>
      </c>
      <c r="BB9" s="134">
        <f t="shared" si="14"/>
        <v>0</v>
      </c>
      <c r="BC9" s="134">
        <f t="shared" si="14"/>
        <v>0</v>
      </c>
      <c r="BD9" s="134">
        <f t="shared" si="14"/>
        <v>0</v>
      </c>
      <c r="BE9" s="134">
        <f t="shared" si="14"/>
        <v>0</v>
      </c>
      <c r="BF9" s="134">
        <f t="shared" si="14"/>
        <v>0</v>
      </c>
      <c r="BG9" s="134">
        <f t="shared" si="14"/>
        <v>0</v>
      </c>
      <c r="BH9" s="134">
        <f t="shared" si="14"/>
        <v>0</v>
      </c>
      <c r="BI9" s="134">
        <f t="shared" si="14"/>
        <v>0</v>
      </c>
      <c r="BJ9" s="134">
        <f t="shared" si="14"/>
        <v>0</v>
      </c>
      <c r="BK9" s="134">
        <f t="shared" si="14"/>
        <v>0</v>
      </c>
      <c r="BL9" s="134">
        <f t="shared" si="14"/>
        <v>0</v>
      </c>
      <c r="BM9" s="134">
        <f t="shared" si="14"/>
        <v>0</v>
      </c>
      <c r="BN9" s="134">
        <f t="shared" si="14"/>
        <v>0</v>
      </c>
      <c r="BO9" s="134">
        <f t="shared" si="14"/>
        <v>0</v>
      </c>
      <c r="BP9" s="134">
        <f t="shared" si="14"/>
        <v>0</v>
      </c>
      <c r="BQ9" s="134">
        <f t="shared" si="14"/>
        <v>0</v>
      </c>
      <c r="BR9" s="134">
        <f t="shared" si="14"/>
        <v>0</v>
      </c>
      <c r="BS9" s="134">
        <f t="shared" si="14"/>
        <v>0</v>
      </c>
      <c r="BT9" s="134">
        <f t="shared" si="14"/>
        <v>0</v>
      </c>
      <c r="BU9" s="134">
        <f t="shared" si="14"/>
        <v>0</v>
      </c>
      <c r="BV9" s="134">
        <f t="shared" ref="BV9:DA9" si="15">SUM(BV10:BV14)</f>
        <v>0</v>
      </c>
      <c r="BW9" s="134">
        <f t="shared" si="15"/>
        <v>0</v>
      </c>
      <c r="BX9" s="134">
        <f t="shared" si="15"/>
        <v>0</v>
      </c>
      <c r="BY9" s="134">
        <f t="shared" si="15"/>
        <v>0</v>
      </c>
      <c r="BZ9" s="134">
        <f t="shared" si="15"/>
        <v>0</v>
      </c>
      <c r="CA9" s="134">
        <f t="shared" si="15"/>
        <v>0</v>
      </c>
      <c r="CB9" s="134">
        <f t="shared" si="15"/>
        <v>0</v>
      </c>
      <c r="CC9" s="134">
        <f t="shared" si="15"/>
        <v>0</v>
      </c>
      <c r="CD9" s="134">
        <f t="shared" si="15"/>
        <v>0</v>
      </c>
      <c r="CE9" s="134">
        <f t="shared" si="15"/>
        <v>0</v>
      </c>
      <c r="CF9" s="134">
        <f t="shared" si="15"/>
        <v>0</v>
      </c>
      <c r="CG9" s="134">
        <f t="shared" si="15"/>
        <v>0</v>
      </c>
      <c r="CH9" s="134">
        <f t="shared" si="15"/>
        <v>0</v>
      </c>
      <c r="CI9" s="134">
        <f t="shared" si="15"/>
        <v>0</v>
      </c>
      <c r="CJ9" s="134">
        <f t="shared" si="15"/>
        <v>0</v>
      </c>
      <c r="CK9" s="134">
        <f t="shared" si="15"/>
        <v>0</v>
      </c>
      <c r="CL9" s="134">
        <f t="shared" si="15"/>
        <v>0</v>
      </c>
      <c r="CM9" s="134">
        <f t="shared" si="15"/>
        <v>0</v>
      </c>
      <c r="CN9" s="134">
        <f t="shared" si="15"/>
        <v>0</v>
      </c>
      <c r="CO9" s="134">
        <f t="shared" si="15"/>
        <v>0</v>
      </c>
      <c r="CP9" s="134">
        <f t="shared" si="15"/>
        <v>0</v>
      </c>
      <c r="CQ9" s="134">
        <f t="shared" si="15"/>
        <v>0</v>
      </c>
      <c r="CR9" s="134">
        <f t="shared" si="15"/>
        <v>0</v>
      </c>
      <c r="CS9" s="134">
        <f t="shared" si="15"/>
        <v>0</v>
      </c>
      <c r="CT9" s="134">
        <f t="shared" si="15"/>
        <v>0</v>
      </c>
      <c r="CU9" s="134">
        <f t="shared" si="15"/>
        <v>0</v>
      </c>
      <c r="CV9" s="134">
        <f t="shared" si="15"/>
        <v>0</v>
      </c>
      <c r="CW9" s="134">
        <f t="shared" si="15"/>
        <v>0</v>
      </c>
      <c r="CX9" s="134">
        <f t="shared" si="15"/>
        <v>0</v>
      </c>
      <c r="CY9" s="134">
        <f t="shared" si="15"/>
        <v>0</v>
      </c>
      <c r="CZ9" s="134">
        <f t="shared" si="15"/>
        <v>0</v>
      </c>
      <c r="DA9" s="134">
        <f t="shared" si="15"/>
        <v>0</v>
      </c>
      <c r="DB9" s="134">
        <f>SUM(DB10:DB14)</f>
        <v>0</v>
      </c>
      <c r="DC9" s="134">
        <f>SUM(DC10:DC14)</f>
        <v>0</v>
      </c>
      <c r="DD9" s="134">
        <f>SUM(DD10:DD14)</f>
        <v>0</v>
      </c>
      <c r="DE9" s="134">
        <f>SUM(DE10:DE14)</f>
        <v>0</v>
      </c>
      <c r="DF9"/>
      <c r="DG9" s="134">
        <f t="shared" ref="DG9:EL9" si="16">SUM(DG10:DG14)</f>
        <v>0</v>
      </c>
      <c r="DH9" s="134">
        <f t="shared" si="16"/>
        <v>0</v>
      </c>
      <c r="DI9" s="134">
        <f t="shared" si="16"/>
        <v>0</v>
      </c>
      <c r="DJ9" s="134">
        <f t="shared" si="16"/>
        <v>0</v>
      </c>
      <c r="DK9" s="134">
        <f t="shared" si="16"/>
        <v>0</v>
      </c>
      <c r="DL9" s="134">
        <f t="shared" si="16"/>
        <v>0</v>
      </c>
      <c r="DM9" s="134">
        <f t="shared" si="16"/>
        <v>0</v>
      </c>
      <c r="DN9" s="134">
        <f t="shared" si="16"/>
        <v>0</v>
      </c>
      <c r="DO9" s="134">
        <f t="shared" si="16"/>
        <v>0</v>
      </c>
      <c r="DP9" s="134">
        <f t="shared" si="16"/>
        <v>0</v>
      </c>
      <c r="DQ9" s="134">
        <f t="shared" si="16"/>
        <v>0</v>
      </c>
      <c r="DR9" s="134">
        <f t="shared" si="16"/>
        <v>0</v>
      </c>
      <c r="DS9" s="134">
        <f t="shared" si="16"/>
        <v>0</v>
      </c>
      <c r="DT9" s="134">
        <f t="shared" si="16"/>
        <v>0</v>
      </c>
      <c r="DU9" s="134">
        <f t="shared" si="16"/>
        <v>0</v>
      </c>
      <c r="DV9" s="134">
        <f t="shared" si="16"/>
        <v>0</v>
      </c>
      <c r="DW9" s="134">
        <f t="shared" si="16"/>
        <v>0</v>
      </c>
      <c r="DX9" s="134">
        <f t="shared" si="16"/>
        <v>0</v>
      </c>
      <c r="DY9" s="134">
        <f t="shared" si="16"/>
        <v>0</v>
      </c>
      <c r="DZ9" s="134">
        <f t="shared" si="16"/>
        <v>0</v>
      </c>
      <c r="EA9" s="134">
        <f t="shared" si="16"/>
        <v>0</v>
      </c>
      <c r="EB9" s="134">
        <f t="shared" si="16"/>
        <v>0</v>
      </c>
      <c r="EC9" s="134">
        <f t="shared" si="16"/>
        <v>0</v>
      </c>
      <c r="ED9" s="134">
        <f t="shared" si="16"/>
        <v>0</v>
      </c>
      <c r="EE9" s="134">
        <f t="shared" si="16"/>
        <v>0</v>
      </c>
      <c r="EF9" s="134">
        <f t="shared" si="16"/>
        <v>0</v>
      </c>
      <c r="EG9" s="134">
        <f t="shared" si="16"/>
        <v>0</v>
      </c>
      <c r="EH9" s="134">
        <f t="shared" si="16"/>
        <v>0</v>
      </c>
      <c r="EI9" s="134">
        <f t="shared" si="16"/>
        <v>0</v>
      </c>
      <c r="EJ9" s="134">
        <f t="shared" si="16"/>
        <v>0</v>
      </c>
      <c r="EK9" s="134">
        <f t="shared" si="16"/>
        <v>0</v>
      </c>
      <c r="EL9" s="134">
        <f t="shared" si="16"/>
        <v>0</v>
      </c>
      <c r="EM9" s="134">
        <f t="shared" ref="EM9:FR9" si="17">SUM(EM10:EM14)</f>
        <v>0</v>
      </c>
      <c r="EN9" s="134">
        <f t="shared" si="17"/>
        <v>0</v>
      </c>
      <c r="EO9" s="134">
        <f t="shared" si="17"/>
        <v>0</v>
      </c>
      <c r="EP9" s="134">
        <f t="shared" si="17"/>
        <v>0</v>
      </c>
      <c r="EQ9" s="134">
        <f t="shared" si="17"/>
        <v>0</v>
      </c>
      <c r="ER9" s="134">
        <f t="shared" si="17"/>
        <v>0</v>
      </c>
      <c r="ES9" s="134">
        <f t="shared" si="17"/>
        <v>0</v>
      </c>
      <c r="ET9" s="134">
        <f t="shared" si="17"/>
        <v>0</v>
      </c>
      <c r="EU9" s="134">
        <f t="shared" si="17"/>
        <v>0</v>
      </c>
      <c r="EV9" s="134">
        <f t="shared" si="17"/>
        <v>0</v>
      </c>
      <c r="EW9" s="134">
        <f t="shared" si="17"/>
        <v>0</v>
      </c>
      <c r="EX9" s="134">
        <f t="shared" si="17"/>
        <v>0</v>
      </c>
      <c r="EY9" s="134">
        <f t="shared" si="17"/>
        <v>0</v>
      </c>
      <c r="EZ9" s="134">
        <f t="shared" si="17"/>
        <v>0</v>
      </c>
      <c r="FA9" s="134">
        <f t="shared" si="17"/>
        <v>0</v>
      </c>
      <c r="FB9" s="134">
        <f t="shared" si="17"/>
        <v>0</v>
      </c>
      <c r="FC9" s="134">
        <f t="shared" si="17"/>
        <v>0</v>
      </c>
      <c r="FD9" s="134">
        <f t="shared" si="17"/>
        <v>0</v>
      </c>
      <c r="FE9" s="134">
        <f t="shared" si="17"/>
        <v>0</v>
      </c>
      <c r="FF9" s="134">
        <f t="shared" si="17"/>
        <v>0</v>
      </c>
      <c r="FG9" s="134">
        <f t="shared" si="17"/>
        <v>0</v>
      </c>
      <c r="FH9" s="134">
        <f t="shared" si="17"/>
        <v>0</v>
      </c>
      <c r="FI9" s="134">
        <f t="shared" si="17"/>
        <v>0</v>
      </c>
      <c r="FJ9" s="134">
        <f t="shared" si="17"/>
        <v>0</v>
      </c>
      <c r="FK9" s="134">
        <f t="shared" si="17"/>
        <v>0</v>
      </c>
      <c r="FL9" s="134">
        <f t="shared" si="17"/>
        <v>0</v>
      </c>
      <c r="FM9" s="134">
        <f t="shared" si="17"/>
        <v>0</v>
      </c>
      <c r="FN9" s="134">
        <f t="shared" si="17"/>
        <v>0</v>
      </c>
      <c r="FO9" s="134">
        <f t="shared" si="17"/>
        <v>0</v>
      </c>
      <c r="FP9" s="134">
        <f t="shared" si="17"/>
        <v>0</v>
      </c>
      <c r="FQ9" s="134">
        <f t="shared" si="17"/>
        <v>0</v>
      </c>
      <c r="FR9" s="134">
        <f t="shared" si="17"/>
        <v>0</v>
      </c>
      <c r="FS9" s="134">
        <f>SUM(FS10:FS14)</f>
        <v>0</v>
      </c>
      <c r="FT9" s="134">
        <f>SUM(FT10:FT14)</f>
        <v>0</v>
      </c>
      <c r="FU9" s="134">
        <f>SUM(FU10:FU14)</f>
        <v>0</v>
      </c>
    </row>
    <row r="10" spans="1:211" s="194" customFormat="1" outlineLevel="2">
      <c r="A10" s="220"/>
      <c r="B10" s="284" t="s">
        <v>475</v>
      </c>
      <c r="C10" s="227" t="s">
        <v>101</v>
      </c>
      <c r="D10" s="352"/>
      <c r="E10" s="352"/>
      <c r="F10" s="224">
        <f t="shared" si="6"/>
        <v>0</v>
      </c>
      <c r="G10" s="224">
        <f t="shared" si="7"/>
        <v>0</v>
      </c>
      <c r="H10" s="233" t="s">
        <v>344</v>
      </c>
      <c r="I10"/>
      <c r="J10" s="134">
        <f>SUMIFS('WBS Summary'!BD:BD,'WBS Summary'!$B:$B, $B10, 'WBS Summary'!$AH:$AH, $C10,'WBS Summary'!$AJ:$AJ, $H10)</f>
        <v>0</v>
      </c>
      <c r="K10" s="134">
        <f>SUMIFS('WBS Summary'!BE:BE,'WBS Summary'!$B:$B, $B10, 'WBS Summary'!$AH:$AH, $C10,'WBS Summary'!$AJ:$AJ, $H10)</f>
        <v>0</v>
      </c>
      <c r="L10" s="134">
        <f>SUMIFS('WBS Summary'!BF:BF,'WBS Summary'!$B:$B, $B10, 'WBS Summary'!$AH:$AH, $C10,'WBS Summary'!$AJ:$AJ, $H10)</f>
        <v>0</v>
      </c>
      <c r="M10" s="134">
        <f>SUMIFS('WBS Summary'!BG:BG,'WBS Summary'!$B:$B, $B10, 'WBS Summary'!$AH:$AH, $C10,'WBS Summary'!$AJ:$AJ, $H10)</f>
        <v>0</v>
      </c>
      <c r="N10" s="134">
        <f>SUMIFS('WBS Summary'!BH:BH,'WBS Summary'!$B:$B, $B10, 'WBS Summary'!$AH:$AH, $C10,'WBS Summary'!$AJ:$AJ, $H10)</f>
        <v>0</v>
      </c>
      <c r="O10" s="134">
        <f>SUMIFS('WBS Summary'!BI:BI,'WBS Summary'!$B:$B, $B10, 'WBS Summary'!$AH:$AH, $C10,'WBS Summary'!$AJ:$AJ, $H10)</f>
        <v>0</v>
      </c>
      <c r="P10" s="134">
        <f>SUMIFS('WBS Summary'!BJ:BJ,'WBS Summary'!$B:$B, $B10, 'WBS Summary'!$AH:$AH, $C10,'WBS Summary'!$AJ:$AJ, $H10)</f>
        <v>0</v>
      </c>
      <c r="Q10" s="134">
        <f>SUMIFS('WBS Summary'!BK:BK,'WBS Summary'!$B:$B, $B10, 'WBS Summary'!$AH:$AH, $C10,'WBS Summary'!$AJ:$AJ, $H10)</f>
        <v>0</v>
      </c>
      <c r="R10" s="134">
        <f>SUMIFS('WBS Summary'!BL:BL,'WBS Summary'!$B:$B, $B10, 'WBS Summary'!$AH:$AH, $C10,'WBS Summary'!$AJ:$AJ, $H10)</f>
        <v>0</v>
      </c>
      <c r="S10" s="134">
        <f>SUMIFS('WBS Summary'!BM:BM,'WBS Summary'!$B:$B, $B10, 'WBS Summary'!$AH:$AH, $C10,'WBS Summary'!$AJ:$AJ, $H10)</f>
        <v>0</v>
      </c>
      <c r="T10" s="134">
        <f>SUMIFS('WBS Summary'!BN:BN,'WBS Summary'!$B:$B, $B10, 'WBS Summary'!$AH:$AH, $C10,'WBS Summary'!$AJ:$AJ, $H10)</f>
        <v>0</v>
      </c>
      <c r="U10" s="134">
        <f>SUMIFS('WBS Summary'!BO:BO,'WBS Summary'!$B:$B, $B10, 'WBS Summary'!$AH:$AH, $C10,'WBS Summary'!$AJ:$AJ, $H10)</f>
        <v>0</v>
      </c>
      <c r="V10" s="134">
        <f>SUMIFS('WBS Summary'!BP:BP,'WBS Summary'!$B:$B, $B10, 'WBS Summary'!$AH:$AH, $C10,'WBS Summary'!$AJ:$AJ, $H10)</f>
        <v>0</v>
      </c>
      <c r="W10" s="134">
        <f>SUMIFS('WBS Summary'!BQ:BQ,'WBS Summary'!$B:$B, $B10, 'WBS Summary'!$AH:$AH, $C10,'WBS Summary'!$AJ:$AJ, $H10)</f>
        <v>0</v>
      </c>
      <c r="X10" s="134">
        <f>SUMIFS('WBS Summary'!BR:BR,'WBS Summary'!$B:$B, $B10, 'WBS Summary'!$AH:$AH, $C10,'WBS Summary'!$AJ:$AJ, $H10)</f>
        <v>0</v>
      </c>
      <c r="Y10" s="134">
        <f>SUMIFS('WBS Summary'!BS:BS,'WBS Summary'!$B:$B, $B10, 'WBS Summary'!$AH:$AH, $C10,'WBS Summary'!$AJ:$AJ, $H10)</f>
        <v>0</v>
      </c>
      <c r="Z10" s="134">
        <f>SUMIFS('WBS Summary'!BT:BT,'WBS Summary'!$B:$B, $B10, 'WBS Summary'!$AH:$AH, $C10,'WBS Summary'!$AJ:$AJ, $H10)</f>
        <v>0</v>
      </c>
      <c r="AA10" s="134">
        <f>SUMIFS('WBS Summary'!BU:BU,'WBS Summary'!$B:$B, $B10, 'WBS Summary'!$AH:$AH, $C10,'WBS Summary'!$AJ:$AJ, $H10)</f>
        <v>0</v>
      </c>
      <c r="AB10" s="134">
        <f>SUMIFS('WBS Summary'!BV:BV,'WBS Summary'!$B:$B, $B10, 'WBS Summary'!$AH:$AH, $C10,'WBS Summary'!$AJ:$AJ, $H10)</f>
        <v>0</v>
      </c>
      <c r="AC10" s="134">
        <f>SUMIFS('WBS Summary'!BW:BW,'WBS Summary'!$B:$B, $B10, 'WBS Summary'!$AH:$AH, $C10,'WBS Summary'!$AJ:$AJ, $H10)</f>
        <v>0</v>
      </c>
      <c r="AD10" s="134">
        <f>SUMIFS('WBS Summary'!BX:BX,'WBS Summary'!$B:$B, $B10, 'WBS Summary'!$AH:$AH, $C10,'WBS Summary'!$AJ:$AJ, $H10)</f>
        <v>0</v>
      </c>
      <c r="AE10" s="134">
        <f>SUMIFS('WBS Summary'!BY:BY,'WBS Summary'!$B:$B, $B10, 'WBS Summary'!$AH:$AH, $C10,'WBS Summary'!$AJ:$AJ, $H10)</f>
        <v>0</v>
      </c>
      <c r="AF10" s="134">
        <f>SUMIFS('WBS Summary'!BZ:BZ,'WBS Summary'!$B:$B, $B10, 'WBS Summary'!$AH:$AH, $C10,'WBS Summary'!$AJ:$AJ, $H10)</f>
        <v>0</v>
      </c>
      <c r="AG10" s="134">
        <f>SUMIFS('WBS Summary'!CA:CA,'WBS Summary'!$B:$B, $B10, 'WBS Summary'!$AH:$AH, $C10,'WBS Summary'!$AJ:$AJ, $H10)</f>
        <v>0</v>
      </c>
      <c r="AH10" s="134">
        <f>SUMIFS('WBS Summary'!CB:CB,'WBS Summary'!$B:$B, $B10, 'WBS Summary'!$AH:$AH, $C10,'WBS Summary'!$AJ:$AJ, $H10)</f>
        <v>0</v>
      </c>
      <c r="AI10" s="134">
        <f>SUMIFS('WBS Summary'!CC:CC,'WBS Summary'!$B:$B, $B10, 'WBS Summary'!$AH:$AH, $C10,'WBS Summary'!$AJ:$AJ, $H10)</f>
        <v>0</v>
      </c>
      <c r="AJ10" s="134">
        <f>SUMIFS('WBS Summary'!CD:CD,'WBS Summary'!$B:$B, $B10, 'WBS Summary'!$AH:$AH, $C10,'WBS Summary'!$AJ:$AJ, $H10)</f>
        <v>0</v>
      </c>
      <c r="AK10" s="134">
        <f>SUMIFS('WBS Summary'!CE:CE,'WBS Summary'!$B:$B, $B10, 'WBS Summary'!$AH:$AH, $C10,'WBS Summary'!$AJ:$AJ, $H10)</f>
        <v>0</v>
      </c>
      <c r="AL10" s="134">
        <f>SUMIFS('WBS Summary'!CF:CF,'WBS Summary'!$B:$B, $B10, 'WBS Summary'!$AH:$AH, $C10,'WBS Summary'!$AJ:$AJ, $H10)</f>
        <v>0</v>
      </c>
      <c r="AM10" s="134">
        <f>SUMIFS('WBS Summary'!CG:CG,'WBS Summary'!$B:$B, $B10, 'WBS Summary'!$AH:$AH, $C10,'WBS Summary'!$AJ:$AJ, $H10)</f>
        <v>0</v>
      </c>
      <c r="AN10" s="134">
        <f>SUMIFS('WBS Summary'!CH:CH,'WBS Summary'!$B:$B, $B10, 'WBS Summary'!$AH:$AH, $C10,'WBS Summary'!$AJ:$AJ, $H10)</f>
        <v>0</v>
      </c>
      <c r="AO10" s="134">
        <f>SUMIFS('WBS Summary'!CI:CI,'WBS Summary'!$B:$B, $B10, 'WBS Summary'!$AH:$AH, $C10,'WBS Summary'!$AJ:$AJ, $H10)</f>
        <v>0</v>
      </c>
      <c r="AP10" s="134">
        <f>SUMIFS('WBS Summary'!CJ:CJ,'WBS Summary'!$B:$B, $B10, 'WBS Summary'!$AH:$AH, $C10,'WBS Summary'!$AJ:$AJ, $H10)</f>
        <v>0</v>
      </c>
      <c r="AQ10" s="134">
        <f>SUMIFS('WBS Summary'!CK:CK,'WBS Summary'!$B:$B, $B10, 'WBS Summary'!$AH:$AH, $C10,'WBS Summary'!$AJ:$AJ, $H10)</f>
        <v>0</v>
      </c>
      <c r="AR10" s="134">
        <f>SUMIFS('WBS Summary'!CL:CL,'WBS Summary'!$B:$B, $B10, 'WBS Summary'!$AH:$AH, $C10,'WBS Summary'!$AJ:$AJ, $H10)</f>
        <v>0</v>
      </c>
      <c r="AS10" s="134">
        <f>SUMIFS('WBS Summary'!CM:CM,'WBS Summary'!$B:$B, $B10, 'WBS Summary'!$AH:$AH, $C10,'WBS Summary'!$AJ:$AJ, $H10)</f>
        <v>0</v>
      </c>
      <c r="AT10" s="134">
        <f>SUMIFS('WBS Summary'!CN:CN,'WBS Summary'!$B:$B, $B10, 'WBS Summary'!$AH:$AH, $C10,'WBS Summary'!$AJ:$AJ, $H10)</f>
        <v>0</v>
      </c>
      <c r="AU10" s="134">
        <f>SUMIFS('WBS Summary'!CO:CO,'WBS Summary'!$B:$B, $B10, 'WBS Summary'!$AH:$AH, $C10,'WBS Summary'!$AJ:$AJ, $H10)</f>
        <v>0</v>
      </c>
      <c r="AV10" s="134">
        <f>SUMIFS('WBS Summary'!CP:CP,'WBS Summary'!$B:$B, $B10, 'WBS Summary'!$AH:$AH, $C10,'WBS Summary'!$AJ:$AJ, $H10)</f>
        <v>0</v>
      </c>
      <c r="AW10" s="134">
        <f>SUMIFS('WBS Summary'!CQ:CQ,'WBS Summary'!$B:$B, $B10, 'WBS Summary'!$AH:$AH, $C10,'WBS Summary'!$AJ:$AJ, $H10)</f>
        <v>0</v>
      </c>
      <c r="AX10" s="134">
        <f>SUMIFS('WBS Summary'!CR:CR,'WBS Summary'!$B:$B, $B10, 'WBS Summary'!$AH:$AH, $C10,'WBS Summary'!$AJ:$AJ, $H10)</f>
        <v>0</v>
      </c>
      <c r="AY10" s="134">
        <f>SUMIFS('WBS Summary'!CS:CS,'WBS Summary'!$B:$B, $B10, 'WBS Summary'!$AH:$AH, $C10,'WBS Summary'!$AJ:$AJ, $H10)</f>
        <v>0</v>
      </c>
      <c r="AZ10" s="134">
        <f>SUMIFS('WBS Summary'!CT:CT,'WBS Summary'!$B:$B, $B10, 'WBS Summary'!$AH:$AH, $C10,'WBS Summary'!$AJ:$AJ, $H10)</f>
        <v>0</v>
      </c>
      <c r="BA10" s="134">
        <f>SUMIFS('WBS Summary'!CU:CU,'WBS Summary'!$B:$B, $B10, 'WBS Summary'!$AH:$AH, $C10,'WBS Summary'!$AJ:$AJ, $H10)</f>
        <v>0</v>
      </c>
      <c r="BB10" s="134">
        <f>SUMIFS('WBS Summary'!CV:CV,'WBS Summary'!$B:$B, $B10, 'WBS Summary'!$AH:$AH, $C10,'WBS Summary'!$AJ:$AJ, $H10)</f>
        <v>0</v>
      </c>
      <c r="BC10" s="134">
        <f>SUMIFS('WBS Summary'!CW:CW,'WBS Summary'!$B:$B, $B10, 'WBS Summary'!$AH:$AH, $C10,'WBS Summary'!$AJ:$AJ, $H10)</f>
        <v>0</v>
      </c>
      <c r="BD10" s="134">
        <f>SUMIFS('WBS Summary'!CX:CX,'WBS Summary'!$B:$B, $B10, 'WBS Summary'!$AH:$AH, $C10,'WBS Summary'!$AJ:$AJ, $H10)</f>
        <v>0</v>
      </c>
      <c r="BE10" s="134">
        <f>SUMIFS('WBS Summary'!CY:CY,'WBS Summary'!$B:$B, $B10, 'WBS Summary'!$AH:$AH, $C10,'WBS Summary'!$AJ:$AJ, $H10)</f>
        <v>0</v>
      </c>
      <c r="BF10" s="134">
        <f>SUMIFS('WBS Summary'!CZ:CZ,'WBS Summary'!$B:$B, $B10, 'WBS Summary'!$AH:$AH, $C10,'WBS Summary'!$AJ:$AJ, $H10)</f>
        <v>0</v>
      </c>
      <c r="BG10" s="134">
        <f>SUMIFS('WBS Summary'!DA:DA,'WBS Summary'!$B:$B, $B10, 'WBS Summary'!$AH:$AH, $C10,'WBS Summary'!$AJ:$AJ, $H10)</f>
        <v>0</v>
      </c>
      <c r="BH10" s="134">
        <f>SUMIFS('WBS Summary'!DB:DB,'WBS Summary'!$B:$B, $B10, 'WBS Summary'!$AH:$AH, $C10,'WBS Summary'!$AJ:$AJ, $H10)</f>
        <v>0</v>
      </c>
      <c r="BI10" s="134">
        <f>SUMIFS('WBS Summary'!DC:DC,'WBS Summary'!$B:$B, $B10, 'WBS Summary'!$AH:$AH, $C10,'WBS Summary'!$AJ:$AJ, $H10)</f>
        <v>0</v>
      </c>
      <c r="BJ10" s="134">
        <f>SUMIFS('WBS Summary'!DD:DD,'WBS Summary'!$B:$B, $B10, 'WBS Summary'!$AH:$AH, $C10,'WBS Summary'!$AJ:$AJ, $H10)</f>
        <v>0</v>
      </c>
      <c r="BK10" s="134">
        <f>SUMIFS('WBS Summary'!DE:DE,'WBS Summary'!$B:$B, $B10, 'WBS Summary'!$AH:$AH, $C10,'WBS Summary'!$AJ:$AJ, $H10)</f>
        <v>0</v>
      </c>
      <c r="BL10" s="134">
        <f>SUMIFS('WBS Summary'!DF:DF,'WBS Summary'!$B:$B, $B10, 'WBS Summary'!$AH:$AH, $C10,'WBS Summary'!$AJ:$AJ, $H10)</f>
        <v>0</v>
      </c>
      <c r="BM10" s="134">
        <f>SUMIFS('WBS Summary'!DG:DG,'WBS Summary'!$B:$B, $B10, 'WBS Summary'!$AH:$AH, $C10,'WBS Summary'!$AJ:$AJ, $H10)</f>
        <v>0</v>
      </c>
      <c r="BN10" s="134">
        <f>SUMIFS('WBS Summary'!DH:DH,'WBS Summary'!$B:$B, $B10, 'WBS Summary'!$AH:$AH, $C10,'WBS Summary'!$AJ:$AJ, $H10)</f>
        <v>0</v>
      </c>
      <c r="BO10" s="134">
        <f>SUMIFS('WBS Summary'!DI:DI,'WBS Summary'!$B:$B, $B10, 'WBS Summary'!$AH:$AH, $C10,'WBS Summary'!$AJ:$AJ, $H10)</f>
        <v>0</v>
      </c>
      <c r="BP10" s="134">
        <f>SUMIFS('WBS Summary'!DJ:DJ,'WBS Summary'!$B:$B, $B10, 'WBS Summary'!$AH:$AH, $C10,'WBS Summary'!$AJ:$AJ, $H10)</f>
        <v>0</v>
      </c>
      <c r="BQ10" s="134">
        <f>SUMIFS('WBS Summary'!DK:DK,'WBS Summary'!$B:$B, $B10, 'WBS Summary'!$AH:$AH, $C10,'WBS Summary'!$AJ:$AJ, $H10)</f>
        <v>0</v>
      </c>
      <c r="BR10" s="134">
        <f>SUMIFS('WBS Summary'!DL:DL,'WBS Summary'!$B:$B, $B10, 'WBS Summary'!$AH:$AH, $C10,'WBS Summary'!$AJ:$AJ, $H10)</f>
        <v>0</v>
      </c>
      <c r="BS10" s="134">
        <f>SUMIFS('WBS Summary'!DM:DM,'WBS Summary'!$B:$B, $B10, 'WBS Summary'!$AH:$AH, $C10,'WBS Summary'!$AJ:$AJ, $H10)</f>
        <v>0</v>
      </c>
      <c r="BT10" s="134">
        <f>SUMIFS('WBS Summary'!DN:DN,'WBS Summary'!$B:$B, $B10, 'WBS Summary'!$AH:$AH, $C10,'WBS Summary'!$AJ:$AJ, $H10)</f>
        <v>0</v>
      </c>
      <c r="BU10" s="134">
        <f>SUMIFS('WBS Summary'!DO:DO,'WBS Summary'!$B:$B, $B10, 'WBS Summary'!$AH:$AH, $C10,'WBS Summary'!$AJ:$AJ, $H10)</f>
        <v>0</v>
      </c>
      <c r="BV10" s="134">
        <f>SUMIFS('WBS Summary'!DP:DP,'WBS Summary'!$B:$B, $B10, 'WBS Summary'!$AH:$AH, $C10,'WBS Summary'!$AJ:$AJ, $H10)</f>
        <v>0</v>
      </c>
      <c r="BW10" s="134">
        <f>SUMIFS('WBS Summary'!DQ:DQ,'WBS Summary'!$B:$B, $B10, 'WBS Summary'!$AH:$AH, $C10,'WBS Summary'!$AJ:$AJ, $H10)</f>
        <v>0</v>
      </c>
      <c r="BX10" s="134">
        <f>SUMIFS('WBS Summary'!DR:DR,'WBS Summary'!$B:$B, $B10, 'WBS Summary'!$AH:$AH, $C10,'WBS Summary'!$AJ:$AJ, $H10)</f>
        <v>0</v>
      </c>
      <c r="BY10" s="134">
        <f>SUMIFS('WBS Summary'!DS:DS,'WBS Summary'!$B:$B, $B10, 'WBS Summary'!$AH:$AH, $C10,'WBS Summary'!$AJ:$AJ, $H10)</f>
        <v>0</v>
      </c>
      <c r="BZ10" s="134">
        <f>SUMIFS('WBS Summary'!DT:DT,'WBS Summary'!$B:$B, $B10, 'WBS Summary'!$AH:$AH, $C10,'WBS Summary'!$AJ:$AJ, $H10)</f>
        <v>0</v>
      </c>
      <c r="CA10" s="134">
        <f>SUMIFS('WBS Summary'!DU:DU,'WBS Summary'!$B:$B, $B10, 'WBS Summary'!$AH:$AH, $C10,'WBS Summary'!$AJ:$AJ, $H10)</f>
        <v>0</v>
      </c>
      <c r="CB10" s="134">
        <f>SUMIFS('WBS Summary'!DV:DV,'WBS Summary'!$B:$B, $B10, 'WBS Summary'!$AH:$AH, $C10,'WBS Summary'!$AJ:$AJ, $H10)</f>
        <v>0</v>
      </c>
      <c r="CC10" s="134">
        <f>SUMIFS('WBS Summary'!DW:DW,'WBS Summary'!$B:$B, $B10, 'WBS Summary'!$AH:$AH, $C10,'WBS Summary'!$AJ:$AJ, $H10)</f>
        <v>0</v>
      </c>
      <c r="CD10" s="134">
        <f>SUMIFS('WBS Summary'!DX:DX,'WBS Summary'!$B:$B, $B10, 'WBS Summary'!$AH:$AH, $C10,'WBS Summary'!$AJ:$AJ, $H10)</f>
        <v>0</v>
      </c>
      <c r="CE10" s="134">
        <f>SUMIFS('WBS Summary'!DY:DY,'WBS Summary'!$B:$B, $B10, 'WBS Summary'!$AH:$AH, $C10,'WBS Summary'!$AJ:$AJ, $H10)</f>
        <v>0</v>
      </c>
      <c r="CF10" s="134">
        <f>SUMIFS('WBS Summary'!DZ:DZ,'WBS Summary'!$B:$B, $B10, 'WBS Summary'!$AH:$AH, $C10,'WBS Summary'!$AJ:$AJ, $H10)</f>
        <v>0</v>
      </c>
      <c r="CG10" s="134">
        <f>SUMIFS('WBS Summary'!EA:EA,'WBS Summary'!$B:$B, $B10, 'WBS Summary'!$AH:$AH, $C10,'WBS Summary'!$AJ:$AJ, $H10)</f>
        <v>0</v>
      </c>
      <c r="CH10" s="134">
        <f>SUMIFS('WBS Summary'!EB:EB,'WBS Summary'!$B:$B, $B10, 'WBS Summary'!$AH:$AH, $C10,'WBS Summary'!$AJ:$AJ, $H10)</f>
        <v>0</v>
      </c>
      <c r="CI10" s="134">
        <f>SUMIFS('WBS Summary'!EC:EC,'WBS Summary'!$B:$B, $B10, 'WBS Summary'!$AH:$AH, $C10,'WBS Summary'!$AJ:$AJ, $H10)</f>
        <v>0</v>
      </c>
      <c r="CJ10" s="134">
        <f>SUMIFS('WBS Summary'!ED:ED,'WBS Summary'!$B:$B, $B10, 'WBS Summary'!$AH:$AH, $C10,'WBS Summary'!$AJ:$AJ, $H10)</f>
        <v>0</v>
      </c>
      <c r="CK10" s="134">
        <f>SUMIFS('WBS Summary'!EE:EE,'WBS Summary'!$B:$B, $B10, 'WBS Summary'!$AH:$AH, $C10,'WBS Summary'!$AJ:$AJ, $H10)</f>
        <v>0</v>
      </c>
      <c r="CL10" s="134">
        <f>SUMIFS('WBS Summary'!EF:EF,'WBS Summary'!$B:$B, $B10, 'WBS Summary'!$AH:$AH, $C10,'WBS Summary'!$AJ:$AJ, $H10)</f>
        <v>0</v>
      </c>
      <c r="CM10" s="134">
        <f>SUMIFS('WBS Summary'!EG:EG,'WBS Summary'!$B:$B, $B10, 'WBS Summary'!$AH:$AH, $C10,'WBS Summary'!$AJ:$AJ, $H10)</f>
        <v>0</v>
      </c>
      <c r="CN10" s="134">
        <f>SUMIFS('WBS Summary'!EH:EH,'WBS Summary'!$B:$B, $B10, 'WBS Summary'!$AH:$AH, $C10,'WBS Summary'!$AJ:$AJ, $H10)</f>
        <v>0</v>
      </c>
      <c r="CO10" s="134">
        <f>SUMIFS('WBS Summary'!EI:EI,'WBS Summary'!$B:$B, $B10, 'WBS Summary'!$AH:$AH, $C10,'WBS Summary'!$AJ:$AJ, $H10)</f>
        <v>0</v>
      </c>
      <c r="CP10" s="134">
        <f>SUMIFS('WBS Summary'!EJ:EJ,'WBS Summary'!$B:$B, $B10, 'WBS Summary'!$AH:$AH, $C10,'WBS Summary'!$AJ:$AJ, $H10)</f>
        <v>0</v>
      </c>
      <c r="CQ10" s="134">
        <f>SUMIFS('WBS Summary'!EK:EK,'WBS Summary'!$B:$B, $B10, 'WBS Summary'!$AH:$AH, $C10,'WBS Summary'!$AJ:$AJ, $H10)</f>
        <v>0</v>
      </c>
      <c r="CR10" s="134">
        <f>SUMIFS('WBS Summary'!EL:EL,'WBS Summary'!$B:$B, $B10, 'WBS Summary'!$AH:$AH, $C10,'WBS Summary'!$AJ:$AJ, $H10)</f>
        <v>0</v>
      </c>
      <c r="CS10" s="134">
        <f>SUMIFS('WBS Summary'!EM:EM,'WBS Summary'!$B:$B, $B10, 'WBS Summary'!$AH:$AH, $C10,'WBS Summary'!$AJ:$AJ, $H10)</f>
        <v>0</v>
      </c>
      <c r="CT10" s="134">
        <f>SUMIFS('WBS Summary'!EN:EN,'WBS Summary'!$B:$B, $B10, 'WBS Summary'!$AH:$AH, $C10,'WBS Summary'!$AJ:$AJ, $H10)</f>
        <v>0</v>
      </c>
      <c r="CU10" s="134">
        <f>SUMIFS('WBS Summary'!EO:EO,'WBS Summary'!$B:$B, $B10, 'WBS Summary'!$AH:$AH, $C10,'WBS Summary'!$AJ:$AJ, $H10)</f>
        <v>0</v>
      </c>
      <c r="CV10" s="134">
        <f>SUMIFS('WBS Summary'!EP:EP,'WBS Summary'!$B:$B, $B10, 'WBS Summary'!$AH:$AH, $C10,'WBS Summary'!$AJ:$AJ, $H10)</f>
        <v>0</v>
      </c>
      <c r="CW10" s="134">
        <f>SUMIFS('WBS Summary'!EQ:EQ,'WBS Summary'!$B:$B, $B10, 'WBS Summary'!$AH:$AH, $C10,'WBS Summary'!$AJ:$AJ, $H10)</f>
        <v>0</v>
      </c>
      <c r="CX10" s="134">
        <f>SUMIFS('WBS Summary'!ER:ER,'WBS Summary'!$B:$B, $B10, 'WBS Summary'!$AH:$AH, $C10,'WBS Summary'!$AJ:$AJ, $H10)</f>
        <v>0</v>
      </c>
      <c r="CY10" s="134">
        <f>SUMIFS('WBS Summary'!ES:ES,'WBS Summary'!$B:$B, $B10, 'WBS Summary'!$AH:$AH, $C10,'WBS Summary'!$AJ:$AJ, $H10)</f>
        <v>0</v>
      </c>
      <c r="CZ10" s="134">
        <f>SUMIFS('WBS Summary'!ET:ET,'WBS Summary'!$B:$B, $B10, 'WBS Summary'!$AH:$AH, $C10,'WBS Summary'!$AJ:$AJ, $H10)</f>
        <v>0</v>
      </c>
      <c r="DA10" s="134">
        <f>SUMIFS('WBS Summary'!EU:EU,'WBS Summary'!$B:$B, $B10, 'WBS Summary'!$AH:$AH, $C10,'WBS Summary'!$AJ:$AJ, $H10)</f>
        <v>0</v>
      </c>
      <c r="DB10" s="134">
        <f>SUMIFS('WBS Summary'!EV:EV,'WBS Summary'!$B:$B, $B10, 'WBS Summary'!$AH:$AH, $C10,'WBS Summary'!$AJ:$AJ, $H10)</f>
        <v>0</v>
      </c>
      <c r="DC10" s="134">
        <f>SUMIFS('WBS Summary'!EW:EW,'WBS Summary'!$B:$B, $B10, 'WBS Summary'!$AH:$AH, $C10,'WBS Summary'!$AJ:$AJ, $H10)</f>
        <v>0</v>
      </c>
      <c r="DD10" s="134">
        <f>SUMIFS('WBS Summary'!EX:EX,'WBS Summary'!$B:$B, $B10, 'WBS Summary'!$AH:$AH, $C10,'WBS Summary'!$AJ:$AJ, $H10)</f>
        <v>0</v>
      </c>
      <c r="DE10" s="134">
        <f>SUMIFS('WBS Summary'!EY:EY,'WBS Summary'!$B:$B, $B10, 'WBS Summary'!$AH:$AH, $C10,'WBS Summary'!$AJ:$AJ, $H10)</f>
        <v>0</v>
      </c>
      <c r="DF10"/>
      <c r="DG10" s="134">
        <f>SUMIFS('WBS Summary'!FR:FR,'WBS Summary'!$B:$B, $B10, 'WBS Summary'!$AH:$AH, $C10,'WBS Summary'!$AJ:$AJ, $H10)</f>
        <v>0</v>
      </c>
      <c r="DH10" s="134">
        <f>SUMIFS('WBS Summary'!FS:FS,'WBS Summary'!$B:$B, $B10, 'WBS Summary'!$AH:$AH, $C10,'WBS Summary'!$AJ:$AJ, $H10)</f>
        <v>0</v>
      </c>
      <c r="DI10" s="134">
        <f>SUMIFS('WBS Summary'!FT:FT,'WBS Summary'!$B:$B, $B10, 'WBS Summary'!$AH:$AH, $C10,'WBS Summary'!$AJ:$AJ, $H10)</f>
        <v>0</v>
      </c>
      <c r="DJ10" s="134">
        <f>SUMIFS('WBS Summary'!FU:FU,'WBS Summary'!$B:$B, $B10, 'WBS Summary'!$AH:$AH, $C10,'WBS Summary'!$AJ:$AJ, $H10)</f>
        <v>0</v>
      </c>
      <c r="DK10" s="134">
        <f>SUMIFS('WBS Summary'!FV:FV,'WBS Summary'!$B:$B, $B10, 'WBS Summary'!$AH:$AH, $C10,'WBS Summary'!$AJ:$AJ, $H10)</f>
        <v>0</v>
      </c>
      <c r="DL10" s="134">
        <f>SUMIFS('WBS Summary'!FW:FW,'WBS Summary'!$B:$B, $B10, 'WBS Summary'!$AH:$AH, $C10,'WBS Summary'!$AJ:$AJ, $H10)</f>
        <v>0</v>
      </c>
      <c r="DM10" s="134">
        <f>SUMIFS('WBS Summary'!FX:FX,'WBS Summary'!$B:$B, $B10, 'WBS Summary'!$AH:$AH, $C10,'WBS Summary'!$AJ:$AJ, $H10)</f>
        <v>0</v>
      </c>
      <c r="DN10" s="134">
        <f>SUMIFS('WBS Summary'!FY:FY,'WBS Summary'!$B:$B, $B10, 'WBS Summary'!$AH:$AH, $C10,'WBS Summary'!$AJ:$AJ, $H10)</f>
        <v>0</v>
      </c>
      <c r="DO10" s="134">
        <f>SUMIFS('WBS Summary'!FZ:FZ,'WBS Summary'!$B:$B, $B10, 'WBS Summary'!$AH:$AH, $C10,'WBS Summary'!$AJ:$AJ, $H10)</f>
        <v>0</v>
      </c>
      <c r="DP10" s="134">
        <f>SUMIFS('WBS Summary'!GA:GA,'WBS Summary'!$B:$B, $B10, 'WBS Summary'!$AH:$AH, $C10,'WBS Summary'!$AJ:$AJ, $H10)</f>
        <v>0</v>
      </c>
      <c r="DQ10" s="134">
        <f>SUMIFS('WBS Summary'!GB:GB,'WBS Summary'!$B:$B, $B10, 'WBS Summary'!$AH:$AH, $C10,'WBS Summary'!$AJ:$AJ, $H10)</f>
        <v>0</v>
      </c>
      <c r="DR10" s="134">
        <f>SUMIFS('WBS Summary'!GC:GC,'WBS Summary'!$B:$B, $B10, 'WBS Summary'!$AH:$AH, $C10,'WBS Summary'!$AJ:$AJ, $H10)</f>
        <v>0</v>
      </c>
      <c r="DS10" s="134">
        <f>SUMIFS('WBS Summary'!GD:GD,'WBS Summary'!$B:$B, $B10, 'WBS Summary'!$AH:$AH, $C10,'WBS Summary'!$AJ:$AJ, $H10)</f>
        <v>0</v>
      </c>
      <c r="DT10" s="134">
        <f>SUMIFS('WBS Summary'!GE:GE,'WBS Summary'!$B:$B, $B10, 'WBS Summary'!$AH:$AH, $C10,'WBS Summary'!$AJ:$AJ, $H10)</f>
        <v>0</v>
      </c>
      <c r="DU10" s="134">
        <f>SUMIFS('WBS Summary'!GF:GF,'WBS Summary'!$B:$B, $B10, 'WBS Summary'!$AH:$AH, $C10,'WBS Summary'!$AJ:$AJ, $H10)</f>
        <v>0</v>
      </c>
      <c r="DV10" s="134">
        <f>SUMIFS('WBS Summary'!GG:GG,'WBS Summary'!$B:$B, $B10, 'WBS Summary'!$AH:$AH, $C10,'WBS Summary'!$AJ:$AJ, $H10)</f>
        <v>0</v>
      </c>
      <c r="DW10" s="134">
        <f>SUMIFS('WBS Summary'!GH:GH,'WBS Summary'!$B:$B, $B10, 'WBS Summary'!$AH:$AH, $C10,'WBS Summary'!$AJ:$AJ, $H10)</f>
        <v>0</v>
      </c>
      <c r="DX10" s="134">
        <f>SUMIFS('WBS Summary'!GI:GI,'WBS Summary'!$B:$B, $B10, 'WBS Summary'!$AH:$AH, $C10,'WBS Summary'!$AJ:$AJ, $H10)</f>
        <v>0</v>
      </c>
      <c r="DY10" s="134">
        <f>SUMIFS('WBS Summary'!GJ:GJ,'WBS Summary'!$B:$B, $B10, 'WBS Summary'!$AH:$AH, $C10,'WBS Summary'!$AJ:$AJ, $H10)</f>
        <v>0</v>
      </c>
      <c r="DZ10" s="134">
        <f>SUMIFS('WBS Summary'!GK:GK,'WBS Summary'!$B:$B, $B10, 'WBS Summary'!$AH:$AH, $C10,'WBS Summary'!$AJ:$AJ, $H10)</f>
        <v>0</v>
      </c>
      <c r="EA10" s="134">
        <f>SUMIFS('WBS Summary'!GL:GL,'WBS Summary'!$B:$B, $B10, 'WBS Summary'!$AH:$AH, $C10,'WBS Summary'!$AJ:$AJ, $H10)</f>
        <v>0</v>
      </c>
      <c r="EB10" s="134">
        <f>SUMIFS('WBS Summary'!GM:GM,'WBS Summary'!$B:$B, $B10, 'WBS Summary'!$AH:$AH, $C10,'WBS Summary'!$AJ:$AJ, $H10)</f>
        <v>0</v>
      </c>
      <c r="EC10" s="134">
        <f>SUMIFS('WBS Summary'!GN:GN,'WBS Summary'!$B:$B, $B10, 'WBS Summary'!$AH:$AH, $C10,'WBS Summary'!$AJ:$AJ, $H10)</f>
        <v>0</v>
      </c>
      <c r="ED10" s="134">
        <f>SUMIFS('WBS Summary'!GO:GO,'WBS Summary'!$B:$B, $B10, 'WBS Summary'!$AH:$AH, $C10,'WBS Summary'!$AJ:$AJ, $H10)</f>
        <v>0</v>
      </c>
      <c r="EE10" s="134">
        <f>SUMIFS('WBS Summary'!GP:GP,'WBS Summary'!$B:$B, $B10, 'WBS Summary'!$AH:$AH, $C10,'WBS Summary'!$AJ:$AJ, $H10)</f>
        <v>0</v>
      </c>
      <c r="EF10" s="134">
        <f>SUMIFS('WBS Summary'!GQ:GQ,'WBS Summary'!$B:$B, $B10, 'WBS Summary'!$AH:$AH, $C10,'WBS Summary'!$AJ:$AJ, $H10)</f>
        <v>0</v>
      </c>
      <c r="EG10" s="134">
        <f>SUMIFS('WBS Summary'!GR:GR,'WBS Summary'!$B:$B, $B10, 'WBS Summary'!$AH:$AH, $C10,'WBS Summary'!$AJ:$AJ, $H10)</f>
        <v>0</v>
      </c>
      <c r="EH10" s="134">
        <f>SUMIFS('WBS Summary'!GS:GS,'WBS Summary'!$B:$B, $B10, 'WBS Summary'!$AH:$AH, $C10,'WBS Summary'!$AJ:$AJ, $H10)</f>
        <v>0</v>
      </c>
      <c r="EI10" s="134">
        <f>SUMIFS('WBS Summary'!GT:GT,'WBS Summary'!$B:$B, $B10, 'WBS Summary'!$AH:$AH, $C10,'WBS Summary'!$AJ:$AJ, $H10)</f>
        <v>0</v>
      </c>
      <c r="EJ10" s="134">
        <f>SUMIFS('WBS Summary'!GU:GU,'WBS Summary'!$B:$B, $B10, 'WBS Summary'!$AH:$AH, $C10,'WBS Summary'!$AJ:$AJ, $H10)</f>
        <v>0</v>
      </c>
      <c r="EK10" s="134">
        <f>SUMIFS('WBS Summary'!GV:GV,'WBS Summary'!$B:$B, $B10, 'WBS Summary'!$AH:$AH, $C10,'WBS Summary'!$AJ:$AJ, $H10)</f>
        <v>0</v>
      </c>
      <c r="EL10" s="134">
        <f>SUMIFS('WBS Summary'!GW:GW,'WBS Summary'!$B:$B, $B10, 'WBS Summary'!$AH:$AH, $C10,'WBS Summary'!$AJ:$AJ, $H10)</f>
        <v>0</v>
      </c>
      <c r="EM10" s="134">
        <f>SUMIFS('WBS Summary'!GX:GX,'WBS Summary'!$B:$B, $B10, 'WBS Summary'!$AH:$AH, $C10,'WBS Summary'!$AJ:$AJ, $H10)</f>
        <v>0</v>
      </c>
      <c r="EN10" s="134">
        <f>SUMIFS('WBS Summary'!GY:GY,'WBS Summary'!$B:$B, $B10, 'WBS Summary'!$AH:$AH, $C10,'WBS Summary'!$AJ:$AJ, $H10)</f>
        <v>0</v>
      </c>
      <c r="EO10" s="134">
        <f>SUMIFS('WBS Summary'!GZ:GZ,'WBS Summary'!$B:$B, $B10, 'WBS Summary'!$AH:$AH, $C10,'WBS Summary'!$AJ:$AJ, $H10)</f>
        <v>0</v>
      </c>
      <c r="EP10" s="134">
        <f>SUMIFS('WBS Summary'!HA:HA,'WBS Summary'!$B:$B, $B10, 'WBS Summary'!$AH:$AH, $C10,'WBS Summary'!$AJ:$AJ, $H10)</f>
        <v>0</v>
      </c>
      <c r="EQ10" s="134">
        <f>SUMIFS('WBS Summary'!HB:HB,'WBS Summary'!$B:$B, $B10, 'WBS Summary'!$AH:$AH, $C10,'WBS Summary'!$AJ:$AJ, $H10)</f>
        <v>0</v>
      </c>
      <c r="ER10" s="134">
        <f>SUMIFS('WBS Summary'!HC:HC,'WBS Summary'!$B:$B, $B10, 'WBS Summary'!$AH:$AH, $C10,'WBS Summary'!$AJ:$AJ, $H10)</f>
        <v>0</v>
      </c>
      <c r="ES10" s="134">
        <f>SUMIFS('WBS Summary'!HD:HD,'WBS Summary'!$B:$B, $B10, 'WBS Summary'!$AH:$AH, $C10,'WBS Summary'!$AJ:$AJ, $H10)</f>
        <v>0</v>
      </c>
      <c r="ET10" s="134">
        <f>SUMIFS('WBS Summary'!HE:HE,'WBS Summary'!$B:$B, $B10, 'WBS Summary'!$AH:$AH, $C10,'WBS Summary'!$AJ:$AJ, $H10)</f>
        <v>0</v>
      </c>
      <c r="EU10" s="134">
        <f>SUMIFS('WBS Summary'!HF:HF,'WBS Summary'!$B:$B, $B10, 'WBS Summary'!$AH:$AH, $C10,'WBS Summary'!$AJ:$AJ, $H10)</f>
        <v>0</v>
      </c>
      <c r="EV10" s="134">
        <f>SUMIFS('WBS Summary'!HG:HG,'WBS Summary'!$B:$B, $B10, 'WBS Summary'!$AH:$AH, $C10,'WBS Summary'!$AJ:$AJ, $H10)</f>
        <v>0</v>
      </c>
      <c r="EW10" s="134">
        <f>SUMIFS('WBS Summary'!HH:HH,'WBS Summary'!$B:$B, $B10, 'WBS Summary'!$AH:$AH, $C10,'WBS Summary'!$AJ:$AJ, $H10)</f>
        <v>0</v>
      </c>
      <c r="EX10" s="134">
        <f>SUMIFS('WBS Summary'!HI:HI,'WBS Summary'!$B:$B, $B10, 'WBS Summary'!$AH:$AH, $C10,'WBS Summary'!$AJ:$AJ, $H10)</f>
        <v>0</v>
      </c>
      <c r="EY10" s="134">
        <f>SUMIFS('WBS Summary'!HJ:HJ,'WBS Summary'!$B:$B, $B10, 'WBS Summary'!$AH:$AH, $C10,'WBS Summary'!$AJ:$AJ, $H10)</f>
        <v>0</v>
      </c>
      <c r="EZ10" s="134">
        <f>SUMIFS('WBS Summary'!HK:HK,'WBS Summary'!$B:$B, $B10, 'WBS Summary'!$AH:$AH, $C10,'WBS Summary'!$AJ:$AJ, $H10)</f>
        <v>0</v>
      </c>
      <c r="FA10" s="134">
        <f>SUMIFS('WBS Summary'!HL:HL,'WBS Summary'!$B:$B, $B10, 'WBS Summary'!$AH:$AH, $C10,'WBS Summary'!$AJ:$AJ, $H10)</f>
        <v>0</v>
      </c>
      <c r="FB10" s="134">
        <f>SUMIFS('WBS Summary'!HM:HM,'WBS Summary'!$B:$B, $B10, 'WBS Summary'!$AH:$AH, $C10,'WBS Summary'!$AJ:$AJ, $H10)</f>
        <v>0</v>
      </c>
      <c r="FC10" s="134">
        <f>SUMIFS('WBS Summary'!HN:HN,'WBS Summary'!$B:$B, $B10, 'WBS Summary'!$AH:$AH, $C10,'WBS Summary'!$AJ:$AJ, $H10)</f>
        <v>0</v>
      </c>
      <c r="FD10" s="134">
        <f>SUMIFS('WBS Summary'!HO:HO,'WBS Summary'!$B:$B, $B10, 'WBS Summary'!$AH:$AH, $C10,'WBS Summary'!$AJ:$AJ, $H10)</f>
        <v>0</v>
      </c>
      <c r="FE10" s="134">
        <f>SUMIFS('WBS Summary'!HP:HP,'WBS Summary'!$B:$B, $B10, 'WBS Summary'!$AH:$AH, $C10,'WBS Summary'!$AJ:$AJ, $H10)</f>
        <v>0</v>
      </c>
      <c r="FF10" s="134">
        <f>SUMIFS('WBS Summary'!HQ:HQ,'WBS Summary'!$B:$B, $B10, 'WBS Summary'!$AH:$AH, $C10,'WBS Summary'!$AJ:$AJ, $H10)</f>
        <v>0</v>
      </c>
      <c r="FG10" s="134">
        <f>SUMIFS('WBS Summary'!HR:HR,'WBS Summary'!$B:$B, $B10, 'WBS Summary'!$AH:$AH, $C10,'WBS Summary'!$AJ:$AJ, $H10)</f>
        <v>0</v>
      </c>
      <c r="FH10" s="134">
        <f>SUMIFS('WBS Summary'!HS:HS,'WBS Summary'!$B:$B, $B10, 'WBS Summary'!$AH:$AH, $C10,'WBS Summary'!$AJ:$AJ, $H10)</f>
        <v>0</v>
      </c>
      <c r="FI10" s="134">
        <f>SUMIFS('WBS Summary'!HT:HT,'WBS Summary'!$B:$B, $B10, 'WBS Summary'!$AH:$AH, $C10,'WBS Summary'!$AJ:$AJ, $H10)</f>
        <v>0</v>
      </c>
      <c r="FJ10" s="134">
        <f>SUMIFS('WBS Summary'!HU:HU,'WBS Summary'!$B:$B, $B10, 'WBS Summary'!$AH:$AH, $C10,'WBS Summary'!$AJ:$AJ, $H10)</f>
        <v>0</v>
      </c>
      <c r="FK10" s="134">
        <f>SUMIFS('WBS Summary'!HV:HV,'WBS Summary'!$B:$B, $B10, 'WBS Summary'!$AH:$AH, $C10,'WBS Summary'!$AJ:$AJ, $H10)</f>
        <v>0</v>
      </c>
      <c r="FL10" s="134">
        <f>SUMIFS('WBS Summary'!HW:HW,'WBS Summary'!$B:$B, $B10, 'WBS Summary'!$AH:$AH, $C10,'WBS Summary'!$AJ:$AJ, $H10)</f>
        <v>0</v>
      </c>
      <c r="FM10" s="134">
        <f>SUMIFS('WBS Summary'!HX:HX,'WBS Summary'!$B:$B, $B10, 'WBS Summary'!$AH:$AH, $C10,'WBS Summary'!$AJ:$AJ, $H10)</f>
        <v>0</v>
      </c>
      <c r="FN10" s="134">
        <f>SUMIFS('WBS Summary'!HY:HY,'WBS Summary'!$B:$B, $B10, 'WBS Summary'!$AH:$AH, $C10,'WBS Summary'!$AJ:$AJ, $H10)</f>
        <v>0</v>
      </c>
      <c r="FO10" s="134">
        <f>SUMIFS('WBS Summary'!HZ:HZ,'WBS Summary'!$B:$B, $B10, 'WBS Summary'!$AH:$AH, $C10,'WBS Summary'!$AJ:$AJ, $H10)</f>
        <v>0</v>
      </c>
      <c r="FP10" s="134">
        <f>SUMIFS('WBS Summary'!IA:IA,'WBS Summary'!$B:$B, $B10, 'WBS Summary'!$AH:$AH, $C10,'WBS Summary'!$AJ:$AJ, $H10)</f>
        <v>0</v>
      </c>
      <c r="FQ10" s="134">
        <f>SUMIFS('WBS Summary'!IB:IB,'WBS Summary'!$B:$B, $B10, 'WBS Summary'!$AH:$AH, $C10,'WBS Summary'!$AJ:$AJ, $H10)</f>
        <v>0</v>
      </c>
      <c r="FR10" s="134">
        <f>SUMIFS('WBS Summary'!IC:IC,'WBS Summary'!$B:$B, $B10, 'WBS Summary'!$AH:$AH, $C10,'WBS Summary'!$AJ:$AJ, $H10)</f>
        <v>0</v>
      </c>
      <c r="FS10" s="134">
        <f>SUMIFS('WBS Summary'!ID:ID,'WBS Summary'!$B:$B, $B10, 'WBS Summary'!$AH:$AH, $C10,'WBS Summary'!$AJ:$AJ, $H10)</f>
        <v>0</v>
      </c>
      <c r="FT10" s="134">
        <f>SUMIFS('WBS Summary'!IE:IE,'WBS Summary'!$B:$B, $B10, 'WBS Summary'!$AH:$AH, $C10,'WBS Summary'!$AJ:$AJ, $H10)</f>
        <v>0</v>
      </c>
      <c r="FU10" s="134">
        <f>SUMIFS('WBS Summary'!IF:IF,'WBS Summary'!$B:$B, $B10, 'WBS Summary'!$AH:$AH, $C10,'WBS Summary'!$AJ:$AJ, $H10)</f>
        <v>0</v>
      </c>
      <c r="FV10" s="134">
        <f>SUMIFS('WBS Summary'!IG:IG,'WBS Summary'!$B:$B, $B10, 'WBS Summary'!$AH:$AH, $C10,'WBS Summary'!$AJ:$AJ, $H10)</f>
        <v>0</v>
      </c>
      <c r="FW10" s="134">
        <f>SUMIFS('WBS Summary'!IH:IH,'WBS Summary'!$B:$B, $B10, 'WBS Summary'!$AH:$AH, $C10,'WBS Summary'!$AJ:$AJ, $H10)</f>
        <v>0</v>
      </c>
      <c r="FX10" s="134">
        <f>SUMIFS('WBS Summary'!II:II,'WBS Summary'!$B:$B, $B10, 'WBS Summary'!$AH:$AH, $C10,'WBS Summary'!$AJ:$AJ, $H10)</f>
        <v>0</v>
      </c>
      <c r="FY10" s="134">
        <f>SUMIFS('WBS Summary'!IJ:IJ,'WBS Summary'!$B:$B, $B10, 'WBS Summary'!$AH:$AH, $C10,'WBS Summary'!$AJ:$AJ, $H10)</f>
        <v>0</v>
      </c>
      <c r="FZ10" s="134">
        <f>SUMIFS('WBS Summary'!IK:IK,'WBS Summary'!$B:$B, $B10, 'WBS Summary'!$AH:$AH, $C10,'WBS Summary'!$AJ:$AJ, $H10)</f>
        <v>0</v>
      </c>
      <c r="GA10" s="134">
        <f>SUMIFS('WBS Summary'!IL:IL,'WBS Summary'!$B:$B, $B10, 'WBS Summary'!$AH:$AH, $C10,'WBS Summary'!$AJ:$AJ, $H10)</f>
        <v>0</v>
      </c>
      <c r="GB10" s="134">
        <f>SUMIFS('WBS Summary'!IM:IM,'WBS Summary'!$B:$B, $B10, 'WBS Summary'!$AH:$AH, $C10,'WBS Summary'!$AJ:$AJ, $H10)</f>
        <v>0</v>
      </c>
      <c r="GC10" s="134">
        <f>SUMIFS('WBS Summary'!IN:IN,'WBS Summary'!$B:$B, $B10, 'WBS Summary'!$AH:$AH, $C10,'WBS Summary'!$AJ:$AJ, $H10)</f>
        <v>0</v>
      </c>
      <c r="GD10" s="134">
        <f>SUMIFS('WBS Summary'!IO:IO,'WBS Summary'!$B:$B, $B10, 'WBS Summary'!$AH:$AH, $C10,'WBS Summary'!$AJ:$AJ, $H10)</f>
        <v>0</v>
      </c>
      <c r="GE10" s="134">
        <f>SUMIFS('WBS Summary'!IP:IP,'WBS Summary'!$B:$B, $B10, 'WBS Summary'!$AH:$AH, $C10,'WBS Summary'!$AJ:$AJ, $H10)</f>
        <v>0</v>
      </c>
      <c r="GF10" s="134">
        <f>SUMIFS('WBS Summary'!IQ:IQ,'WBS Summary'!$B:$B, $B10, 'WBS Summary'!$AH:$AH, $C10,'WBS Summary'!$AJ:$AJ, $H10)</f>
        <v>0</v>
      </c>
      <c r="GG10" s="134">
        <f>SUMIFS('WBS Summary'!IR:IR,'WBS Summary'!$B:$B, $B10, 'WBS Summary'!$AH:$AH, $C10,'WBS Summary'!$AJ:$AJ, $H10)</f>
        <v>0</v>
      </c>
      <c r="GH10" s="134">
        <f>SUMIFS('WBS Summary'!IS:IS,'WBS Summary'!$B:$B, $B10, 'WBS Summary'!$AH:$AH, $C10,'WBS Summary'!$AJ:$AJ, $H10)</f>
        <v>0</v>
      </c>
      <c r="GI10" s="134">
        <f>SUMIFS('WBS Summary'!IT:IT,'WBS Summary'!$B:$B, $B10, 'WBS Summary'!$AH:$AH, $C10,'WBS Summary'!$AJ:$AJ, $H10)</f>
        <v>0</v>
      </c>
      <c r="GJ10" s="134">
        <f>SUMIFS('WBS Summary'!IU:IU,'WBS Summary'!$B:$B, $B10, 'WBS Summary'!$AH:$AH, $C10,'WBS Summary'!$AJ:$AJ, $H10)</f>
        <v>0</v>
      </c>
      <c r="GK10" s="134">
        <f>SUMIFS('WBS Summary'!IV:IV,'WBS Summary'!$B:$B, $B10, 'WBS Summary'!$AH:$AH, $C10,'WBS Summary'!$AJ:$AJ, $H10)</f>
        <v>0</v>
      </c>
      <c r="GL10" s="134">
        <f>SUMIFS('WBS Summary'!IW:IW,'WBS Summary'!$B:$B, $B10, 'WBS Summary'!$AH:$AH, $C10,'WBS Summary'!$AJ:$AJ, $H10)</f>
        <v>0</v>
      </c>
      <c r="GM10" s="134">
        <f>SUMIFS('WBS Summary'!IX:IX,'WBS Summary'!$B:$B, $B10, 'WBS Summary'!$AH:$AH, $C10,'WBS Summary'!$AJ:$AJ, $H10)</f>
        <v>0</v>
      </c>
      <c r="GN10" s="134">
        <f>SUMIFS('WBS Summary'!IY:IY,'WBS Summary'!$B:$B, $B10, 'WBS Summary'!$AH:$AH, $C10,'WBS Summary'!$AJ:$AJ, $H10)</f>
        <v>0</v>
      </c>
      <c r="GO10" s="134">
        <f>SUMIFS('WBS Summary'!IZ:IZ,'WBS Summary'!$B:$B, $B10, 'WBS Summary'!$AH:$AH, $C10,'WBS Summary'!$AJ:$AJ, $H10)</f>
        <v>0</v>
      </c>
      <c r="GP10" s="134">
        <f>SUMIFS('WBS Summary'!JA:JA,'WBS Summary'!$B:$B, $B10, 'WBS Summary'!$AH:$AH, $C10,'WBS Summary'!$AJ:$AJ, $H10)</f>
        <v>0</v>
      </c>
      <c r="GQ10" s="134">
        <f>SUMIFS('WBS Summary'!JB:JB,'WBS Summary'!$B:$B, $B10, 'WBS Summary'!$AH:$AH, $C10,'WBS Summary'!$AJ:$AJ, $H10)</f>
        <v>0</v>
      </c>
      <c r="GR10" s="134">
        <f>SUMIFS('WBS Summary'!JC:JC,'WBS Summary'!$B:$B, $B10, 'WBS Summary'!$AH:$AH, $C10,'WBS Summary'!$AJ:$AJ, $H10)</f>
        <v>0</v>
      </c>
      <c r="GS10" s="134">
        <f>SUMIFS('WBS Summary'!JD:JD,'WBS Summary'!$B:$B, $B10, 'WBS Summary'!$AH:$AH, $C10,'WBS Summary'!$AJ:$AJ, $H10)</f>
        <v>0</v>
      </c>
      <c r="GT10" s="134">
        <f>SUMIFS('WBS Summary'!JE:JE,'WBS Summary'!$B:$B, $B10, 'WBS Summary'!$AH:$AH, $C10,'WBS Summary'!$AJ:$AJ, $H10)</f>
        <v>0</v>
      </c>
      <c r="GU10" s="134">
        <f>SUMIFS('WBS Summary'!JF:JF,'WBS Summary'!$B:$B, $B10, 'WBS Summary'!$AH:$AH, $C10,'WBS Summary'!$AJ:$AJ, $H10)</f>
        <v>0</v>
      </c>
      <c r="GV10" s="134">
        <f>SUMIFS('WBS Summary'!JG:JG,'WBS Summary'!$B:$B, $B10, 'WBS Summary'!$AH:$AH, $C10,'WBS Summary'!$AJ:$AJ, $H10)</f>
        <v>0</v>
      </c>
      <c r="GW10" s="134">
        <f>SUMIFS('WBS Summary'!JH:JH,'WBS Summary'!$B:$B, $B10, 'WBS Summary'!$AH:$AH, $C10,'WBS Summary'!$AJ:$AJ, $H10)</f>
        <v>0</v>
      </c>
      <c r="GX10" s="134">
        <f>SUMIFS('WBS Summary'!JI:JI,'WBS Summary'!$B:$B, $B10, 'WBS Summary'!$AH:$AH, $C10,'WBS Summary'!$AJ:$AJ, $H10)</f>
        <v>0</v>
      </c>
      <c r="GY10" s="134">
        <f>SUMIFS('WBS Summary'!JJ:JJ,'WBS Summary'!$B:$B, $B10, 'WBS Summary'!$AH:$AH, $C10,'WBS Summary'!$AJ:$AJ, $H10)</f>
        <v>0</v>
      </c>
      <c r="GZ10" s="134">
        <f>SUMIFS('WBS Summary'!JK:JK,'WBS Summary'!$B:$B, $B10, 'WBS Summary'!$AH:$AH, $C10,'WBS Summary'!$AJ:$AJ, $H10)</f>
        <v>0</v>
      </c>
      <c r="HA10" s="134">
        <f>SUMIFS('WBS Summary'!JL:JL,'WBS Summary'!$B:$B, $B10, 'WBS Summary'!$AH:$AH, $C10,'WBS Summary'!$AJ:$AJ, $H10)</f>
        <v>0</v>
      </c>
      <c r="HB10" s="134">
        <f>SUMIFS('WBS Summary'!JM:JM,'WBS Summary'!$B:$B, $B10, 'WBS Summary'!$AH:$AH, $C10,'WBS Summary'!$AJ:$AJ, $H10)</f>
        <v>0</v>
      </c>
      <c r="HC10"/>
    </row>
    <row r="11" spans="1:211" s="194" customFormat="1" outlineLevel="2">
      <c r="A11" s="220"/>
      <c r="B11" s="284" t="s">
        <v>475</v>
      </c>
      <c r="C11" s="227" t="s">
        <v>70</v>
      </c>
      <c r="D11" s="352"/>
      <c r="E11" s="352"/>
      <c r="F11" s="224">
        <f t="shared" si="6"/>
        <v>0</v>
      </c>
      <c r="G11" s="224">
        <f t="shared" si="7"/>
        <v>0</v>
      </c>
      <c r="H11" s="233" t="s">
        <v>344</v>
      </c>
      <c r="I11"/>
      <c r="J11" s="134">
        <f>SUMIFS('WBS Summary'!BD:BD,'WBS Summary'!$B:$B, $B11, 'WBS Summary'!$AH:$AH, $C11,'WBS Summary'!$AJ:$AJ, $H11)</f>
        <v>0</v>
      </c>
      <c r="K11" s="134">
        <f>SUMIFS('WBS Summary'!BE:BE,'WBS Summary'!$B:$B, $B11, 'WBS Summary'!$AH:$AH, $C11,'WBS Summary'!$AJ:$AJ, $H11)</f>
        <v>0</v>
      </c>
      <c r="L11" s="134">
        <f>SUMIFS('WBS Summary'!BF:BF,'WBS Summary'!$B:$B, $B11, 'WBS Summary'!$AH:$AH, $C11,'WBS Summary'!$AJ:$AJ, $H11)</f>
        <v>0</v>
      </c>
      <c r="M11" s="134">
        <f>SUMIFS('WBS Summary'!BG:BG,'WBS Summary'!$B:$B, $B11, 'WBS Summary'!$AH:$AH, $C11,'WBS Summary'!$AJ:$AJ, $H11)</f>
        <v>0</v>
      </c>
      <c r="N11" s="134">
        <f>SUMIFS('WBS Summary'!BH:BH,'WBS Summary'!$B:$B, $B11, 'WBS Summary'!$AH:$AH, $C11,'WBS Summary'!$AJ:$AJ, $H11)</f>
        <v>0</v>
      </c>
      <c r="O11" s="134">
        <f>SUMIFS('WBS Summary'!BI:BI,'WBS Summary'!$B:$B, $B11, 'WBS Summary'!$AH:$AH, $C11,'WBS Summary'!$AJ:$AJ, $H11)</f>
        <v>0</v>
      </c>
      <c r="P11" s="134">
        <f>SUMIFS('WBS Summary'!BJ:BJ,'WBS Summary'!$B:$B, $B11, 'WBS Summary'!$AH:$AH, $C11,'WBS Summary'!$AJ:$AJ, $H11)</f>
        <v>0</v>
      </c>
      <c r="Q11" s="134">
        <f>SUMIFS('WBS Summary'!BK:BK,'WBS Summary'!$B:$B, $B11, 'WBS Summary'!$AH:$AH, $C11,'WBS Summary'!$AJ:$AJ, $H11)</f>
        <v>0</v>
      </c>
      <c r="R11" s="134">
        <f>SUMIFS('WBS Summary'!BL:BL,'WBS Summary'!$B:$B, $B11, 'WBS Summary'!$AH:$AH, $C11,'WBS Summary'!$AJ:$AJ, $H11)</f>
        <v>0</v>
      </c>
      <c r="S11" s="134">
        <f>SUMIFS('WBS Summary'!BM:BM,'WBS Summary'!$B:$B, $B11, 'WBS Summary'!$AH:$AH, $C11,'WBS Summary'!$AJ:$AJ, $H11)</f>
        <v>0</v>
      </c>
      <c r="T11" s="134">
        <f>SUMIFS('WBS Summary'!BN:BN,'WBS Summary'!$B:$B, $B11, 'WBS Summary'!$AH:$AH, $C11,'WBS Summary'!$AJ:$AJ, $H11)</f>
        <v>0</v>
      </c>
      <c r="U11" s="134">
        <f>SUMIFS('WBS Summary'!BO:BO,'WBS Summary'!$B:$B, $B11, 'WBS Summary'!$AH:$AH, $C11,'WBS Summary'!$AJ:$AJ, $H11)</f>
        <v>0</v>
      </c>
      <c r="V11" s="134">
        <f>SUMIFS('WBS Summary'!BP:BP,'WBS Summary'!$B:$B, $B11, 'WBS Summary'!$AH:$AH, $C11,'WBS Summary'!$AJ:$AJ, $H11)</f>
        <v>0</v>
      </c>
      <c r="W11" s="134">
        <f>SUMIFS('WBS Summary'!BQ:BQ,'WBS Summary'!$B:$B, $B11, 'WBS Summary'!$AH:$AH, $C11,'WBS Summary'!$AJ:$AJ, $H11)</f>
        <v>0</v>
      </c>
      <c r="X11" s="134">
        <f>SUMIFS('WBS Summary'!BR:BR,'WBS Summary'!$B:$B, $B11, 'WBS Summary'!$AH:$AH, $C11,'WBS Summary'!$AJ:$AJ, $H11)</f>
        <v>0</v>
      </c>
      <c r="Y11" s="134">
        <f>SUMIFS('WBS Summary'!BS:BS,'WBS Summary'!$B:$B, $B11, 'WBS Summary'!$AH:$AH, $C11,'WBS Summary'!$AJ:$AJ, $H11)</f>
        <v>0</v>
      </c>
      <c r="Z11" s="134">
        <f>SUMIFS('WBS Summary'!BT:BT,'WBS Summary'!$B:$B, $B11, 'WBS Summary'!$AH:$AH, $C11,'WBS Summary'!$AJ:$AJ, $H11)</f>
        <v>0</v>
      </c>
      <c r="AA11" s="134">
        <f>SUMIFS('WBS Summary'!BU:BU,'WBS Summary'!$B:$B, $B11, 'WBS Summary'!$AH:$AH, $C11,'WBS Summary'!$AJ:$AJ, $H11)</f>
        <v>0</v>
      </c>
      <c r="AB11" s="134">
        <f>SUMIFS('WBS Summary'!BV:BV,'WBS Summary'!$B:$B, $B11, 'WBS Summary'!$AH:$AH, $C11,'WBS Summary'!$AJ:$AJ, $H11)</f>
        <v>0</v>
      </c>
      <c r="AC11" s="134">
        <f>SUMIFS('WBS Summary'!BW:BW,'WBS Summary'!$B:$B, $B11, 'WBS Summary'!$AH:$AH, $C11,'WBS Summary'!$AJ:$AJ, $H11)</f>
        <v>0</v>
      </c>
      <c r="AD11" s="134">
        <f>SUMIFS('WBS Summary'!BX:BX,'WBS Summary'!$B:$B, $B11, 'WBS Summary'!$AH:$AH, $C11,'WBS Summary'!$AJ:$AJ, $H11)</f>
        <v>0</v>
      </c>
      <c r="AE11" s="134">
        <f>SUMIFS('WBS Summary'!BY:BY,'WBS Summary'!$B:$B, $B11, 'WBS Summary'!$AH:$AH, $C11,'WBS Summary'!$AJ:$AJ, $H11)</f>
        <v>0</v>
      </c>
      <c r="AF11" s="134">
        <f>SUMIFS('WBS Summary'!BZ:BZ,'WBS Summary'!$B:$B, $B11, 'WBS Summary'!$AH:$AH, $C11,'WBS Summary'!$AJ:$AJ, $H11)</f>
        <v>0</v>
      </c>
      <c r="AG11" s="134">
        <f>SUMIFS('WBS Summary'!CA:CA,'WBS Summary'!$B:$B, $B11, 'WBS Summary'!$AH:$AH, $C11,'WBS Summary'!$AJ:$AJ, $H11)</f>
        <v>0</v>
      </c>
      <c r="AH11" s="134">
        <f>SUMIFS('WBS Summary'!CB:CB,'WBS Summary'!$B:$B, $B11, 'WBS Summary'!$AH:$AH, $C11,'WBS Summary'!$AJ:$AJ, $H11)</f>
        <v>0</v>
      </c>
      <c r="AI11" s="134">
        <f>SUMIFS('WBS Summary'!CC:CC,'WBS Summary'!$B:$B, $B11, 'WBS Summary'!$AH:$AH, $C11,'WBS Summary'!$AJ:$AJ, $H11)</f>
        <v>0</v>
      </c>
      <c r="AJ11" s="134">
        <f>SUMIFS('WBS Summary'!CD:CD,'WBS Summary'!$B:$B, $B11, 'WBS Summary'!$AH:$AH, $C11,'WBS Summary'!$AJ:$AJ, $H11)</f>
        <v>0</v>
      </c>
      <c r="AK11" s="134">
        <f>SUMIFS('WBS Summary'!CE:CE,'WBS Summary'!$B:$B, $B11, 'WBS Summary'!$AH:$AH, $C11,'WBS Summary'!$AJ:$AJ, $H11)</f>
        <v>0</v>
      </c>
      <c r="AL11" s="134">
        <f>SUMIFS('WBS Summary'!CF:CF,'WBS Summary'!$B:$B, $B11, 'WBS Summary'!$AH:$AH, $C11,'WBS Summary'!$AJ:$AJ, $H11)</f>
        <v>0</v>
      </c>
      <c r="AM11" s="134">
        <f>SUMIFS('WBS Summary'!CG:CG,'WBS Summary'!$B:$B, $B11, 'WBS Summary'!$AH:$AH, $C11,'WBS Summary'!$AJ:$AJ, $H11)</f>
        <v>0</v>
      </c>
      <c r="AN11" s="134">
        <f>SUMIFS('WBS Summary'!CH:CH,'WBS Summary'!$B:$B, $B11, 'WBS Summary'!$AH:$AH, $C11,'WBS Summary'!$AJ:$AJ, $H11)</f>
        <v>0</v>
      </c>
      <c r="AO11" s="134">
        <f>SUMIFS('WBS Summary'!CI:CI,'WBS Summary'!$B:$B, $B11, 'WBS Summary'!$AH:$AH, $C11,'WBS Summary'!$AJ:$AJ, $H11)</f>
        <v>0</v>
      </c>
      <c r="AP11" s="134">
        <f>SUMIFS('WBS Summary'!CJ:CJ,'WBS Summary'!$B:$B, $B11, 'WBS Summary'!$AH:$AH, $C11,'WBS Summary'!$AJ:$AJ, $H11)</f>
        <v>0</v>
      </c>
      <c r="AQ11" s="134">
        <f>SUMIFS('WBS Summary'!CK:CK,'WBS Summary'!$B:$B, $B11, 'WBS Summary'!$AH:$AH, $C11,'WBS Summary'!$AJ:$AJ, $H11)</f>
        <v>0</v>
      </c>
      <c r="AR11" s="134">
        <f>SUMIFS('WBS Summary'!CL:CL,'WBS Summary'!$B:$B, $B11, 'WBS Summary'!$AH:$AH, $C11,'WBS Summary'!$AJ:$AJ, $H11)</f>
        <v>0</v>
      </c>
      <c r="AS11" s="134">
        <f>SUMIFS('WBS Summary'!CM:CM,'WBS Summary'!$B:$B, $B11, 'WBS Summary'!$AH:$AH, $C11,'WBS Summary'!$AJ:$AJ, $H11)</f>
        <v>0</v>
      </c>
      <c r="AT11" s="134">
        <f>SUMIFS('WBS Summary'!CN:CN,'WBS Summary'!$B:$B, $B11, 'WBS Summary'!$AH:$AH, $C11,'WBS Summary'!$AJ:$AJ, $H11)</f>
        <v>0</v>
      </c>
      <c r="AU11" s="134">
        <f>SUMIFS('WBS Summary'!CO:CO,'WBS Summary'!$B:$B, $B11, 'WBS Summary'!$AH:$AH, $C11,'WBS Summary'!$AJ:$AJ, $H11)</f>
        <v>0</v>
      </c>
      <c r="AV11" s="134">
        <f>SUMIFS('WBS Summary'!CP:CP,'WBS Summary'!$B:$B, $B11, 'WBS Summary'!$AH:$AH, $C11,'WBS Summary'!$AJ:$AJ, $H11)</f>
        <v>0</v>
      </c>
      <c r="AW11" s="134">
        <f>SUMIFS('WBS Summary'!CQ:CQ,'WBS Summary'!$B:$B, $B11, 'WBS Summary'!$AH:$AH, $C11,'WBS Summary'!$AJ:$AJ, $H11)</f>
        <v>0</v>
      </c>
      <c r="AX11" s="134">
        <f>SUMIFS('WBS Summary'!CR:CR,'WBS Summary'!$B:$B, $B11, 'WBS Summary'!$AH:$AH, $C11,'WBS Summary'!$AJ:$AJ, $H11)</f>
        <v>0</v>
      </c>
      <c r="AY11" s="134">
        <f>SUMIFS('WBS Summary'!CS:CS,'WBS Summary'!$B:$B, $B11, 'WBS Summary'!$AH:$AH, $C11,'WBS Summary'!$AJ:$AJ, $H11)</f>
        <v>0</v>
      </c>
      <c r="AZ11" s="134">
        <f>SUMIFS('WBS Summary'!CT:CT,'WBS Summary'!$B:$B, $B11, 'WBS Summary'!$AH:$AH, $C11,'WBS Summary'!$AJ:$AJ, $H11)</f>
        <v>0</v>
      </c>
      <c r="BA11" s="134">
        <f>SUMIFS('WBS Summary'!CU:CU,'WBS Summary'!$B:$B, $B11, 'WBS Summary'!$AH:$AH, $C11,'WBS Summary'!$AJ:$AJ, $H11)</f>
        <v>0</v>
      </c>
      <c r="BB11" s="134">
        <f>SUMIFS('WBS Summary'!CV:CV,'WBS Summary'!$B:$B, $B11, 'WBS Summary'!$AH:$AH, $C11,'WBS Summary'!$AJ:$AJ, $H11)</f>
        <v>0</v>
      </c>
      <c r="BC11" s="134">
        <f>SUMIFS('WBS Summary'!CW:CW,'WBS Summary'!$B:$B, $B11, 'WBS Summary'!$AH:$AH, $C11,'WBS Summary'!$AJ:$AJ, $H11)</f>
        <v>0</v>
      </c>
      <c r="BD11" s="134">
        <f>SUMIFS('WBS Summary'!CX:CX,'WBS Summary'!$B:$B, $B11, 'WBS Summary'!$AH:$AH, $C11,'WBS Summary'!$AJ:$AJ, $H11)</f>
        <v>0</v>
      </c>
      <c r="BE11" s="134">
        <f>SUMIFS('WBS Summary'!CY:CY,'WBS Summary'!$B:$B, $B11, 'WBS Summary'!$AH:$AH, $C11,'WBS Summary'!$AJ:$AJ, $H11)</f>
        <v>0</v>
      </c>
      <c r="BF11" s="134">
        <f>SUMIFS('WBS Summary'!CZ:CZ,'WBS Summary'!$B:$B, $B11, 'WBS Summary'!$AH:$AH, $C11,'WBS Summary'!$AJ:$AJ, $H11)</f>
        <v>0</v>
      </c>
      <c r="BG11" s="134">
        <f>SUMIFS('WBS Summary'!DA:DA,'WBS Summary'!$B:$B, $B11, 'WBS Summary'!$AH:$AH, $C11,'WBS Summary'!$AJ:$AJ, $H11)</f>
        <v>0</v>
      </c>
      <c r="BH11" s="134">
        <f>SUMIFS('WBS Summary'!DB:DB,'WBS Summary'!$B:$B, $B11, 'WBS Summary'!$AH:$AH, $C11,'WBS Summary'!$AJ:$AJ, $H11)</f>
        <v>0</v>
      </c>
      <c r="BI11" s="134">
        <f>SUMIFS('WBS Summary'!DC:DC,'WBS Summary'!$B:$B, $B11, 'WBS Summary'!$AH:$AH, $C11,'WBS Summary'!$AJ:$AJ, $H11)</f>
        <v>0</v>
      </c>
      <c r="BJ11" s="134">
        <f>SUMIFS('WBS Summary'!DD:DD,'WBS Summary'!$B:$B, $B11, 'WBS Summary'!$AH:$AH, $C11,'WBS Summary'!$AJ:$AJ, $H11)</f>
        <v>0</v>
      </c>
      <c r="BK11" s="134">
        <f>SUMIFS('WBS Summary'!DE:DE,'WBS Summary'!$B:$B, $B11, 'WBS Summary'!$AH:$AH, $C11,'WBS Summary'!$AJ:$AJ, $H11)</f>
        <v>0</v>
      </c>
      <c r="BL11" s="134">
        <f>SUMIFS('WBS Summary'!DF:DF,'WBS Summary'!$B:$B, $B11, 'WBS Summary'!$AH:$AH, $C11,'WBS Summary'!$AJ:$AJ, $H11)</f>
        <v>0</v>
      </c>
      <c r="BM11" s="134">
        <f>SUMIFS('WBS Summary'!DG:DG,'WBS Summary'!$B:$B, $B11, 'WBS Summary'!$AH:$AH, $C11,'WBS Summary'!$AJ:$AJ, $H11)</f>
        <v>0</v>
      </c>
      <c r="BN11" s="134">
        <f>SUMIFS('WBS Summary'!DH:DH,'WBS Summary'!$B:$B, $B11, 'WBS Summary'!$AH:$AH, $C11,'WBS Summary'!$AJ:$AJ, $H11)</f>
        <v>0</v>
      </c>
      <c r="BO11" s="134">
        <f>SUMIFS('WBS Summary'!DI:DI,'WBS Summary'!$B:$B, $B11, 'WBS Summary'!$AH:$AH, $C11,'WBS Summary'!$AJ:$AJ, $H11)</f>
        <v>0</v>
      </c>
      <c r="BP11" s="134">
        <f>SUMIFS('WBS Summary'!DJ:DJ,'WBS Summary'!$B:$B, $B11, 'WBS Summary'!$AH:$AH, $C11,'WBS Summary'!$AJ:$AJ, $H11)</f>
        <v>0</v>
      </c>
      <c r="BQ11" s="134">
        <f>SUMIFS('WBS Summary'!DK:DK,'WBS Summary'!$B:$B, $B11, 'WBS Summary'!$AH:$AH, $C11,'WBS Summary'!$AJ:$AJ, $H11)</f>
        <v>0</v>
      </c>
      <c r="BR11" s="134">
        <f>SUMIFS('WBS Summary'!DL:DL,'WBS Summary'!$B:$B, $B11, 'WBS Summary'!$AH:$AH, $C11,'WBS Summary'!$AJ:$AJ, $H11)</f>
        <v>0</v>
      </c>
      <c r="BS11" s="134">
        <f>SUMIFS('WBS Summary'!DM:DM,'WBS Summary'!$B:$B, $B11, 'WBS Summary'!$AH:$AH, $C11,'WBS Summary'!$AJ:$AJ, $H11)</f>
        <v>0</v>
      </c>
      <c r="BT11" s="134">
        <f>SUMIFS('WBS Summary'!DN:DN,'WBS Summary'!$B:$B, $B11, 'WBS Summary'!$AH:$AH, $C11,'WBS Summary'!$AJ:$AJ, $H11)</f>
        <v>0</v>
      </c>
      <c r="BU11" s="134">
        <f>SUMIFS('WBS Summary'!DO:DO,'WBS Summary'!$B:$B, $B11, 'WBS Summary'!$AH:$AH, $C11,'WBS Summary'!$AJ:$AJ, $H11)</f>
        <v>0</v>
      </c>
      <c r="BV11" s="134">
        <f>SUMIFS('WBS Summary'!DP:DP,'WBS Summary'!$B:$B, $B11, 'WBS Summary'!$AH:$AH, $C11,'WBS Summary'!$AJ:$AJ, $H11)</f>
        <v>0</v>
      </c>
      <c r="BW11" s="134">
        <f>SUMIFS('WBS Summary'!DQ:DQ,'WBS Summary'!$B:$B, $B11, 'WBS Summary'!$AH:$AH, $C11,'WBS Summary'!$AJ:$AJ, $H11)</f>
        <v>0</v>
      </c>
      <c r="BX11" s="134">
        <f>SUMIFS('WBS Summary'!DR:DR,'WBS Summary'!$B:$B, $B11, 'WBS Summary'!$AH:$AH, $C11,'WBS Summary'!$AJ:$AJ, $H11)</f>
        <v>0</v>
      </c>
      <c r="BY11" s="134">
        <f>SUMIFS('WBS Summary'!DS:DS,'WBS Summary'!$B:$B, $B11, 'WBS Summary'!$AH:$AH, $C11,'WBS Summary'!$AJ:$AJ, $H11)</f>
        <v>0</v>
      </c>
      <c r="BZ11" s="134">
        <f>SUMIFS('WBS Summary'!DT:DT,'WBS Summary'!$B:$B, $B11, 'WBS Summary'!$AH:$AH, $C11,'WBS Summary'!$AJ:$AJ, $H11)</f>
        <v>0</v>
      </c>
      <c r="CA11" s="134">
        <f>SUMIFS('WBS Summary'!DU:DU,'WBS Summary'!$B:$B, $B11, 'WBS Summary'!$AH:$AH, $C11,'WBS Summary'!$AJ:$AJ, $H11)</f>
        <v>0</v>
      </c>
      <c r="CB11" s="134">
        <f>SUMIFS('WBS Summary'!DV:DV,'WBS Summary'!$B:$B, $B11, 'WBS Summary'!$AH:$AH, $C11,'WBS Summary'!$AJ:$AJ, $H11)</f>
        <v>0</v>
      </c>
      <c r="CC11" s="134">
        <f>SUMIFS('WBS Summary'!DW:DW,'WBS Summary'!$B:$B, $B11, 'WBS Summary'!$AH:$AH, $C11,'WBS Summary'!$AJ:$AJ, $H11)</f>
        <v>0</v>
      </c>
      <c r="CD11" s="134">
        <f>SUMIFS('WBS Summary'!DX:DX,'WBS Summary'!$B:$B, $B11, 'WBS Summary'!$AH:$AH, $C11,'WBS Summary'!$AJ:$AJ, $H11)</f>
        <v>0</v>
      </c>
      <c r="CE11" s="134">
        <f>SUMIFS('WBS Summary'!DY:DY,'WBS Summary'!$B:$B, $B11, 'WBS Summary'!$AH:$AH, $C11,'WBS Summary'!$AJ:$AJ, $H11)</f>
        <v>0</v>
      </c>
      <c r="CF11" s="134">
        <f>SUMIFS('WBS Summary'!DZ:DZ,'WBS Summary'!$B:$B, $B11, 'WBS Summary'!$AH:$AH, $C11,'WBS Summary'!$AJ:$AJ, $H11)</f>
        <v>0</v>
      </c>
      <c r="CG11" s="134">
        <f>SUMIFS('WBS Summary'!EA:EA,'WBS Summary'!$B:$B, $B11, 'WBS Summary'!$AH:$AH, $C11,'WBS Summary'!$AJ:$AJ, $H11)</f>
        <v>0</v>
      </c>
      <c r="CH11" s="134">
        <f>SUMIFS('WBS Summary'!EB:EB,'WBS Summary'!$B:$B, $B11, 'WBS Summary'!$AH:$AH, $C11,'WBS Summary'!$AJ:$AJ, $H11)</f>
        <v>0</v>
      </c>
      <c r="CI11" s="134">
        <f>SUMIFS('WBS Summary'!EC:EC,'WBS Summary'!$B:$B, $B11, 'WBS Summary'!$AH:$AH, $C11,'WBS Summary'!$AJ:$AJ, $H11)</f>
        <v>0</v>
      </c>
      <c r="CJ11" s="134">
        <f>SUMIFS('WBS Summary'!ED:ED,'WBS Summary'!$B:$B, $B11, 'WBS Summary'!$AH:$AH, $C11,'WBS Summary'!$AJ:$AJ, $H11)</f>
        <v>0</v>
      </c>
      <c r="CK11" s="134">
        <f>SUMIFS('WBS Summary'!EE:EE,'WBS Summary'!$B:$B, $B11, 'WBS Summary'!$AH:$AH, $C11,'WBS Summary'!$AJ:$AJ, $H11)</f>
        <v>0</v>
      </c>
      <c r="CL11" s="134">
        <f>SUMIFS('WBS Summary'!EF:EF,'WBS Summary'!$B:$B, $B11, 'WBS Summary'!$AH:$AH, $C11,'WBS Summary'!$AJ:$AJ, $H11)</f>
        <v>0</v>
      </c>
      <c r="CM11" s="134">
        <f>SUMIFS('WBS Summary'!EG:EG,'WBS Summary'!$B:$B, $B11, 'WBS Summary'!$AH:$AH, $C11,'WBS Summary'!$AJ:$AJ, $H11)</f>
        <v>0</v>
      </c>
      <c r="CN11" s="134">
        <f>SUMIFS('WBS Summary'!EH:EH,'WBS Summary'!$B:$B, $B11, 'WBS Summary'!$AH:$AH, $C11,'WBS Summary'!$AJ:$AJ, $H11)</f>
        <v>0</v>
      </c>
      <c r="CO11" s="134">
        <f>SUMIFS('WBS Summary'!EI:EI,'WBS Summary'!$B:$B, $B11, 'WBS Summary'!$AH:$AH, $C11,'WBS Summary'!$AJ:$AJ, $H11)</f>
        <v>0</v>
      </c>
      <c r="CP11" s="134">
        <f>SUMIFS('WBS Summary'!EJ:EJ,'WBS Summary'!$B:$B, $B11, 'WBS Summary'!$AH:$AH, $C11,'WBS Summary'!$AJ:$AJ, $H11)</f>
        <v>0</v>
      </c>
      <c r="CQ11" s="134">
        <f>SUMIFS('WBS Summary'!EK:EK,'WBS Summary'!$B:$B, $B11, 'WBS Summary'!$AH:$AH, $C11,'WBS Summary'!$AJ:$AJ, $H11)</f>
        <v>0</v>
      </c>
      <c r="CR11" s="134">
        <f>SUMIFS('WBS Summary'!EL:EL,'WBS Summary'!$B:$B, $B11, 'WBS Summary'!$AH:$AH, $C11,'WBS Summary'!$AJ:$AJ, $H11)</f>
        <v>0</v>
      </c>
      <c r="CS11" s="134">
        <f>SUMIFS('WBS Summary'!EM:EM,'WBS Summary'!$B:$B, $B11, 'WBS Summary'!$AH:$AH, $C11,'WBS Summary'!$AJ:$AJ, $H11)</f>
        <v>0</v>
      </c>
      <c r="CT11" s="134">
        <f>SUMIFS('WBS Summary'!EN:EN,'WBS Summary'!$B:$B, $B11, 'WBS Summary'!$AH:$AH, $C11,'WBS Summary'!$AJ:$AJ, $H11)</f>
        <v>0</v>
      </c>
      <c r="CU11" s="134">
        <f>SUMIFS('WBS Summary'!EO:EO,'WBS Summary'!$B:$B, $B11, 'WBS Summary'!$AH:$AH, $C11,'WBS Summary'!$AJ:$AJ, $H11)</f>
        <v>0</v>
      </c>
      <c r="CV11" s="134">
        <f>SUMIFS('WBS Summary'!EP:EP,'WBS Summary'!$B:$B, $B11, 'WBS Summary'!$AH:$AH, $C11,'WBS Summary'!$AJ:$AJ, $H11)</f>
        <v>0</v>
      </c>
      <c r="CW11" s="134">
        <f>SUMIFS('WBS Summary'!EQ:EQ,'WBS Summary'!$B:$B, $B11, 'WBS Summary'!$AH:$AH, $C11,'WBS Summary'!$AJ:$AJ, $H11)</f>
        <v>0</v>
      </c>
      <c r="CX11" s="134">
        <f>SUMIFS('WBS Summary'!ER:ER,'WBS Summary'!$B:$B, $B11, 'WBS Summary'!$AH:$AH, $C11,'WBS Summary'!$AJ:$AJ, $H11)</f>
        <v>0</v>
      </c>
      <c r="CY11" s="134">
        <f>SUMIFS('WBS Summary'!ES:ES,'WBS Summary'!$B:$B, $B11, 'WBS Summary'!$AH:$AH, $C11,'WBS Summary'!$AJ:$AJ, $H11)</f>
        <v>0</v>
      </c>
      <c r="CZ11" s="134">
        <f>SUMIFS('WBS Summary'!ET:ET,'WBS Summary'!$B:$B, $B11, 'WBS Summary'!$AH:$AH, $C11,'WBS Summary'!$AJ:$AJ, $H11)</f>
        <v>0</v>
      </c>
      <c r="DA11" s="134">
        <f>SUMIFS('WBS Summary'!EU:EU,'WBS Summary'!$B:$B, $B11, 'WBS Summary'!$AH:$AH, $C11,'WBS Summary'!$AJ:$AJ, $H11)</f>
        <v>0</v>
      </c>
      <c r="DB11" s="134">
        <f>SUMIFS('WBS Summary'!EV:EV,'WBS Summary'!$B:$B, $B11, 'WBS Summary'!$AH:$AH, $C11,'WBS Summary'!$AJ:$AJ, $H11)</f>
        <v>0</v>
      </c>
      <c r="DC11" s="134">
        <f>SUMIFS('WBS Summary'!EW:EW,'WBS Summary'!$B:$B, $B11, 'WBS Summary'!$AH:$AH, $C11,'WBS Summary'!$AJ:$AJ, $H11)</f>
        <v>0</v>
      </c>
      <c r="DD11" s="134">
        <f>SUMIFS('WBS Summary'!EX:EX,'WBS Summary'!$B:$B, $B11, 'WBS Summary'!$AH:$AH, $C11,'WBS Summary'!$AJ:$AJ, $H11)</f>
        <v>0</v>
      </c>
      <c r="DE11" s="134">
        <f>SUMIFS('WBS Summary'!EY:EY,'WBS Summary'!$B:$B, $B11, 'WBS Summary'!$AH:$AH, $C11,'WBS Summary'!$AJ:$AJ, $H11)</f>
        <v>0</v>
      </c>
      <c r="DF11"/>
      <c r="DG11" s="134">
        <f>SUMIFS('WBS Summary'!FR:FR,'WBS Summary'!$B:$B, $B11, 'WBS Summary'!$AH:$AH, $C11,'WBS Summary'!$AJ:$AJ, $H11)</f>
        <v>0</v>
      </c>
      <c r="DH11" s="134">
        <f>SUMIFS('WBS Summary'!FS:FS,'WBS Summary'!$B:$B, $B11, 'WBS Summary'!$AH:$AH, $C11,'WBS Summary'!$AJ:$AJ, $H11)</f>
        <v>0</v>
      </c>
      <c r="DI11" s="134">
        <f>SUMIFS('WBS Summary'!FT:FT,'WBS Summary'!$B:$B, $B11, 'WBS Summary'!$AH:$AH, $C11,'WBS Summary'!$AJ:$AJ, $H11)</f>
        <v>0</v>
      </c>
      <c r="DJ11" s="134">
        <f>SUMIFS('WBS Summary'!FU:FU,'WBS Summary'!$B:$B, $B11, 'WBS Summary'!$AH:$AH, $C11,'WBS Summary'!$AJ:$AJ, $H11)</f>
        <v>0</v>
      </c>
      <c r="DK11" s="134">
        <f>SUMIFS('WBS Summary'!FV:FV,'WBS Summary'!$B:$B, $B11, 'WBS Summary'!$AH:$AH, $C11,'WBS Summary'!$AJ:$AJ, $H11)</f>
        <v>0</v>
      </c>
      <c r="DL11" s="134">
        <f>SUMIFS('WBS Summary'!FW:FW,'WBS Summary'!$B:$B, $B11, 'WBS Summary'!$AH:$AH, $C11,'WBS Summary'!$AJ:$AJ, $H11)</f>
        <v>0</v>
      </c>
      <c r="DM11" s="134">
        <f>SUMIFS('WBS Summary'!FX:FX,'WBS Summary'!$B:$B, $B11, 'WBS Summary'!$AH:$AH, $C11,'WBS Summary'!$AJ:$AJ, $H11)</f>
        <v>0</v>
      </c>
      <c r="DN11" s="134">
        <f>SUMIFS('WBS Summary'!FY:FY,'WBS Summary'!$B:$B, $B11, 'WBS Summary'!$AH:$AH, $C11,'WBS Summary'!$AJ:$AJ, $H11)</f>
        <v>0</v>
      </c>
      <c r="DO11" s="134">
        <f>SUMIFS('WBS Summary'!FZ:FZ,'WBS Summary'!$B:$B, $B11, 'WBS Summary'!$AH:$AH, $C11,'WBS Summary'!$AJ:$AJ, $H11)</f>
        <v>0</v>
      </c>
      <c r="DP11" s="134">
        <f>SUMIFS('WBS Summary'!GA:GA,'WBS Summary'!$B:$B, $B11, 'WBS Summary'!$AH:$AH, $C11,'WBS Summary'!$AJ:$AJ, $H11)</f>
        <v>0</v>
      </c>
      <c r="DQ11" s="134">
        <f>SUMIFS('WBS Summary'!GB:GB,'WBS Summary'!$B:$B, $B11, 'WBS Summary'!$AH:$AH, $C11,'WBS Summary'!$AJ:$AJ, $H11)</f>
        <v>0</v>
      </c>
      <c r="DR11" s="134">
        <f>SUMIFS('WBS Summary'!GC:GC,'WBS Summary'!$B:$B, $B11, 'WBS Summary'!$AH:$AH, $C11,'WBS Summary'!$AJ:$AJ, $H11)</f>
        <v>0</v>
      </c>
      <c r="DS11" s="134">
        <f>SUMIFS('WBS Summary'!GD:GD,'WBS Summary'!$B:$B, $B11, 'WBS Summary'!$AH:$AH, $C11,'WBS Summary'!$AJ:$AJ, $H11)</f>
        <v>0</v>
      </c>
      <c r="DT11" s="134">
        <f>SUMIFS('WBS Summary'!GE:GE,'WBS Summary'!$B:$B, $B11, 'WBS Summary'!$AH:$AH, $C11,'WBS Summary'!$AJ:$AJ, $H11)</f>
        <v>0</v>
      </c>
      <c r="DU11" s="134">
        <f>SUMIFS('WBS Summary'!GF:GF,'WBS Summary'!$B:$B, $B11, 'WBS Summary'!$AH:$AH, $C11,'WBS Summary'!$AJ:$AJ, $H11)</f>
        <v>0</v>
      </c>
      <c r="DV11" s="134">
        <f>SUMIFS('WBS Summary'!GG:GG,'WBS Summary'!$B:$B, $B11, 'WBS Summary'!$AH:$AH, $C11,'WBS Summary'!$AJ:$AJ, $H11)</f>
        <v>0</v>
      </c>
      <c r="DW11" s="134">
        <f>SUMIFS('WBS Summary'!GH:GH,'WBS Summary'!$B:$B, $B11, 'WBS Summary'!$AH:$AH, $C11,'WBS Summary'!$AJ:$AJ, $H11)</f>
        <v>0</v>
      </c>
      <c r="DX11" s="134">
        <f>SUMIFS('WBS Summary'!GI:GI,'WBS Summary'!$B:$B, $B11, 'WBS Summary'!$AH:$AH, $C11,'WBS Summary'!$AJ:$AJ, $H11)</f>
        <v>0</v>
      </c>
      <c r="DY11" s="134">
        <f>SUMIFS('WBS Summary'!GJ:GJ,'WBS Summary'!$B:$B, $B11, 'WBS Summary'!$AH:$AH, $C11,'WBS Summary'!$AJ:$AJ, $H11)</f>
        <v>0</v>
      </c>
      <c r="DZ11" s="134">
        <f>SUMIFS('WBS Summary'!GK:GK,'WBS Summary'!$B:$B, $B11, 'WBS Summary'!$AH:$AH, $C11,'WBS Summary'!$AJ:$AJ, $H11)</f>
        <v>0</v>
      </c>
      <c r="EA11" s="134">
        <f>SUMIFS('WBS Summary'!GL:GL,'WBS Summary'!$B:$B, $B11, 'WBS Summary'!$AH:$AH, $C11,'WBS Summary'!$AJ:$AJ, $H11)</f>
        <v>0</v>
      </c>
      <c r="EB11" s="134">
        <f>SUMIFS('WBS Summary'!GM:GM,'WBS Summary'!$B:$B, $B11, 'WBS Summary'!$AH:$AH, $C11,'WBS Summary'!$AJ:$AJ, $H11)</f>
        <v>0</v>
      </c>
      <c r="EC11" s="134">
        <f>SUMIFS('WBS Summary'!GN:GN,'WBS Summary'!$B:$B, $B11, 'WBS Summary'!$AH:$AH, $C11,'WBS Summary'!$AJ:$AJ, $H11)</f>
        <v>0</v>
      </c>
      <c r="ED11" s="134">
        <f>SUMIFS('WBS Summary'!GO:GO,'WBS Summary'!$B:$B, $B11, 'WBS Summary'!$AH:$AH, $C11,'WBS Summary'!$AJ:$AJ, $H11)</f>
        <v>0</v>
      </c>
      <c r="EE11" s="134">
        <f>SUMIFS('WBS Summary'!GP:GP,'WBS Summary'!$B:$B, $B11, 'WBS Summary'!$AH:$AH, $C11,'WBS Summary'!$AJ:$AJ, $H11)</f>
        <v>0</v>
      </c>
      <c r="EF11" s="134">
        <f>SUMIFS('WBS Summary'!GQ:GQ,'WBS Summary'!$B:$B, $B11, 'WBS Summary'!$AH:$AH, $C11,'WBS Summary'!$AJ:$AJ, $H11)</f>
        <v>0</v>
      </c>
      <c r="EG11" s="134">
        <f>SUMIFS('WBS Summary'!GR:GR,'WBS Summary'!$B:$B, $B11, 'WBS Summary'!$AH:$AH, $C11,'WBS Summary'!$AJ:$AJ, $H11)</f>
        <v>0</v>
      </c>
      <c r="EH11" s="134">
        <f>SUMIFS('WBS Summary'!GS:GS,'WBS Summary'!$B:$B, $B11, 'WBS Summary'!$AH:$AH, $C11,'WBS Summary'!$AJ:$AJ, $H11)</f>
        <v>0</v>
      </c>
      <c r="EI11" s="134">
        <f>SUMIFS('WBS Summary'!GT:GT,'WBS Summary'!$B:$B, $B11, 'WBS Summary'!$AH:$AH, $C11,'WBS Summary'!$AJ:$AJ, $H11)</f>
        <v>0</v>
      </c>
      <c r="EJ11" s="134">
        <f>SUMIFS('WBS Summary'!GU:GU,'WBS Summary'!$B:$B, $B11, 'WBS Summary'!$AH:$AH, $C11,'WBS Summary'!$AJ:$AJ, $H11)</f>
        <v>0</v>
      </c>
      <c r="EK11" s="134">
        <f>SUMIFS('WBS Summary'!GV:GV,'WBS Summary'!$B:$B, $B11, 'WBS Summary'!$AH:$AH, $C11,'WBS Summary'!$AJ:$AJ, $H11)</f>
        <v>0</v>
      </c>
      <c r="EL11" s="134">
        <f>SUMIFS('WBS Summary'!GW:GW,'WBS Summary'!$B:$B, $B11, 'WBS Summary'!$AH:$AH, $C11,'WBS Summary'!$AJ:$AJ, $H11)</f>
        <v>0</v>
      </c>
      <c r="EM11" s="134">
        <f>SUMIFS('WBS Summary'!GX:GX,'WBS Summary'!$B:$B, $B11, 'WBS Summary'!$AH:$AH, $C11,'WBS Summary'!$AJ:$AJ, $H11)</f>
        <v>0</v>
      </c>
      <c r="EN11" s="134">
        <f>SUMIFS('WBS Summary'!GY:GY,'WBS Summary'!$B:$B, $B11, 'WBS Summary'!$AH:$AH, $C11,'WBS Summary'!$AJ:$AJ, $H11)</f>
        <v>0</v>
      </c>
      <c r="EO11" s="134">
        <f>SUMIFS('WBS Summary'!GZ:GZ,'WBS Summary'!$B:$B, $B11, 'WBS Summary'!$AH:$AH, $C11,'WBS Summary'!$AJ:$AJ, $H11)</f>
        <v>0</v>
      </c>
      <c r="EP11" s="134">
        <f>SUMIFS('WBS Summary'!HA:HA,'WBS Summary'!$B:$B, $B11, 'WBS Summary'!$AH:$AH, $C11,'WBS Summary'!$AJ:$AJ, $H11)</f>
        <v>0</v>
      </c>
      <c r="EQ11" s="134">
        <f>SUMIFS('WBS Summary'!HB:HB,'WBS Summary'!$B:$B, $B11, 'WBS Summary'!$AH:$AH, $C11,'WBS Summary'!$AJ:$AJ, $H11)</f>
        <v>0</v>
      </c>
      <c r="ER11" s="134">
        <f>SUMIFS('WBS Summary'!HC:HC,'WBS Summary'!$B:$B, $B11, 'WBS Summary'!$AH:$AH, $C11,'WBS Summary'!$AJ:$AJ, $H11)</f>
        <v>0</v>
      </c>
      <c r="ES11" s="134">
        <f>SUMIFS('WBS Summary'!HD:HD,'WBS Summary'!$B:$B, $B11, 'WBS Summary'!$AH:$AH, $C11,'WBS Summary'!$AJ:$AJ, $H11)</f>
        <v>0</v>
      </c>
      <c r="ET11" s="134">
        <f>SUMIFS('WBS Summary'!HE:HE,'WBS Summary'!$B:$B, $B11, 'WBS Summary'!$AH:$AH, $C11,'WBS Summary'!$AJ:$AJ, $H11)</f>
        <v>0</v>
      </c>
      <c r="EU11" s="134">
        <f>SUMIFS('WBS Summary'!HF:HF,'WBS Summary'!$B:$B, $B11, 'WBS Summary'!$AH:$AH, $C11,'WBS Summary'!$AJ:$AJ, $H11)</f>
        <v>0</v>
      </c>
      <c r="EV11" s="134">
        <f>SUMIFS('WBS Summary'!HG:HG,'WBS Summary'!$B:$B, $B11, 'WBS Summary'!$AH:$AH, $C11,'WBS Summary'!$AJ:$AJ, $H11)</f>
        <v>0</v>
      </c>
      <c r="EW11" s="134">
        <f>SUMIFS('WBS Summary'!HH:HH,'WBS Summary'!$B:$B, $B11, 'WBS Summary'!$AH:$AH, $C11,'WBS Summary'!$AJ:$AJ, $H11)</f>
        <v>0</v>
      </c>
      <c r="EX11" s="134">
        <f>SUMIFS('WBS Summary'!HI:HI,'WBS Summary'!$B:$B, $B11, 'WBS Summary'!$AH:$AH, $C11,'WBS Summary'!$AJ:$AJ, $H11)</f>
        <v>0</v>
      </c>
      <c r="EY11" s="134">
        <f>SUMIFS('WBS Summary'!HJ:HJ,'WBS Summary'!$B:$B, $B11, 'WBS Summary'!$AH:$AH, $C11,'WBS Summary'!$AJ:$AJ, $H11)</f>
        <v>0</v>
      </c>
      <c r="EZ11" s="134">
        <f>SUMIFS('WBS Summary'!HK:HK,'WBS Summary'!$B:$B, $B11, 'WBS Summary'!$AH:$AH, $C11,'WBS Summary'!$AJ:$AJ, $H11)</f>
        <v>0</v>
      </c>
      <c r="FA11" s="134">
        <f>SUMIFS('WBS Summary'!HL:HL,'WBS Summary'!$B:$B, $B11, 'WBS Summary'!$AH:$AH, $C11,'WBS Summary'!$AJ:$AJ, $H11)</f>
        <v>0</v>
      </c>
      <c r="FB11" s="134">
        <f>SUMIFS('WBS Summary'!HM:HM,'WBS Summary'!$B:$B, $B11, 'WBS Summary'!$AH:$AH, $C11,'WBS Summary'!$AJ:$AJ, $H11)</f>
        <v>0</v>
      </c>
      <c r="FC11" s="134">
        <f>SUMIFS('WBS Summary'!HN:HN,'WBS Summary'!$B:$B, $B11, 'WBS Summary'!$AH:$AH, $C11,'WBS Summary'!$AJ:$AJ, $H11)</f>
        <v>0</v>
      </c>
      <c r="FD11" s="134">
        <f>SUMIFS('WBS Summary'!HO:HO,'WBS Summary'!$B:$B, $B11, 'WBS Summary'!$AH:$AH, $C11,'WBS Summary'!$AJ:$AJ, $H11)</f>
        <v>0</v>
      </c>
      <c r="FE11" s="134">
        <f>SUMIFS('WBS Summary'!HP:HP,'WBS Summary'!$B:$B, $B11, 'WBS Summary'!$AH:$AH, $C11,'WBS Summary'!$AJ:$AJ, $H11)</f>
        <v>0</v>
      </c>
      <c r="FF11" s="134">
        <f>SUMIFS('WBS Summary'!HQ:HQ,'WBS Summary'!$B:$B, $B11, 'WBS Summary'!$AH:$AH, $C11,'WBS Summary'!$AJ:$AJ, $H11)</f>
        <v>0</v>
      </c>
      <c r="FG11" s="134">
        <f>SUMIFS('WBS Summary'!HR:HR,'WBS Summary'!$B:$B, $B11, 'WBS Summary'!$AH:$AH, $C11,'WBS Summary'!$AJ:$AJ, $H11)</f>
        <v>0</v>
      </c>
      <c r="FH11" s="134">
        <f>SUMIFS('WBS Summary'!HS:HS,'WBS Summary'!$B:$B, $B11, 'WBS Summary'!$AH:$AH, $C11,'WBS Summary'!$AJ:$AJ, $H11)</f>
        <v>0</v>
      </c>
      <c r="FI11" s="134">
        <f>SUMIFS('WBS Summary'!HT:HT,'WBS Summary'!$B:$B, $B11, 'WBS Summary'!$AH:$AH, $C11,'WBS Summary'!$AJ:$AJ, $H11)</f>
        <v>0</v>
      </c>
      <c r="FJ11" s="134">
        <f>SUMIFS('WBS Summary'!HU:HU,'WBS Summary'!$B:$B, $B11, 'WBS Summary'!$AH:$AH, $C11,'WBS Summary'!$AJ:$AJ, $H11)</f>
        <v>0</v>
      </c>
      <c r="FK11" s="134">
        <f>SUMIFS('WBS Summary'!HV:HV,'WBS Summary'!$B:$B, $B11, 'WBS Summary'!$AH:$AH, $C11,'WBS Summary'!$AJ:$AJ, $H11)</f>
        <v>0</v>
      </c>
      <c r="FL11" s="134">
        <f>SUMIFS('WBS Summary'!HW:HW,'WBS Summary'!$B:$B, $B11, 'WBS Summary'!$AH:$AH, $C11,'WBS Summary'!$AJ:$AJ, $H11)</f>
        <v>0</v>
      </c>
      <c r="FM11" s="134">
        <f>SUMIFS('WBS Summary'!HX:HX,'WBS Summary'!$B:$B, $B11, 'WBS Summary'!$AH:$AH, $C11,'WBS Summary'!$AJ:$AJ, $H11)</f>
        <v>0</v>
      </c>
      <c r="FN11" s="134">
        <f>SUMIFS('WBS Summary'!HY:HY,'WBS Summary'!$B:$B, $B11, 'WBS Summary'!$AH:$AH, $C11,'WBS Summary'!$AJ:$AJ, $H11)</f>
        <v>0</v>
      </c>
      <c r="FO11" s="134">
        <f>SUMIFS('WBS Summary'!HZ:HZ,'WBS Summary'!$B:$B, $B11, 'WBS Summary'!$AH:$AH, $C11,'WBS Summary'!$AJ:$AJ, $H11)</f>
        <v>0</v>
      </c>
      <c r="FP11" s="134">
        <f>SUMIFS('WBS Summary'!IA:IA,'WBS Summary'!$B:$B, $B11, 'WBS Summary'!$AH:$AH, $C11,'WBS Summary'!$AJ:$AJ, $H11)</f>
        <v>0</v>
      </c>
      <c r="FQ11" s="134">
        <f>SUMIFS('WBS Summary'!IB:IB,'WBS Summary'!$B:$B, $B11, 'WBS Summary'!$AH:$AH, $C11,'WBS Summary'!$AJ:$AJ, $H11)</f>
        <v>0</v>
      </c>
      <c r="FR11" s="134">
        <f>SUMIFS('WBS Summary'!IC:IC,'WBS Summary'!$B:$B, $B11, 'WBS Summary'!$AH:$AH, $C11,'WBS Summary'!$AJ:$AJ, $H11)</f>
        <v>0</v>
      </c>
      <c r="FS11" s="134">
        <f>SUMIFS('WBS Summary'!ID:ID,'WBS Summary'!$B:$B, $B11, 'WBS Summary'!$AH:$AH, $C11,'WBS Summary'!$AJ:$AJ, $H11)</f>
        <v>0</v>
      </c>
      <c r="FT11" s="134">
        <f>SUMIFS('WBS Summary'!IE:IE,'WBS Summary'!$B:$B, $B11, 'WBS Summary'!$AH:$AH, $C11,'WBS Summary'!$AJ:$AJ, $H11)</f>
        <v>0</v>
      </c>
      <c r="FU11" s="134">
        <f>SUMIFS('WBS Summary'!IF:IF,'WBS Summary'!$B:$B, $B11, 'WBS Summary'!$AH:$AH, $C11,'WBS Summary'!$AJ:$AJ, $H11)</f>
        <v>0</v>
      </c>
      <c r="FV11" s="134">
        <f>SUMIFS('WBS Summary'!IG:IG,'WBS Summary'!$B:$B, $B11, 'WBS Summary'!$AH:$AH, $C11,'WBS Summary'!$AJ:$AJ, $H11)</f>
        <v>0</v>
      </c>
      <c r="FW11" s="134">
        <f>SUMIFS('WBS Summary'!IH:IH,'WBS Summary'!$B:$B, $B11, 'WBS Summary'!$AH:$AH, $C11,'WBS Summary'!$AJ:$AJ, $H11)</f>
        <v>0</v>
      </c>
      <c r="FX11" s="134">
        <f>SUMIFS('WBS Summary'!II:II,'WBS Summary'!$B:$B, $B11, 'WBS Summary'!$AH:$AH, $C11,'WBS Summary'!$AJ:$AJ, $H11)</f>
        <v>0</v>
      </c>
      <c r="FY11" s="134">
        <f>SUMIFS('WBS Summary'!IJ:IJ,'WBS Summary'!$B:$B, $B11, 'WBS Summary'!$AH:$AH, $C11,'WBS Summary'!$AJ:$AJ, $H11)</f>
        <v>0</v>
      </c>
      <c r="FZ11" s="134">
        <f>SUMIFS('WBS Summary'!IK:IK,'WBS Summary'!$B:$B, $B11, 'WBS Summary'!$AH:$AH, $C11,'WBS Summary'!$AJ:$AJ, $H11)</f>
        <v>0</v>
      </c>
      <c r="GA11" s="134">
        <f>SUMIFS('WBS Summary'!IL:IL,'WBS Summary'!$B:$B, $B11, 'WBS Summary'!$AH:$AH, $C11,'WBS Summary'!$AJ:$AJ, $H11)</f>
        <v>0</v>
      </c>
      <c r="GB11" s="134">
        <f>SUMIFS('WBS Summary'!IM:IM,'WBS Summary'!$B:$B, $B11, 'WBS Summary'!$AH:$AH, $C11,'WBS Summary'!$AJ:$AJ, $H11)</f>
        <v>0</v>
      </c>
      <c r="GC11" s="134">
        <f>SUMIFS('WBS Summary'!IN:IN,'WBS Summary'!$B:$B, $B11, 'WBS Summary'!$AH:$AH, $C11,'WBS Summary'!$AJ:$AJ, $H11)</f>
        <v>0</v>
      </c>
      <c r="GD11" s="134">
        <f>SUMIFS('WBS Summary'!IO:IO,'WBS Summary'!$B:$B, $B11, 'WBS Summary'!$AH:$AH, $C11,'WBS Summary'!$AJ:$AJ, $H11)</f>
        <v>0</v>
      </c>
      <c r="GE11" s="134">
        <f>SUMIFS('WBS Summary'!IP:IP,'WBS Summary'!$B:$B, $B11, 'WBS Summary'!$AH:$AH, $C11,'WBS Summary'!$AJ:$AJ, $H11)</f>
        <v>0</v>
      </c>
      <c r="GF11" s="134">
        <f>SUMIFS('WBS Summary'!IQ:IQ,'WBS Summary'!$B:$B, $B11, 'WBS Summary'!$AH:$AH, $C11,'WBS Summary'!$AJ:$AJ, $H11)</f>
        <v>0</v>
      </c>
      <c r="GG11" s="134">
        <f>SUMIFS('WBS Summary'!IR:IR,'WBS Summary'!$B:$B, $B11, 'WBS Summary'!$AH:$AH, $C11,'WBS Summary'!$AJ:$AJ, $H11)</f>
        <v>0</v>
      </c>
      <c r="GH11" s="134">
        <f>SUMIFS('WBS Summary'!IS:IS,'WBS Summary'!$B:$B, $B11, 'WBS Summary'!$AH:$AH, $C11,'WBS Summary'!$AJ:$AJ, $H11)</f>
        <v>0</v>
      </c>
      <c r="GI11" s="134">
        <f>SUMIFS('WBS Summary'!IT:IT,'WBS Summary'!$B:$B, $B11, 'WBS Summary'!$AH:$AH, $C11,'WBS Summary'!$AJ:$AJ, $H11)</f>
        <v>0</v>
      </c>
      <c r="GJ11" s="134">
        <f>SUMIFS('WBS Summary'!IU:IU,'WBS Summary'!$B:$B, $B11, 'WBS Summary'!$AH:$AH, $C11,'WBS Summary'!$AJ:$AJ, $H11)</f>
        <v>0</v>
      </c>
      <c r="GK11" s="134">
        <f>SUMIFS('WBS Summary'!IV:IV,'WBS Summary'!$B:$B, $B11, 'WBS Summary'!$AH:$AH, $C11,'WBS Summary'!$AJ:$AJ, $H11)</f>
        <v>0</v>
      </c>
      <c r="GL11" s="134">
        <f>SUMIFS('WBS Summary'!IW:IW,'WBS Summary'!$B:$B, $B11, 'WBS Summary'!$AH:$AH, $C11,'WBS Summary'!$AJ:$AJ, $H11)</f>
        <v>0</v>
      </c>
      <c r="GM11" s="134">
        <f>SUMIFS('WBS Summary'!IX:IX,'WBS Summary'!$B:$B, $B11, 'WBS Summary'!$AH:$AH, $C11,'WBS Summary'!$AJ:$AJ, $H11)</f>
        <v>0</v>
      </c>
      <c r="GN11" s="134">
        <f>SUMIFS('WBS Summary'!IY:IY,'WBS Summary'!$B:$B, $B11, 'WBS Summary'!$AH:$AH, $C11,'WBS Summary'!$AJ:$AJ, $H11)</f>
        <v>0</v>
      </c>
      <c r="GO11" s="134">
        <f>SUMIFS('WBS Summary'!IZ:IZ,'WBS Summary'!$B:$B, $B11, 'WBS Summary'!$AH:$AH, $C11,'WBS Summary'!$AJ:$AJ, $H11)</f>
        <v>0</v>
      </c>
      <c r="GP11" s="134">
        <f>SUMIFS('WBS Summary'!JA:JA,'WBS Summary'!$B:$B, $B11, 'WBS Summary'!$AH:$AH, $C11,'WBS Summary'!$AJ:$AJ, $H11)</f>
        <v>0</v>
      </c>
      <c r="GQ11" s="134">
        <f>SUMIFS('WBS Summary'!JB:JB,'WBS Summary'!$B:$B, $B11, 'WBS Summary'!$AH:$AH, $C11,'WBS Summary'!$AJ:$AJ, $H11)</f>
        <v>0</v>
      </c>
      <c r="GR11" s="134">
        <f>SUMIFS('WBS Summary'!JC:JC,'WBS Summary'!$B:$B, $B11, 'WBS Summary'!$AH:$AH, $C11,'WBS Summary'!$AJ:$AJ, $H11)</f>
        <v>0</v>
      </c>
      <c r="GS11" s="134">
        <f>SUMIFS('WBS Summary'!JD:JD,'WBS Summary'!$B:$B, $B11, 'WBS Summary'!$AH:$AH, $C11,'WBS Summary'!$AJ:$AJ, $H11)</f>
        <v>0</v>
      </c>
      <c r="GT11" s="134">
        <f>SUMIFS('WBS Summary'!JE:JE,'WBS Summary'!$B:$B, $B11, 'WBS Summary'!$AH:$AH, $C11,'WBS Summary'!$AJ:$AJ, $H11)</f>
        <v>0</v>
      </c>
      <c r="GU11" s="134">
        <f>SUMIFS('WBS Summary'!JF:JF,'WBS Summary'!$B:$B, $B11, 'WBS Summary'!$AH:$AH, $C11,'WBS Summary'!$AJ:$AJ, $H11)</f>
        <v>0</v>
      </c>
      <c r="GV11" s="134">
        <f>SUMIFS('WBS Summary'!JG:JG,'WBS Summary'!$B:$B, $B11, 'WBS Summary'!$AH:$AH, $C11,'WBS Summary'!$AJ:$AJ, $H11)</f>
        <v>0</v>
      </c>
      <c r="GW11" s="134">
        <f>SUMIFS('WBS Summary'!JH:JH,'WBS Summary'!$B:$B, $B11, 'WBS Summary'!$AH:$AH, $C11,'WBS Summary'!$AJ:$AJ, $H11)</f>
        <v>0</v>
      </c>
      <c r="GX11" s="134">
        <f>SUMIFS('WBS Summary'!JI:JI,'WBS Summary'!$B:$B, $B11, 'WBS Summary'!$AH:$AH, $C11,'WBS Summary'!$AJ:$AJ, $H11)</f>
        <v>0</v>
      </c>
      <c r="GY11" s="134">
        <f>SUMIFS('WBS Summary'!JJ:JJ,'WBS Summary'!$B:$B, $B11, 'WBS Summary'!$AH:$AH, $C11,'WBS Summary'!$AJ:$AJ, $H11)</f>
        <v>0</v>
      </c>
      <c r="GZ11" s="134">
        <f>SUMIFS('WBS Summary'!JK:JK,'WBS Summary'!$B:$B, $B11, 'WBS Summary'!$AH:$AH, $C11,'WBS Summary'!$AJ:$AJ, $H11)</f>
        <v>0</v>
      </c>
      <c r="HA11" s="134">
        <f>SUMIFS('WBS Summary'!JL:JL,'WBS Summary'!$B:$B, $B11, 'WBS Summary'!$AH:$AH, $C11,'WBS Summary'!$AJ:$AJ, $H11)</f>
        <v>0</v>
      </c>
      <c r="HB11" s="134">
        <f>SUMIFS('WBS Summary'!JM:JM,'WBS Summary'!$B:$B, $B11, 'WBS Summary'!$AH:$AH, $C11,'WBS Summary'!$AJ:$AJ, $H11)</f>
        <v>0</v>
      </c>
      <c r="HC11"/>
    </row>
    <row r="12" spans="1:211" s="194" customFormat="1" outlineLevel="2">
      <c r="A12" s="220"/>
      <c r="B12" s="284" t="s">
        <v>475</v>
      </c>
      <c r="C12" s="227" t="s">
        <v>73</v>
      </c>
      <c r="D12" s="352"/>
      <c r="E12" s="352"/>
      <c r="F12" s="224">
        <f t="shared" si="6"/>
        <v>0</v>
      </c>
      <c r="G12" s="224">
        <f t="shared" si="7"/>
        <v>0</v>
      </c>
      <c r="H12" s="233" t="s">
        <v>344</v>
      </c>
      <c r="I12"/>
      <c r="J12" s="134">
        <f>SUMIFS('WBS Summary'!BD:BD,'WBS Summary'!$B:$B, $B12, 'WBS Summary'!$AH:$AH, $C12,'WBS Summary'!$AJ:$AJ, $H12)</f>
        <v>0</v>
      </c>
      <c r="K12" s="134">
        <f>SUMIFS('WBS Summary'!BE:BE,'WBS Summary'!$B:$B, $B12, 'WBS Summary'!$AH:$AH, $C12,'WBS Summary'!$AJ:$AJ, $H12)</f>
        <v>0</v>
      </c>
      <c r="L12" s="134">
        <f>SUMIFS('WBS Summary'!BF:BF,'WBS Summary'!$B:$B, $B12, 'WBS Summary'!$AH:$AH, $C12,'WBS Summary'!$AJ:$AJ, $H12)</f>
        <v>0</v>
      </c>
      <c r="M12" s="134">
        <f>SUMIFS('WBS Summary'!BG:BG,'WBS Summary'!$B:$B, $B12, 'WBS Summary'!$AH:$AH, $C12,'WBS Summary'!$AJ:$AJ, $H12)</f>
        <v>0</v>
      </c>
      <c r="N12" s="134">
        <f>SUMIFS('WBS Summary'!BH:BH,'WBS Summary'!$B:$B, $B12, 'WBS Summary'!$AH:$AH, $C12,'WBS Summary'!$AJ:$AJ, $H12)</f>
        <v>0</v>
      </c>
      <c r="O12" s="134">
        <f>SUMIFS('WBS Summary'!BI:BI,'WBS Summary'!$B:$B, $B12, 'WBS Summary'!$AH:$AH, $C12,'WBS Summary'!$AJ:$AJ, $H12)</f>
        <v>0</v>
      </c>
      <c r="P12" s="134">
        <f>SUMIFS('WBS Summary'!BJ:BJ,'WBS Summary'!$B:$B, $B12, 'WBS Summary'!$AH:$AH, $C12,'WBS Summary'!$AJ:$AJ, $H12)</f>
        <v>0</v>
      </c>
      <c r="Q12" s="134">
        <f>SUMIFS('WBS Summary'!BK:BK,'WBS Summary'!$B:$B, $B12, 'WBS Summary'!$AH:$AH, $C12,'WBS Summary'!$AJ:$AJ, $H12)</f>
        <v>0</v>
      </c>
      <c r="R12" s="134">
        <f>SUMIFS('WBS Summary'!BL:BL,'WBS Summary'!$B:$B, $B12, 'WBS Summary'!$AH:$AH, $C12,'WBS Summary'!$AJ:$AJ, $H12)</f>
        <v>0</v>
      </c>
      <c r="S12" s="134">
        <f>SUMIFS('WBS Summary'!BM:BM,'WBS Summary'!$B:$B, $B12, 'WBS Summary'!$AH:$AH, $C12,'WBS Summary'!$AJ:$AJ, $H12)</f>
        <v>0</v>
      </c>
      <c r="T12" s="134">
        <f>SUMIFS('WBS Summary'!BN:BN,'WBS Summary'!$B:$B, $B12, 'WBS Summary'!$AH:$AH, $C12,'WBS Summary'!$AJ:$AJ, $H12)</f>
        <v>0</v>
      </c>
      <c r="U12" s="134">
        <f>SUMIFS('WBS Summary'!BO:BO,'WBS Summary'!$B:$B, $B12, 'WBS Summary'!$AH:$AH, $C12,'WBS Summary'!$AJ:$AJ, $H12)</f>
        <v>0</v>
      </c>
      <c r="V12" s="134">
        <f>SUMIFS('WBS Summary'!BP:BP,'WBS Summary'!$B:$B, $B12, 'WBS Summary'!$AH:$AH, $C12,'WBS Summary'!$AJ:$AJ, $H12)</f>
        <v>0</v>
      </c>
      <c r="W12" s="134">
        <f>SUMIFS('WBS Summary'!BQ:BQ,'WBS Summary'!$B:$B, $B12, 'WBS Summary'!$AH:$AH, $C12,'WBS Summary'!$AJ:$AJ, $H12)</f>
        <v>0</v>
      </c>
      <c r="X12" s="134">
        <f>SUMIFS('WBS Summary'!BR:BR,'WBS Summary'!$B:$B, $B12, 'WBS Summary'!$AH:$AH, $C12,'WBS Summary'!$AJ:$AJ, $H12)</f>
        <v>0</v>
      </c>
      <c r="Y12" s="134">
        <f>SUMIFS('WBS Summary'!BS:BS,'WBS Summary'!$B:$B, $B12, 'WBS Summary'!$AH:$AH, $C12,'WBS Summary'!$AJ:$AJ, $H12)</f>
        <v>0</v>
      </c>
      <c r="Z12" s="134">
        <f>SUMIFS('WBS Summary'!BT:BT,'WBS Summary'!$B:$B, $B12, 'WBS Summary'!$AH:$AH, $C12,'WBS Summary'!$AJ:$AJ, $H12)</f>
        <v>0</v>
      </c>
      <c r="AA12" s="134">
        <f>SUMIFS('WBS Summary'!BU:BU,'WBS Summary'!$B:$B, $B12, 'WBS Summary'!$AH:$AH, $C12,'WBS Summary'!$AJ:$AJ, $H12)</f>
        <v>0</v>
      </c>
      <c r="AB12" s="134">
        <f>SUMIFS('WBS Summary'!BV:BV,'WBS Summary'!$B:$B, $B12, 'WBS Summary'!$AH:$AH, $C12,'WBS Summary'!$AJ:$AJ, $H12)</f>
        <v>0</v>
      </c>
      <c r="AC12" s="134">
        <f>SUMIFS('WBS Summary'!BW:BW,'WBS Summary'!$B:$B, $B12, 'WBS Summary'!$AH:$AH, $C12,'WBS Summary'!$AJ:$AJ, $H12)</f>
        <v>0</v>
      </c>
      <c r="AD12" s="134">
        <f>SUMIFS('WBS Summary'!BX:BX,'WBS Summary'!$B:$B, $B12, 'WBS Summary'!$AH:$AH, $C12,'WBS Summary'!$AJ:$AJ, $H12)</f>
        <v>0</v>
      </c>
      <c r="AE12" s="134">
        <f>SUMIFS('WBS Summary'!BY:BY,'WBS Summary'!$B:$B, $B12, 'WBS Summary'!$AH:$AH, $C12,'WBS Summary'!$AJ:$AJ, $H12)</f>
        <v>0</v>
      </c>
      <c r="AF12" s="134">
        <f>SUMIFS('WBS Summary'!BZ:BZ,'WBS Summary'!$B:$B, $B12, 'WBS Summary'!$AH:$AH, $C12,'WBS Summary'!$AJ:$AJ, $H12)</f>
        <v>0</v>
      </c>
      <c r="AG12" s="134">
        <f>SUMIFS('WBS Summary'!CA:CA,'WBS Summary'!$B:$B, $B12, 'WBS Summary'!$AH:$AH, $C12,'WBS Summary'!$AJ:$AJ, $H12)</f>
        <v>0</v>
      </c>
      <c r="AH12" s="134">
        <f>SUMIFS('WBS Summary'!CB:CB,'WBS Summary'!$B:$B, $B12, 'WBS Summary'!$AH:$AH, $C12,'WBS Summary'!$AJ:$AJ, $H12)</f>
        <v>0</v>
      </c>
      <c r="AI12" s="134">
        <f>SUMIFS('WBS Summary'!CC:CC,'WBS Summary'!$B:$B, $B12, 'WBS Summary'!$AH:$AH, $C12,'WBS Summary'!$AJ:$AJ, $H12)</f>
        <v>0</v>
      </c>
      <c r="AJ12" s="134">
        <f>SUMIFS('WBS Summary'!CD:CD,'WBS Summary'!$B:$B, $B12, 'WBS Summary'!$AH:$AH, $C12,'WBS Summary'!$AJ:$AJ, $H12)</f>
        <v>0</v>
      </c>
      <c r="AK12" s="134">
        <f>SUMIFS('WBS Summary'!CE:CE,'WBS Summary'!$B:$B, $B12, 'WBS Summary'!$AH:$AH, $C12,'WBS Summary'!$AJ:$AJ, $H12)</f>
        <v>0</v>
      </c>
      <c r="AL12" s="134">
        <f>SUMIFS('WBS Summary'!CF:CF,'WBS Summary'!$B:$B, $B12, 'WBS Summary'!$AH:$AH, $C12,'WBS Summary'!$AJ:$AJ, $H12)</f>
        <v>0</v>
      </c>
      <c r="AM12" s="134">
        <f>SUMIFS('WBS Summary'!CG:CG,'WBS Summary'!$B:$B, $B12, 'WBS Summary'!$AH:$AH, $C12,'WBS Summary'!$AJ:$AJ, $H12)</f>
        <v>0</v>
      </c>
      <c r="AN12" s="134">
        <f>SUMIFS('WBS Summary'!CH:CH,'WBS Summary'!$B:$B, $B12, 'WBS Summary'!$AH:$AH, $C12,'WBS Summary'!$AJ:$AJ, $H12)</f>
        <v>0</v>
      </c>
      <c r="AO12" s="134">
        <f>SUMIFS('WBS Summary'!CI:CI,'WBS Summary'!$B:$B, $B12, 'WBS Summary'!$AH:$AH, $C12,'WBS Summary'!$AJ:$AJ, $H12)</f>
        <v>0</v>
      </c>
      <c r="AP12" s="134">
        <f>SUMIFS('WBS Summary'!CJ:CJ,'WBS Summary'!$B:$B, $B12, 'WBS Summary'!$AH:$AH, $C12,'WBS Summary'!$AJ:$AJ, $H12)</f>
        <v>0</v>
      </c>
      <c r="AQ12" s="134">
        <f>SUMIFS('WBS Summary'!CK:CK,'WBS Summary'!$B:$B, $B12, 'WBS Summary'!$AH:$AH, $C12,'WBS Summary'!$AJ:$AJ, $H12)</f>
        <v>0</v>
      </c>
      <c r="AR12" s="134">
        <f>SUMIFS('WBS Summary'!CL:CL,'WBS Summary'!$B:$B, $B12, 'WBS Summary'!$AH:$AH, $C12,'WBS Summary'!$AJ:$AJ, $H12)</f>
        <v>0</v>
      </c>
      <c r="AS12" s="134">
        <f>SUMIFS('WBS Summary'!CM:CM,'WBS Summary'!$B:$B, $B12, 'WBS Summary'!$AH:$AH, $C12,'WBS Summary'!$AJ:$AJ, $H12)</f>
        <v>0</v>
      </c>
      <c r="AT12" s="134">
        <f>SUMIFS('WBS Summary'!CN:CN,'WBS Summary'!$B:$B, $B12, 'WBS Summary'!$AH:$AH, $C12,'WBS Summary'!$AJ:$AJ, $H12)</f>
        <v>0</v>
      </c>
      <c r="AU12" s="134">
        <f>SUMIFS('WBS Summary'!CO:CO,'WBS Summary'!$B:$B, $B12, 'WBS Summary'!$AH:$AH, $C12,'WBS Summary'!$AJ:$AJ, $H12)</f>
        <v>0</v>
      </c>
      <c r="AV12" s="134">
        <f>SUMIFS('WBS Summary'!CP:CP,'WBS Summary'!$B:$B, $B12, 'WBS Summary'!$AH:$AH, $C12,'WBS Summary'!$AJ:$AJ, $H12)</f>
        <v>0</v>
      </c>
      <c r="AW12" s="134">
        <f>SUMIFS('WBS Summary'!CQ:CQ,'WBS Summary'!$B:$B, $B12, 'WBS Summary'!$AH:$AH, $C12,'WBS Summary'!$AJ:$AJ, $H12)</f>
        <v>0</v>
      </c>
      <c r="AX12" s="134">
        <f>SUMIFS('WBS Summary'!CR:CR,'WBS Summary'!$B:$B, $B12, 'WBS Summary'!$AH:$AH, $C12,'WBS Summary'!$AJ:$AJ, $H12)</f>
        <v>0</v>
      </c>
      <c r="AY12" s="134">
        <f>SUMIFS('WBS Summary'!CS:CS,'WBS Summary'!$B:$B, $B12, 'WBS Summary'!$AH:$AH, $C12,'WBS Summary'!$AJ:$AJ, $H12)</f>
        <v>0</v>
      </c>
      <c r="AZ12" s="134">
        <f>SUMIFS('WBS Summary'!CT:CT,'WBS Summary'!$B:$B, $B12, 'WBS Summary'!$AH:$AH, $C12,'WBS Summary'!$AJ:$AJ, $H12)</f>
        <v>0</v>
      </c>
      <c r="BA12" s="134">
        <f>SUMIFS('WBS Summary'!CU:CU,'WBS Summary'!$B:$B, $B12, 'WBS Summary'!$AH:$AH, $C12,'WBS Summary'!$AJ:$AJ, $H12)</f>
        <v>0</v>
      </c>
      <c r="BB12" s="134">
        <f>SUMIFS('WBS Summary'!CV:CV,'WBS Summary'!$B:$B, $B12, 'WBS Summary'!$AH:$AH, $C12,'WBS Summary'!$AJ:$AJ, $H12)</f>
        <v>0</v>
      </c>
      <c r="BC12" s="134">
        <f>SUMIFS('WBS Summary'!CW:CW,'WBS Summary'!$B:$B, $B12, 'WBS Summary'!$AH:$AH, $C12,'WBS Summary'!$AJ:$AJ, $H12)</f>
        <v>0</v>
      </c>
      <c r="BD12" s="134">
        <f>SUMIFS('WBS Summary'!CX:CX,'WBS Summary'!$B:$B, $B12, 'WBS Summary'!$AH:$AH, $C12,'WBS Summary'!$AJ:$AJ, $H12)</f>
        <v>0</v>
      </c>
      <c r="BE12" s="134">
        <f>SUMIFS('WBS Summary'!CY:CY,'WBS Summary'!$B:$B, $B12, 'WBS Summary'!$AH:$AH, $C12,'WBS Summary'!$AJ:$AJ, $H12)</f>
        <v>0</v>
      </c>
      <c r="BF12" s="134">
        <f>SUMIFS('WBS Summary'!CZ:CZ,'WBS Summary'!$B:$B, $B12, 'WBS Summary'!$AH:$AH, $C12,'WBS Summary'!$AJ:$AJ, $H12)</f>
        <v>0</v>
      </c>
      <c r="BG12" s="134">
        <f>SUMIFS('WBS Summary'!DA:DA,'WBS Summary'!$B:$B, $B12, 'WBS Summary'!$AH:$AH, $C12,'WBS Summary'!$AJ:$AJ, $H12)</f>
        <v>0</v>
      </c>
      <c r="BH12" s="134">
        <f>SUMIFS('WBS Summary'!DB:DB,'WBS Summary'!$B:$B, $B12, 'WBS Summary'!$AH:$AH, $C12,'WBS Summary'!$AJ:$AJ, $H12)</f>
        <v>0</v>
      </c>
      <c r="BI12" s="134">
        <f>SUMIFS('WBS Summary'!DC:DC,'WBS Summary'!$B:$B, $B12, 'WBS Summary'!$AH:$AH, $C12,'WBS Summary'!$AJ:$AJ, $H12)</f>
        <v>0</v>
      </c>
      <c r="BJ12" s="134">
        <f>SUMIFS('WBS Summary'!DD:DD,'WBS Summary'!$B:$B, $B12, 'WBS Summary'!$AH:$AH, $C12,'WBS Summary'!$AJ:$AJ, $H12)</f>
        <v>0</v>
      </c>
      <c r="BK12" s="134">
        <f>SUMIFS('WBS Summary'!DE:DE,'WBS Summary'!$B:$B, $B12, 'WBS Summary'!$AH:$AH, $C12,'WBS Summary'!$AJ:$AJ, $H12)</f>
        <v>0</v>
      </c>
      <c r="BL12" s="134">
        <f>SUMIFS('WBS Summary'!DF:DF,'WBS Summary'!$B:$B, $B12, 'WBS Summary'!$AH:$AH, $C12,'WBS Summary'!$AJ:$AJ, $H12)</f>
        <v>0</v>
      </c>
      <c r="BM12" s="134">
        <f>SUMIFS('WBS Summary'!DG:DG,'WBS Summary'!$B:$B, $B12, 'WBS Summary'!$AH:$AH, $C12,'WBS Summary'!$AJ:$AJ, $H12)</f>
        <v>0</v>
      </c>
      <c r="BN12" s="134">
        <f>SUMIFS('WBS Summary'!DH:DH,'WBS Summary'!$B:$B, $B12, 'WBS Summary'!$AH:$AH, $C12,'WBS Summary'!$AJ:$AJ, $H12)</f>
        <v>0</v>
      </c>
      <c r="BO12" s="134">
        <f>SUMIFS('WBS Summary'!DI:DI,'WBS Summary'!$B:$B, $B12, 'WBS Summary'!$AH:$AH, $C12,'WBS Summary'!$AJ:$AJ, $H12)</f>
        <v>0</v>
      </c>
      <c r="BP12" s="134">
        <f>SUMIFS('WBS Summary'!DJ:DJ,'WBS Summary'!$B:$B, $B12, 'WBS Summary'!$AH:$AH, $C12,'WBS Summary'!$AJ:$AJ, $H12)</f>
        <v>0</v>
      </c>
      <c r="BQ12" s="134">
        <f>SUMIFS('WBS Summary'!DK:DK,'WBS Summary'!$B:$B, $B12, 'WBS Summary'!$AH:$AH, $C12,'WBS Summary'!$AJ:$AJ, $H12)</f>
        <v>0</v>
      </c>
      <c r="BR12" s="134">
        <f>SUMIFS('WBS Summary'!DL:DL,'WBS Summary'!$B:$B, $B12, 'WBS Summary'!$AH:$AH, $C12,'WBS Summary'!$AJ:$AJ, $H12)</f>
        <v>0</v>
      </c>
      <c r="BS12" s="134">
        <f>SUMIFS('WBS Summary'!DM:DM,'WBS Summary'!$B:$B, $B12, 'WBS Summary'!$AH:$AH, $C12,'WBS Summary'!$AJ:$AJ, $H12)</f>
        <v>0</v>
      </c>
      <c r="BT12" s="134">
        <f>SUMIFS('WBS Summary'!DN:DN,'WBS Summary'!$B:$B, $B12, 'WBS Summary'!$AH:$AH, $C12,'WBS Summary'!$AJ:$AJ, $H12)</f>
        <v>0</v>
      </c>
      <c r="BU12" s="134">
        <f>SUMIFS('WBS Summary'!DO:DO,'WBS Summary'!$B:$B, $B12, 'WBS Summary'!$AH:$AH, $C12,'WBS Summary'!$AJ:$AJ, $H12)</f>
        <v>0</v>
      </c>
      <c r="BV12" s="134">
        <f>SUMIFS('WBS Summary'!DP:DP,'WBS Summary'!$B:$B, $B12, 'WBS Summary'!$AH:$AH, $C12,'WBS Summary'!$AJ:$AJ, $H12)</f>
        <v>0</v>
      </c>
      <c r="BW12" s="134">
        <f>SUMIFS('WBS Summary'!DQ:DQ,'WBS Summary'!$B:$B, $B12, 'WBS Summary'!$AH:$AH, $C12,'WBS Summary'!$AJ:$AJ, $H12)</f>
        <v>0</v>
      </c>
      <c r="BX12" s="134">
        <f>SUMIFS('WBS Summary'!DR:DR,'WBS Summary'!$B:$B, $B12, 'WBS Summary'!$AH:$AH, $C12,'WBS Summary'!$AJ:$AJ, $H12)</f>
        <v>0</v>
      </c>
      <c r="BY12" s="134">
        <f>SUMIFS('WBS Summary'!DS:DS,'WBS Summary'!$B:$B, $B12, 'WBS Summary'!$AH:$AH, $C12,'WBS Summary'!$AJ:$AJ, $H12)</f>
        <v>0</v>
      </c>
      <c r="BZ12" s="134">
        <f>SUMIFS('WBS Summary'!DT:DT,'WBS Summary'!$B:$B, $B12, 'WBS Summary'!$AH:$AH, $C12,'WBS Summary'!$AJ:$AJ, $H12)</f>
        <v>0</v>
      </c>
      <c r="CA12" s="134">
        <f>SUMIFS('WBS Summary'!DU:DU,'WBS Summary'!$B:$B, $B12, 'WBS Summary'!$AH:$AH, $C12,'WBS Summary'!$AJ:$AJ, $H12)</f>
        <v>0</v>
      </c>
      <c r="CB12" s="134">
        <f>SUMIFS('WBS Summary'!DV:DV,'WBS Summary'!$B:$B, $B12, 'WBS Summary'!$AH:$AH, $C12,'WBS Summary'!$AJ:$AJ, $H12)</f>
        <v>0</v>
      </c>
      <c r="CC12" s="134">
        <f>SUMIFS('WBS Summary'!DW:DW,'WBS Summary'!$B:$B, $B12, 'WBS Summary'!$AH:$AH, $C12,'WBS Summary'!$AJ:$AJ, $H12)</f>
        <v>0</v>
      </c>
      <c r="CD12" s="134">
        <f>SUMIFS('WBS Summary'!DX:DX,'WBS Summary'!$B:$B, $B12, 'WBS Summary'!$AH:$AH, $C12,'WBS Summary'!$AJ:$AJ, $H12)</f>
        <v>0</v>
      </c>
      <c r="CE12" s="134">
        <f>SUMIFS('WBS Summary'!DY:DY,'WBS Summary'!$B:$B, $B12, 'WBS Summary'!$AH:$AH, $C12,'WBS Summary'!$AJ:$AJ, $H12)</f>
        <v>0</v>
      </c>
      <c r="CF12" s="134">
        <f>SUMIFS('WBS Summary'!DZ:DZ,'WBS Summary'!$B:$B, $B12, 'WBS Summary'!$AH:$AH, $C12,'WBS Summary'!$AJ:$AJ, $H12)</f>
        <v>0</v>
      </c>
      <c r="CG12" s="134">
        <f>SUMIFS('WBS Summary'!EA:EA,'WBS Summary'!$B:$B, $B12, 'WBS Summary'!$AH:$AH, $C12,'WBS Summary'!$AJ:$AJ, $H12)</f>
        <v>0</v>
      </c>
      <c r="CH12" s="134">
        <f>SUMIFS('WBS Summary'!EB:EB,'WBS Summary'!$B:$B, $B12, 'WBS Summary'!$AH:$AH, $C12,'WBS Summary'!$AJ:$AJ, $H12)</f>
        <v>0</v>
      </c>
      <c r="CI12" s="134">
        <f>SUMIFS('WBS Summary'!EC:EC,'WBS Summary'!$B:$B, $B12, 'WBS Summary'!$AH:$AH, $C12,'WBS Summary'!$AJ:$AJ, $H12)</f>
        <v>0</v>
      </c>
      <c r="CJ12" s="134">
        <f>SUMIFS('WBS Summary'!ED:ED,'WBS Summary'!$B:$B, $B12, 'WBS Summary'!$AH:$AH, $C12,'WBS Summary'!$AJ:$AJ, $H12)</f>
        <v>0</v>
      </c>
      <c r="CK12" s="134">
        <f>SUMIFS('WBS Summary'!EE:EE,'WBS Summary'!$B:$B, $B12, 'WBS Summary'!$AH:$AH, $C12,'WBS Summary'!$AJ:$AJ, $H12)</f>
        <v>0</v>
      </c>
      <c r="CL12" s="134">
        <f>SUMIFS('WBS Summary'!EF:EF,'WBS Summary'!$B:$B, $B12, 'WBS Summary'!$AH:$AH, $C12,'WBS Summary'!$AJ:$AJ, $H12)</f>
        <v>0</v>
      </c>
      <c r="CM12" s="134">
        <f>SUMIFS('WBS Summary'!EG:EG,'WBS Summary'!$B:$B, $B12, 'WBS Summary'!$AH:$AH, $C12,'WBS Summary'!$AJ:$AJ, $H12)</f>
        <v>0</v>
      </c>
      <c r="CN12" s="134">
        <f>SUMIFS('WBS Summary'!EH:EH,'WBS Summary'!$B:$B, $B12, 'WBS Summary'!$AH:$AH, $C12,'WBS Summary'!$AJ:$AJ, $H12)</f>
        <v>0</v>
      </c>
      <c r="CO12" s="134">
        <f>SUMIFS('WBS Summary'!EI:EI,'WBS Summary'!$B:$B, $B12, 'WBS Summary'!$AH:$AH, $C12,'WBS Summary'!$AJ:$AJ, $H12)</f>
        <v>0</v>
      </c>
      <c r="CP12" s="134">
        <f>SUMIFS('WBS Summary'!EJ:EJ,'WBS Summary'!$B:$B, $B12, 'WBS Summary'!$AH:$AH, $C12,'WBS Summary'!$AJ:$AJ, $H12)</f>
        <v>0</v>
      </c>
      <c r="CQ12" s="134">
        <f>SUMIFS('WBS Summary'!EK:EK,'WBS Summary'!$B:$B, $B12, 'WBS Summary'!$AH:$AH, $C12,'WBS Summary'!$AJ:$AJ, $H12)</f>
        <v>0</v>
      </c>
      <c r="CR12" s="134">
        <f>SUMIFS('WBS Summary'!EL:EL,'WBS Summary'!$B:$B, $B12, 'WBS Summary'!$AH:$AH, $C12,'WBS Summary'!$AJ:$AJ, $H12)</f>
        <v>0</v>
      </c>
      <c r="CS12" s="134">
        <f>SUMIFS('WBS Summary'!EM:EM,'WBS Summary'!$B:$B, $B12, 'WBS Summary'!$AH:$AH, $C12,'WBS Summary'!$AJ:$AJ, $H12)</f>
        <v>0</v>
      </c>
      <c r="CT12" s="134">
        <f>SUMIFS('WBS Summary'!EN:EN,'WBS Summary'!$B:$B, $B12, 'WBS Summary'!$AH:$AH, $C12,'WBS Summary'!$AJ:$AJ, $H12)</f>
        <v>0</v>
      </c>
      <c r="CU12" s="134">
        <f>SUMIFS('WBS Summary'!EO:EO,'WBS Summary'!$B:$B, $B12, 'WBS Summary'!$AH:$AH, $C12,'WBS Summary'!$AJ:$AJ, $H12)</f>
        <v>0</v>
      </c>
      <c r="CV12" s="134">
        <f>SUMIFS('WBS Summary'!EP:EP,'WBS Summary'!$B:$B, $B12, 'WBS Summary'!$AH:$AH, $C12,'WBS Summary'!$AJ:$AJ, $H12)</f>
        <v>0</v>
      </c>
      <c r="CW12" s="134">
        <f>SUMIFS('WBS Summary'!EQ:EQ,'WBS Summary'!$B:$B, $B12, 'WBS Summary'!$AH:$AH, $C12,'WBS Summary'!$AJ:$AJ, $H12)</f>
        <v>0</v>
      </c>
      <c r="CX12" s="134">
        <f>SUMIFS('WBS Summary'!ER:ER,'WBS Summary'!$B:$B, $B12, 'WBS Summary'!$AH:$AH, $C12,'WBS Summary'!$AJ:$AJ, $H12)</f>
        <v>0</v>
      </c>
      <c r="CY12" s="134">
        <f>SUMIFS('WBS Summary'!ES:ES,'WBS Summary'!$B:$B, $B12, 'WBS Summary'!$AH:$AH, $C12,'WBS Summary'!$AJ:$AJ, $H12)</f>
        <v>0</v>
      </c>
      <c r="CZ12" s="134">
        <f>SUMIFS('WBS Summary'!ET:ET,'WBS Summary'!$B:$B, $B12, 'WBS Summary'!$AH:$AH, $C12,'WBS Summary'!$AJ:$AJ, $H12)</f>
        <v>0</v>
      </c>
      <c r="DA12" s="134">
        <f>SUMIFS('WBS Summary'!EU:EU,'WBS Summary'!$B:$B, $B12, 'WBS Summary'!$AH:$AH, $C12,'WBS Summary'!$AJ:$AJ, $H12)</f>
        <v>0</v>
      </c>
      <c r="DB12" s="134">
        <f>SUMIFS('WBS Summary'!EV:EV,'WBS Summary'!$B:$B, $B12, 'WBS Summary'!$AH:$AH, $C12,'WBS Summary'!$AJ:$AJ, $H12)</f>
        <v>0</v>
      </c>
      <c r="DC12" s="134">
        <f>SUMIFS('WBS Summary'!EW:EW,'WBS Summary'!$B:$B, $B12, 'WBS Summary'!$AH:$AH, $C12,'WBS Summary'!$AJ:$AJ, $H12)</f>
        <v>0</v>
      </c>
      <c r="DD12" s="134">
        <f>SUMIFS('WBS Summary'!EX:EX,'WBS Summary'!$B:$B, $B12, 'WBS Summary'!$AH:$AH, $C12,'WBS Summary'!$AJ:$AJ, $H12)</f>
        <v>0</v>
      </c>
      <c r="DE12" s="134">
        <f>SUMIFS('WBS Summary'!EY:EY,'WBS Summary'!$B:$B, $B12, 'WBS Summary'!$AH:$AH, $C12,'WBS Summary'!$AJ:$AJ, $H12)</f>
        <v>0</v>
      </c>
      <c r="DF12"/>
      <c r="DG12" s="134">
        <f>SUMIFS('WBS Summary'!FR:FR,'WBS Summary'!$B:$B, $B12, 'WBS Summary'!$AH:$AH, $C12,'WBS Summary'!$AJ:$AJ, $H12)</f>
        <v>0</v>
      </c>
      <c r="DH12" s="134">
        <f>SUMIFS('WBS Summary'!FS:FS,'WBS Summary'!$B:$B, $B12, 'WBS Summary'!$AH:$AH, $C12,'WBS Summary'!$AJ:$AJ, $H12)</f>
        <v>0</v>
      </c>
      <c r="DI12" s="134">
        <f>SUMIFS('WBS Summary'!FT:FT,'WBS Summary'!$B:$B, $B12, 'WBS Summary'!$AH:$AH, $C12,'WBS Summary'!$AJ:$AJ, $H12)</f>
        <v>0</v>
      </c>
      <c r="DJ12" s="134">
        <f>SUMIFS('WBS Summary'!FU:FU,'WBS Summary'!$B:$B, $B12, 'WBS Summary'!$AH:$AH, $C12,'WBS Summary'!$AJ:$AJ, $H12)</f>
        <v>0</v>
      </c>
      <c r="DK12" s="134">
        <f>SUMIFS('WBS Summary'!FV:FV,'WBS Summary'!$B:$B, $B12, 'WBS Summary'!$AH:$AH, $C12,'WBS Summary'!$AJ:$AJ, $H12)</f>
        <v>0</v>
      </c>
      <c r="DL12" s="134">
        <f>SUMIFS('WBS Summary'!FW:FW,'WBS Summary'!$B:$B, $B12, 'WBS Summary'!$AH:$AH, $C12,'WBS Summary'!$AJ:$AJ, $H12)</f>
        <v>0</v>
      </c>
      <c r="DM12" s="134">
        <f>SUMIFS('WBS Summary'!FX:FX,'WBS Summary'!$B:$B, $B12, 'WBS Summary'!$AH:$AH, $C12,'WBS Summary'!$AJ:$AJ, $H12)</f>
        <v>0</v>
      </c>
      <c r="DN12" s="134">
        <f>SUMIFS('WBS Summary'!FY:FY,'WBS Summary'!$B:$B, $B12, 'WBS Summary'!$AH:$AH, $C12,'WBS Summary'!$AJ:$AJ, $H12)</f>
        <v>0</v>
      </c>
      <c r="DO12" s="134">
        <f>SUMIFS('WBS Summary'!FZ:FZ,'WBS Summary'!$B:$B, $B12, 'WBS Summary'!$AH:$AH, $C12,'WBS Summary'!$AJ:$AJ, $H12)</f>
        <v>0</v>
      </c>
      <c r="DP12" s="134">
        <f>SUMIFS('WBS Summary'!GA:GA,'WBS Summary'!$B:$B, $B12, 'WBS Summary'!$AH:$AH, $C12,'WBS Summary'!$AJ:$AJ, $H12)</f>
        <v>0</v>
      </c>
      <c r="DQ12" s="134">
        <f>SUMIFS('WBS Summary'!GB:GB,'WBS Summary'!$B:$B, $B12, 'WBS Summary'!$AH:$AH, $C12,'WBS Summary'!$AJ:$AJ, $H12)</f>
        <v>0</v>
      </c>
      <c r="DR12" s="134">
        <f>SUMIFS('WBS Summary'!GC:GC,'WBS Summary'!$B:$B, $B12, 'WBS Summary'!$AH:$AH, $C12,'WBS Summary'!$AJ:$AJ, $H12)</f>
        <v>0</v>
      </c>
      <c r="DS12" s="134">
        <f>SUMIFS('WBS Summary'!GD:GD,'WBS Summary'!$B:$B, $B12, 'WBS Summary'!$AH:$AH, $C12,'WBS Summary'!$AJ:$AJ, $H12)</f>
        <v>0</v>
      </c>
      <c r="DT12" s="134">
        <f>SUMIFS('WBS Summary'!GE:GE,'WBS Summary'!$B:$B, $B12, 'WBS Summary'!$AH:$AH, $C12,'WBS Summary'!$AJ:$AJ, $H12)</f>
        <v>0</v>
      </c>
      <c r="DU12" s="134">
        <f>SUMIFS('WBS Summary'!GF:GF,'WBS Summary'!$B:$B, $B12, 'WBS Summary'!$AH:$AH, $C12,'WBS Summary'!$AJ:$AJ, $H12)</f>
        <v>0</v>
      </c>
      <c r="DV12" s="134">
        <f>SUMIFS('WBS Summary'!GG:GG,'WBS Summary'!$B:$B, $B12, 'WBS Summary'!$AH:$AH, $C12,'WBS Summary'!$AJ:$AJ, $H12)</f>
        <v>0</v>
      </c>
      <c r="DW12" s="134">
        <f>SUMIFS('WBS Summary'!GH:GH,'WBS Summary'!$B:$B, $B12, 'WBS Summary'!$AH:$AH, $C12,'WBS Summary'!$AJ:$AJ, $H12)</f>
        <v>0</v>
      </c>
      <c r="DX12" s="134">
        <f>SUMIFS('WBS Summary'!GI:GI,'WBS Summary'!$B:$B, $B12, 'WBS Summary'!$AH:$AH, $C12,'WBS Summary'!$AJ:$AJ, $H12)</f>
        <v>0</v>
      </c>
      <c r="DY12" s="134">
        <f>SUMIFS('WBS Summary'!GJ:GJ,'WBS Summary'!$B:$B, $B12, 'WBS Summary'!$AH:$AH, $C12,'WBS Summary'!$AJ:$AJ, $H12)</f>
        <v>0</v>
      </c>
      <c r="DZ12" s="134">
        <f>SUMIFS('WBS Summary'!GK:GK,'WBS Summary'!$B:$B, $B12, 'WBS Summary'!$AH:$AH, $C12,'WBS Summary'!$AJ:$AJ, $H12)</f>
        <v>0</v>
      </c>
      <c r="EA12" s="134">
        <f>SUMIFS('WBS Summary'!GL:GL,'WBS Summary'!$B:$B, $B12, 'WBS Summary'!$AH:$AH, $C12,'WBS Summary'!$AJ:$AJ, $H12)</f>
        <v>0</v>
      </c>
      <c r="EB12" s="134">
        <f>SUMIFS('WBS Summary'!GM:GM,'WBS Summary'!$B:$B, $B12, 'WBS Summary'!$AH:$AH, $C12,'WBS Summary'!$AJ:$AJ, $H12)</f>
        <v>0</v>
      </c>
      <c r="EC12" s="134">
        <f>SUMIFS('WBS Summary'!GN:GN,'WBS Summary'!$B:$B, $B12, 'WBS Summary'!$AH:$AH, $C12,'WBS Summary'!$AJ:$AJ, $H12)</f>
        <v>0</v>
      </c>
      <c r="ED12" s="134">
        <f>SUMIFS('WBS Summary'!GO:GO,'WBS Summary'!$B:$B, $B12, 'WBS Summary'!$AH:$AH, $C12,'WBS Summary'!$AJ:$AJ, $H12)</f>
        <v>0</v>
      </c>
      <c r="EE12" s="134">
        <f>SUMIFS('WBS Summary'!GP:GP,'WBS Summary'!$B:$B, $B12, 'WBS Summary'!$AH:$AH, $C12,'WBS Summary'!$AJ:$AJ, $H12)</f>
        <v>0</v>
      </c>
      <c r="EF12" s="134">
        <f>SUMIFS('WBS Summary'!GQ:GQ,'WBS Summary'!$B:$B, $B12, 'WBS Summary'!$AH:$AH, $C12,'WBS Summary'!$AJ:$AJ, $H12)</f>
        <v>0</v>
      </c>
      <c r="EG12" s="134">
        <f>SUMIFS('WBS Summary'!GR:GR,'WBS Summary'!$B:$B, $B12, 'WBS Summary'!$AH:$AH, $C12,'WBS Summary'!$AJ:$AJ, $H12)</f>
        <v>0</v>
      </c>
      <c r="EH12" s="134">
        <f>SUMIFS('WBS Summary'!GS:GS,'WBS Summary'!$B:$B, $B12, 'WBS Summary'!$AH:$AH, $C12,'WBS Summary'!$AJ:$AJ, $H12)</f>
        <v>0</v>
      </c>
      <c r="EI12" s="134">
        <f>SUMIFS('WBS Summary'!GT:GT,'WBS Summary'!$B:$B, $B12, 'WBS Summary'!$AH:$AH, $C12,'WBS Summary'!$AJ:$AJ, $H12)</f>
        <v>0</v>
      </c>
      <c r="EJ12" s="134">
        <f>SUMIFS('WBS Summary'!GU:GU,'WBS Summary'!$B:$B, $B12, 'WBS Summary'!$AH:$AH, $C12,'WBS Summary'!$AJ:$AJ, $H12)</f>
        <v>0</v>
      </c>
      <c r="EK12" s="134">
        <f>SUMIFS('WBS Summary'!GV:GV,'WBS Summary'!$B:$B, $B12, 'WBS Summary'!$AH:$AH, $C12,'WBS Summary'!$AJ:$AJ, $H12)</f>
        <v>0</v>
      </c>
      <c r="EL12" s="134">
        <f>SUMIFS('WBS Summary'!GW:GW,'WBS Summary'!$B:$B, $B12, 'WBS Summary'!$AH:$AH, $C12,'WBS Summary'!$AJ:$AJ, $H12)</f>
        <v>0</v>
      </c>
      <c r="EM12" s="134">
        <f>SUMIFS('WBS Summary'!GX:GX,'WBS Summary'!$B:$B, $B12, 'WBS Summary'!$AH:$AH, $C12,'WBS Summary'!$AJ:$AJ, $H12)</f>
        <v>0</v>
      </c>
      <c r="EN12" s="134">
        <f>SUMIFS('WBS Summary'!GY:GY,'WBS Summary'!$B:$B, $B12, 'WBS Summary'!$AH:$AH, $C12,'WBS Summary'!$AJ:$AJ, $H12)</f>
        <v>0</v>
      </c>
      <c r="EO12" s="134">
        <f>SUMIFS('WBS Summary'!GZ:GZ,'WBS Summary'!$B:$B, $B12, 'WBS Summary'!$AH:$AH, $C12,'WBS Summary'!$AJ:$AJ, $H12)</f>
        <v>0</v>
      </c>
      <c r="EP12" s="134">
        <f>SUMIFS('WBS Summary'!HA:HA,'WBS Summary'!$B:$B, $B12, 'WBS Summary'!$AH:$AH, $C12,'WBS Summary'!$AJ:$AJ, $H12)</f>
        <v>0</v>
      </c>
      <c r="EQ12" s="134">
        <f>SUMIFS('WBS Summary'!HB:HB,'WBS Summary'!$B:$B, $B12, 'WBS Summary'!$AH:$AH, $C12,'WBS Summary'!$AJ:$AJ, $H12)</f>
        <v>0</v>
      </c>
      <c r="ER12" s="134">
        <f>SUMIFS('WBS Summary'!HC:HC,'WBS Summary'!$B:$B, $B12, 'WBS Summary'!$AH:$AH, $C12,'WBS Summary'!$AJ:$AJ, $H12)</f>
        <v>0</v>
      </c>
      <c r="ES12" s="134">
        <f>SUMIFS('WBS Summary'!HD:HD,'WBS Summary'!$B:$B, $B12, 'WBS Summary'!$AH:$AH, $C12,'WBS Summary'!$AJ:$AJ, $H12)</f>
        <v>0</v>
      </c>
      <c r="ET12" s="134">
        <f>SUMIFS('WBS Summary'!HE:HE,'WBS Summary'!$B:$B, $B12, 'WBS Summary'!$AH:$AH, $C12,'WBS Summary'!$AJ:$AJ, $H12)</f>
        <v>0</v>
      </c>
      <c r="EU12" s="134">
        <f>SUMIFS('WBS Summary'!HF:HF,'WBS Summary'!$B:$B, $B12, 'WBS Summary'!$AH:$AH, $C12,'WBS Summary'!$AJ:$AJ, $H12)</f>
        <v>0</v>
      </c>
      <c r="EV12" s="134">
        <f>SUMIFS('WBS Summary'!HG:HG,'WBS Summary'!$B:$B, $B12, 'WBS Summary'!$AH:$AH, $C12,'WBS Summary'!$AJ:$AJ, $H12)</f>
        <v>0</v>
      </c>
      <c r="EW12" s="134">
        <f>SUMIFS('WBS Summary'!HH:HH,'WBS Summary'!$B:$B, $B12, 'WBS Summary'!$AH:$AH, $C12,'WBS Summary'!$AJ:$AJ, $H12)</f>
        <v>0</v>
      </c>
      <c r="EX12" s="134">
        <f>SUMIFS('WBS Summary'!HI:HI,'WBS Summary'!$B:$B, $B12, 'WBS Summary'!$AH:$AH, $C12,'WBS Summary'!$AJ:$AJ, $H12)</f>
        <v>0</v>
      </c>
      <c r="EY12" s="134">
        <f>SUMIFS('WBS Summary'!HJ:HJ,'WBS Summary'!$B:$B, $B12, 'WBS Summary'!$AH:$AH, $C12,'WBS Summary'!$AJ:$AJ, $H12)</f>
        <v>0</v>
      </c>
      <c r="EZ12" s="134">
        <f>SUMIFS('WBS Summary'!HK:HK,'WBS Summary'!$B:$B, $B12, 'WBS Summary'!$AH:$AH, $C12,'WBS Summary'!$AJ:$AJ, $H12)</f>
        <v>0</v>
      </c>
      <c r="FA12" s="134">
        <f>SUMIFS('WBS Summary'!HL:HL,'WBS Summary'!$B:$B, $B12, 'WBS Summary'!$AH:$AH, $C12,'WBS Summary'!$AJ:$AJ, $H12)</f>
        <v>0</v>
      </c>
      <c r="FB12" s="134">
        <f>SUMIFS('WBS Summary'!HM:HM,'WBS Summary'!$B:$B, $B12, 'WBS Summary'!$AH:$AH, $C12,'WBS Summary'!$AJ:$AJ, $H12)</f>
        <v>0</v>
      </c>
      <c r="FC12" s="134">
        <f>SUMIFS('WBS Summary'!HN:HN,'WBS Summary'!$B:$B, $B12, 'WBS Summary'!$AH:$AH, $C12,'WBS Summary'!$AJ:$AJ, $H12)</f>
        <v>0</v>
      </c>
      <c r="FD12" s="134">
        <f>SUMIFS('WBS Summary'!HO:HO,'WBS Summary'!$B:$B, $B12, 'WBS Summary'!$AH:$AH, $C12,'WBS Summary'!$AJ:$AJ, $H12)</f>
        <v>0</v>
      </c>
      <c r="FE12" s="134">
        <f>SUMIFS('WBS Summary'!HP:HP,'WBS Summary'!$B:$B, $B12, 'WBS Summary'!$AH:$AH, $C12,'WBS Summary'!$AJ:$AJ, $H12)</f>
        <v>0</v>
      </c>
      <c r="FF12" s="134">
        <f>SUMIFS('WBS Summary'!HQ:HQ,'WBS Summary'!$B:$B, $B12, 'WBS Summary'!$AH:$AH, $C12,'WBS Summary'!$AJ:$AJ, $H12)</f>
        <v>0</v>
      </c>
      <c r="FG12" s="134">
        <f>SUMIFS('WBS Summary'!HR:HR,'WBS Summary'!$B:$B, $B12, 'WBS Summary'!$AH:$AH, $C12,'WBS Summary'!$AJ:$AJ, $H12)</f>
        <v>0</v>
      </c>
      <c r="FH12" s="134">
        <f>SUMIFS('WBS Summary'!HS:HS,'WBS Summary'!$B:$B, $B12, 'WBS Summary'!$AH:$AH, $C12,'WBS Summary'!$AJ:$AJ, $H12)</f>
        <v>0</v>
      </c>
      <c r="FI12" s="134">
        <f>SUMIFS('WBS Summary'!HT:HT,'WBS Summary'!$B:$B, $B12, 'WBS Summary'!$AH:$AH, $C12,'WBS Summary'!$AJ:$AJ, $H12)</f>
        <v>0</v>
      </c>
      <c r="FJ12" s="134">
        <f>SUMIFS('WBS Summary'!HU:HU,'WBS Summary'!$B:$B, $B12, 'WBS Summary'!$AH:$AH, $C12,'WBS Summary'!$AJ:$AJ, $H12)</f>
        <v>0</v>
      </c>
      <c r="FK12" s="134">
        <f>SUMIFS('WBS Summary'!HV:HV,'WBS Summary'!$B:$B, $B12, 'WBS Summary'!$AH:$AH, $C12,'WBS Summary'!$AJ:$AJ, $H12)</f>
        <v>0</v>
      </c>
      <c r="FL12" s="134">
        <f>SUMIFS('WBS Summary'!HW:HW,'WBS Summary'!$B:$B, $B12, 'WBS Summary'!$AH:$AH, $C12,'WBS Summary'!$AJ:$AJ, $H12)</f>
        <v>0</v>
      </c>
      <c r="FM12" s="134">
        <f>SUMIFS('WBS Summary'!HX:HX,'WBS Summary'!$B:$B, $B12, 'WBS Summary'!$AH:$AH, $C12,'WBS Summary'!$AJ:$AJ, $H12)</f>
        <v>0</v>
      </c>
      <c r="FN12" s="134">
        <f>SUMIFS('WBS Summary'!HY:HY,'WBS Summary'!$B:$B, $B12, 'WBS Summary'!$AH:$AH, $C12,'WBS Summary'!$AJ:$AJ, $H12)</f>
        <v>0</v>
      </c>
      <c r="FO12" s="134">
        <f>SUMIFS('WBS Summary'!HZ:HZ,'WBS Summary'!$B:$B, $B12, 'WBS Summary'!$AH:$AH, $C12,'WBS Summary'!$AJ:$AJ, $H12)</f>
        <v>0</v>
      </c>
      <c r="FP12" s="134">
        <f>SUMIFS('WBS Summary'!IA:IA,'WBS Summary'!$B:$B, $B12, 'WBS Summary'!$AH:$AH, $C12,'WBS Summary'!$AJ:$AJ, $H12)</f>
        <v>0</v>
      </c>
      <c r="FQ12" s="134">
        <f>SUMIFS('WBS Summary'!IB:IB,'WBS Summary'!$B:$B, $B12, 'WBS Summary'!$AH:$AH, $C12,'WBS Summary'!$AJ:$AJ, $H12)</f>
        <v>0</v>
      </c>
      <c r="FR12" s="134">
        <f>SUMIFS('WBS Summary'!IC:IC,'WBS Summary'!$B:$B, $B12, 'WBS Summary'!$AH:$AH, $C12,'WBS Summary'!$AJ:$AJ, $H12)</f>
        <v>0</v>
      </c>
      <c r="FS12" s="134">
        <f>SUMIFS('WBS Summary'!ID:ID,'WBS Summary'!$B:$B, $B12, 'WBS Summary'!$AH:$AH, $C12,'WBS Summary'!$AJ:$AJ, $H12)</f>
        <v>0</v>
      </c>
      <c r="FT12" s="134">
        <f>SUMIFS('WBS Summary'!IE:IE,'WBS Summary'!$B:$B, $B12, 'WBS Summary'!$AH:$AH, $C12,'WBS Summary'!$AJ:$AJ, $H12)</f>
        <v>0</v>
      </c>
      <c r="FU12" s="134">
        <f>SUMIFS('WBS Summary'!IF:IF,'WBS Summary'!$B:$B, $B12, 'WBS Summary'!$AH:$AH, $C12,'WBS Summary'!$AJ:$AJ, $H12)</f>
        <v>0</v>
      </c>
      <c r="FV12" s="134">
        <f>SUMIFS('WBS Summary'!IG:IG,'WBS Summary'!$B:$B, $B12, 'WBS Summary'!$AH:$AH, $C12,'WBS Summary'!$AJ:$AJ, $H12)</f>
        <v>0</v>
      </c>
      <c r="FW12" s="134">
        <f>SUMIFS('WBS Summary'!IH:IH,'WBS Summary'!$B:$B, $B12, 'WBS Summary'!$AH:$AH, $C12,'WBS Summary'!$AJ:$AJ, $H12)</f>
        <v>0</v>
      </c>
      <c r="FX12" s="134">
        <f>SUMIFS('WBS Summary'!II:II,'WBS Summary'!$B:$B, $B12, 'WBS Summary'!$AH:$AH, $C12,'WBS Summary'!$AJ:$AJ, $H12)</f>
        <v>0</v>
      </c>
      <c r="FY12" s="134">
        <f>SUMIFS('WBS Summary'!IJ:IJ,'WBS Summary'!$B:$B, $B12, 'WBS Summary'!$AH:$AH, $C12,'WBS Summary'!$AJ:$AJ, $H12)</f>
        <v>0</v>
      </c>
      <c r="FZ12" s="134">
        <f>SUMIFS('WBS Summary'!IK:IK,'WBS Summary'!$B:$B, $B12, 'WBS Summary'!$AH:$AH, $C12,'WBS Summary'!$AJ:$AJ, $H12)</f>
        <v>0</v>
      </c>
      <c r="GA12" s="134">
        <f>SUMIFS('WBS Summary'!IL:IL,'WBS Summary'!$B:$B, $B12, 'WBS Summary'!$AH:$AH, $C12,'WBS Summary'!$AJ:$AJ, $H12)</f>
        <v>0</v>
      </c>
      <c r="GB12" s="134">
        <f>SUMIFS('WBS Summary'!IM:IM,'WBS Summary'!$B:$B, $B12, 'WBS Summary'!$AH:$AH, $C12,'WBS Summary'!$AJ:$AJ, $H12)</f>
        <v>0</v>
      </c>
      <c r="GC12" s="134">
        <f>SUMIFS('WBS Summary'!IN:IN,'WBS Summary'!$B:$B, $B12, 'WBS Summary'!$AH:$AH, $C12,'WBS Summary'!$AJ:$AJ, $H12)</f>
        <v>0</v>
      </c>
      <c r="GD12" s="134">
        <f>SUMIFS('WBS Summary'!IO:IO,'WBS Summary'!$B:$B, $B12, 'WBS Summary'!$AH:$AH, $C12,'WBS Summary'!$AJ:$AJ, $H12)</f>
        <v>0</v>
      </c>
      <c r="GE12" s="134">
        <f>SUMIFS('WBS Summary'!IP:IP,'WBS Summary'!$B:$B, $B12, 'WBS Summary'!$AH:$AH, $C12,'WBS Summary'!$AJ:$AJ, $H12)</f>
        <v>0</v>
      </c>
      <c r="GF12" s="134">
        <f>SUMIFS('WBS Summary'!IQ:IQ,'WBS Summary'!$B:$B, $B12, 'WBS Summary'!$AH:$AH, $C12,'WBS Summary'!$AJ:$AJ, $H12)</f>
        <v>0</v>
      </c>
      <c r="GG12" s="134">
        <f>SUMIFS('WBS Summary'!IR:IR,'WBS Summary'!$B:$B, $B12, 'WBS Summary'!$AH:$AH, $C12,'WBS Summary'!$AJ:$AJ, $H12)</f>
        <v>0</v>
      </c>
      <c r="GH12" s="134">
        <f>SUMIFS('WBS Summary'!IS:IS,'WBS Summary'!$B:$B, $B12, 'WBS Summary'!$AH:$AH, $C12,'WBS Summary'!$AJ:$AJ, $H12)</f>
        <v>0</v>
      </c>
      <c r="GI12" s="134">
        <f>SUMIFS('WBS Summary'!IT:IT,'WBS Summary'!$B:$B, $B12, 'WBS Summary'!$AH:$AH, $C12,'WBS Summary'!$AJ:$AJ, $H12)</f>
        <v>0</v>
      </c>
      <c r="GJ12" s="134">
        <f>SUMIFS('WBS Summary'!IU:IU,'WBS Summary'!$B:$B, $B12, 'WBS Summary'!$AH:$AH, $C12,'WBS Summary'!$AJ:$AJ, $H12)</f>
        <v>0</v>
      </c>
      <c r="GK12" s="134">
        <f>SUMIFS('WBS Summary'!IV:IV,'WBS Summary'!$B:$B, $B12, 'WBS Summary'!$AH:$AH, $C12,'WBS Summary'!$AJ:$AJ, $H12)</f>
        <v>0</v>
      </c>
      <c r="GL12" s="134">
        <f>SUMIFS('WBS Summary'!IW:IW,'WBS Summary'!$B:$B, $B12, 'WBS Summary'!$AH:$AH, $C12,'WBS Summary'!$AJ:$AJ, $H12)</f>
        <v>0</v>
      </c>
      <c r="GM12" s="134">
        <f>SUMIFS('WBS Summary'!IX:IX,'WBS Summary'!$B:$B, $B12, 'WBS Summary'!$AH:$AH, $C12,'WBS Summary'!$AJ:$AJ, $H12)</f>
        <v>0</v>
      </c>
      <c r="GN12" s="134">
        <f>SUMIFS('WBS Summary'!IY:IY,'WBS Summary'!$B:$B, $B12, 'WBS Summary'!$AH:$AH, $C12,'WBS Summary'!$AJ:$AJ, $H12)</f>
        <v>0</v>
      </c>
      <c r="GO12" s="134">
        <f>SUMIFS('WBS Summary'!IZ:IZ,'WBS Summary'!$B:$B, $B12, 'WBS Summary'!$AH:$AH, $C12,'WBS Summary'!$AJ:$AJ, $H12)</f>
        <v>0</v>
      </c>
      <c r="GP12" s="134">
        <f>SUMIFS('WBS Summary'!JA:JA,'WBS Summary'!$B:$B, $B12, 'WBS Summary'!$AH:$AH, $C12,'WBS Summary'!$AJ:$AJ, $H12)</f>
        <v>0</v>
      </c>
      <c r="GQ12" s="134">
        <f>SUMIFS('WBS Summary'!JB:JB,'WBS Summary'!$B:$B, $B12, 'WBS Summary'!$AH:$AH, $C12,'WBS Summary'!$AJ:$AJ, $H12)</f>
        <v>0</v>
      </c>
      <c r="GR12" s="134">
        <f>SUMIFS('WBS Summary'!JC:JC,'WBS Summary'!$B:$B, $B12, 'WBS Summary'!$AH:$AH, $C12,'WBS Summary'!$AJ:$AJ, $H12)</f>
        <v>0</v>
      </c>
      <c r="GS12" s="134">
        <f>SUMIFS('WBS Summary'!JD:JD,'WBS Summary'!$B:$B, $B12, 'WBS Summary'!$AH:$AH, $C12,'WBS Summary'!$AJ:$AJ, $H12)</f>
        <v>0</v>
      </c>
      <c r="GT12" s="134">
        <f>SUMIFS('WBS Summary'!JE:JE,'WBS Summary'!$B:$B, $B12, 'WBS Summary'!$AH:$AH, $C12,'WBS Summary'!$AJ:$AJ, $H12)</f>
        <v>0</v>
      </c>
      <c r="GU12" s="134">
        <f>SUMIFS('WBS Summary'!JF:JF,'WBS Summary'!$B:$B, $B12, 'WBS Summary'!$AH:$AH, $C12,'WBS Summary'!$AJ:$AJ, $H12)</f>
        <v>0</v>
      </c>
      <c r="GV12" s="134">
        <f>SUMIFS('WBS Summary'!JG:JG,'WBS Summary'!$B:$B, $B12, 'WBS Summary'!$AH:$AH, $C12,'WBS Summary'!$AJ:$AJ, $H12)</f>
        <v>0</v>
      </c>
      <c r="GW12" s="134">
        <f>SUMIFS('WBS Summary'!JH:JH,'WBS Summary'!$B:$B, $B12, 'WBS Summary'!$AH:$AH, $C12,'WBS Summary'!$AJ:$AJ, $H12)</f>
        <v>0</v>
      </c>
      <c r="GX12" s="134">
        <f>SUMIFS('WBS Summary'!JI:JI,'WBS Summary'!$B:$B, $B12, 'WBS Summary'!$AH:$AH, $C12,'WBS Summary'!$AJ:$AJ, $H12)</f>
        <v>0</v>
      </c>
      <c r="GY12" s="134">
        <f>SUMIFS('WBS Summary'!JJ:JJ,'WBS Summary'!$B:$B, $B12, 'WBS Summary'!$AH:$AH, $C12,'WBS Summary'!$AJ:$AJ, $H12)</f>
        <v>0</v>
      </c>
      <c r="GZ12" s="134">
        <f>SUMIFS('WBS Summary'!JK:JK,'WBS Summary'!$B:$B, $B12, 'WBS Summary'!$AH:$AH, $C12,'WBS Summary'!$AJ:$AJ, $H12)</f>
        <v>0</v>
      </c>
      <c r="HA12" s="134">
        <f>SUMIFS('WBS Summary'!JL:JL,'WBS Summary'!$B:$B, $B12, 'WBS Summary'!$AH:$AH, $C12,'WBS Summary'!$AJ:$AJ, $H12)</f>
        <v>0</v>
      </c>
      <c r="HB12" s="134">
        <f>SUMIFS('WBS Summary'!JM:JM,'WBS Summary'!$B:$B, $B12, 'WBS Summary'!$AH:$AH, $C12,'WBS Summary'!$AJ:$AJ, $H12)</f>
        <v>0</v>
      </c>
      <c r="HC12"/>
    </row>
    <row r="13" spans="1:211" s="194" customFormat="1" outlineLevel="2">
      <c r="A13" s="220"/>
      <c r="B13" s="284" t="s">
        <v>475</v>
      </c>
      <c r="C13" s="227" t="s">
        <v>71</v>
      </c>
      <c r="D13" s="352"/>
      <c r="E13" s="352"/>
      <c r="F13" s="224">
        <f t="shared" si="6"/>
        <v>0</v>
      </c>
      <c r="G13" s="224">
        <f t="shared" si="7"/>
        <v>0</v>
      </c>
      <c r="H13" s="233" t="s">
        <v>344</v>
      </c>
      <c r="I13"/>
      <c r="J13" s="134">
        <f>SUMIFS('WBS Summary'!BD:BD,'WBS Summary'!$B:$B, $B13, 'WBS Summary'!$AH:$AH, $C13,'WBS Summary'!$AJ:$AJ, $H13)</f>
        <v>0</v>
      </c>
      <c r="K13" s="134">
        <f>SUMIFS('WBS Summary'!BE:BE,'WBS Summary'!$B:$B, $B13, 'WBS Summary'!$AH:$AH, $C13,'WBS Summary'!$AJ:$AJ, $H13)</f>
        <v>0</v>
      </c>
      <c r="L13" s="134">
        <f>SUMIFS('WBS Summary'!BF:BF,'WBS Summary'!$B:$B, $B13, 'WBS Summary'!$AH:$AH, $C13,'WBS Summary'!$AJ:$AJ, $H13)</f>
        <v>0</v>
      </c>
      <c r="M13" s="134">
        <f>SUMIFS('WBS Summary'!BG:BG,'WBS Summary'!$B:$B, $B13, 'WBS Summary'!$AH:$AH, $C13,'WBS Summary'!$AJ:$AJ, $H13)</f>
        <v>0</v>
      </c>
      <c r="N13" s="134">
        <f>SUMIFS('WBS Summary'!BH:BH,'WBS Summary'!$B:$B, $B13, 'WBS Summary'!$AH:$AH, $C13,'WBS Summary'!$AJ:$AJ, $H13)</f>
        <v>0</v>
      </c>
      <c r="O13" s="134">
        <f>SUMIFS('WBS Summary'!BI:BI,'WBS Summary'!$B:$B, $B13, 'WBS Summary'!$AH:$AH, $C13,'WBS Summary'!$AJ:$AJ, $H13)</f>
        <v>0</v>
      </c>
      <c r="P13" s="134">
        <f>SUMIFS('WBS Summary'!BJ:BJ,'WBS Summary'!$B:$B, $B13, 'WBS Summary'!$AH:$AH, $C13,'WBS Summary'!$AJ:$AJ, $H13)</f>
        <v>0</v>
      </c>
      <c r="Q13" s="134">
        <f>SUMIFS('WBS Summary'!BK:BK,'WBS Summary'!$B:$B, $B13, 'WBS Summary'!$AH:$AH, $C13,'WBS Summary'!$AJ:$AJ, $H13)</f>
        <v>0</v>
      </c>
      <c r="R13" s="134">
        <f>SUMIFS('WBS Summary'!BL:BL,'WBS Summary'!$B:$B, $B13, 'WBS Summary'!$AH:$AH, $C13,'WBS Summary'!$AJ:$AJ, $H13)</f>
        <v>0</v>
      </c>
      <c r="S13" s="134">
        <f>SUMIFS('WBS Summary'!BM:BM,'WBS Summary'!$B:$B, $B13, 'WBS Summary'!$AH:$AH, $C13,'WBS Summary'!$AJ:$AJ, $H13)</f>
        <v>0</v>
      </c>
      <c r="T13" s="134">
        <f>SUMIFS('WBS Summary'!BN:BN,'WBS Summary'!$B:$B, $B13, 'WBS Summary'!$AH:$AH, $C13,'WBS Summary'!$AJ:$AJ, $H13)</f>
        <v>0</v>
      </c>
      <c r="U13" s="134">
        <f>SUMIFS('WBS Summary'!BO:BO,'WBS Summary'!$B:$B, $B13, 'WBS Summary'!$AH:$AH, $C13,'WBS Summary'!$AJ:$AJ, $H13)</f>
        <v>0</v>
      </c>
      <c r="V13" s="134">
        <f>SUMIFS('WBS Summary'!BP:BP,'WBS Summary'!$B:$B, $B13, 'WBS Summary'!$AH:$AH, $C13,'WBS Summary'!$AJ:$AJ, $H13)</f>
        <v>0</v>
      </c>
      <c r="W13" s="134">
        <f>SUMIFS('WBS Summary'!BQ:BQ,'WBS Summary'!$B:$B, $B13, 'WBS Summary'!$AH:$AH, $C13,'WBS Summary'!$AJ:$AJ, $H13)</f>
        <v>0</v>
      </c>
      <c r="X13" s="134">
        <f>SUMIFS('WBS Summary'!BR:BR,'WBS Summary'!$B:$B, $B13, 'WBS Summary'!$AH:$AH, $C13,'WBS Summary'!$AJ:$AJ, $H13)</f>
        <v>0</v>
      </c>
      <c r="Y13" s="134">
        <f>SUMIFS('WBS Summary'!BS:BS,'WBS Summary'!$B:$B, $B13, 'WBS Summary'!$AH:$AH, $C13,'WBS Summary'!$AJ:$AJ, $H13)</f>
        <v>0</v>
      </c>
      <c r="Z13" s="134">
        <f>SUMIFS('WBS Summary'!BT:BT,'WBS Summary'!$B:$B, $B13, 'WBS Summary'!$AH:$AH, $C13,'WBS Summary'!$AJ:$AJ, $H13)</f>
        <v>0</v>
      </c>
      <c r="AA13" s="134">
        <f>SUMIFS('WBS Summary'!BU:BU,'WBS Summary'!$B:$B, $B13, 'WBS Summary'!$AH:$AH, $C13,'WBS Summary'!$AJ:$AJ, $H13)</f>
        <v>0</v>
      </c>
      <c r="AB13" s="134">
        <f>SUMIFS('WBS Summary'!BV:BV,'WBS Summary'!$B:$B, $B13, 'WBS Summary'!$AH:$AH, $C13,'WBS Summary'!$AJ:$AJ, $H13)</f>
        <v>0</v>
      </c>
      <c r="AC13" s="134">
        <f>SUMIFS('WBS Summary'!BW:BW,'WBS Summary'!$B:$B, $B13, 'WBS Summary'!$AH:$AH, $C13,'WBS Summary'!$AJ:$AJ, $H13)</f>
        <v>0</v>
      </c>
      <c r="AD13" s="134">
        <f>SUMIFS('WBS Summary'!BX:BX,'WBS Summary'!$B:$B, $B13, 'WBS Summary'!$AH:$AH, $C13,'WBS Summary'!$AJ:$AJ, $H13)</f>
        <v>0</v>
      </c>
      <c r="AE13" s="134">
        <f>SUMIFS('WBS Summary'!BY:BY,'WBS Summary'!$B:$B, $B13, 'WBS Summary'!$AH:$AH, $C13,'WBS Summary'!$AJ:$AJ, $H13)</f>
        <v>0</v>
      </c>
      <c r="AF13" s="134">
        <f>SUMIFS('WBS Summary'!BZ:BZ,'WBS Summary'!$B:$B, $B13, 'WBS Summary'!$AH:$AH, $C13,'WBS Summary'!$AJ:$AJ, $H13)</f>
        <v>0</v>
      </c>
      <c r="AG13" s="134">
        <f>SUMIFS('WBS Summary'!CA:CA,'WBS Summary'!$B:$B, $B13, 'WBS Summary'!$AH:$AH, $C13,'WBS Summary'!$AJ:$AJ, $H13)</f>
        <v>0</v>
      </c>
      <c r="AH13" s="134">
        <f>SUMIFS('WBS Summary'!CB:CB,'WBS Summary'!$B:$B, $B13, 'WBS Summary'!$AH:$AH, $C13,'WBS Summary'!$AJ:$AJ, $H13)</f>
        <v>0</v>
      </c>
      <c r="AI13" s="134">
        <f>SUMIFS('WBS Summary'!CC:CC,'WBS Summary'!$B:$B, $B13, 'WBS Summary'!$AH:$AH, $C13,'WBS Summary'!$AJ:$AJ, $H13)</f>
        <v>0</v>
      </c>
      <c r="AJ13" s="134">
        <f>SUMIFS('WBS Summary'!CD:CD,'WBS Summary'!$B:$B, $B13, 'WBS Summary'!$AH:$AH, $C13,'WBS Summary'!$AJ:$AJ, $H13)</f>
        <v>0</v>
      </c>
      <c r="AK13" s="134">
        <f>SUMIFS('WBS Summary'!CE:CE,'WBS Summary'!$B:$B, $B13, 'WBS Summary'!$AH:$AH, $C13,'WBS Summary'!$AJ:$AJ, $H13)</f>
        <v>0</v>
      </c>
      <c r="AL13" s="134">
        <f>SUMIFS('WBS Summary'!CF:CF,'WBS Summary'!$B:$B, $B13, 'WBS Summary'!$AH:$AH, $C13,'WBS Summary'!$AJ:$AJ, $H13)</f>
        <v>0</v>
      </c>
      <c r="AM13" s="134">
        <f>SUMIFS('WBS Summary'!CG:CG,'WBS Summary'!$B:$B, $B13, 'WBS Summary'!$AH:$AH, $C13,'WBS Summary'!$AJ:$AJ, $H13)</f>
        <v>0</v>
      </c>
      <c r="AN13" s="134">
        <f>SUMIFS('WBS Summary'!CH:CH,'WBS Summary'!$B:$B, $B13, 'WBS Summary'!$AH:$AH, $C13,'WBS Summary'!$AJ:$AJ, $H13)</f>
        <v>0</v>
      </c>
      <c r="AO13" s="134">
        <f>SUMIFS('WBS Summary'!CI:CI,'WBS Summary'!$B:$B, $B13, 'WBS Summary'!$AH:$AH, $C13,'WBS Summary'!$AJ:$AJ, $H13)</f>
        <v>0</v>
      </c>
      <c r="AP13" s="134">
        <f>SUMIFS('WBS Summary'!CJ:CJ,'WBS Summary'!$B:$B, $B13, 'WBS Summary'!$AH:$AH, $C13,'WBS Summary'!$AJ:$AJ, $H13)</f>
        <v>0</v>
      </c>
      <c r="AQ13" s="134">
        <f>SUMIFS('WBS Summary'!CK:CK,'WBS Summary'!$B:$B, $B13, 'WBS Summary'!$AH:$AH, $C13,'WBS Summary'!$AJ:$AJ, $H13)</f>
        <v>0</v>
      </c>
      <c r="AR13" s="134">
        <f>SUMIFS('WBS Summary'!CL:CL,'WBS Summary'!$B:$B, $B13, 'WBS Summary'!$AH:$AH, $C13,'WBS Summary'!$AJ:$AJ, $H13)</f>
        <v>0</v>
      </c>
      <c r="AS13" s="134">
        <f>SUMIFS('WBS Summary'!CM:CM,'WBS Summary'!$B:$B, $B13, 'WBS Summary'!$AH:$AH, $C13,'WBS Summary'!$AJ:$AJ, $H13)</f>
        <v>0</v>
      </c>
      <c r="AT13" s="134">
        <f>SUMIFS('WBS Summary'!CN:CN,'WBS Summary'!$B:$B, $B13, 'WBS Summary'!$AH:$AH, $C13,'WBS Summary'!$AJ:$AJ, $H13)</f>
        <v>0</v>
      </c>
      <c r="AU13" s="134">
        <f>SUMIFS('WBS Summary'!CO:CO,'WBS Summary'!$B:$B, $B13, 'WBS Summary'!$AH:$AH, $C13,'WBS Summary'!$AJ:$AJ, $H13)</f>
        <v>0</v>
      </c>
      <c r="AV13" s="134">
        <f>SUMIFS('WBS Summary'!CP:CP,'WBS Summary'!$B:$B, $B13, 'WBS Summary'!$AH:$AH, $C13,'WBS Summary'!$AJ:$AJ, $H13)</f>
        <v>0</v>
      </c>
      <c r="AW13" s="134">
        <f>SUMIFS('WBS Summary'!CQ:CQ,'WBS Summary'!$B:$B, $B13, 'WBS Summary'!$AH:$AH, $C13,'WBS Summary'!$AJ:$AJ, $H13)</f>
        <v>0</v>
      </c>
      <c r="AX13" s="134">
        <f>SUMIFS('WBS Summary'!CR:CR,'WBS Summary'!$B:$B, $B13, 'WBS Summary'!$AH:$AH, $C13,'WBS Summary'!$AJ:$AJ, $H13)</f>
        <v>0</v>
      </c>
      <c r="AY13" s="134">
        <f>SUMIFS('WBS Summary'!CS:CS,'WBS Summary'!$B:$B, $B13, 'WBS Summary'!$AH:$AH, $C13,'WBS Summary'!$AJ:$AJ, $H13)</f>
        <v>0</v>
      </c>
      <c r="AZ13" s="134">
        <f>SUMIFS('WBS Summary'!CT:CT,'WBS Summary'!$B:$B, $B13, 'WBS Summary'!$AH:$AH, $C13,'WBS Summary'!$AJ:$AJ, $H13)</f>
        <v>0</v>
      </c>
      <c r="BA13" s="134">
        <f>SUMIFS('WBS Summary'!CU:CU,'WBS Summary'!$B:$B, $B13, 'WBS Summary'!$AH:$AH, $C13,'WBS Summary'!$AJ:$AJ, $H13)</f>
        <v>0</v>
      </c>
      <c r="BB13" s="134">
        <f>SUMIFS('WBS Summary'!CV:CV,'WBS Summary'!$B:$B, $B13, 'WBS Summary'!$AH:$AH, $C13,'WBS Summary'!$AJ:$AJ, $H13)</f>
        <v>0</v>
      </c>
      <c r="BC13" s="134">
        <f>SUMIFS('WBS Summary'!CW:CW,'WBS Summary'!$B:$B, $B13, 'WBS Summary'!$AH:$AH, $C13,'WBS Summary'!$AJ:$AJ, $H13)</f>
        <v>0</v>
      </c>
      <c r="BD13" s="134">
        <f>SUMIFS('WBS Summary'!CX:CX,'WBS Summary'!$B:$B, $B13, 'WBS Summary'!$AH:$AH, $C13,'WBS Summary'!$AJ:$AJ, $H13)</f>
        <v>0</v>
      </c>
      <c r="BE13" s="134">
        <f>SUMIFS('WBS Summary'!CY:CY,'WBS Summary'!$B:$B, $B13, 'WBS Summary'!$AH:$AH, $C13,'WBS Summary'!$AJ:$AJ, $H13)</f>
        <v>0</v>
      </c>
      <c r="BF13" s="134">
        <f>SUMIFS('WBS Summary'!CZ:CZ,'WBS Summary'!$B:$B, $B13, 'WBS Summary'!$AH:$AH, $C13,'WBS Summary'!$AJ:$AJ, $H13)</f>
        <v>0</v>
      </c>
      <c r="BG13" s="134">
        <f>SUMIFS('WBS Summary'!DA:DA,'WBS Summary'!$B:$B, $B13, 'WBS Summary'!$AH:$AH, $C13,'WBS Summary'!$AJ:$AJ, $H13)</f>
        <v>0</v>
      </c>
      <c r="BH13" s="134">
        <f>SUMIFS('WBS Summary'!DB:DB,'WBS Summary'!$B:$B, $B13, 'WBS Summary'!$AH:$AH, $C13,'WBS Summary'!$AJ:$AJ, $H13)</f>
        <v>0</v>
      </c>
      <c r="BI13" s="134">
        <f>SUMIFS('WBS Summary'!DC:DC,'WBS Summary'!$B:$B, $B13, 'WBS Summary'!$AH:$AH, $C13,'WBS Summary'!$AJ:$AJ, $H13)</f>
        <v>0</v>
      </c>
      <c r="BJ13" s="134">
        <f>SUMIFS('WBS Summary'!DD:DD,'WBS Summary'!$B:$B, $B13, 'WBS Summary'!$AH:$AH, $C13,'WBS Summary'!$AJ:$AJ, $H13)</f>
        <v>0</v>
      </c>
      <c r="BK13" s="134">
        <f>SUMIFS('WBS Summary'!DE:DE,'WBS Summary'!$B:$B, $B13, 'WBS Summary'!$AH:$AH, $C13,'WBS Summary'!$AJ:$AJ, $H13)</f>
        <v>0</v>
      </c>
      <c r="BL13" s="134">
        <f>SUMIFS('WBS Summary'!DF:DF,'WBS Summary'!$B:$B, $B13, 'WBS Summary'!$AH:$AH, $C13,'WBS Summary'!$AJ:$AJ, $H13)</f>
        <v>0</v>
      </c>
      <c r="BM13" s="134">
        <f>SUMIFS('WBS Summary'!DG:DG,'WBS Summary'!$B:$B, $B13, 'WBS Summary'!$AH:$AH, $C13,'WBS Summary'!$AJ:$AJ, $H13)</f>
        <v>0</v>
      </c>
      <c r="BN13" s="134">
        <f>SUMIFS('WBS Summary'!DH:DH,'WBS Summary'!$B:$B, $B13, 'WBS Summary'!$AH:$AH, $C13,'WBS Summary'!$AJ:$AJ, $H13)</f>
        <v>0</v>
      </c>
      <c r="BO13" s="134">
        <f>SUMIFS('WBS Summary'!DI:DI,'WBS Summary'!$B:$B, $B13, 'WBS Summary'!$AH:$AH, $C13,'WBS Summary'!$AJ:$AJ, $H13)</f>
        <v>0</v>
      </c>
      <c r="BP13" s="134">
        <f>SUMIFS('WBS Summary'!DJ:DJ,'WBS Summary'!$B:$B, $B13, 'WBS Summary'!$AH:$AH, $C13,'WBS Summary'!$AJ:$AJ, $H13)</f>
        <v>0</v>
      </c>
      <c r="BQ13" s="134">
        <f>SUMIFS('WBS Summary'!DK:DK,'WBS Summary'!$B:$B, $B13, 'WBS Summary'!$AH:$AH, $C13,'WBS Summary'!$AJ:$AJ, $H13)</f>
        <v>0</v>
      </c>
      <c r="BR13" s="134">
        <f>SUMIFS('WBS Summary'!DL:DL,'WBS Summary'!$B:$B, $B13, 'WBS Summary'!$AH:$AH, $C13,'WBS Summary'!$AJ:$AJ, $H13)</f>
        <v>0</v>
      </c>
      <c r="BS13" s="134">
        <f>SUMIFS('WBS Summary'!DM:DM,'WBS Summary'!$B:$B, $B13, 'WBS Summary'!$AH:$AH, $C13,'WBS Summary'!$AJ:$AJ, $H13)</f>
        <v>0</v>
      </c>
      <c r="BT13" s="134">
        <f>SUMIFS('WBS Summary'!DN:DN,'WBS Summary'!$B:$B, $B13, 'WBS Summary'!$AH:$AH, $C13,'WBS Summary'!$AJ:$AJ, $H13)</f>
        <v>0</v>
      </c>
      <c r="BU13" s="134">
        <f>SUMIFS('WBS Summary'!DO:DO,'WBS Summary'!$B:$B, $B13, 'WBS Summary'!$AH:$AH, $C13,'WBS Summary'!$AJ:$AJ, $H13)</f>
        <v>0</v>
      </c>
      <c r="BV13" s="134">
        <f>SUMIFS('WBS Summary'!DP:DP,'WBS Summary'!$B:$B, $B13, 'WBS Summary'!$AH:$AH, $C13,'WBS Summary'!$AJ:$AJ, $H13)</f>
        <v>0</v>
      </c>
      <c r="BW13" s="134">
        <f>SUMIFS('WBS Summary'!DQ:DQ,'WBS Summary'!$B:$B, $B13, 'WBS Summary'!$AH:$AH, $C13,'WBS Summary'!$AJ:$AJ, $H13)</f>
        <v>0</v>
      </c>
      <c r="BX13" s="134">
        <f>SUMIFS('WBS Summary'!DR:DR,'WBS Summary'!$B:$B, $B13, 'WBS Summary'!$AH:$AH, $C13,'WBS Summary'!$AJ:$AJ, $H13)</f>
        <v>0</v>
      </c>
      <c r="BY13" s="134">
        <f>SUMIFS('WBS Summary'!DS:DS,'WBS Summary'!$B:$B, $B13, 'WBS Summary'!$AH:$AH, $C13,'WBS Summary'!$AJ:$AJ, $H13)</f>
        <v>0</v>
      </c>
      <c r="BZ13" s="134">
        <f>SUMIFS('WBS Summary'!DT:DT,'WBS Summary'!$B:$B, $B13, 'WBS Summary'!$AH:$AH, $C13,'WBS Summary'!$AJ:$AJ, $H13)</f>
        <v>0</v>
      </c>
      <c r="CA13" s="134">
        <f>SUMIFS('WBS Summary'!DU:DU,'WBS Summary'!$B:$B, $B13, 'WBS Summary'!$AH:$AH, $C13,'WBS Summary'!$AJ:$AJ, $H13)</f>
        <v>0</v>
      </c>
      <c r="CB13" s="134">
        <f>SUMIFS('WBS Summary'!DV:DV,'WBS Summary'!$B:$B, $B13, 'WBS Summary'!$AH:$AH, $C13,'WBS Summary'!$AJ:$AJ, $H13)</f>
        <v>0</v>
      </c>
      <c r="CC13" s="134">
        <f>SUMIFS('WBS Summary'!DW:DW,'WBS Summary'!$B:$B, $B13, 'WBS Summary'!$AH:$AH, $C13,'WBS Summary'!$AJ:$AJ, $H13)</f>
        <v>0</v>
      </c>
      <c r="CD13" s="134">
        <f>SUMIFS('WBS Summary'!DX:DX,'WBS Summary'!$B:$B, $B13, 'WBS Summary'!$AH:$AH, $C13,'WBS Summary'!$AJ:$AJ, $H13)</f>
        <v>0</v>
      </c>
      <c r="CE13" s="134">
        <f>SUMIFS('WBS Summary'!DY:DY,'WBS Summary'!$B:$B, $B13, 'WBS Summary'!$AH:$AH, $C13,'WBS Summary'!$AJ:$AJ, $H13)</f>
        <v>0</v>
      </c>
      <c r="CF13" s="134">
        <f>SUMIFS('WBS Summary'!DZ:DZ,'WBS Summary'!$B:$B, $B13, 'WBS Summary'!$AH:$AH, $C13,'WBS Summary'!$AJ:$AJ, $H13)</f>
        <v>0</v>
      </c>
      <c r="CG13" s="134">
        <f>SUMIFS('WBS Summary'!EA:EA,'WBS Summary'!$B:$B, $B13, 'WBS Summary'!$AH:$AH, $C13,'WBS Summary'!$AJ:$AJ, $H13)</f>
        <v>0</v>
      </c>
      <c r="CH13" s="134">
        <f>SUMIFS('WBS Summary'!EB:EB,'WBS Summary'!$B:$B, $B13, 'WBS Summary'!$AH:$AH, $C13,'WBS Summary'!$AJ:$AJ, $H13)</f>
        <v>0</v>
      </c>
      <c r="CI13" s="134">
        <f>SUMIFS('WBS Summary'!EC:EC,'WBS Summary'!$B:$B, $B13, 'WBS Summary'!$AH:$AH, $C13,'WBS Summary'!$AJ:$AJ, $H13)</f>
        <v>0</v>
      </c>
      <c r="CJ13" s="134">
        <f>SUMIFS('WBS Summary'!ED:ED,'WBS Summary'!$B:$B, $B13, 'WBS Summary'!$AH:$AH, $C13,'WBS Summary'!$AJ:$AJ, $H13)</f>
        <v>0</v>
      </c>
      <c r="CK13" s="134">
        <f>SUMIFS('WBS Summary'!EE:EE,'WBS Summary'!$B:$B, $B13, 'WBS Summary'!$AH:$AH, $C13,'WBS Summary'!$AJ:$AJ, $H13)</f>
        <v>0</v>
      </c>
      <c r="CL13" s="134">
        <f>SUMIFS('WBS Summary'!EF:EF,'WBS Summary'!$B:$B, $B13, 'WBS Summary'!$AH:$AH, $C13,'WBS Summary'!$AJ:$AJ, $H13)</f>
        <v>0</v>
      </c>
      <c r="CM13" s="134">
        <f>SUMIFS('WBS Summary'!EG:EG,'WBS Summary'!$B:$B, $B13, 'WBS Summary'!$AH:$AH, $C13,'WBS Summary'!$AJ:$AJ, $H13)</f>
        <v>0</v>
      </c>
      <c r="CN13" s="134">
        <f>SUMIFS('WBS Summary'!EH:EH,'WBS Summary'!$B:$B, $B13, 'WBS Summary'!$AH:$AH, $C13,'WBS Summary'!$AJ:$AJ, $H13)</f>
        <v>0</v>
      </c>
      <c r="CO13" s="134">
        <f>SUMIFS('WBS Summary'!EI:EI,'WBS Summary'!$B:$B, $B13, 'WBS Summary'!$AH:$AH, $C13,'WBS Summary'!$AJ:$AJ, $H13)</f>
        <v>0</v>
      </c>
      <c r="CP13" s="134">
        <f>SUMIFS('WBS Summary'!EJ:EJ,'WBS Summary'!$B:$B, $B13, 'WBS Summary'!$AH:$AH, $C13,'WBS Summary'!$AJ:$AJ, $H13)</f>
        <v>0</v>
      </c>
      <c r="CQ13" s="134">
        <f>SUMIFS('WBS Summary'!EK:EK,'WBS Summary'!$B:$B, $B13, 'WBS Summary'!$AH:$AH, $C13,'WBS Summary'!$AJ:$AJ, $H13)</f>
        <v>0</v>
      </c>
      <c r="CR13" s="134">
        <f>SUMIFS('WBS Summary'!EL:EL,'WBS Summary'!$B:$B, $B13, 'WBS Summary'!$AH:$AH, $C13,'WBS Summary'!$AJ:$AJ, $H13)</f>
        <v>0</v>
      </c>
      <c r="CS13" s="134">
        <f>SUMIFS('WBS Summary'!EM:EM,'WBS Summary'!$B:$B, $B13, 'WBS Summary'!$AH:$AH, $C13,'WBS Summary'!$AJ:$AJ, $H13)</f>
        <v>0</v>
      </c>
      <c r="CT13" s="134">
        <f>SUMIFS('WBS Summary'!EN:EN,'WBS Summary'!$B:$B, $B13, 'WBS Summary'!$AH:$AH, $C13,'WBS Summary'!$AJ:$AJ, $H13)</f>
        <v>0</v>
      </c>
      <c r="CU13" s="134">
        <f>SUMIFS('WBS Summary'!EO:EO,'WBS Summary'!$B:$B, $B13, 'WBS Summary'!$AH:$AH, $C13,'WBS Summary'!$AJ:$AJ, $H13)</f>
        <v>0</v>
      </c>
      <c r="CV13" s="134">
        <f>SUMIFS('WBS Summary'!EP:EP,'WBS Summary'!$B:$B, $B13, 'WBS Summary'!$AH:$AH, $C13,'WBS Summary'!$AJ:$AJ, $H13)</f>
        <v>0</v>
      </c>
      <c r="CW13" s="134">
        <f>SUMIFS('WBS Summary'!EQ:EQ,'WBS Summary'!$B:$B, $B13, 'WBS Summary'!$AH:$AH, $C13,'WBS Summary'!$AJ:$AJ, $H13)</f>
        <v>0</v>
      </c>
      <c r="CX13" s="134">
        <f>SUMIFS('WBS Summary'!ER:ER,'WBS Summary'!$B:$B, $B13, 'WBS Summary'!$AH:$AH, $C13,'WBS Summary'!$AJ:$AJ, $H13)</f>
        <v>0</v>
      </c>
      <c r="CY13" s="134">
        <f>SUMIFS('WBS Summary'!ES:ES,'WBS Summary'!$B:$B, $B13, 'WBS Summary'!$AH:$AH, $C13,'WBS Summary'!$AJ:$AJ, $H13)</f>
        <v>0</v>
      </c>
      <c r="CZ13" s="134">
        <f>SUMIFS('WBS Summary'!ET:ET,'WBS Summary'!$B:$B, $B13, 'WBS Summary'!$AH:$AH, $C13,'WBS Summary'!$AJ:$AJ, $H13)</f>
        <v>0</v>
      </c>
      <c r="DA13" s="134">
        <f>SUMIFS('WBS Summary'!EU:EU,'WBS Summary'!$B:$B, $B13, 'WBS Summary'!$AH:$AH, $C13,'WBS Summary'!$AJ:$AJ, $H13)</f>
        <v>0</v>
      </c>
      <c r="DB13" s="134">
        <f>SUMIFS('WBS Summary'!EV:EV,'WBS Summary'!$B:$B, $B13, 'WBS Summary'!$AH:$AH, $C13,'WBS Summary'!$AJ:$AJ, $H13)</f>
        <v>0</v>
      </c>
      <c r="DC13" s="134">
        <f>SUMIFS('WBS Summary'!EW:EW,'WBS Summary'!$B:$B, $B13, 'WBS Summary'!$AH:$AH, $C13,'WBS Summary'!$AJ:$AJ, $H13)</f>
        <v>0</v>
      </c>
      <c r="DD13" s="134">
        <f>SUMIFS('WBS Summary'!EX:EX,'WBS Summary'!$B:$B, $B13, 'WBS Summary'!$AH:$AH, $C13,'WBS Summary'!$AJ:$AJ, $H13)</f>
        <v>0</v>
      </c>
      <c r="DE13" s="134">
        <f>SUMIFS('WBS Summary'!EY:EY,'WBS Summary'!$B:$B, $B13, 'WBS Summary'!$AH:$AH, $C13,'WBS Summary'!$AJ:$AJ, $H13)</f>
        <v>0</v>
      </c>
      <c r="DF13"/>
      <c r="DG13" s="134">
        <f>SUMIFS('WBS Summary'!FR:FR,'WBS Summary'!$B:$B, $B13, 'WBS Summary'!$AH:$AH, $C13,'WBS Summary'!$AJ:$AJ, $H13)</f>
        <v>0</v>
      </c>
      <c r="DH13" s="134">
        <f>SUMIFS('WBS Summary'!FS:FS,'WBS Summary'!$B:$B, $B13, 'WBS Summary'!$AH:$AH, $C13,'WBS Summary'!$AJ:$AJ, $H13)</f>
        <v>0</v>
      </c>
      <c r="DI13" s="134">
        <f>SUMIFS('WBS Summary'!FT:FT,'WBS Summary'!$B:$B, $B13, 'WBS Summary'!$AH:$AH, $C13,'WBS Summary'!$AJ:$AJ, $H13)</f>
        <v>0</v>
      </c>
      <c r="DJ13" s="134">
        <f>SUMIFS('WBS Summary'!FU:FU,'WBS Summary'!$B:$B, $B13, 'WBS Summary'!$AH:$AH, $C13,'WBS Summary'!$AJ:$AJ, $H13)</f>
        <v>0</v>
      </c>
      <c r="DK13" s="134">
        <f>SUMIFS('WBS Summary'!FV:FV,'WBS Summary'!$B:$B, $B13, 'WBS Summary'!$AH:$AH, $C13,'WBS Summary'!$AJ:$AJ, $H13)</f>
        <v>0</v>
      </c>
      <c r="DL13" s="134">
        <f>SUMIFS('WBS Summary'!FW:FW,'WBS Summary'!$B:$B, $B13, 'WBS Summary'!$AH:$AH, $C13,'WBS Summary'!$AJ:$AJ, $H13)</f>
        <v>0</v>
      </c>
      <c r="DM13" s="134">
        <f>SUMIFS('WBS Summary'!FX:FX,'WBS Summary'!$B:$B, $B13, 'WBS Summary'!$AH:$AH, $C13,'WBS Summary'!$AJ:$AJ, $H13)</f>
        <v>0</v>
      </c>
      <c r="DN13" s="134">
        <f>SUMIFS('WBS Summary'!FY:FY,'WBS Summary'!$B:$B, $B13, 'WBS Summary'!$AH:$AH, $C13,'WBS Summary'!$AJ:$AJ, $H13)</f>
        <v>0</v>
      </c>
      <c r="DO13" s="134">
        <f>SUMIFS('WBS Summary'!FZ:FZ,'WBS Summary'!$B:$B, $B13, 'WBS Summary'!$AH:$AH, $C13,'WBS Summary'!$AJ:$AJ, $H13)</f>
        <v>0</v>
      </c>
      <c r="DP13" s="134">
        <f>SUMIFS('WBS Summary'!GA:GA,'WBS Summary'!$B:$B, $B13, 'WBS Summary'!$AH:$AH, $C13,'WBS Summary'!$AJ:$AJ, $H13)</f>
        <v>0</v>
      </c>
      <c r="DQ13" s="134">
        <f>SUMIFS('WBS Summary'!GB:GB,'WBS Summary'!$B:$B, $B13, 'WBS Summary'!$AH:$AH, $C13,'WBS Summary'!$AJ:$AJ, $H13)</f>
        <v>0</v>
      </c>
      <c r="DR13" s="134">
        <f>SUMIFS('WBS Summary'!GC:GC,'WBS Summary'!$B:$B, $B13, 'WBS Summary'!$AH:$AH, $C13,'WBS Summary'!$AJ:$AJ, $H13)</f>
        <v>0</v>
      </c>
      <c r="DS13" s="134">
        <f>SUMIFS('WBS Summary'!GD:GD,'WBS Summary'!$B:$B, $B13, 'WBS Summary'!$AH:$AH, $C13,'WBS Summary'!$AJ:$AJ, $H13)</f>
        <v>0</v>
      </c>
      <c r="DT13" s="134">
        <f>SUMIFS('WBS Summary'!GE:GE,'WBS Summary'!$B:$B, $B13, 'WBS Summary'!$AH:$AH, $C13,'WBS Summary'!$AJ:$AJ, $H13)</f>
        <v>0</v>
      </c>
      <c r="DU13" s="134">
        <f>SUMIFS('WBS Summary'!GF:GF,'WBS Summary'!$B:$B, $B13, 'WBS Summary'!$AH:$AH, $C13,'WBS Summary'!$AJ:$AJ, $H13)</f>
        <v>0</v>
      </c>
      <c r="DV13" s="134">
        <f>SUMIFS('WBS Summary'!GG:GG,'WBS Summary'!$B:$B, $B13, 'WBS Summary'!$AH:$AH, $C13,'WBS Summary'!$AJ:$AJ, $H13)</f>
        <v>0</v>
      </c>
      <c r="DW13" s="134">
        <f>SUMIFS('WBS Summary'!GH:GH,'WBS Summary'!$B:$B, $B13, 'WBS Summary'!$AH:$AH, $C13,'WBS Summary'!$AJ:$AJ, $H13)</f>
        <v>0</v>
      </c>
      <c r="DX13" s="134">
        <f>SUMIFS('WBS Summary'!GI:GI,'WBS Summary'!$B:$B, $B13, 'WBS Summary'!$AH:$AH, $C13,'WBS Summary'!$AJ:$AJ, $H13)</f>
        <v>0</v>
      </c>
      <c r="DY13" s="134">
        <f>SUMIFS('WBS Summary'!GJ:GJ,'WBS Summary'!$B:$B, $B13, 'WBS Summary'!$AH:$AH, $C13,'WBS Summary'!$AJ:$AJ, $H13)</f>
        <v>0</v>
      </c>
      <c r="DZ13" s="134">
        <f>SUMIFS('WBS Summary'!GK:GK,'WBS Summary'!$B:$B, $B13, 'WBS Summary'!$AH:$AH, $C13,'WBS Summary'!$AJ:$AJ, $H13)</f>
        <v>0</v>
      </c>
      <c r="EA13" s="134">
        <f>SUMIFS('WBS Summary'!GL:GL,'WBS Summary'!$B:$B, $B13, 'WBS Summary'!$AH:$AH, $C13,'WBS Summary'!$AJ:$AJ, $H13)</f>
        <v>0</v>
      </c>
      <c r="EB13" s="134">
        <f>SUMIFS('WBS Summary'!GM:GM,'WBS Summary'!$B:$B, $B13, 'WBS Summary'!$AH:$AH, $C13,'WBS Summary'!$AJ:$AJ, $H13)</f>
        <v>0</v>
      </c>
      <c r="EC13" s="134">
        <f>SUMIFS('WBS Summary'!GN:GN,'WBS Summary'!$B:$B, $B13, 'WBS Summary'!$AH:$AH, $C13,'WBS Summary'!$AJ:$AJ, $H13)</f>
        <v>0</v>
      </c>
      <c r="ED13" s="134">
        <f>SUMIFS('WBS Summary'!GO:GO,'WBS Summary'!$B:$B, $B13, 'WBS Summary'!$AH:$AH, $C13,'WBS Summary'!$AJ:$AJ, $H13)</f>
        <v>0</v>
      </c>
      <c r="EE13" s="134">
        <f>SUMIFS('WBS Summary'!GP:GP,'WBS Summary'!$B:$B, $B13, 'WBS Summary'!$AH:$AH, $C13,'WBS Summary'!$AJ:$AJ, $H13)</f>
        <v>0</v>
      </c>
      <c r="EF13" s="134">
        <f>SUMIFS('WBS Summary'!GQ:GQ,'WBS Summary'!$B:$B, $B13, 'WBS Summary'!$AH:$AH, $C13,'WBS Summary'!$AJ:$AJ, $H13)</f>
        <v>0</v>
      </c>
      <c r="EG13" s="134">
        <f>SUMIFS('WBS Summary'!GR:GR,'WBS Summary'!$B:$B, $B13, 'WBS Summary'!$AH:$AH, $C13,'WBS Summary'!$AJ:$AJ, $H13)</f>
        <v>0</v>
      </c>
      <c r="EH13" s="134">
        <f>SUMIFS('WBS Summary'!GS:GS,'WBS Summary'!$B:$B, $B13, 'WBS Summary'!$AH:$AH, $C13,'WBS Summary'!$AJ:$AJ, $H13)</f>
        <v>0</v>
      </c>
      <c r="EI13" s="134">
        <f>SUMIFS('WBS Summary'!GT:GT,'WBS Summary'!$B:$B, $B13, 'WBS Summary'!$AH:$AH, $C13,'WBS Summary'!$AJ:$AJ, $H13)</f>
        <v>0</v>
      </c>
      <c r="EJ13" s="134">
        <f>SUMIFS('WBS Summary'!GU:GU,'WBS Summary'!$B:$B, $B13, 'WBS Summary'!$AH:$AH, $C13,'WBS Summary'!$AJ:$AJ, $H13)</f>
        <v>0</v>
      </c>
      <c r="EK13" s="134">
        <f>SUMIFS('WBS Summary'!GV:GV,'WBS Summary'!$B:$B, $B13, 'WBS Summary'!$AH:$AH, $C13,'WBS Summary'!$AJ:$AJ, $H13)</f>
        <v>0</v>
      </c>
      <c r="EL13" s="134">
        <f>SUMIFS('WBS Summary'!GW:GW,'WBS Summary'!$B:$B, $B13, 'WBS Summary'!$AH:$AH, $C13,'WBS Summary'!$AJ:$AJ, $H13)</f>
        <v>0</v>
      </c>
      <c r="EM13" s="134">
        <f>SUMIFS('WBS Summary'!GX:GX,'WBS Summary'!$B:$B, $B13, 'WBS Summary'!$AH:$AH, $C13,'WBS Summary'!$AJ:$AJ, $H13)</f>
        <v>0</v>
      </c>
      <c r="EN13" s="134">
        <f>SUMIFS('WBS Summary'!GY:GY,'WBS Summary'!$B:$B, $B13, 'WBS Summary'!$AH:$AH, $C13,'WBS Summary'!$AJ:$AJ, $H13)</f>
        <v>0</v>
      </c>
      <c r="EO13" s="134">
        <f>SUMIFS('WBS Summary'!GZ:GZ,'WBS Summary'!$B:$B, $B13, 'WBS Summary'!$AH:$AH, $C13,'WBS Summary'!$AJ:$AJ, $H13)</f>
        <v>0</v>
      </c>
      <c r="EP13" s="134">
        <f>SUMIFS('WBS Summary'!HA:HA,'WBS Summary'!$B:$B, $B13, 'WBS Summary'!$AH:$AH, $C13,'WBS Summary'!$AJ:$AJ, $H13)</f>
        <v>0</v>
      </c>
      <c r="EQ13" s="134">
        <f>SUMIFS('WBS Summary'!HB:HB,'WBS Summary'!$B:$B, $B13, 'WBS Summary'!$AH:$AH, $C13,'WBS Summary'!$AJ:$AJ, $H13)</f>
        <v>0</v>
      </c>
      <c r="ER13" s="134">
        <f>SUMIFS('WBS Summary'!HC:HC,'WBS Summary'!$B:$B, $B13, 'WBS Summary'!$AH:$AH, $C13,'WBS Summary'!$AJ:$AJ, $H13)</f>
        <v>0</v>
      </c>
      <c r="ES13" s="134">
        <f>SUMIFS('WBS Summary'!HD:HD,'WBS Summary'!$B:$B, $B13, 'WBS Summary'!$AH:$AH, $C13,'WBS Summary'!$AJ:$AJ, $H13)</f>
        <v>0</v>
      </c>
      <c r="ET13" s="134">
        <f>SUMIFS('WBS Summary'!HE:HE,'WBS Summary'!$B:$B, $B13, 'WBS Summary'!$AH:$AH, $C13,'WBS Summary'!$AJ:$AJ, $H13)</f>
        <v>0</v>
      </c>
      <c r="EU13" s="134">
        <f>SUMIFS('WBS Summary'!HF:HF,'WBS Summary'!$B:$B, $B13, 'WBS Summary'!$AH:$AH, $C13,'WBS Summary'!$AJ:$AJ, $H13)</f>
        <v>0</v>
      </c>
      <c r="EV13" s="134">
        <f>SUMIFS('WBS Summary'!HG:HG,'WBS Summary'!$B:$B, $B13, 'WBS Summary'!$AH:$AH, $C13,'WBS Summary'!$AJ:$AJ, $H13)</f>
        <v>0</v>
      </c>
      <c r="EW13" s="134">
        <f>SUMIFS('WBS Summary'!HH:HH,'WBS Summary'!$B:$B, $B13, 'WBS Summary'!$AH:$AH, $C13,'WBS Summary'!$AJ:$AJ, $H13)</f>
        <v>0</v>
      </c>
      <c r="EX13" s="134">
        <f>SUMIFS('WBS Summary'!HI:HI,'WBS Summary'!$B:$B, $B13, 'WBS Summary'!$AH:$AH, $C13,'WBS Summary'!$AJ:$AJ, $H13)</f>
        <v>0</v>
      </c>
      <c r="EY13" s="134">
        <f>SUMIFS('WBS Summary'!HJ:HJ,'WBS Summary'!$B:$B, $B13, 'WBS Summary'!$AH:$AH, $C13,'WBS Summary'!$AJ:$AJ, $H13)</f>
        <v>0</v>
      </c>
      <c r="EZ13" s="134">
        <f>SUMIFS('WBS Summary'!HK:HK,'WBS Summary'!$B:$B, $B13, 'WBS Summary'!$AH:$AH, $C13,'WBS Summary'!$AJ:$AJ, $H13)</f>
        <v>0</v>
      </c>
      <c r="FA13" s="134">
        <f>SUMIFS('WBS Summary'!HL:HL,'WBS Summary'!$B:$B, $B13, 'WBS Summary'!$AH:$AH, $C13,'WBS Summary'!$AJ:$AJ, $H13)</f>
        <v>0</v>
      </c>
      <c r="FB13" s="134">
        <f>SUMIFS('WBS Summary'!HM:HM,'WBS Summary'!$B:$B, $B13, 'WBS Summary'!$AH:$AH, $C13,'WBS Summary'!$AJ:$AJ, $H13)</f>
        <v>0</v>
      </c>
      <c r="FC13" s="134">
        <f>SUMIFS('WBS Summary'!HN:HN,'WBS Summary'!$B:$B, $B13, 'WBS Summary'!$AH:$AH, $C13,'WBS Summary'!$AJ:$AJ, $H13)</f>
        <v>0</v>
      </c>
      <c r="FD13" s="134">
        <f>SUMIFS('WBS Summary'!HO:HO,'WBS Summary'!$B:$B, $B13, 'WBS Summary'!$AH:$AH, $C13,'WBS Summary'!$AJ:$AJ, $H13)</f>
        <v>0</v>
      </c>
      <c r="FE13" s="134">
        <f>SUMIFS('WBS Summary'!HP:HP,'WBS Summary'!$B:$B, $B13, 'WBS Summary'!$AH:$AH, $C13,'WBS Summary'!$AJ:$AJ, $H13)</f>
        <v>0</v>
      </c>
      <c r="FF13" s="134">
        <f>SUMIFS('WBS Summary'!HQ:HQ,'WBS Summary'!$B:$B, $B13, 'WBS Summary'!$AH:$AH, $C13,'WBS Summary'!$AJ:$AJ, $H13)</f>
        <v>0</v>
      </c>
      <c r="FG13" s="134">
        <f>SUMIFS('WBS Summary'!HR:HR,'WBS Summary'!$B:$B, $B13, 'WBS Summary'!$AH:$AH, $C13,'WBS Summary'!$AJ:$AJ, $H13)</f>
        <v>0</v>
      </c>
      <c r="FH13" s="134">
        <f>SUMIFS('WBS Summary'!HS:HS,'WBS Summary'!$B:$B, $B13, 'WBS Summary'!$AH:$AH, $C13,'WBS Summary'!$AJ:$AJ, $H13)</f>
        <v>0</v>
      </c>
      <c r="FI13" s="134">
        <f>SUMIFS('WBS Summary'!HT:HT,'WBS Summary'!$B:$B, $B13, 'WBS Summary'!$AH:$AH, $C13,'WBS Summary'!$AJ:$AJ, $H13)</f>
        <v>0</v>
      </c>
      <c r="FJ13" s="134">
        <f>SUMIFS('WBS Summary'!HU:HU,'WBS Summary'!$B:$B, $B13, 'WBS Summary'!$AH:$AH, $C13,'WBS Summary'!$AJ:$AJ, $H13)</f>
        <v>0</v>
      </c>
      <c r="FK13" s="134">
        <f>SUMIFS('WBS Summary'!HV:HV,'WBS Summary'!$B:$B, $B13, 'WBS Summary'!$AH:$AH, $C13,'WBS Summary'!$AJ:$AJ, $H13)</f>
        <v>0</v>
      </c>
      <c r="FL13" s="134">
        <f>SUMIFS('WBS Summary'!HW:HW,'WBS Summary'!$B:$B, $B13, 'WBS Summary'!$AH:$AH, $C13,'WBS Summary'!$AJ:$AJ, $H13)</f>
        <v>0</v>
      </c>
      <c r="FM13" s="134">
        <f>SUMIFS('WBS Summary'!HX:HX,'WBS Summary'!$B:$B, $B13, 'WBS Summary'!$AH:$AH, $C13,'WBS Summary'!$AJ:$AJ, $H13)</f>
        <v>0</v>
      </c>
      <c r="FN13" s="134">
        <f>SUMIFS('WBS Summary'!HY:HY,'WBS Summary'!$B:$B, $B13, 'WBS Summary'!$AH:$AH, $C13,'WBS Summary'!$AJ:$AJ, $H13)</f>
        <v>0</v>
      </c>
      <c r="FO13" s="134">
        <f>SUMIFS('WBS Summary'!HZ:HZ,'WBS Summary'!$B:$B, $B13, 'WBS Summary'!$AH:$AH, $C13,'WBS Summary'!$AJ:$AJ, $H13)</f>
        <v>0</v>
      </c>
      <c r="FP13" s="134">
        <f>SUMIFS('WBS Summary'!IA:IA,'WBS Summary'!$B:$B, $B13, 'WBS Summary'!$AH:$AH, $C13,'WBS Summary'!$AJ:$AJ, $H13)</f>
        <v>0</v>
      </c>
      <c r="FQ13" s="134">
        <f>SUMIFS('WBS Summary'!IB:IB,'WBS Summary'!$B:$B, $B13, 'WBS Summary'!$AH:$AH, $C13,'WBS Summary'!$AJ:$AJ, $H13)</f>
        <v>0</v>
      </c>
      <c r="FR13" s="134">
        <f>SUMIFS('WBS Summary'!IC:IC,'WBS Summary'!$B:$B, $B13, 'WBS Summary'!$AH:$AH, $C13,'WBS Summary'!$AJ:$AJ, $H13)</f>
        <v>0</v>
      </c>
      <c r="FS13" s="134">
        <f>SUMIFS('WBS Summary'!ID:ID,'WBS Summary'!$B:$B, $B13, 'WBS Summary'!$AH:$AH, $C13,'WBS Summary'!$AJ:$AJ, $H13)</f>
        <v>0</v>
      </c>
      <c r="FT13" s="134">
        <f>SUMIFS('WBS Summary'!IE:IE,'WBS Summary'!$B:$B, $B13, 'WBS Summary'!$AH:$AH, $C13,'WBS Summary'!$AJ:$AJ, $H13)</f>
        <v>0</v>
      </c>
      <c r="FU13" s="134">
        <f>SUMIFS('WBS Summary'!IF:IF,'WBS Summary'!$B:$B, $B13, 'WBS Summary'!$AH:$AH, $C13,'WBS Summary'!$AJ:$AJ, $H13)</f>
        <v>0</v>
      </c>
      <c r="FV13" s="134">
        <f>SUMIFS('WBS Summary'!IG:IG,'WBS Summary'!$B:$B, $B13, 'WBS Summary'!$AH:$AH, $C13,'WBS Summary'!$AJ:$AJ, $H13)</f>
        <v>0</v>
      </c>
      <c r="FW13" s="134">
        <f>SUMIFS('WBS Summary'!IH:IH,'WBS Summary'!$B:$B, $B13, 'WBS Summary'!$AH:$AH, $C13,'WBS Summary'!$AJ:$AJ, $H13)</f>
        <v>0</v>
      </c>
      <c r="FX13" s="134">
        <f>SUMIFS('WBS Summary'!II:II,'WBS Summary'!$B:$B, $B13, 'WBS Summary'!$AH:$AH, $C13,'WBS Summary'!$AJ:$AJ, $H13)</f>
        <v>0</v>
      </c>
      <c r="FY13" s="134">
        <f>SUMIFS('WBS Summary'!IJ:IJ,'WBS Summary'!$B:$B, $B13, 'WBS Summary'!$AH:$AH, $C13,'WBS Summary'!$AJ:$AJ, $H13)</f>
        <v>0</v>
      </c>
      <c r="FZ13" s="134">
        <f>SUMIFS('WBS Summary'!IK:IK,'WBS Summary'!$B:$B, $B13, 'WBS Summary'!$AH:$AH, $C13,'WBS Summary'!$AJ:$AJ, $H13)</f>
        <v>0</v>
      </c>
      <c r="GA13" s="134">
        <f>SUMIFS('WBS Summary'!IL:IL,'WBS Summary'!$B:$B, $B13, 'WBS Summary'!$AH:$AH, $C13,'WBS Summary'!$AJ:$AJ, $H13)</f>
        <v>0</v>
      </c>
      <c r="GB13" s="134">
        <f>SUMIFS('WBS Summary'!IM:IM,'WBS Summary'!$B:$B, $B13, 'WBS Summary'!$AH:$AH, $C13,'WBS Summary'!$AJ:$AJ, $H13)</f>
        <v>0</v>
      </c>
      <c r="GC13" s="134">
        <f>SUMIFS('WBS Summary'!IN:IN,'WBS Summary'!$B:$B, $B13, 'WBS Summary'!$AH:$AH, $C13,'WBS Summary'!$AJ:$AJ, $H13)</f>
        <v>0</v>
      </c>
      <c r="GD13" s="134">
        <f>SUMIFS('WBS Summary'!IO:IO,'WBS Summary'!$B:$B, $B13, 'WBS Summary'!$AH:$AH, $C13,'WBS Summary'!$AJ:$AJ, $H13)</f>
        <v>0</v>
      </c>
      <c r="GE13" s="134">
        <f>SUMIFS('WBS Summary'!IP:IP,'WBS Summary'!$B:$B, $B13, 'WBS Summary'!$AH:$AH, $C13,'WBS Summary'!$AJ:$AJ, $H13)</f>
        <v>0</v>
      </c>
      <c r="GF13" s="134">
        <f>SUMIFS('WBS Summary'!IQ:IQ,'WBS Summary'!$B:$B, $B13, 'WBS Summary'!$AH:$AH, $C13,'WBS Summary'!$AJ:$AJ, $H13)</f>
        <v>0</v>
      </c>
      <c r="GG13" s="134">
        <f>SUMIFS('WBS Summary'!IR:IR,'WBS Summary'!$B:$B, $B13, 'WBS Summary'!$AH:$AH, $C13,'WBS Summary'!$AJ:$AJ, $H13)</f>
        <v>0</v>
      </c>
      <c r="GH13" s="134">
        <f>SUMIFS('WBS Summary'!IS:IS,'WBS Summary'!$B:$B, $B13, 'WBS Summary'!$AH:$AH, $C13,'WBS Summary'!$AJ:$AJ, $H13)</f>
        <v>0</v>
      </c>
      <c r="GI13" s="134">
        <f>SUMIFS('WBS Summary'!IT:IT,'WBS Summary'!$B:$B, $B13, 'WBS Summary'!$AH:$AH, $C13,'WBS Summary'!$AJ:$AJ, $H13)</f>
        <v>0</v>
      </c>
      <c r="GJ13" s="134">
        <f>SUMIFS('WBS Summary'!IU:IU,'WBS Summary'!$B:$B, $B13, 'WBS Summary'!$AH:$AH, $C13,'WBS Summary'!$AJ:$AJ, $H13)</f>
        <v>0</v>
      </c>
      <c r="GK13" s="134">
        <f>SUMIFS('WBS Summary'!IV:IV,'WBS Summary'!$B:$B, $B13, 'WBS Summary'!$AH:$AH, $C13,'WBS Summary'!$AJ:$AJ, $H13)</f>
        <v>0</v>
      </c>
      <c r="GL13" s="134">
        <f>SUMIFS('WBS Summary'!IW:IW,'WBS Summary'!$B:$B, $B13, 'WBS Summary'!$AH:$AH, $C13,'WBS Summary'!$AJ:$AJ, $H13)</f>
        <v>0</v>
      </c>
      <c r="GM13" s="134">
        <f>SUMIFS('WBS Summary'!IX:IX,'WBS Summary'!$B:$B, $B13, 'WBS Summary'!$AH:$AH, $C13,'WBS Summary'!$AJ:$AJ, $H13)</f>
        <v>0</v>
      </c>
      <c r="GN13" s="134">
        <f>SUMIFS('WBS Summary'!IY:IY,'WBS Summary'!$B:$B, $B13, 'WBS Summary'!$AH:$AH, $C13,'WBS Summary'!$AJ:$AJ, $H13)</f>
        <v>0</v>
      </c>
      <c r="GO13" s="134">
        <f>SUMIFS('WBS Summary'!IZ:IZ,'WBS Summary'!$B:$B, $B13, 'WBS Summary'!$AH:$AH, $C13,'WBS Summary'!$AJ:$AJ, $H13)</f>
        <v>0</v>
      </c>
      <c r="GP13" s="134">
        <f>SUMIFS('WBS Summary'!JA:JA,'WBS Summary'!$B:$B, $B13, 'WBS Summary'!$AH:$AH, $C13,'WBS Summary'!$AJ:$AJ, $H13)</f>
        <v>0</v>
      </c>
      <c r="GQ13" s="134">
        <f>SUMIFS('WBS Summary'!JB:JB,'WBS Summary'!$B:$B, $B13, 'WBS Summary'!$AH:$AH, $C13,'WBS Summary'!$AJ:$AJ, $H13)</f>
        <v>0</v>
      </c>
      <c r="GR13" s="134">
        <f>SUMIFS('WBS Summary'!JC:JC,'WBS Summary'!$B:$B, $B13, 'WBS Summary'!$AH:$AH, $C13,'WBS Summary'!$AJ:$AJ, $H13)</f>
        <v>0</v>
      </c>
      <c r="GS13" s="134">
        <f>SUMIFS('WBS Summary'!JD:JD,'WBS Summary'!$B:$B, $B13, 'WBS Summary'!$AH:$AH, $C13,'WBS Summary'!$AJ:$AJ, $H13)</f>
        <v>0</v>
      </c>
      <c r="GT13" s="134">
        <f>SUMIFS('WBS Summary'!JE:JE,'WBS Summary'!$B:$B, $B13, 'WBS Summary'!$AH:$AH, $C13,'WBS Summary'!$AJ:$AJ, $H13)</f>
        <v>0</v>
      </c>
      <c r="GU13" s="134">
        <f>SUMIFS('WBS Summary'!JF:JF,'WBS Summary'!$B:$B, $B13, 'WBS Summary'!$AH:$AH, $C13,'WBS Summary'!$AJ:$AJ, $H13)</f>
        <v>0</v>
      </c>
      <c r="GV13" s="134">
        <f>SUMIFS('WBS Summary'!JG:JG,'WBS Summary'!$B:$B, $B13, 'WBS Summary'!$AH:$AH, $C13,'WBS Summary'!$AJ:$AJ, $H13)</f>
        <v>0</v>
      </c>
      <c r="GW13" s="134">
        <f>SUMIFS('WBS Summary'!JH:JH,'WBS Summary'!$B:$B, $B13, 'WBS Summary'!$AH:$AH, $C13,'WBS Summary'!$AJ:$AJ, $H13)</f>
        <v>0</v>
      </c>
      <c r="GX13" s="134">
        <f>SUMIFS('WBS Summary'!JI:JI,'WBS Summary'!$B:$B, $B13, 'WBS Summary'!$AH:$AH, $C13,'WBS Summary'!$AJ:$AJ, $H13)</f>
        <v>0</v>
      </c>
      <c r="GY13" s="134">
        <f>SUMIFS('WBS Summary'!JJ:JJ,'WBS Summary'!$B:$B, $B13, 'WBS Summary'!$AH:$AH, $C13,'WBS Summary'!$AJ:$AJ, $H13)</f>
        <v>0</v>
      </c>
      <c r="GZ13" s="134">
        <f>SUMIFS('WBS Summary'!JK:JK,'WBS Summary'!$B:$B, $B13, 'WBS Summary'!$AH:$AH, $C13,'WBS Summary'!$AJ:$AJ, $H13)</f>
        <v>0</v>
      </c>
      <c r="HA13" s="134">
        <f>SUMIFS('WBS Summary'!JL:JL,'WBS Summary'!$B:$B, $B13, 'WBS Summary'!$AH:$AH, $C13,'WBS Summary'!$AJ:$AJ, $H13)</f>
        <v>0</v>
      </c>
      <c r="HB13" s="134">
        <f>SUMIFS('WBS Summary'!JM:JM,'WBS Summary'!$B:$B, $B13, 'WBS Summary'!$AH:$AH, $C13,'WBS Summary'!$AJ:$AJ, $H13)</f>
        <v>0</v>
      </c>
      <c r="HC13"/>
    </row>
    <row r="14" spans="1:211" s="194" customFormat="1" outlineLevel="2">
      <c r="A14" s="220"/>
      <c r="B14" s="284" t="s">
        <v>475</v>
      </c>
      <c r="C14" s="227" t="s">
        <v>107</v>
      </c>
      <c r="D14" s="352"/>
      <c r="E14" s="352"/>
      <c r="F14" s="224">
        <f t="shared" si="6"/>
        <v>0</v>
      </c>
      <c r="G14" s="224">
        <f t="shared" si="7"/>
        <v>0</v>
      </c>
      <c r="H14" s="233" t="s">
        <v>344</v>
      </c>
      <c r="I14"/>
      <c r="J14" s="134">
        <f>SUMIFS('WBS Summary'!BD:BD,'WBS Summary'!$B:$B, $B14, 'WBS Summary'!$AH:$AH, $C14,'WBS Summary'!$AJ:$AJ, $H14)</f>
        <v>0</v>
      </c>
      <c r="K14" s="134">
        <f>SUMIFS('WBS Summary'!BE:BE,'WBS Summary'!$B:$B, $B14, 'WBS Summary'!$AH:$AH, $C14,'WBS Summary'!$AJ:$AJ, $H14)</f>
        <v>0</v>
      </c>
      <c r="L14" s="134">
        <f>SUMIFS('WBS Summary'!BF:BF,'WBS Summary'!$B:$B, $B14, 'WBS Summary'!$AH:$AH, $C14,'WBS Summary'!$AJ:$AJ, $H14)</f>
        <v>0</v>
      </c>
      <c r="M14" s="134">
        <f>SUMIFS('WBS Summary'!BG:BG,'WBS Summary'!$B:$B, $B14, 'WBS Summary'!$AH:$AH, $C14,'WBS Summary'!$AJ:$AJ, $H14)</f>
        <v>0</v>
      </c>
      <c r="N14" s="134">
        <f>SUMIFS('WBS Summary'!BH:BH,'WBS Summary'!$B:$B, $B14, 'WBS Summary'!$AH:$AH, $C14,'WBS Summary'!$AJ:$AJ, $H14)</f>
        <v>0</v>
      </c>
      <c r="O14" s="134">
        <f>SUMIFS('WBS Summary'!BI:BI,'WBS Summary'!$B:$B, $B14, 'WBS Summary'!$AH:$AH, $C14,'WBS Summary'!$AJ:$AJ, $H14)</f>
        <v>0</v>
      </c>
      <c r="P14" s="134">
        <f>SUMIFS('WBS Summary'!BJ:BJ,'WBS Summary'!$B:$B, $B14, 'WBS Summary'!$AH:$AH, $C14,'WBS Summary'!$AJ:$AJ, $H14)</f>
        <v>0</v>
      </c>
      <c r="Q14" s="134">
        <f>SUMIFS('WBS Summary'!BK:BK,'WBS Summary'!$B:$B, $B14, 'WBS Summary'!$AH:$AH, $C14,'WBS Summary'!$AJ:$AJ, $H14)</f>
        <v>0</v>
      </c>
      <c r="R14" s="134">
        <f>SUMIFS('WBS Summary'!BL:BL,'WBS Summary'!$B:$B, $B14, 'WBS Summary'!$AH:$AH, $C14,'WBS Summary'!$AJ:$AJ, $H14)</f>
        <v>0</v>
      </c>
      <c r="S14" s="134">
        <f>SUMIFS('WBS Summary'!BM:BM,'WBS Summary'!$B:$B, $B14, 'WBS Summary'!$AH:$AH, $C14,'WBS Summary'!$AJ:$AJ, $H14)</f>
        <v>0</v>
      </c>
      <c r="T14" s="134">
        <f>SUMIFS('WBS Summary'!BN:BN,'WBS Summary'!$B:$B, $B14, 'WBS Summary'!$AH:$AH, $C14,'WBS Summary'!$AJ:$AJ, $H14)</f>
        <v>0</v>
      </c>
      <c r="U14" s="134">
        <f>SUMIFS('WBS Summary'!BO:BO,'WBS Summary'!$B:$B, $B14, 'WBS Summary'!$AH:$AH, $C14,'WBS Summary'!$AJ:$AJ, $H14)</f>
        <v>0</v>
      </c>
      <c r="V14" s="134">
        <f>SUMIFS('WBS Summary'!BP:BP,'WBS Summary'!$B:$B, $B14, 'WBS Summary'!$AH:$AH, $C14,'WBS Summary'!$AJ:$AJ, $H14)</f>
        <v>0</v>
      </c>
      <c r="W14" s="134">
        <f>SUMIFS('WBS Summary'!BQ:BQ,'WBS Summary'!$B:$B, $B14, 'WBS Summary'!$AH:$AH, $C14,'WBS Summary'!$AJ:$AJ, $H14)</f>
        <v>0</v>
      </c>
      <c r="X14" s="134">
        <f>SUMIFS('WBS Summary'!BR:BR,'WBS Summary'!$B:$B, $B14, 'WBS Summary'!$AH:$AH, $C14,'WBS Summary'!$AJ:$AJ, $H14)</f>
        <v>0</v>
      </c>
      <c r="Y14" s="134">
        <f>SUMIFS('WBS Summary'!BS:BS,'WBS Summary'!$B:$B, $B14, 'WBS Summary'!$AH:$AH, $C14,'WBS Summary'!$AJ:$AJ, $H14)</f>
        <v>0</v>
      </c>
      <c r="Z14" s="134">
        <f>SUMIFS('WBS Summary'!BT:BT,'WBS Summary'!$B:$B, $B14, 'WBS Summary'!$AH:$AH, $C14,'WBS Summary'!$AJ:$AJ, $H14)</f>
        <v>0</v>
      </c>
      <c r="AA14" s="134">
        <f>SUMIFS('WBS Summary'!BU:BU,'WBS Summary'!$B:$B, $B14, 'WBS Summary'!$AH:$AH, $C14,'WBS Summary'!$AJ:$AJ, $H14)</f>
        <v>0</v>
      </c>
      <c r="AB14" s="134">
        <f>SUMIFS('WBS Summary'!BV:BV,'WBS Summary'!$B:$B, $B14, 'WBS Summary'!$AH:$AH, $C14,'WBS Summary'!$AJ:$AJ, $H14)</f>
        <v>0</v>
      </c>
      <c r="AC14" s="134">
        <f>SUMIFS('WBS Summary'!BW:BW,'WBS Summary'!$B:$B, $B14, 'WBS Summary'!$AH:$AH, $C14,'WBS Summary'!$AJ:$AJ, $H14)</f>
        <v>0</v>
      </c>
      <c r="AD14" s="134">
        <f>SUMIFS('WBS Summary'!BX:BX,'WBS Summary'!$B:$B, $B14, 'WBS Summary'!$AH:$AH, $C14,'WBS Summary'!$AJ:$AJ, $H14)</f>
        <v>0</v>
      </c>
      <c r="AE14" s="134">
        <f>SUMIFS('WBS Summary'!BY:BY,'WBS Summary'!$B:$B, $B14, 'WBS Summary'!$AH:$AH, $C14,'WBS Summary'!$AJ:$AJ, $H14)</f>
        <v>0</v>
      </c>
      <c r="AF14" s="134">
        <f>SUMIFS('WBS Summary'!BZ:BZ,'WBS Summary'!$B:$B, $B14, 'WBS Summary'!$AH:$AH, $C14,'WBS Summary'!$AJ:$AJ, $H14)</f>
        <v>0</v>
      </c>
      <c r="AG14" s="134">
        <f>SUMIFS('WBS Summary'!CA:CA,'WBS Summary'!$B:$B, $B14, 'WBS Summary'!$AH:$AH, $C14,'WBS Summary'!$AJ:$AJ, $H14)</f>
        <v>0</v>
      </c>
      <c r="AH14" s="134">
        <f>SUMIFS('WBS Summary'!CB:CB,'WBS Summary'!$B:$B, $B14, 'WBS Summary'!$AH:$AH, $C14,'WBS Summary'!$AJ:$AJ, $H14)</f>
        <v>0</v>
      </c>
      <c r="AI14" s="134">
        <f>SUMIFS('WBS Summary'!CC:CC,'WBS Summary'!$B:$B, $B14, 'WBS Summary'!$AH:$AH, $C14,'WBS Summary'!$AJ:$AJ, $H14)</f>
        <v>0</v>
      </c>
      <c r="AJ14" s="134">
        <f>SUMIFS('WBS Summary'!CD:CD,'WBS Summary'!$B:$B, $B14, 'WBS Summary'!$AH:$AH, $C14,'WBS Summary'!$AJ:$AJ, $H14)</f>
        <v>0</v>
      </c>
      <c r="AK14" s="134">
        <f>SUMIFS('WBS Summary'!CE:CE,'WBS Summary'!$B:$B, $B14, 'WBS Summary'!$AH:$AH, $C14,'WBS Summary'!$AJ:$AJ, $H14)</f>
        <v>0</v>
      </c>
      <c r="AL14" s="134">
        <f>SUMIFS('WBS Summary'!CF:CF,'WBS Summary'!$B:$B, $B14, 'WBS Summary'!$AH:$AH, $C14,'WBS Summary'!$AJ:$AJ, $H14)</f>
        <v>0</v>
      </c>
      <c r="AM14" s="134">
        <f>SUMIFS('WBS Summary'!CG:CG,'WBS Summary'!$B:$B, $B14, 'WBS Summary'!$AH:$AH, $C14,'WBS Summary'!$AJ:$AJ, $H14)</f>
        <v>0</v>
      </c>
      <c r="AN14" s="134">
        <f>SUMIFS('WBS Summary'!CH:CH,'WBS Summary'!$B:$B, $B14, 'WBS Summary'!$AH:$AH, $C14,'WBS Summary'!$AJ:$AJ, $H14)</f>
        <v>0</v>
      </c>
      <c r="AO14" s="134">
        <f>SUMIFS('WBS Summary'!CI:CI,'WBS Summary'!$B:$B, $B14, 'WBS Summary'!$AH:$AH, $C14,'WBS Summary'!$AJ:$AJ, $H14)</f>
        <v>0</v>
      </c>
      <c r="AP14" s="134">
        <f>SUMIFS('WBS Summary'!CJ:CJ,'WBS Summary'!$B:$B, $B14, 'WBS Summary'!$AH:$AH, $C14,'WBS Summary'!$AJ:$AJ, $H14)</f>
        <v>0</v>
      </c>
      <c r="AQ14" s="134">
        <f>SUMIFS('WBS Summary'!CK:CK,'WBS Summary'!$B:$B, $B14, 'WBS Summary'!$AH:$AH, $C14,'WBS Summary'!$AJ:$AJ, $H14)</f>
        <v>0</v>
      </c>
      <c r="AR14" s="134">
        <f>SUMIFS('WBS Summary'!CL:CL,'WBS Summary'!$B:$B, $B14, 'WBS Summary'!$AH:$AH, $C14,'WBS Summary'!$AJ:$AJ, $H14)</f>
        <v>0</v>
      </c>
      <c r="AS14" s="134">
        <f>SUMIFS('WBS Summary'!CM:CM,'WBS Summary'!$B:$B, $B14, 'WBS Summary'!$AH:$AH, $C14,'WBS Summary'!$AJ:$AJ, $H14)</f>
        <v>0</v>
      </c>
      <c r="AT14" s="134">
        <f>SUMIFS('WBS Summary'!CN:CN,'WBS Summary'!$B:$B, $B14, 'WBS Summary'!$AH:$AH, $C14,'WBS Summary'!$AJ:$AJ, $H14)</f>
        <v>0</v>
      </c>
      <c r="AU14" s="134">
        <f>SUMIFS('WBS Summary'!CO:CO,'WBS Summary'!$B:$B, $B14, 'WBS Summary'!$AH:$AH, $C14,'WBS Summary'!$AJ:$AJ, $H14)</f>
        <v>0</v>
      </c>
      <c r="AV14" s="134">
        <f>SUMIFS('WBS Summary'!CP:CP,'WBS Summary'!$B:$B, $B14, 'WBS Summary'!$AH:$AH, $C14,'WBS Summary'!$AJ:$AJ, $H14)</f>
        <v>0</v>
      </c>
      <c r="AW14" s="134">
        <f>SUMIFS('WBS Summary'!CQ:CQ,'WBS Summary'!$B:$B, $B14, 'WBS Summary'!$AH:$AH, $C14,'WBS Summary'!$AJ:$AJ, $H14)</f>
        <v>0</v>
      </c>
      <c r="AX14" s="134">
        <f>SUMIFS('WBS Summary'!CR:CR,'WBS Summary'!$B:$B, $B14, 'WBS Summary'!$AH:$AH, $C14,'WBS Summary'!$AJ:$AJ, $H14)</f>
        <v>0</v>
      </c>
      <c r="AY14" s="134">
        <f>SUMIFS('WBS Summary'!CS:CS,'WBS Summary'!$B:$B, $B14, 'WBS Summary'!$AH:$AH, $C14,'WBS Summary'!$AJ:$AJ, $H14)</f>
        <v>0</v>
      </c>
      <c r="AZ14" s="134">
        <f>SUMIFS('WBS Summary'!CT:CT,'WBS Summary'!$B:$B, $B14, 'WBS Summary'!$AH:$AH, $C14,'WBS Summary'!$AJ:$AJ, $H14)</f>
        <v>0</v>
      </c>
      <c r="BA14" s="134">
        <f>SUMIFS('WBS Summary'!CU:CU,'WBS Summary'!$B:$B, $B14, 'WBS Summary'!$AH:$AH, $C14,'WBS Summary'!$AJ:$AJ, $H14)</f>
        <v>0</v>
      </c>
      <c r="BB14" s="134">
        <f>SUMIFS('WBS Summary'!CV:CV,'WBS Summary'!$B:$B, $B14, 'WBS Summary'!$AH:$AH, $C14,'WBS Summary'!$AJ:$AJ, $H14)</f>
        <v>0</v>
      </c>
      <c r="BC14" s="134">
        <f>SUMIFS('WBS Summary'!CW:CW,'WBS Summary'!$B:$B, $B14, 'WBS Summary'!$AH:$AH, $C14,'WBS Summary'!$AJ:$AJ, $H14)</f>
        <v>0</v>
      </c>
      <c r="BD14" s="134">
        <f>SUMIFS('WBS Summary'!CX:CX,'WBS Summary'!$B:$B, $B14, 'WBS Summary'!$AH:$AH, $C14,'WBS Summary'!$AJ:$AJ, $H14)</f>
        <v>0</v>
      </c>
      <c r="BE14" s="134">
        <f>SUMIFS('WBS Summary'!CY:CY,'WBS Summary'!$B:$B, $B14, 'WBS Summary'!$AH:$AH, $C14,'WBS Summary'!$AJ:$AJ, $H14)</f>
        <v>0</v>
      </c>
      <c r="BF14" s="134">
        <f>SUMIFS('WBS Summary'!CZ:CZ,'WBS Summary'!$B:$B, $B14, 'WBS Summary'!$AH:$AH, $C14,'WBS Summary'!$AJ:$AJ, $H14)</f>
        <v>0</v>
      </c>
      <c r="BG14" s="134">
        <f>SUMIFS('WBS Summary'!DA:DA,'WBS Summary'!$B:$B, $B14, 'WBS Summary'!$AH:$AH, $C14,'WBS Summary'!$AJ:$AJ, $H14)</f>
        <v>0</v>
      </c>
      <c r="BH14" s="134">
        <f>SUMIFS('WBS Summary'!DB:DB,'WBS Summary'!$B:$B, $B14, 'WBS Summary'!$AH:$AH, $C14,'WBS Summary'!$AJ:$AJ, $H14)</f>
        <v>0</v>
      </c>
      <c r="BI14" s="134">
        <f>SUMIFS('WBS Summary'!DC:DC,'WBS Summary'!$B:$B, $B14, 'WBS Summary'!$AH:$AH, $C14,'WBS Summary'!$AJ:$AJ, $H14)</f>
        <v>0</v>
      </c>
      <c r="BJ14" s="134">
        <f>SUMIFS('WBS Summary'!DD:DD,'WBS Summary'!$B:$B, $B14, 'WBS Summary'!$AH:$AH, $C14,'WBS Summary'!$AJ:$AJ, $H14)</f>
        <v>0</v>
      </c>
      <c r="BK14" s="134">
        <f>SUMIFS('WBS Summary'!DE:DE,'WBS Summary'!$B:$B, $B14, 'WBS Summary'!$AH:$AH, $C14,'WBS Summary'!$AJ:$AJ, $H14)</f>
        <v>0</v>
      </c>
      <c r="BL14" s="134">
        <f>SUMIFS('WBS Summary'!DF:DF,'WBS Summary'!$B:$B, $B14, 'WBS Summary'!$AH:$AH, $C14,'WBS Summary'!$AJ:$AJ, $H14)</f>
        <v>0</v>
      </c>
      <c r="BM14" s="134">
        <f>SUMIFS('WBS Summary'!DG:DG,'WBS Summary'!$B:$B, $B14, 'WBS Summary'!$AH:$AH, $C14,'WBS Summary'!$AJ:$AJ, $H14)</f>
        <v>0</v>
      </c>
      <c r="BN14" s="134">
        <f>SUMIFS('WBS Summary'!DH:DH,'WBS Summary'!$B:$B, $B14, 'WBS Summary'!$AH:$AH, $C14,'WBS Summary'!$AJ:$AJ, $H14)</f>
        <v>0</v>
      </c>
      <c r="BO14" s="134">
        <f>SUMIFS('WBS Summary'!DI:DI,'WBS Summary'!$B:$B, $B14, 'WBS Summary'!$AH:$AH, $C14,'WBS Summary'!$AJ:$AJ, $H14)</f>
        <v>0</v>
      </c>
      <c r="BP14" s="134">
        <f>SUMIFS('WBS Summary'!DJ:DJ,'WBS Summary'!$B:$B, $B14, 'WBS Summary'!$AH:$AH, $C14,'WBS Summary'!$AJ:$AJ, $H14)</f>
        <v>0</v>
      </c>
      <c r="BQ14" s="134">
        <f>SUMIFS('WBS Summary'!DK:DK,'WBS Summary'!$B:$B, $B14, 'WBS Summary'!$AH:$AH, $C14,'WBS Summary'!$AJ:$AJ, $H14)</f>
        <v>0</v>
      </c>
      <c r="BR14" s="134">
        <f>SUMIFS('WBS Summary'!DL:DL,'WBS Summary'!$B:$B, $B14, 'WBS Summary'!$AH:$AH, $C14,'WBS Summary'!$AJ:$AJ, $H14)</f>
        <v>0</v>
      </c>
      <c r="BS14" s="134">
        <f>SUMIFS('WBS Summary'!DM:DM,'WBS Summary'!$B:$B, $B14, 'WBS Summary'!$AH:$AH, $C14,'WBS Summary'!$AJ:$AJ, $H14)</f>
        <v>0</v>
      </c>
      <c r="BT14" s="134">
        <f>SUMIFS('WBS Summary'!DN:DN,'WBS Summary'!$B:$B, $B14, 'WBS Summary'!$AH:$AH, $C14,'WBS Summary'!$AJ:$AJ, $H14)</f>
        <v>0</v>
      </c>
      <c r="BU14" s="134">
        <f>SUMIFS('WBS Summary'!DO:DO,'WBS Summary'!$B:$B, $B14, 'WBS Summary'!$AH:$AH, $C14,'WBS Summary'!$AJ:$AJ, $H14)</f>
        <v>0</v>
      </c>
      <c r="BV14" s="134">
        <f>SUMIFS('WBS Summary'!DP:DP,'WBS Summary'!$B:$B, $B14, 'WBS Summary'!$AH:$AH, $C14,'WBS Summary'!$AJ:$AJ, $H14)</f>
        <v>0</v>
      </c>
      <c r="BW14" s="134">
        <f>SUMIFS('WBS Summary'!DQ:DQ,'WBS Summary'!$B:$B, $B14, 'WBS Summary'!$AH:$AH, $C14,'WBS Summary'!$AJ:$AJ, $H14)</f>
        <v>0</v>
      </c>
      <c r="BX14" s="134">
        <f>SUMIFS('WBS Summary'!DR:DR,'WBS Summary'!$B:$B, $B14, 'WBS Summary'!$AH:$AH, $C14,'WBS Summary'!$AJ:$AJ, $H14)</f>
        <v>0</v>
      </c>
      <c r="BY14" s="134">
        <f>SUMIFS('WBS Summary'!DS:DS,'WBS Summary'!$B:$B, $B14, 'WBS Summary'!$AH:$AH, $C14,'WBS Summary'!$AJ:$AJ, $H14)</f>
        <v>0</v>
      </c>
      <c r="BZ14" s="134">
        <f>SUMIFS('WBS Summary'!DT:DT,'WBS Summary'!$B:$B, $B14, 'WBS Summary'!$AH:$AH, $C14,'WBS Summary'!$AJ:$AJ, $H14)</f>
        <v>0</v>
      </c>
      <c r="CA14" s="134">
        <f>SUMIFS('WBS Summary'!DU:DU,'WBS Summary'!$B:$B, $B14, 'WBS Summary'!$AH:$AH, $C14,'WBS Summary'!$AJ:$AJ, $H14)</f>
        <v>0</v>
      </c>
      <c r="CB14" s="134">
        <f>SUMIFS('WBS Summary'!DV:DV,'WBS Summary'!$B:$B, $B14, 'WBS Summary'!$AH:$AH, $C14,'WBS Summary'!$AJ:$AJ, $H14)</f>
        <v>0</v>
      </c>
      <c r="CC14" s="134">
        <f>SUMIFS('WBS Summary'!DW:DW,'WBS Summary'!$B:$B, $B14, 'WBS Summary'!$AH:$AH, $C14,'WBS Summary'!$AJ:$AJ, $H14)</f>
        <v>0</v>
      </c>
      <c r="CD14" s="134">
        <f>SUMIFS('WBS Summary'!DX:DX,'WBS Summary'!$B:$B, $B14, 'WBS Summary'!$AH:$AH, $C14,'WBS Summary'!$AJ:$AJ, $H14)</f>
        <v>0</v>
      </c>
      <c r="CE14" s="134">
        <f>SUMIFS('WBS Summary'!DY:DY,'WBS Summary'!$B:$B, $B14, 'WBS Summary'!$AH:$AH, $C14,'WBS Summary'!$AJ:$AJ, $H14)</f>
        <v>0</v>
      </c>
      <c r="CF14" s="134">
        <f>SUMIFS('WBS Summary'!DZ:DZ,'WBS Summary'!$B:$B, $B14, 'WBS Summary'!$AH:$AH, $C14,'WBS Summary'!$AJ:$AJ, $H14)</f>
        <v>0</v>
      </c>
      <c r="CG14" s="134">
        <f>SUMIFS('WBS Summary'!EA:EA,'WBS Summary'!$B:$B, $B14, 'WBS Summary'!$AH:$AH, $C14,'WBS Summary'!$AJ:$AJ, $H14)</f>
        <v>0</v>
      </c>
      <c r="CH14" s="134">
        <f>SUMIFS('WBS Summary'!EB:EB,'WBS Summary'!$B:$B, $B14, 'WBS Summary'!$AH:$AH, $C14,'WBS Summary'!$AJ:$AJ, $H14)</f>
        <v>0</v>
      </c>
      <c r="CI14" s="134">
        <f>SUMIFS('WBS Summary'!EC:EC,'WBS Summary'!$B:$B, $B14, 'WBS Summary'!$AH:$AH, $C14,'WBS Summary'!$AJ:$AJ, $H14)</f>
        <v>0</v>
      </c>
      <c r="CJ14" s="134">
        <f>SUMIFS('WBS Summary'!ED:ED,'WBS Summary'!$B:$B, $B14, 'WBS Summary'!$AH:$AH, $C14,'WBS Summary'!$AJ:$AJ, $H14)</f>
        <v>0</v>
      </c>
      <c r="CK14" s="134">
        <f>SUMIFS('WBS Summary'!EE:EE,'WBS Summary'!$B:$B, $B14, 'WBS Summary'!$AH:$AH, $C14,'WBS Summary'!$AJ:$AJ, $H14)</f>
        <v>0</v>
      </c>
      <c r="CL14" s="134">
        <f>SUMIFS('WBS Summary'!EF:EF,'WBS Summary'!$B:$B, $B14, 'WBS Summary'!$AH:$AH, $C14,'WBS Summary'!$AJ:$AJ, $H14)</f>
        <v>0</v>
      </c>
      <c r="CM14" s="134">
        <f>SUMIFS('WBS Summary'!EG:EG,'WBS Summary'!$B:$B, $B14, 'WBS Summary'!$AH:$AH, $C14,'WBS Summary'!$AJ:$AJ, $H14)</f>
        <v>0</v>
      </c>
      <c r="CN14" s="134">
        <f>SUMIFS('WBS Summary'!EH:EH,'WBS Summary'!$B:$B, $B14, 'WBS Summary'!$AH:$AH, $C14,'WBS Summary'!$AJ:$AJ, $H14)</f>
        <v>0</v>
      </c>
      <c r="CO14" s="134">
        <f>SUMIFS('WBS Summary'!EI:EI,'WBS Summary'!$B:$B, $B14, 'WBS Summary'!$AH:$AH, $C14,'WBS Summary'!$AJ:$AJ, $H14)</f>
        <v>0</v>
      </c>
      <c r="CP14" s="134">
        <f>SUMIFS('WBS Summary'!EJ:EJ,'WBS Summary'!$B:$B, $B14, 'WBS Summary'!$AH:$AH, $C14,'WBS Summary'!$AJ:$AJ, $H14)</f>
        <v>0</v>
      </c>
      <c r="CQ14" s="134">
        <f>SUMIFS('WBS Summary'!EK:EK,'WBS Summary'!$B:$B, $B14, 'WBS Summary'!$AH:$AH, $C14,'WBS Summary'!$AJ:$AJ, $H14)</f>
        <v>0</v>
      </c>
      <c r="CR14" s="134">
        <f>SUMIFS('WBS Summary'!EL:EL,'WBS Summary'!$B:$B, $B14, 'WBS Summary'!$AH:$AH, $C14,'WBS Summary'!$AJ:$AJ, $H14)</f>
        <v>0</v>
      </c>
      <c r="CS14" s="134">
        <f>SUMIFS('WBS Summary'!EM:EM,'WBS Summary'!$B:$B, $B14, 'WBS Summary'!$AH:$AH, $C14,'WBS Summary'!$AJ:$AJ, $H14)</f>
        <v>0</v>
      </c>
      <c r="CT14" s="134">
        <f>SUMIFS('WBS Summary'!EN:EN,'WBS Summary'!$B:$B, $B14, 'WBS Summary'!$AH:$AH, $C14,'WBS Summary'!$AJ:$AJ, $H14)</f>
        <v>0</v>
      </c>
      <c r="CU14" s="134">
        <f>SUMIFS('WBS Summary'!EO:EO,'WBS Summary'!$B:$B, $B14, 'WBS Summary'!$AH:$AH, $C14,'WBS Summary'!$AJ:$AJ, $H14)</f>
        <v>0</v>
      </c>
      <c r="CV14" s="134">
        <f>SUMIFS('WBS Summary'!EP:EP,'WBS Summary'!$B:$B, $B14, 'WBS Summary'!$AH:$AH, $C14,'WBS Summary'!$AJ:$AJ, $H14)</f>
        <v>0</v>
      </c>
      <c r="CW14" s="134">
        <f>SUMIFS('WBS Summary'!EQ:EQ,'WBS Summary'!$B:$B, $B14, 'WBS Summary'!$AH:$AH, $C14,'WBS Summary'!$AJ:$AJ, $H14)</f>
        <v>0</v>
      </c>
      <c r="CX14" s="134">
        <f>SUMIFS('WBS Summary'!ER:ER,'WBS Summary'!$B:$B, $B14, 'WBS Summary'!$AH:$AH, $C14,'WBS Summary'!$AJ:$AJ, $H14)</f>
        <v>0</v>
      </c>
      <c r="CY14" s="134">
        <f>SUMIFS('WBS Summary'!ES:ES,'WBS Summary'!$B:$B, $B14, 'WBS Summary'!$AH:$AH, $C14,'WBS Summary'!$AJ:$AJ, $H14)</f>
        <v>0</v>
      </c>
      <c r="CZ14" s="134">
        <f>SUMIFS('WBS Summary'!ET:ET,'WBS Summary'!$B:$B, $B14, 'WBS Summary'!$AH:$AH, $C14,'WBS Summary'!$AJ:$AJ, $H14)</f>
        <v>0</v>
      </c>
      <c r="DA14" s="134">
        <f>SUMIFS('WBS Summary'!EU:EU,'WBS Summary'!$B:$B, $B14, 'WBS Summary'!$AH:$AH, $C14,'WBS Summary'!$AJ:$AJ, $H14)</f>
        <v>0</v>
      </c>
      <c r="DB14" s="134">
        <f>SUMIFS('WBS Summary'!EV:EV,'WBS Summary'!$B:$B, $B14, 'WBS Summary'!$AH:$AH, $C14,'WBS Summary'!$AJ:$AJ, $H14)</f>
        <v>0</v>
      </c>
      <c r="DC14" s="134">
        <f>SUMIFS('WBS Summary'!EW:EW,'WBS Summary'!$B:$B, $B14, 'WBS Summary'!$AH:$AH, $C14,'WBS Summary'!$AJ:$AJ, $H14)</f>
        <v>0</v>
      </c>
      <c r="DD14" s="134">
        <f>SUMIFS('WBS Summary'!EX:EX,'WBS Summary'!$B:$B, $B14, 'WBS Summary'!$AH:$AH, $C14,'WBS Summary'!$AJ:$AJ, $H14)</f>
        <v>0</v>
      </c>
      <c r="DE14" s="134">
        <f>SUMIFS('WBS Summary'!EY:EY,'WBS Summary'!$B:$B, $B14, 'WBS Summary'!$AH:$AH, $C14,'WBS Summary'!$AJ:$AJ, $H14)</f>
        <v>0</v>
      </c>
      <c r="DF14"/>
      <c r="DG14" s="134">
        <f>SUMIFS('WBS Summary'!FR:FR,'WBS Summary'!$B:$B, $B14, 'WBS Summary'!$AH:$AH, $C14,'WBS Summary'!$AJ:$AJ, $H14)</f>
        <v>0</v>
      </c>
      <c r="DH14" s="134">
        <f>SUMIFS('WBS Summary'!FS:FS,'WBS Summary'!$B:$B, $B14, 'WBS Summary'!$AH:$AH, $C14,'WBS Summary'!$AJ:$AJ, $H14)</f>
        <v>0</v>
      </c>
      <c r="DI14" s="134">
        <f>SUMIFS('WBS Summary'!FT:FT,'WBS Summary'!$B:$B, $B14, 'WBS Summary'!$AH:$AH, $C14,'WBS Summary'!$AJ:$AJ, $H14)</f>
        <v>0</v>
      </c>
      <c r="DJ14" s="134">
        <f>SUMIFS('WBS Summary'!FU:FU,'WBS Summary'!$B:$B, $B14, 'WBS Summary'!$AH:$AH, $C14,'WBS Summary'!$AJ:$AJ, $H14)</f>
        <v>0</v>
      </c>
      <c r="DK14" s="134">
        <f>SUMIFS('WBS Summary'!FV:FV,'WBS Summary'!$B:$B, $B14, 'WBS Summary'!$AH:$AH, $C14,'WBS Summary'!$AJ:$AJ, $H14)</f>
        <v>0</v>
      </c>
      <c r="DL14" s="134">
        <f>SUMIFS('WBS Summary'!FW:FW,'WBS Summary'!$B:$B, $B14, 'WBS Summary'!$AH:$AH, $C14,'WBS Summary'!$AJ:$AJ, $H14)</f>
        <v>0</v>
      </c>
      <c r="DM14" s="134">
        <f>SUMIFS('WBS Summary'!FX:FX,'WBS Summary'!$B:$B, $B14, 'WBS Summary'!$AH:$AH, $C14,'WBS Summary'!$AJ:$AJ, $H14)</f>
        <v>0</v>
      </c>
      <c r="DN14" s="134">
        <f>SUMIFS('WBS Summary'!FY:FY,'WBS Summary'!$B:$B, $B14, 'WBS Summary'!$AH:$AH, $C14,'WBS Summary'!$AJ:$AJ, $H14)</f>
        <v>0</v>
      </c>
      <c r="DO14" s="134">
        <f>SUMIFS('WBS Summary'!FZ:FZ,'WBS Summary'!$B:$B, $B14, 'WBS Summary'!$AH:$AH, $C14,'WBS Summary'!$AJ:$AJ, $H14)</f>
        <v>0</v>
      </c>
      <c r="DP14" s="134">
        <f>SUMIFS('WBS Summary'!GA:GA,'WBS Summary'!$B:$B, $B14, 'WBS Summary'!$AH:$AH, $C14,'WBS Summary'!$AJ:$AJ, $H14)</f>
        <v>0</v>
      </c>
      <c r="DQ14" s="134">
        <f>SUMIFS('WBS Summary'!GB:GB,'WBS Summary'!$B:$B, $B14, 'WBS Summary'!$AH:$AH, $C14,'WBS Summary'!$AJ:$AJ, $H14)</f>
        <v>0</v>
      </c>
      <c r="DR14" s="134">
        <f>SUMIFS('WBS Summary'!GC:GC,'WBS Summary'!$B:$B, $B14, 'WBS Summary'!$AH:$AH, $C14,'WBS Summary'!$AJ:$AJ, $H14)</f>
        <v>0</v>
      </c>
      <c r="DS14" s="134">
        <f>SUMIFS('WBS Summary'!GD:GD,'WBS Summary'!$B:$B, $B14, 'WBS Summary'!$AH:$AH, $C14,'WBS Summary'!$AJ:$AJ, $H14)</f>
        <v>0</v>
      </c>
      <c r="DT14" s="134">
        <f>SUMIFS('WBS Summary'!GE:GE,'WBS Summary'!$B:$B, $B14, 'WBS Summary'!$AH:$AH, $C14,'WBS Summary'!$AJ:$AJ, $H14)</f>
        <v>0</v>
      </c>
      <c r="DU14" s="134">
        <f>SUMIFS('WBS Summary'!GF:GF,'WBS Summary'!$B:$B, $B14, 'WBS Summary'!$AH:$AH, $C14,'WBS Summary'!$AJ:$AJ, $H14)</f>
        <v>0</v>
      </c>
      <c r="DV14" s="134">
        <f>SUMIFS('WBS Summary'!GG:GG,'WBS Summary'!$B:$B, $B14, 'WBS Summary'!$AH:$AH, $C14,'WBS Summary'!$AJ:$AJ, $H14)</f>
        <v>0</v>
      </c>
      <c r="DW14" s="134">
        <f>SUMIFS('WBS Summary'!GH:GH,'WBS Summary'!$B:$B, $B14, 'WBS Summary'!$AH:$AH, $C14,'WBS Summary'!$AJ:$AJ, $H14)</f>
        <v>0</v>
      </c>
      <c r="DX14" s="134">
        <f>SUMIFS('WBS Summary'!GI:GI,'WBS Summary'!$B:$B, $B14, 'WBS Summary'!$AH:$AH, $C14,'WBS Summary'!$AJ:$AJ, $H14)</f>
        <v>0</v>
      </c>
      <c r="DY14" s="134">
        <f>SUMIFS('WBS Summary'!GJ:GJ,'WBS Summary'!$B:$B, $B14, 'WBS Summary'!$AH:$AH, $C14,'WBS Summary'!$AJ:$AJ, $H14)</f>
        <v>0</v>
      </c>
      <c r="DZ14" s="134">
        <f>SUMIFS('WBS Summary'!GK:GK,'WBS Summary'!$B:$B, $B14, 'WBS Summary'!$AH:$AH, $C14,'WBS Summary'!$AJ:$AJ, $H14)</f>
        <v>0</v>
      </c>
      <c r="EA14" s="134">
        <f>SUMIFS('WBS Summary'!GL:GL,'WBS Summary'!$B:$B, $B14, 'WBS Summary'!$AH:$AH, $C14,'WBS Summary'!$AJ:$AJ, $H14)</f>
        <v>0</v>
      </c>
      <c r="EB14" s="134">
        <f>SUMIFS('WBS Summary'!GM:GM,'WBS Summary'!$B:$B, $B14, 'WBS Summary'!$AH:$AH, $C14,'WBS Summary'!$AJ:$AJ, $H14)</f>
        <v>0</v>
      </c>
      <c r="EC14" s="134">
        <f>SUMIFS('WBS Summary'!GN:GN,'WBS Summary'!$B:$B, $B14, 'WBS Summary'!$AH:$AH, $C14,'WBS Summary'!$AJ:$AJ, $H14)</f>
        <v>0</v>
      </c>
      <c r="ED14" s="134">
        <f>SUMIFS('WBS Summary'!GO:GO,'WBS Summary'!$B:$B, $B14, 'WBS Summary'!$AH:$AH, $C14,'WBS Summary'!$AJ:$AJ, $H14)</f>
        <v>0</v>
      </c>
      <c r="EE14" s="134">
        <f>SUMIFS('WBS Summary'!GP:GP,'WBS Summary'!$B:$B, $B14, 'WBS Summary'!$AH:$AH, $C14,'WBS Summary'!$AJ:$AJ, $H14)</f>
        <v>0</v>
      </c>
      <c r="EF14" s="134">
        <f>SUMIFS('WBS Summary'!GQ:GQ,'WBS Summary'!$B:$B, $B14, 'WBS Summary'!$AH:$AH, $C14,'WBS Summary'!$AJ:$AJ, $H14)</f>
        <v>0</v>
      </c>
      <c r="EG14" s="134">
        <f>SUMIFS('WBS Summary'!GR:GR,'WBS Summary'!$B:$B, $B14, 'WBS Summary'!$AH:$AH, $C14,'WBS Summary'!$AJ:$AJ, $H14)</f>
        <v>0</v>
      </c>
      <c r="EH14" s="134">
        <f>SUMIFS('WBS Summary'!GS:GS,'WBS Summary'!$B:$B, $B14, 'WBS Summary'!$AH:$AH, $C14,'WBS Summary'!$AJ:$AJ, $H14)</f>
        <v>0</v>
      </c>
      <c r="EI14" s="134">
        <f>SUMIFS('WBS Summary'!GT:GT,'WBS Summary'!$B:$B, $B14, 'WBS Summary'!$AH:$AH, $C14,'WBS Summary'!$AJ:$AJ, $H14)</f>
        <v>0</v>
      </c>
      <c r="EJ14" s="134">
        <f>SUMIFS('WBS Summary'!GU:GU,'WBS Summary'!$B:$B, $B14, 'WBS Summary'!$AH:$AH, $C14,'WBS Summary'!$AJ:$AJ, $H14)</f>
        <v>0</v>
      </c>
      <c r="EK14" s="134">
        <f>SUMIFS('WBS Summary'!GV:GV,'WBS Summary'!$B:$B, $B14, 'WBS Summary'!$AH:$AH, $C14,'WBS Summary'!$AJ:$AJ, $H14)</f>
        <v>0</v>
      </c>
      <c r="EL14" s="134">
        <f>SUMIFS('WBS Summary'!GW:GW,'WBS Summary'!$B:$B, $B14, 'WBS Summary'!$AH:$AH, $C14,'WBS Summary'!$AJ:$AJ, $H14)</f>
        <v>0</v>
      </c>
      <c r="EM14" s="134">
        <f>SUMIFS('WBS Summary'!GX:GX,'WBS Summary'!$B:$B, $B14, 'WBS Summary'!$AH:$AH, $C14,'WBS Summary'!$AJ:$AJ, $H14)</f>
        <v>0</v>
      </c>
      <c r="EN14" s="134">
        <f>SUMIFS('WBS Summary'!GY:GY,'WBS Summary'!$B:$B, $B14, 'WBS Summary'!$AH:$AH, $C14,'WBS Summary'!$AJ:$AJ, $H14)</f>
        <v>0</v>
      </c>
      <c r="EO14" s="134">
        <f>SUMIFS('WBS Summary'!GZ:GZ,'WBS Summary'!$B:$B, $B14, 'WBS Summary'!$AH:$AH, $C14,'WBS Summary'!$AJ:$AJ, $H14)</f>
        <v>0</v>
      </c>
      <c r="EP14" s="134">
        <f>SUMIFS('WBS Summary'!HA:HA,'WBS Summary'!$B:$B, $B14, 'WBS Summary'!$AH:$AH, $C14,'WBS Summary'!$AJ:$AJ, $H14)</f>
        <v>0</v>
      </c>
      <c r="EQ14" s="134">
        <f>SUMIFS('WBS Summary'!HB:HB,'WBS Summary'!$B:$B, $B14, 'WBS Summary'!$AH:$AH, $C14,'WBS Summary'!$AJ:$AJ, $H14)</f>
        <v>0</v>
      </c>
      <c r="ER14" s="134">
        <f>SUMIFS('WBS Summary'!HC:HC,'WBS Summary'!$B:$B, $B14, 'WBS Summary'!$AH:$AH, $C14,'WBS Summary'!$AJ:$AJ, $H14)</f>
        <v>0</v>
      </c>
      <c r="ES14" s="134">
        <f>SUMIFS('WBS Summary'!HD:HD,'WBS Summary'!$B:$B, $B14, 'WBS Summary'!$AH:$AH, $C14,'WBS Summary'!$AJ:$AJ, $H14)</f>
        <v>0</v>
      </c>
      <c r="ET14" s="134">
        <f>SUMIFS('WBS Summary'!HE:HE,'WBS Summary'!$B:$B, $B14, 'WBS Summary'!$AH:$AH, $C14,'WBS Summary'!$AJ:$AJ, $H14)</f>
        <v>0</v>
      </c>
      <c r="EU14" s="134">
        <f>SUMIFS('WBS Summary'!HF:HF,'WBS Summary'!$B:$B, $B14, 'WBS Summary'!$AH:$AH, $C14,'WBS Summary'!$AJ:$AJ, $H14)</f>
        <v>0</v>
      </c>
      <c r="EV14" s="134">
        <f>SUMIFS('WBS Summary'!HG:HG,'WBS Summary'!$B:$B, $B14, 'WBS Summary'!$AH:$AH, $C14,'WBS Summary'!$AJ:$AJ, $H14)</f>
        <v>0</v>
      </c>
      <c r="EW14" s="134">
        <f>SUMIFS('WBS Summary'!HH:HH,'WBS Summary'!$B:$B, $B14, 'WBS Summary'!$AH:$AH, $C14,'WBS Summary'!$AJ:$AJ, $H14)</f>
        <v>0</v>
      </c>
      <c r="EX14" s="134">
        <f>SUMIFS('WBS Summary'!HI:HI,'WBS Summary'!$B:$B, $B14, 'WBS Summary'!$AH:$AH, $C14,'WBS Summary'!$AJ:$AJ, $H14)</f>
        <v>0</v>
      </c>
      <c r="EY14" s="134">
        <f>SUMIFS('WBS Summary'!HJ:HJ,'WBS Summary'!$B:$B, $B14, 'WBS Summary'!$AH:$AH, $C14,'WBS Summary'!$AJ:$AJ, $H14)</f>
        <v>0</v>
      </c>
      <c r="EZ14" s="134">
        <f>SUMIFS('WBS Summary'!HK:HK,'WBS Summary'!$B:$B, $B14, 'WBS Summary'!$AH:$AH, $C14,'WBS Summary'!$AJ:$AJ, $H14)</f>
        <v>0</v>
      </c>
      <c r="FA14" s="134">
        <f>SUMIFS('WBS Summary'!HL:HL,'WBS Summary'!$B:$B, $B14, 'WBS Summary'!$AH:$AH, $C14,'WBS Summary'!$AJ:$AJ, $H14)</f>
        <v>0</v>
      </c>
      <c r="FB14" s="134">
        <f>SUMIFS('WBS Summary'!HM:HM,'WBS Summary'!$B:$B, $B14, 'WBS Summary'!$AH:$AH, $C14,'WBS Summary'!$AJ:$AJ, $H14)</f>
        <v>0</v>
      </c>
      <c r="FC14" s="134">
        <f>SUMIFS('WBS Summary'!HN:HN,'WBS Summary'!$B:$B, $B14, 'WBS Summary'!$AH:$AH, $C14,'WBS Summary'!$AJ:$AJ, $H14)</f>
        <v>0</v>
      </c>
      <c r="FD14" s="134">
        <f>SUMIFS('WBS Summary'!HO:HO,'WBS Summary'!$B:$B, $B14, 'WBS Summary'!$AH:$AH, $C14,'WBS Summary'!$AJ:$AJ, $H14)</f>
        <v>0</v>
      </c>
      <c r="FE14" s="134">
        <f>SUMIFS('WBS Summary'!HP:HP,'WBS Summary'!$B:$B, $B14, 'WBS Summary'!$AH:$AH, $C14,'WBS Summary'!$AJ:$AJ, $H14)</f>
        <v>0</v>
      </c>
      <c r="FF14" s="134">
        <f>SUMIFS('WBS Summary'!HQ:HQ,'WBS Summary'!$B:$B, $B14, 'WBS Summary'!$AH:$AH, $C14,'WBS Summary'!$AJ:$AJ, $H14)</f>
        <v>0</v>
      </c>
      <c r="FG14" s="134">
        <f>SUMIFS('WBS Summary'!HR:HR,'WBS Summary'!$B:$B, $B14, 'WBS Summary'!$AH:$AH, $C14,'WBS Summary'!$AJ:$AJ, $H14)</f>
        <v>0</v>
      </c>
      <c r="FH14" s="134">
        <f>SUMIFS('WBS Summary'!HS:HS,'WBS Summary'!$B:$B, $B14, 'WBS Summary'!$AH:$AH, $C14,'WBS Summary'!$AJ:$AJ, $H14)</f>
        <v>0</v>
      </c>
      <c r="FI14" s="134">
        <f>SUMIFS('WBS Summary'!HT:HT,'WBS Summary'!$B:$B, $B14, 'WBS Summary'!$AH:$AH, $C14,'WBS Summary'!$AJ:$AJ, $H14)</f>
        <v>0</v>
      </c>
      <c r="FJ14" s="134">
        <f>SUMIFS('WBS Summary'!HU:HU,'WBS Summary'!$B:$B, $B14, 'WBS Summary'!$AH:$AH, $C14,'WBS Summary'!$AJ:$AJ, $H14)</f>
        <v>0</v>
      </c>
      <c r="FK14" s="134">
        <f>SUMIFS('WBS Summary'!HV:HV,'WBS Summary'!$B:$B, $B14, 'WBS Summary'!$AH:$AH, $C14,'WBS Summary'!$AJ:$AJ, $H14)</f>
        <v>0</v>
      </c>
      <c r="FL14" s="134">
        <f>SUMIFS('WBS Summary'!HW:HW,'WBS Summary'!$B:$B, $B14, 'WBS Summary'!$AH:$AH, $C14,'WBS Summary'!$AJ:$AJ, $H14)</f>
        <v>0</v>
      </c>
      <c r="FM14" s="134">
        <f>SUMIFS('WBS Summary'!HX:HX,'WBS Summary'!$B:$B, $B14, 'WBS Summary'!$AH:$AH, $C14,'WBS Summary'!$AJ:$AJ, $H14)</f>
        <v>0</v>
      </c>
      <c r="FN14" s="134">
        <f>SUMIFS('WBS Summary'!HY:HY,'WBS Summary'!$B:$B, $B14, 'WBS Summary'!$AH:$AH, $C14,'WBS Summary'!$AJ:$AJ, $H14)</f>
        <v>0</v>
      </c>
      <c r="FO14" s="134">
        <f>SUMIFS('WBS Summary'!HZ:HZ,'WBS Summary'!$B:$B, $B14, 'WBS Summary'!$AH:$AH, $C14,'WBS Summary'!$AJ:$AJ, $H14)</f>
        <v>0</v>
      </c>
      <c r="FP14" s="134">
        <f>SUMIFS('WBS Summary'!IA:IA,'WBS Summary'!$B:$B, $B14, 'WBS Summary'!$AH:$AH, $C14,'WBS Summary'!$AJ:$AJ, $H14)</f>
        <v>0</v>
      </c>
      <c r="FQ14" s="134">
        <f>SUMIFS('WBS Summary'!IB:IB,'WBS Summary'!$B:$B, $B14, 'WBS Summary'!$AH:$AH, $C14,'WBS Summary'!$AJ:$AJ, $H14)</f>
        <v>0</v>
      </c>
      <c r="FR14" s="134">
        <f>SUMIFS('WBS Summary'!IC:IC,'WBS Summary'!$B:$B, $B14, 'WBS Summary'!$AH:$AH, $C14,'WBS Summary'!$AJ:$AJ, $H14)</f>
        <v>0</v>
      </c>
      <c r="FS14" s="134">
        <f>SUMIFS('WBS Summary'!ID:ID,'WBS Summary'!$B:$B, $B14, 'WBS Summary'!$AH:$AH, $C14,'WBS Summary'!$AJ:$AJ, $H14)</f>
        <v>0</v>
      </c>
      <c r="FT14" s="134">
        <f>SUMIFS('WBS Summary'!IE:IE,'WBS Summary'!$B:$B, $B14, 'WBS Summary'!$AH:$AH, $C14,'WBS Summary'!$AJ:$AJ, $H14)</f>
        <v>0</v>
      </c>
      <c r="FU14" s="134">
        <f>SUMIFS('WBS Summary'!IF:IF,'WBS Summary'!$B:$B, $B14, 'WBS Summary'!$AH:$AH, $C14,'WBS Summary'!$AJ:$AJ, $H14)</f>
        <v>0</v>
      </c>
      <c r="FV14" s="134">
        <f>SUMIFS('WBS Summary'!IG:IG,'WBS Summary'!$B:$B, $B14, 'WBS Summary'!$AH:$AH, $C14,'WBS Summary'!$AJ:$AJ, $H14)</f>
        <v>0</v>
      </c>
      <c r="FW14" s="134">
        <f>SUMIFS('WBS Summary'!IH:IH,'WBS Summary'!$B:$B, $B14, 'WBS Summary'!$AH:$AH, $C14,'WBS Summary'!$AJ:$AJ, $H14)</f>
        <v>0</v>
      </c>
      <c r="FX14" s="134">
        <f>SUMIFS('WBS Summary'!II:II,'WBS Summary'!$B:$B, $B14, 'WBS Summary'!$AH:$AH, $C14,'WBS Summary'!$AJ:$AJ, $H14)</f>
        <v>0</v>
      </c>
      <c r="FY14" s="134">
        <f>SUMIFS('WBS Summary'!IJ:IJ,'WBS Summary'!$B:$B, $B14, 'WBS Summary'!$AH:$AH, $C14,'WBS Summary'!$AJ:$AJ, $H14)</f>
        <v>0</v>
      </c>
      <c r="FZ14" s="134">
        <f>SUMIFS('WBS Summary'!IK:IK,'WBS Summary'!$B:$B, $B14, 'WBS Summary'!$AH:$AH, $C14,'WBS Summary'!$AJ:$AJ, $H14)</f>
        <v>0</v>
      </c>
      <c r="GA14" s="134">
        <f>SUMIFS('WBS Summary'!IL:IL,'WBS Summary'!$B:$B, $B14, 'WBS Summary'!$AH:$AH, $C14,'WBS Summary'!$AJ:$AJ, $H14)</f>
        <v>0</v>
      </c>
      <c r="GB14" s="134">
        <f>SUMIFS('WBS Summary'!IM:IM,'WBS Summary'!$B:$B, $B14, 'WBS Summary'!$AH:$AH, $C14,'WBS Summary'!$AJ:$AJ, $H14)</f>
        <v>0</v>
      </c>
      <c r="GC14" s="134">
        <f>SUMIFS('WBS Summary'!IN:IN,'WBS Summary'!$B:$B, $B14, 'WBS Summary'!$AH:$AH, $C14,'WBS Summary'!$AJ:$AJ, $H14)</f>
        <v>0</v>
      </c>
      <c r="GD14" s="134">
        <f>SUMIFS('WBS Summary'!IO:IO,'WBS Summary'!$B:$B, $B14, 'WBS Summary'!$AH:$AH, $C14,'WBS Summary'!$AJ:$AJ, $H14)</f>
        <v>0</v>
      </c>
      <c r="GE14" s="134">
        <f>SUMIFS('WBS Summary'!IP:IP,'WBS Summary'!$B:$B, $B14, 'WBS Summary'!$AH:$AH, $C14,'WBS Summary'!$AJ:$AJ, $H14)</f>
        <v>0</v>
      </c>
      <c r="GF14" s="134">
        <f>SUMIFS('WBS Summary'!IQ:IQ,'WBS Summary'!$B:$B, $B14, 'WBS Summary'!$AH:$AH, $C14,'WBS Summary'!$AJ:$AJ, $H14)</f>
        <v>0</v>
      </c>
      <c r="GG14" s="134">
        <f>SUMIFS('WBS Summary'!IR:IR,'WBS Summary'!$B:$B, $B14, 'WBS Summary'!$AH:$AH, $C14,'WBS Summary'!$AJ:$AJ, $H14)</f>
        <v>0</v>
      </c>
      <c r="GH14" s="134">
        <f>SUMIFS('WBS Summary'!IS:IS,'WBS Summary'!$B:$B, $B14, 'WBS Summary'!$AH:$AH, $C14,'WBS Summary'!$AJ:$AJ, $H14)</f>
        <v>0</v>
      </c>
      <c r="GI14" s="134">
        <f>SUMIFS('WBS Summary'!IT:IT,'WBS Summary'!$B:$B, $B14, 'WBS Summary'!$AH:$AH, $C14,'WBS Summary'!$AJ:$AJ, $H14)</f>
        <v>0</v>
      </c>
      <c r="GJ14" s="134">
        <f>SUMIFS('WBS Summary'!IU:IU,'WBS Summary'!$B:$B, $B14, 'WBS Summary'!$AH:$AH, $C14,'WBS Summary'!$AJ:$AJ, $H14)</f>
        <v>0</v>
      </c>
      <c r="GK14" s="134">
        <f>SUMIFS('WBS Summary'!IV:IV,'WBS Summary'!$B:$B, $B14, 'WBS Summary'!$AH:$AH, $C14,'WBS Summary'!$AJ:$AJ, $H14)</f>
        <v>0</v>
      </c>
      <c r="GL14" s="134">
        <f>SUMIFS('WBS Summary'!IW:IW,'WBS Summary'!$B:$B, $B14, 'WBS Summary'!$AH:$AH, $C14,'WBS Summary'!$AJ:$AJ, $H14)</f>
        <v>0</v>
      </c>
      <c r="GM14" s="134">
        <f>SUMIFS('WBS Summary'!IX:IX,'WBS Summary'!$B:$B, $B14, 'WBS Summary'!$AH:$AH, $C14,'WBS Summary'!$AJ:$AJ, $H14)</f>
        <v>0</v>
      </c>
      <c r="GN14" s="134">
        <f>SUMIFS('WBS Summary'!IY:IY,'WBS Summary'!$B:$B, $B14, 'WBS Summary'!$AH:$AH, $C14,'WBS Summary'!$AJ:$AJ, $H14)</f>
        <v>0</v>
      </c>
      <c r="GO14" s="134">
        <f>SUMIFS('WBS Summary'!IZ:IZ,'WBS Summary'!$B:$B, $B14, 'WBS Summary'!$AH:$AH, $C14,'WBS Summary'!$AJ:$AJ, $H14)</f>
        <v>0</v>
      </c>
      <c r="GP14" s="134">
        <f>SUMIFS('WBS Summary'!JA:JA,'WBS Summary'!$B:$B, $B14, 'WBS Summary'!$AH:$AH, $C14,'WBS Summary'!$AJ:$AJ, $H14)</f>
        <v>0</v>
      </c>
      <c r="GQ14" s="134">
        <f>SUMIFS('WBS Summary'!JB:JB,'WBS Summary'!$B:$B, $B14, 'WBS Summary'!$AH:$AH, $C14,'WBS Summary'!$AJ:$AJ, $H14)</f>
        <v>0</v>
      </c>
      <c r="GR14" s="134">
        <f>SUMIFS('WBS Summary'!JC:JC,'WBS Summary'!$B:$B, $B14, 'WBS Summary'!$AH:$AH, $C14,'WBS Summary'!$AJ:$AJ, $H14)</f>
        <v>0</v>
      </c>
      <c r="GS14" s="134">
        <f>SUMIFS('WBS Summary'!JD:JD,'WBS Summary'!$B:$B, $B14, 'WBS Summary'!$AH:$AH, $C14,'WBS Summary'!$AJ:$AJ, $H14)</f>
        <v>0</v>
      </c>
      <c r="GT14" s="134">
        <f>SUMIFS('WBS Summary'!JE:JE,'WBS Summary'!$B:$B, $B14, 'WBS Summary'!$AH:$AH, $C14,'WBS Summary'!$AJ:$AJ, $H14)</f>
        <v>0</v>
      </c>
      <c r="GU14" s="134">
        <f>SUMIFS('WBS Summary'!JF:JF,'WBS Summary'!$B:$B, $B14, 'WBS Summary'!$AH:$AH, $C14,'WBS Summary'!$AJ:$AJ, $H14)</f>
        <v>0</v>
      </c>
      <c r="GV14" s="134">
        <f>SUMIFS('WBS Summary'!JG:JG,'WBS Summary'!$B:$B, $B14, 'WBS Summary'!$AH:$AH, $C14,'WBS Summary'!$AJ:$AJ, $H14)</f>
        <v>0</v>
      </c>
      <c r="GW14" s="134">
        <f>SUMIFS('WBS Summary'!JH:JH,'WBS Summary'!$B:$B, $B14, 'WBS Summary'!$AH:$AH, $C14,'WBS Summary'!$AJ:$AJ, $H14)</f>
        <v>0</v>
      </c>
      <c r="GX14" s="134">
        <f>SUMIFS('WBS Summary'!JI:JI,'WBS Summary'!$B:$B, $B14, 'WBS Summary'!$AH:$AH, $C14,'WBS Summary'!$AJ:$AJ, $H14)</f>
        <v>0</v>
      </c>
      <c r="GY14" s="134">
        <f>SUMIFS('WBS Summary'!JJ:JJ,'WBS Summary'!$B:$B, $B14, 'WBS Summary'!$AH:$AH, $C14,'WBS Summary'!$AJ:$AJ, $H14)</f>
        <v>0</v>
      </c>
      <c r="GZ14" s="134">
        <f>SUMIFS('WBS Summary'!JK:JK,'WBS Summary'!$B:$B, $B14, 'WBS Summary'!$AH:$AH, $C14,'WBS Summary'!$AJ:$AJ, $H14)</f>
        <v>0</v>
      </c>
      <c r="HA14" s="134">
        <f>SUMIFS('WBS Summary'!JL:JL,'WBS Summary'!$B:$B, $B14, 'WBS Summary'!$AH:$AH, $C14,'WBS Summary'!$AJ:$AJ, $H14)</f>
        <v>0</v>
      </c>
      <c r="HB14" s="134">
        <f>SUMIFS('WBS Summary'!JM:JM,'WBS Summary'!$B:$B, $B14, 'WBS Summary'!$AH:$AH, $C14,'WBS Summary'!$AJ:$AJ, $H14)</f>
        <v>0</v>
      </c>
      <c r="HC14"/>
    </row>
    <row r="15" spans="1:211" s="194" customFormat="1" outlineLevel="2">
      <c r="A15" s="220"/>
      <c r="B15" s="284"/>
      <c r="C15" s="226" t="s">
        <v>340</v>
      </c>
      <c r="D15" s="351"/>
      <c r="E15" s="351"/>
      <c r="F15" s="224">
        <f t="shared" si="6"/>
        <v>0</v>
      </c>
      <c r="G15" s="224">
        <f t="shared" si="7"/>
        <v>0</v>
      </c>
      <c r="H15" s="233"/>
      <c r="I15"/>
      <c r="J15" s="134">
        <f t="shared" ref="J15:AO15" si="18">SUM(J16:J20)</f>
        <v>0</v>
      </c>
      <c r="K15" s="134">
        <f t="shared" si="18"/>
        <v>0</v>
      </c>
      <c r="L15" s="134">
        <f t="shared" si="18"/>
        <v>0</v>
      </c>
      <c r="M15" s="134">
        <f t="shared" si="18"/>
        <v>0</v>
      </c>
      <c r="N15" s="134">
        <f t="shared" si="18"/>
        <v>0</v>
      </c>
      <c r="O15" s="134">
        <f t="shared" si="18"/>
        <v>0</v>
      </c>
      <c r="P15" s="134">
        <f t="shared" si="18"/>
        <v>0</v>
      </c>
      <c r="Q15" s="134">
        <f t="shared" si="18"/>
        <v>0</v>
      </c>
      <c r="R15" s="134">
        <f t="shared" si="18"/>
        <v>0</v>
      </c>
      <c r="S15" s="134">
        <f t="shared" si="18"/>
        <v>0</v>
      </c>
      <c r="T15" s="134">
        <f t="shared" si="18"/>
        <v>0</v>
      </c>
      <c r="U15" s="134">
        <f t="shared" si="18"/>
        <v>0</v>
      </c>
      <c r="V15" s="134">
        <f t="shared" si="18"/>
        <v>0</v>
      </c>
      <c r="W15" s="134">
        <f t="shared" si="18"/>
        <v>0</v>
      </c>
      <c r="X15" s="134">
        <f t="shared" si="18"/>
        <v>0</v>
      </c>
      <c r="Y15" s="134">
        <f t="shared" si="18"/>
        <v>0</v>
      </c>
      <c r="Z15" s="134">
        <f t="shared" si="18"/>
        <v>0</v>
      </c>
      <c r="AA15" s="134">
        <f t="shared" si="18"/>
        <v>0</v>
      </c>
      <c r="AB15" s="134">
        <f t="shared" si="18"/>
        <v>0</v>
      </c>
      <c r="AC15" s="134">
        <f t="shared" si="18"/>
        <v>0</v>
      </c>
      <c r="AD15" s="134">
        <f t="shared" si="18"/>
        <v>0</v>
      </c>
      <c r="AE15" s="134">
        <f t="shared" si="18"/>
        <v>0</v>
      </c>
      <c r="AF15" s="134">
        <f t="shared" si="18"/>
        <v>0</v>
      </c>
      <c r="AG15" s="134">
        <f t="shared" si="18"/>
        <v>0</v>
      </c>
      <c r="AH15" s="134">
        <f t="shared" si="18"/>
        <v>0</v>
      </c>
      <c r="AI15" s="134">
        <f t="shared" si="18"/>
        <v>0</v>
      </c>
      <c r="AJ15" s="134">
        <f t="shared" si="18"/>
        <v>0</v>
      </c>
      <c r="AK15" s="134">
        <f t="shared" si="18"/>
        <v>0</v>
      </c>
      <c r="AL15" s="134">
        <f t="shared" si="18"/>
        <v>0</v>
      </c>
      <c r="AM15" s="134">
        <f t="shared" si="18"/>
        <v>0</v>
      </c>
      <c r="AN15" s="134">
        <f t="shared" si="18"/>
        <v>0</v>
      </c>
      <c r="AO15" s="134">
        <f t="shared" si="18"/>
        <v>0</v>
      </c>
      <c r="AP15" s="134">
        <f t="shared" ref="AP15:BU15" si="19">SUM(AP16:AP20)</f>
        <v>0</v>
      </c>
      <c r="AQ15" s="134">
        <f t="shared" si="19"/>
        <v>0</v>
      </c>
      <c r="AR15" s="134">
        <f t="shared" si="19"/>
        <v>0</v>
      </c>
      <c r="AS15" s="134">
        <f t="shared" si="19"/>
        <v>0</v>
      </c>
      <c r="AT15" s="134">
        <f t="shared" si="19"/>
        <v>0</v>
      </c>
      <c r="AU15" s="134">
        <f t="shared" si="19"/>
        <v>0</v>
      </c>
      <c r="AV15" s="134">
        <f t="shared" si="19"/>
        <v>0</v>
      </c>
      <c r="AW15" s="134">
        <f t="shared" si="19"/>
        <v>0</v>
      </c>
      <c r="AX15" s="134">
        <f t="shared" si="19"/>
        <v>0</v>
      </c>
      <c r="AY15" s="134">
        <f t="shared" si="19"/>
        <v>0</v>
      </c>
      <c r="AZ15" s="134">
        <f t="shared" si="19"/>
        <v>0</v>
      </c>
      <c r="BA15" s="134">
        <f t="shared" si="19"/>
        <v>0</v>
      </c>
      <c r="BB15" s="134">
        <f t="shared" si="19"/>
        <v>0</v>
      </c>
      <c r="BC15" s="134">
        <f t="shared" si="19"/>
        <v>0</v>
      </c>
      <c r="BD15" s="134">
        <f t="shared" si="19"/>
        <v>0</v>
      </c>
      <c r="BE15" s="134">
        <f t="shared" si="19"/>
        <v>0</v>
      </c>
      <c r="BF15" s="134">
        <f t="shared" si="19"/>
        <v>0</v>
      </c>
      <c r="BG15" s="134">
        <f t="shared" si="19"/>
        <v>0</v>
      </c>
      <c r="BH15" s="134">
        <f t="shared" si="19"/>
        <v>0</v>
      </c>
      <c r="BI15" s="134">
        <f t="shared" si="19"/>
        <v>0</v>
      </c>
      <c r="BJ15" s="134">
        <f t="shared" si="19"/>
        <v>0</v>
      </c>
      <c r="BK15" s="134">
        <f t="shared" si="19"/>
        <v>0</v>
      </c>
      <c r="BL15" s="134">
        <f t="shared" si="19"/>
        <v>0</v>
      </c>
      <c r="BM15" s="134">
        <f t="shared" si="19"/>
        <v>0</v>
      </c>
      <c r="BN15" s="134">
        <f t="shared" si="19"/>
        <v>0</v>
      </c>
      <c r="BO15" s="134">
        <f t="shared" si="19"/>
        <v>0</v>
      </c>
      <c r="BP15" s="134">
        <f t="shared" si="19"/>
        <v>0</v>
      </c>
      <c r="BQ15" s="134">
        <f t="shared" si="19"/>
        <v>0</v>
      </c>
      <c r="BR15" s="134">
        <f t="shared" si="19"/>
        <v>0</v>
      </c>
      <c r="BS15" s="134">
        <f t="shared" si="19"/>
        <v>0</v>
      </c>
      <c r="BT15" s="134">
        <f t="shared" si="19"/>
        <v>0</v>
      </c>
      <c r="BU15" s="134">
        <f t="shared" si="19"/>
        <v>0</v>
      </c>
      <c r="BV15" s="134">
        <f t="shared" ref="BV15:DA15" si="20">SUM(BV16:BV20)</f>
        <v>0</v>
      </c>
      <c r="BW15" s="134">
        <f t="shared" si="20"/>
        <v>0</v>
      </c>
      <c r="BX15" s="134">
        <f t="shared" si="20"/>
        <v>0</v>
      </c>
      <c r="BY15" s="134">
        <f t="shared" si="20"/>
        <v>0</v>
      </c>
      <c r="BZ15" s="134">
        <f t="shared" si="20"/>
        <v>0</v>
      </c>
      <c r="CA15" s="134">
        <f t="shared" si="20"/>
        <v>0</v>
      </c>
      <c r="CB15" s="134">
        <f t="shared" si="20"/>
        <v>0</v>
      </c>
      <c r="CC15" s="134">
        <f t="shared" si="20"/>
        <v>0</v>
      </c>
      <c r="CD15" s="134">
        <f t="shared" si="20"/>
        <v>0</v>
      </c>
      <c r="CE15" s="134">
        <f t="shared" si="20"/>
        <v>0</v>
      </c>
      <c r="CF15" s="134">
        <f t="shared" si="20"/>
        <v>0</v>
      </c>
      <c r="CG15" s="134">
        <f t="shared" si="20"/>
        <v>0</v>
      </c>
      <c r="CH15" s="134">
        <f t="shared" si="20"/>
        <v>0</v>
      </c>
      <c r="CI15" s="134">
        <f t="shared" si="20"/>
        <v>0</v>
      </c>
      <c r="CJ15" s="134">
        <f t="shared" si="20"/>
        <v>0</v>
      </c>
      <c r="CK15" s="134">
        <f t="shared" si="20"/>
        <v>0</v>
      </c>
      <c r="CL15" s="134">
        <f t="shared" si="20"/>
        <v>0</v>
      </c>
      <c r="CM15" s="134">
        <f t="shared" si="20"/>
        <v>0</v>
      </c>
      <c r="CN15" s="134">
        <f t="shared" si="20"/>
        <v>0</v>
      </c>
      <c r="CO15" s="134">
        <f t="shared" si="20"/>
        <v>0</v>
      </c>
      <c r="CP15" s="134">
        <f t="shared" si="20"/>
        <v>0</v>
      </c>
      <c r="CQ15" s="134">
        <f t="shared" si="20"/>
        <v>0</v>
      </c>
      <c r="CR15" s="134">
        <f t="shared" si="20"/>
        <v>0</v>
      </c>
      <c r="CS15" s="134">
        <f t="shared" si="20"/>
        <v>0</v>
      </c>
      <c r="CT15" s="134">
        <f t="shared" si="20"/>
        <v>0</v>
      </c>
      <c r="CU15" s="134">
        <f t="shared" si="20"/>
        <v>0</v>
      </c>
      <c r="CV15" s="134">
        <f t="shared" si="20"/>
        <v>0</v>
      </c>
      <c r="CW15" s="134">
        <f t="shared" si="20"/>
        <v>0</v>
      </c>
      <c r="CX15" s="134">
        <f t="shared" si="20"/>
        <v>0</v>
      </c>
      <c r="CY15" s="134">
        <f t="shared" si="20"/>
        <v>0</v>
      </c>
      <c r="CZ15" s="134">
        <f t="shared" si="20"/>
        <v>0</v>
      </c>
      <c r="DA15" s="134">
        <f t="shared" si="20"/>
        <v>0</v>
      </c>
      <c r="DB15" s="134">
        <f>SUM(DB16:DB20)</f>
        <v>0</v>
      </c>
      <c r="DC15" s="134">
        <f>SUM(DC16:DC20)</f>
        <v>0</v>
      </c>
      <c r="DD15" s="134">
        <f>SUM(DD16:DD20)</f>
        <v>0</v>
      </c>
      <c r="DE15" s="134">
        <f>SUM(DE16:DE20)</f>
        <v>0</v>
      </c>
      <c r="DF15"/>
      <c r="DG15" s="134">
        <f t="shared" ref="DG15:EL15" si="21">SUM(DG16:DG20)</f>
        <v>0</v>
      </c>
      <c r="DH15" s="134">
        <f t="shared" si="21"/>
        <v>0</v>
      </c>
      <c r="DI15" s="134">
        <f t="shared" si="21"/>
        <v>0</v>
      </c>
      <c r="DJ15" s="134">
        <f t="shared" si="21"/>
        <v>0</v>
      </c>
      <c r="DK15" s="134">
        <f t="shared" si="21"/>
        <v>0</v>
      </c>
      <c r="DL15" s="134">
        <f t="shared" si="21"/>
        <v>0</v>
      </c>
      <c r="DM15" s="134">
        <f t="shared" si="21"/>
        <v>0</v>
      </c>
      <c r="DN15" s="134">
        <f t="shared" si="21"/>
        <v>0</v>
      </c>
      <c r="DO15" s="134">
        <f t="shared" si="21"/>
        <v>0</v>
      </c>
      <c r="DP15" s="134">
        <f t="shared" si="21"/>
        <v>0</v>
      </c>
      <c r="DQ15" s="134">
        <f t="shared" si="21"/>
        <v>0</v>
      </c>
      <c r="DR15" s="134">
        <f t="shared" si="21"/>
        <v>0</v>
      </c>
      <c r="DS15" s="134">
        <f t="shared" si="21"/>
        <v>0</v>
      </c>
      <c r="DT15" s="134">
        <f t="shared" si="21"/>
        <v>0</v>
      </c>
      <c r="DU15" s="134">
        <f t="shared" si="21"/>
        <v>0</v>
      </c>
      <c r="DV15" s="134">
        <f t="shared" si="21"/>
        <v>0</v>
      </c>
      <c r="DW15" s="134">
        <f t="shared" si="21"/>
        <v>0</v>
      </c>
      <c r="DX15" s="134">
        <f t="shared" si="21"/>
        <v>0</v>
      </c>
      <c r="DY15" s="134">
        <f t="shared" si="21"/>
        <v>0</v>
      </c>
      <c r="DZ15" s="134">
        <f t="shared" si="21"/>
        <v>0</v>
      </c>
      <c r="EA15" s="134">
        <f t="shared" si="21"/>
        <v>0</v>
      </c>
      <c r="EB15" s="134">
        <f t="shared" si="21"/>
        <v>0</v>
      </c>
      <c r="EC15" s="134">
        <f t="shared" si="21"/>
        <v>0</v>
      </c>
      <c r="ED15" s="134">
        <f t="shared" si="21"/>
        <v>0</v>
      </c>
      <c r="EE15" s="134">
        <f t="shared" si="21"/>
        <v>0</v>
      </c>
      <c r="EF15" s="134">
        <f t="shared" si="21"/>
        <v>0</v>
      </c>
      <c r="EG15" s="134">
        <f t="shared" si="21"/>
        <v>0</v>
      </c>
      <c r="EH15" s="134">
        <f t="shared" si="21"/>
        <v>0</v>
      </c>
      <c r="EI15" s="134">
        <f t="shared" si="21"/>
        <v>0</v>
      </c>
      <c r="EJ15" s="134">
        <f t="shared" si="21"/>
        <v>0</v>
      </c>
      <c r="EK15" s="134">
        <f t="shared" si="21"/>
        <v>0</v>
      </c>
      <c r="EL15" s="134">
        <f t="shared" si="21"/>
        <v>0</v>
      </c>
      <c r="EM15" s="134">
        <f t="shared" ref="EM15:FR15" si="22">SUM(EM16:EM20)</f>
        <v>0</v>
      </c>
      <c r="EN15" s="134">
        <f t="shared" si="22"/>
        <v>0</v>
      </c>
      <c r="EO15" s="134">
        <f t="shared" si="22"/>
        <v>0</v>
      </c>
      <c r="EP15" s="134">
        <f t="shared" si="22"/>
        <v>0</v>
      </c>
      <c r="EQ15" s="134">
        <f t="shared" si="22"/>
        <v>0</v>
      </c>
      <c r="ER15" s="134">
        <f t="shared" si="22"/>
        <v>0</v>
      </c>
      <c r="ES15" s="134">
        <f t="shared" si="22"/>
        <v>0</v>
      </c>
      <c r="ET15" s="134">
        <f t="shared" si="22"/>
        <v>0</v>
      </c>
      <c r="EU15" s="134">
        <f t="shared" si="22"/>
        <v>0</v>
      </c>
      <c r="EV15" s="134">
        <f t="shared" si="22"/>
        <v>0</v>
      </c>
      <c r="EW15" s="134">
        <f t="shared" si="22"/>
        <v>0</v>
      </c>
      <c r="EX15" s="134">
        <f t="shared" si="22"/>
        <v>0</v>
      </c>
      <c r="EY15" s="134">
        <f t="shared" si="22"/>
        <v>0</v>
      </c>
      <c r="EZ15" s="134">
        <f t="shared" si="22"/>
        <v>0</v>
      </c>
      <c r="FA15" s="134">
        <f t="shared" si="22"/>
        <v>0</v>
      </c>
      <c r="FB15" s="134">
        <f t="shared" si="22"/>
        <v>0</v>
      </c>
      <c r="FC15" s="134">
        <f t="shared" si="22"/>
        <v>0</v>
      </c>
      <c r="FD15" s="134">
        <f t="shared" si="22"/>
        <v>0</v>
      </c>
      <c r="FE15" s="134">
        <f t="shared" si="22"/>
        <v>0</v>
      </c>
      <c r="FF15" s="134">
        <f t="shared" si="22"/>
        <v>0</v>
      </c>
      <c r="FG15" s="134">
        <f t="shared" si="22"/>
        <v>0</v>
      </c>
      <c r="FH15" s="134">
        <f t="shared" si="22"/>
        <v>0</v>
      </c>
      <c r="FI15" s="134">
        <f t="shared" si="22"/>
        <v>0</v>
      </c>
      <c r="FJ15" s="134">
        <f t="shared" si="22"/>
        <v>0</v>
      </c>
      <c r="FK15" s="134">
        <f t="shared" si="22"/>
        <v>0</v>
      </c>
      <c r="FL15" s="134">
        <f t="shared" si="22"/>
        <v>0</v>
      </c>
      <c r="FM15" s="134">
        <f t="shared" si="22"/>
        <v>0</v>
      </c>
      <c r="FN15" s="134">
        <f t="shared" si="22"/>
        <v>0</v>
      </c>
      <c r="FO15" s="134">
        <f t="shared" si="22"/>
        <v>0</v>
      </c>
      <c r="FP15" s="134">
        <f t="shared" si="22"/>
        <v>0</v>
      </c>
      <c r="FQ15" s="134">
        <f t="shared" si="22"/>
        <v>0</v>
      </c>
      <c r="FR15" s="134">
        <f t="shared" si="22"/>
        <v>0</v>
      </c>
      <c r="FS15" s="134">
        <f>SUM(FS16:FS20)</f>
        <v>0</v>
      </c>
      <c r="FT15" s="134">
        <f>SUM(FT16:FT20)</f>
        <v>0</v>
      </c>
      <c r="FU15" s="134">
        <f>SUM(FU16:FU20)</f>
        <v>0</v>
      </c>
      <c r="HC15"/>
    </row>
    <row r="16" spans="1:211" s="194" customFormat="1" outlineLevel="2">
      <c r="A16" s="220"/>
      <c r="B16" s="284" t="s">
        <v>475</v>
      </c>
      <c r="C16" s="227" t="s">
        <v>101</v>
      </c>
      <c r="D16" s="352"/>
      <c r="E16" s="352"/>
      <c r="F16" s="224">
        <f t="shared" si="6"/>
        <v>0</v>
      </c>
      <c r="G16" s="224">
        <f t="shared" si="7"/>
        <v>0</v>
      </c>
      <c r="H16" s="233" t="s">
        <v>345</v>
      </c>
      <c r="I16"/>
      <c r="J16" s="134">
        <f>SUMIFS('WBS Summary'!BD:BD,'WBS Summary'!$B:$B, $B16, 'WBS Summary'!$AH:$AH, $C16,'WBS Summary'!$AJ:$AJ, $H16)</f>
        <v>0</v>
      </c>
      <c r="K16" s="134">
        <f>SUMIFS('WBS Summary'!BE:BE,'WBS Summary'!$B:$B, $B16, 'WBS Summary'!$AH:$AH, $C16,'WBS Summary'!$AJ:$AJ, $H16)</f>
        <v>0</v>
      </c>
      <c r="L16" s="134">
        <f>SUMIFS('WBS Summary'!BF:BF,'WBS Summary'!$B:$B, $B16, 'WBS Summary'!$AH:$AH, $C16,'WBS Summary'!$AJ:$AJ, $H16)</f>
        <v>0</v>
      </c>
      <c r="M16" s="134">
        <f>SUMIFS('WBS Summary'!BG:BG,'WBS Summary'!$B:$B, $B16, 'WBS Summary'!$AH:$AH, $C16,'WBS Summary'!$AJ:$AJ, $H16)</f>
        <v>0</v>
      </c>
      <c r="N16" s="134">
        <f>SUMIFS('WBS Summary'!BH:BH,'WBS Summary'!$B:$B, $B16, 'WBS Summary'!$AH:$AH, $C16,'WBS Summary'!$AJ:$AJ, $H16)</f>
        <v>0</v>
      </c>
      <c r="O16" s="134">
        <f>SUMIFS('WBS Summary'!BI:BI,'WBS Summary'!$B:$B, $B16, 'WBS Summary'!$AH:$AH, $C16,'WBS Summary'!$AJ:$AJ, $H16)</f>
        <v>0</v>
      </c>
      <c r="P16" s="134">
        <f>SUMIFS('WBS Summary'!BJ:BJ,'WBS Summary'!$B:$B, $B16, 'WBS Summary'!$AH:$AH, $C16,'WBS Summary'!$AJ:$AJ, $H16)</f>
        <v>0</v>
      </c>
      <c r="Q16" s="134">
        <f>SUMIFS('WBS Summary'!BK:BK,'WBS Summary'!$B:$B, $B16, 'WBS Summary'!$AH:$AH, $C16,'WBS Summary'!$AJ:$AJ, $H16)</f>
        <v>0</v>
      </c>
      <c r="R16" s="134">
        <f>SUMIFS('WBS Summary'!BL:BL,'WBS Summary'!$B:$B, $B16, 'WBS Summary'!$AH:$AH, $C16,'WBS Summary'!$AJ:$AJ, $H16)</f>
        <v>0</v>
      </c>
      <c r="S16" s="134">
        <f>SUMIFS('WBS Summary'!BM:BM,'WBS Summary'!$B:$B, $B16, 'WBS Summary'!$AH:$AH, $C16,'WBS Summary'!$AJ:$AJ, $H16)</f>
        <v>0</v>
      </c>
      <c r="T16" s="134">
        <f>SUMIFS('WBS Summary'!BN:BN,'WBS Summary'!$B:$B, $B16, 'WBS Summary'!$AH:$AH, $C16,'WBS Summary'!$AJ:$AJ, $H16)</f>
        <v>0</v>
      </c>
      <c r="U16" s="134">
        <f>SUMIFS('WBS Summary'!BO:BO,'WBS Summary'!$B:$B, $B16, 'WBS Summary'!$AH:$AH, $C16,'WBS Summary'!$AJ:$AJ, $H16)</f>
        <v>0</v>
      </c>
      <c r="V16" s="134">
        <f>SUMIFS('WBS Summary'!BP:BP,'WBS Summary'!$B:$B, $B16, 'WBS Summary'!$AH:$AH, $C16,'WBS Summary'!$AJ:$AJ, $H16)</f>
        <v>0</v>
      </c>
      <c r="W16" s="134">
        <f>SUMIFS('WBS Summary'!BQ:BQ,'WBS Summary'!$B:$B, $B16, 'WBS Summary'!$AH:$AH, $C16,'WBS Summary'!$AJ:$AJ, $H16)</f>
        <v>0</v>
      </c>
      <c r="X16" s="134">
        <f>SUMIFS('WBS Summary'!BR:BR,'WBS Summary'!$B:$B, $B16, 'WBS Summary'!$AH:$AH, $C16,'WBS Summary'!$AJ:$AJ, $H16)</f>
        <v>0</v>
      </c>
      <c r="Y16" s="134">
        <f>SUMIFS('WBS Summary'!BS:BS,'WBS Summary'!$B:$B, $B16, 'WBS Summary'!$AH:$AH, $C16,'WBS Summary'!$AJ:$AJ, $H16)</f>
        <v>0</v>
      </c>
      <c r="Z16" s="134">
        <f>SUMIFS('WBS Summary'!BT:BT,'WBS Summary'!$B:$B, $B16, 'WBS Summary'!$AH:$AH, $C16,'WBS Summary'!$AJ:$AJ, $H16)</f>
        <v>0</v>
      </c>
      <c r="AA16" s="134">
        <f>SUMIFS('WBS Summary'!BU:BU,'WBS Summary'!$B:$B, $B16, 'WBS Summary'!$AH:$AH, $C16,'WBS Summary'!$AJ:$AJ, $H16)</f>
        <v>0</v>
      </c>
      <c r="AB16" s="134">
        <f>SUMIFS('WBS Summary'!BV:BV,'WBS Summary'!$B:$B, $B16, 'WBS Summary'!$AH:$AH, $C16,'WBS Summary'!$AJ:$AJ, $H16)</f>
        <v>0</v>
      </c>
      <c r="AC16" s="134">
        <f>SUMIFS('WBS Summary'!BW:BW,'WBS Summary'!$B:$B, $B16, 'WBS Summary'!$AH:$AH, $C16,'WBS Summary'!$AJ:$AJ, $H16)</f>
        <v>0</v>
      </c>
      <c r="AD16" s="134">
        <f>SUMIFS('WBS Summary'!BX:BX,'WBS Summary'!$B:$B, $B16, 'WBS Summary'!$AH:$AH, $C16,'WBS Summary'!$AJ:$AJ, $H16)</f>
        <v>0</v>
      </c>
      <c r="AE16" s="134">
        <f>SUMIFS('WBS Summary'!BY:BY,'WBS Summary'!$B:$B, $B16, 'WBS Summary'!$AH:$AH, $C16,'WBS Summary'!$AJ:$AJ, $H16)</f>
        <v>0</v>
      </c>
      <c r="AF16" s="134">
        <f>SUMIFS('WBS Summary'!BZ:BZ,'WBS Summary'!$B:$B, $B16, 'WBS Summary'!$AH:$AH, $C16,'WBS Summary'!$AJ:$AJ, $H16)</f>
        <v>0</v>
      </c>
      <c r="AG16" s="134">
        <f>SUMIFS('WBS Summary'!CA:CA,'WBS Summary'!$B:$B, $B16, 'WBS Summary'!$AH:$AH, $C16,'WBS Summary'!$AJ:$AJ, $H16)</f>
        <v>0</v>
      </c>
      <c r="AH16" s="134">
        <f>SUMIFS('WBS Summary'!CB:CB,'WBS Summary'!$B:$B, $B16, 'WBS Summary'!$AH:$AH, $C16,'WBS Summary'!$AJ:$AJ, $H16)</f>
        <v>0</v>
      </c>
      <c r="AI16" s="134">
        <f>SUMIFS('WBS Summary'!CC:CC,'WBS Summary'!$B:$B, $B16, 'WBS Summary'!$AH:$AH, $C16,'WBS Summary'!$AJ:$AJ, $H16)</f>
        <v>0</v>
      </c>
      <c r="AJ16" s="134">
        <f>SUMIFS('WBS Summary'!CD:CD,'WBS Summary'!$B:$B, $B16, 'WBS Summary'!$AH:$AH, $C16,'WBS Summary'!$AJ:$AJ, $H16)</f>
        <v>0</v>
      </c>
      <c r="AK16" s="134">
        <f>SUMIFS('WBS Summary'!CE:CE,'WBS Summary'!$B:$B, $B16, 'WBS Summary'!$AH:$AH, $C16,'WBS Summary'!$AJ:$AJ, $H16)</f>
        <v>0</v>
      </c>
      <c r="AL16" s="134">
        <f>SUMIFS('WBS Summary'!CF:CF,'WBS Summary'!$B:$B, $B16, 'WBS Summary'!$AH:$AH, $C16,'WBS Summary'!$AJ:$AJ, $H16)</f>
        <v>0</v>
      </c>
      <c r="AM16" s="134">
        <f>SUMIFS('WBS Summary'!CG:CG,'WBS Summary'!$B:$B, $B16, 'WBS Summary'!$AH:$AH, $C16,'WBS Summary'!$AJ:$AJ, $H16)</f>
        <v>0</v>
      </c>
      <c r="AN16" s="134">
        <f>SUMIFS('WBS Summary'!CH:CH,'WBS Summary'!$B:$B, $B16, 'WBS Summary'!$AH:$AH, $C16,'WBS Summary'!$AJ:$AJ, $H16)</f>
        <v>0</v>
      </c>
      <c r="AO16" s="134">
        <f>SUMIFS('WBS Summary'!CI:CI,'WBS Summary'!$B:$B, $B16, 'WBS Summary'!$AH:$AH, $C16,'WBS Summary'!$AJ:$AJ, $H16)</f>
        <v>0</v>
      </c>
      <c r="AP16" s="134">
        <f>SUMIFS('WBS Summary'!CJ:CJ,'WBS Summary'!$B:$B, $B16, 'WBS Summary'!$AH:$AH, $C16,'WBS Summary'!$AJ:$AJ, $H16)</f>
        <v>0</v>
      </c>
      <c r="AQ16" s="134">
        <f>SUMIFS('WBS Summary'!CK:CK,'WBS Summary'!$B:$B, $B16, 'WBS Summary'!$AH:$AH, $C16,'WBS Summary'!$AJ:$AJ, $H16)</f>
        <v>0</v>
      </c>
      <c r="AR16" s="134">
        <f>SUMIFS('WBS Summary'!CL:CL,'WBS Summary'!$B:$B, $B16, 'WBS Summary'!$AH:$AH, $C16,'WBS Summary'!$AJ:$AJ, $H16)</f>
        <v>0</v>
      </c>
      <c r="AS16" s="134">
        <f>SUMIFS('WBS Summary'!CM:CM,'WBS Summary'!$B:$B, $B16, 'WBS Summary'!$AH:$AH, $C16,'WBS Summary'!$AJ:$AJ, $H16)</f>
        <v>0</v>
      </c>
      <c r="AT16" s="134">
        <f>SUMIFS('WBS Summary'!CN:CN,'WBS Summary'!$B:$B, $B16, 'WBS Summary'!$AH:$AH, $C16,'WBS Summary'!$AJ:$AJ, $H16)</f>
        <v>0</v>
      </c>
      <c r="AU16" s="134">
        <f>SUMIFS('WBS Summary'!CO:CO,'WBS Summary'!$B:$B, $B16, 'WBS Summary'!$AH:$AH, $C16,'WBS Summary'!$AJ:$AJ, $H16)</f>
        <v>0</v>
      </c>
      <c r="AV16" s="134">
        <f>SUMIFS('WBS Summary'!CP:CP,'WBS Summary'!$B:$B, $B16, 'WBS Summary'!$AH:$AH, $C16,'WBS Summary'!$AJ:$AJ, $H16)</f>
        <v>0</v>
      </c>
      <c r="AW16" s="134">
        <f>SUMIFS('WBS Summary'!CQ:CQ,'WBS Summary'!$B:$B, $B16, 'WBS Summary'!$AH:$AH, $C16,'WBS Summary'!$AJ:$AJ, $H16)</f>
        <v>0</v>
      </c>
      <c r="AX16" s="134">
        <f>SUMIFS('WBS Summary'!CR:CR,'WBS Summary'!$B:$B, $B16, 'WBS Summary'!$AH:$AH, $C16,'WBS Summary'!$AJ:$AJ, $H16)</f>
        <v>0</v>
      </c>
      <c r="AY16" s="134">
        <f>SUMIFS('WBS Summary'!CS:CS,'WBS Summary'!$B:$B, $B16, 'WBS Summary'!$AH:$AH, $C16,'WBS Summary'!$AJ:$AJ, $H16)</f>
        <v>0</v>
      </c>
      <c r="AZ16" s="134">
        <f>SUMIFS('WBS Summary'!CT:CT,'WBS Summary'!$B:$B, $B16, 'WBS Summary'!$AH:$AH, $C16,'WBS Summary'!$AJ:$AJ, $H16)</f>
        <v>0</v>
      </c>
      <c r="BA16" s="134">
        <f>SUMIFS('WBS Summary'!CU:CU,'WBS Summary'!$B:$B, $B16, 'WBS Summary'!$AH:$AH, $C16,'WBS Summary'!$AJ:$AJ, $H16)</f>
        <v>0</v>
      </c>
      <c r="BB16" s="134">
        <f>SUMIFS('WBS Summary'!CV:CV,'WBS Summary'!$B:$B, $B16, 'WBS Summary'!$AH:$AH, $C16,'WBS Summary'!$AJ:$AJ, $H16)</f>
        <v>0</v>
      </c>
      <c r="BC16" s="134">
        <f>SUMIFS('WBS Summary'!CW:CW,'WBS Summary'!$B:$B, $B16, 'WBS Summary'!$AH:$AH, $C16,'WBS Summary'!$AJ:$AJ, $H16)</f>
        <v>0</v>
      </c>
      <c r="BD16" s="134">
        <f>SUMIFS('WBS Summary'!CX:CX,'WBS Summary'!$B:$B, $B16, 'WBS Summary'!$AH:$AH, $C16,'WBS Summary'!$AJ:$AJ, $H16)</f>
        <v>0</v>
      </c>
      <c r="BE16" s="134">
        <f>SUMIFS('WBS Summary'!CY:CY,'WBS Summary'!$B:$B, $B16, 'WBS Summary'!$AH:$AH, $C16,'WBS Summary'!$AJ:$AJ, $H16)</f>
        <v>0</v>
      </c>
      <c r="BF16" s="134">
        <f>SUMIFS('WBS Summary'!CZ:CZ,'WBS Summary'!$B:$B, $B16, 'WBS Summary'!$AH:$AH, $C16,'WBS Summary'!$AJ:$AJ, $H16)</f>
        <v>0</v>
      </c>
      <c r="BG16" s="134">
        <f>SUMIFS('WBS Summary'!DA:DA,'WBS Summary'!$B:$B, $B16, 'WBS Summary'!$AH:$AH, $C16,'WBS Summary'!$AJ:$AJ, $H16)</f>
        <v>0</v>
      </c>
      <c r="BH16" s="134">
        <f>SUMIFS('WBS Summary'!DB:DB,'WBS Summary'!$B:$B, $B16, 'WBS Summary'!$AH:$AH, $C16,'WBS Summary'!$AJ:$AJ, $H16)</f>
        <v>0</v>
      </c>
      <c r="BI16" s="134">
        <f>SUMIFS('WBS Summary'!DC:DC,'WBS Summary'!$B:$B, $B16, 'WBS Summary'!$AH:$AH, $C16,'WBS Summary'!$AJ:$AJ, $H16)</f>
        <v>0</v>
      </c>
      <c r="BJ16" s="134">
        <f>SUMIFS('WBS Summary'!DD:DD,'WBS Summary'!$B:$B, $B16, 'WBS Summary'!$AH:$AH, $C16,'WBS Summary'!$AJ:$AJ, $H16)</f>
        <v>0</v>
      </c>
      <c r="BK16" s="134">
        <f>SUMIFS('WBS Summary'!DE:DE,'WBS Summary'!$B:$B, $B16, 'WBS Summary'!$AH:$AH, $C16,'WBS Summary'!$AJ:$AJ, $H16)</f>
        <v>0</v>
      </c>
      <c r="BL16" s="134">
        <f>SUMIFS('WBS Summary'!DF:DF,'WBS Summary'!$B:$B, $B16, 'WBS Summary'!$AH:$AH, $C16,'WBS Summary'!$AJ:$AJ, $H16)</f>
        <v>0</v>
      </c>
      <c r="BM16" s="134">
        <f>SUMIFS('WBS Summary'!DG:DG,'WBS Summary'!$B:$B, $B16, 'WBS Summary'!$AH:$AH, $C16,'WBS Summary'!$AJ:$AJ, $H16)</f>
        <v>0</v>
      </c>
      <c r="BN16" s="134">
        <f>SUMIFS('WBS Summary'!DH:DH,'WBS Summary'!$B:$B, $B16, 'WBS Summary'!$AH:$AH, $C16,'WBS Summary'!$AJ:$AJ, $H16)</f>
        <v>0</v>
      </c>
      <c r="BO16" s="134">
        <f>SUMIFS('WBS Summary'!DI:DI,'WBS Summary'!$B:$B, $B16, 'WBS Summary'!$AH:$AH, $C16,'WBS Summary'!$AJ:$AJ, $H16)</f>
        <v>0</v>
      </c>
      <c r="BP16" s="134">
        <f>SUMIFS('WBS Summary'!DJ:DJ,'WBS Summary'!$B:$B, $B16, 'WBS Summary'!$AH:$AH, $C16,'WBS Summary'!$AJ:$AJ, $H16)</f>
        <v>0</v>
      </c>
      <c r="BQ16" s="134">
        <f>SUMIFS('WBS Summary'!DK:DK,'WBS Summary'!$B:$B, $B16, 'WBS Summary'!$AH:$AH, $C16,'WBS Summary'!$AJ:$AJ, $H16)</f>
        <v>0</v>
      </c>
      <c r="BR16" s="134">
        <f>SUMIFS('WBS Summary'!DL:DL,'WBS Summary'!$B:$B, $B16, 'WBS Summary'!$AH:$AH, $C16,'WBS Summary'!$AJ:$AJ, $H16)</f>
        <v>0</v>
      </c>
      <c r="BS16" s="134">
        <f>SUMIFS('WBS Summary'!DM:DM,'WBS Summary'!$B:$B, $B16, 'WBS Summary'!$AH:$AH, $C16,'WBS Summary'!$AJ:$AJ, $H16)</f>
        <v>0</v>
      </c>
      <c r="BT16" s="134">
        <f>SUMIFS('WBS Summary'!DN:DN,'WBS Summary'!$B:$B, $B16, 'WBS Summary'!$AH:$AH, $C16,'WBS Summary'!$AJ:$AJ, $H16)</f>
        <v>0</v>
      </c>
      <c r="BU16" s="134">
        <f>SUMIFS('WBS Summary'!DO:DO,'WBS Summary'!$B:$B, $B16, 'WBS Summary'!$AH:$AH, $C16,'WBS Summary'!$AJ:$AJ, $H16)</f>
        <v>0</v>
      </c>
      <c r="BV16" s="134">
        <f>SUMIFS('WBS Summary'!DP:DP,'WBS Summary'!$B:$B, $B16, 'WBS Summary'!$AH:$AH, $C16,'WBS Summary'!$AJ:$AJ, $H16)</f>
        <v>0</v>
      </c>
      <c r="BW16" s="134">
        <f>SUMIFS('WBS Summary'!DQ:DQ,'WBS Summary'!$B:$B, $B16, 'WBS Summary'!$AH:$AH, $C16,'WBS Summary'!$AJ:$AJ, $H16)</f>
        <v>0</v>
      </c>
      <c r="BX16" s="134">
        <f>SUMIFS('WBS Summary'!DR:DR,'WBS Summary'!$B:$B, $B16, 'WBS Summary'!$AH:$AH, $C16,'WBS Summary'!$AJ:$AJ, $H16)</f>
        <v>0</v>
      </c>
      <c r="BY16" s="134">
        <f>SUMIFS('WBS Summary'!DS:DS,'WBS Summary'!$B:$B, $B16, 'WBS Summary'!$AH:$AH, $C16,'WBS Summary'!$AJ:$AJ, $H16)</f>
        <v>0</v>
      </c>
      <c r="BZ16" s="134">
        <f>SUMIFS('WBS Summary'!DT:DT,'WBS Summary'!$B:$B, $B16, 'WBS Summary'!$AH:$AH, $C16,'WBS Summary'!$AJ:$AJ, $H16)</f>
        <v>0</v>
      </c>
      <c r="CA16" s="134">
        <f>SUMIFS('WBS Summary'!DU:DU,'WBS Summary'!$B:$B, $B16, 'WBS Summary'!$AH:$AH, $C16,'WBS Summary'!$AJ:$AJ, $H16)</f>
        <v>0</v>
      </c>
      <c r="CB16" s="134">
        <f>SUMIFS('WBS Summary'!DV:DV,'WBS Summary'!$B:$B, $B16, 'WBS Summary'!$AH:$AH, $C16,'WBS Summary'!$AJ:$AJ, $H16)</f>
        <v>0</v>
      </c>
      <c r="CC16" s="134">
        <f>SUMIFS('WBS Summary'!DW:DW,'WBS Summary'!$B:$B, $B16, 'WBS Summary'!$AH:$AH, $C16,'WBS Summary'!$AJ:$AJ, $H16)</f>
        <v>0</v>
      </c>
      <c r="CD16" s="134">
        <f>SUMIFS('WBS Summary'!DX:DX,'WBS Summary'!$B:$B, $B16, 'WBS Summary'!$AH:$AH, $C16,'WBS Summary'!$AJ:$AJ, $H16)</f>
        <v>0</v>
      </c>
      <c r="CE16" s="134">
        <f>SUMIFS('WBS Summary'!DY:DY,'WBS Summary'!$B:$B, $B16, 'WBS Summary'!$AH:$AH, $C16,'WBS Summary'!$AJ:$AJ, $H16)</f>
        <v>0</v>
      </c>
      <c r="CF16" s="134">
        <f>SUMIFS('WBS Summary'!DZ:DZ,'WBS Summary'!$B:$B, $B16, 'WBS Summary'!$AH:$AH, $C16,'WBS Summary'!$AJ:$AJ, $H16)</f>
        <v>0</v>
      </c>
      <c r="CG16" s="134">
        <f>SUMIFS('WBS Summary'!EA:EA,'WBS Summary'!$B:$B, $B16, 'WBS Summary'!$AH:$AH, $C16,'WBS Summary'!$AJ:$AJ, $H16)</f>
        <v>0</v>
      </c>
      <c r="CH16" s="134">
        <f>SUMIFS('WBS Summary'!EB:EB,'WBS Summary'!$B:$B, $B16, 'WBS Summary'!$AH:$AH, $C16,'WBS Summary'!$AJ:$AJ, $H16)</f>
        <v>0</v>
      </c>
      <c r="CI16" s="134">
        <f>SUMIFS('WBS Summary'!EC:EC,'WBS Summary'!$B:$B, $B16, 'WBS Summary'!$AH:$AH, $C16,'WBS Summary'!$AJ:$AJ, $H16)</f>
        <v>0</v>
      </c>
      <c r="CJ16" s="134">
        <f>SUMIFS('WBS Summary'!ED:ED,'WBS Summary'!$B:$B, $B16, 'WBS Summary'!$AH:$AH, $C16,'WBS Summary'!$AJ:$AJ, $H16)</f>
        <v>0</v>
      </c>
      <c r="CK16" s="134">
        <f>SUMIFS('WBS Summary'!EE:EE,'WBS Summary'!$B:$B, $B16, 'WBS Summary'!$AH:$AH, $C16,'WBS Summary'!$AJ:$AJ, $H16)</f>
        <v>0</v>
      </c>
      <c r="CL16" s="134">
        <f>SUMIFS('WBS Summary'!EF:EF,'WBS Summary'!$B:$B, $B16, 'WBS Summary'!$AH:$AH, $C16,'WBS Summary'!$AJ:$AJ, $H16)</f>
        <v>0</v>
      </c>
      <c r="CM16" s="134">
        <f>SUMIFS('WBS Summary'!EG:EG,'WBS Summary'!$B:$B, $B16, 'WBS Summary'!$AH:$AH, $C16,'WBS Summary'!$AJ:$AJ, $H16)</f>
        <v>0</v>
      </c>
      <c r="CN16" s="134">
        <f>SUMIFS('WBS Summary'!EH:EH,'WBS Summary'!$B:$B, $B16, 'WBS Summary'!$AH:$AH, $C16,'WBS Summary'!$AJ:$AJ, $H16)</f>
        <v>0</v>
      </c>
      <c r="CO16" s="134">
        <f>SUMIFS('WBS Summary'!EI:EI,'WBS Summary'!$B:$B, $B16, 'WBS Summary'!$AH:$AH, $C16,'WBS Summary'!$AJ:$AJ, $H16)</f>
        <v>0</v>
      </c>
      <c r="CP16" s="134">
        <f>SUMIFS('WBS Summary'!EJ:EJ,'WBS Summary'!$B:$B, $B16, 'WBS Summary'!$AH:$AH, $C16,'WBS Summary'!$AJ:$AJ, $H16)</f>
        <v>0</v>
      </c>
      <c r="CQ16" s="134">
        <f>SUMIFS('WBS Summary'!EK:EK,'WBS Summary'!$B:$B, $B16, 'WBS Summary'!$AH:$AH, $C16,'WBS Summary'!$AJ:$AJ, $H16)</f>
        <v>0</v>
      </c>
      <c r="CR16" s="134">
        <f>SUMIFS('WBS Summary'!EL:EL,'WBS Summary'!$B:$B, $B16, 'WBS Summary'!$AH:$AH, $C16,'WBS Summary'!$AJ:$AJ, $H16)</f>
        <v>0</v>
      </c>
      <c r="CS16" s="134">
        <f>SUMIFS('WBS Summary'!EM:EM,'WBS Summary'!$B:$B, $B16, 'WBS Summary'!$AH:$AH, $C16,'WBS Summary'!$AJ:$AJ, $H16)</f>
        <v>0</v>
      </c>
      <c r="CT16" s="134">
        <f>SUMIFS('WBS Summary'!EN:EN,'WBS Summary'!$B:$B, $B16, 'WBS Summary'!$AH:$AH, $C16,'WBS Summary'!$AJ:$AJ, $H16)</f>
        <v>0</v>
      </c>
      <c r="CU16" s="134">
        <f>SUMIFS('WBS Summary'!EO:EO,'WBS Summary'!$B:$B, $B16, 'WBS Summary'!$AH:$AH, $C16,'WBS Summary'!$AJ:$AJ, $H16)</f>
        <v>0</v>
      </c>
      <c r="CV16" s="134">
        <f>SUMIFS('WBS Summary'!EP:EP,'WBS Summary'!$B:$B, $B16, 'WBS Summary'!$AH:$AH, $C16,'WBS Summary'!$AJ:$AJ, $H16)</f>
        <v>0</v>
      </c>
      <c r="CW16" s="134">
        <f>SUMIFS('WBS Summary'!EQ:EQ,'WBS Summary'!$B:$B, $B16, 'WBS Summary'!$AH:$AH, $C16,'WBS Summary'!$AJ:$AJ, $H16)</f>
        <v>0</v>
      </c>
      <c r="CX16" s="134">
        <f>SUMIFS('WBS Summary'!ER:ER,'WBS Summary'!$B:$B, $B16, 'WBS Summary'!$AH:$AH, $C16,'WBS Summary'!$AJ:$AJ, $H16)</f>
        <v>0</v>
      </c>
      <c r="CY16" s="134">
        <f>SUMIFS('WBS Summary'!ES:ES,'WBS Summary'!$B:$B, $B16, 'WBS Summary'!$AH:$AH, $C16,'WBS Summary'!$AJ:$AJ, $H16)</f>
        <v>0</v>
      </c>
      <c r="CZ16" s="134">
        <f>SUMIFS('WBS Summary'!ET:ET,'WBS Summary'!$B:$B, $B16, 'WBS Summary'!$AH:$AH, $C16,'WBS Summary'!$AJ:$AJ, $H16)</f>
        <v>0</v>
      </c>
      <c r="DA16" s="134">
        <f>SUMIFS('WBS Summary'!EU:EU,'WBS Summary'!$B:$B, $B16, 'WBS Summary'!$AH:$AH, $C16,'WBS Summary'!$AJ:$AJ, $H16)</f>
        <v>0</v>
      </c>
      <c r="DB16" s="134">
        <f>SUMIFS('WBS Summary'!EV:EV,'WBS Summary'!$B:$B, $B16, 'WBS Summary'!$AH:$AH, $C16,'WBS Summary'!$AJ:$AJ, $H16)</f>
        <v>0</v>
      </c>
      <c r="DC16" s="134">
        <f>SUMIFS('WBS Summary'!EW:EW,'WBS Summary'!$B:$B, $B16, 'WBS Summary'!$AH:$AH, $C16,'WBS Summary'!$AJ:$AJ, $H16)</f>
        <v>0</v>
      </c>
      <c r="DD16" s="134">
        <f>SUMIFS('WBS Summary'!EX:EX,'WBS Summary'!$B:$B, $B16, 'WBS Summary'!$AH:$AH, $C16,'WBS Summary'!$AJ:$AJ, $H16)</f>
        <v>0</v>
      </c>
      <c r="DE16" s="134">
        <f>SUMIFS('WBS Summary'!EY:EY,'WBS Summary'!$B:$B, $B16, 'WBS Summary'!$AH:$AH, $C16,'WBS Summary'!$AJ:$AJ, $H16)</f>
        <v>0</v>
      </c>
      <c r="DF16"/>
      <c r="DG16" s="134">
        <f>SUMIFS('WBS Summary'!FR:FR,'WBS Summary'!$B:$B, $B16, 'WBS Summary'!$AH:$AH, $C16,'WBS Summary'!$AJ:$AJ, $H16)</f>
        <v>0</v>
      </c>
      <c r="DH16" s="134">
        <f>SUMIFS('WBS Summary'!FS:FS,'WBS Summary'!$B:$B, $B16, 'WBS Summary'!$AH:$AH, $C16,'WBS Summary'!$AJ:$AJ, $H16)</f>
        <v>0</v>
      </c>
      <c r="DI16" s="134">
        <f>SUMIFS('WBS Summary'!FT:FT,'WBS Summary'!$B:$B, $B16, 'WBS Summary'!$AH:$AH, $C16,'WBS Summary'!$AJ:$AJ, $H16)</f>
        <v>0</v>
      </c>
      <c r="DJ16" s="134">
        <f>SUMIFS('WBS Summary'!FU:FU,'WBS Summary'!$B:$B, $B16, 'WBS Summary'!$AH:$AH, $C16,'WBS Summary'!$AJ:$AJ, $H16)</f>
        <v>0</v>
      </c>
      <c r="DK16" s="134">
        <f>SUMIFS('WBS Summary'!FV:FV,'WBS Summary'!$B:$B, $B16, 'WBS Summary'!$AH:$AH, $C16,'WBS Summary'!$AJ:$AJ, $H16)</f>
        <v>0</v>
      </c>
      <c r="DL16" s="134">
        <f>SUMIFS('WBS Summary'!FW:FW,'WBS Summary'!$B:$B, $B16, 'WBS Summary'!$AH:$AH, $C16,'WBS Summary'!$AJ:$AJ, $H16)</f>
        <v>0</v>
      </c>
      <c r="DM16" s="134">
        <f>SUMIFS('WBS Summary'!FX:FX,'WBS Summary'!$B:$B, $B16, 'WBS Summary'!$AH:$AH, $C16,'WBS Summary'!$AJ:$AJ, $H16)</f>
        <v>0</v>
      </c>
      <c r="DN16" s="134">
        <f>SUMIFS('WBS Summary'!FY:FY,'WBS Summary'!$B:$B, $B16, 'WBS Summary'!$AH:$AH, $C16,'WBS Summary'!$AJ:$AJ, $H16)</f>
        <v>0</v>
      </c>
      <c r="DO16" s="134">
        <f>SUMIFS('WBS Summary'!FZ:FZ,'WBS Summary'!$B:$B, $B16, 'WBS Summary'!$AH:$AH, $C16,'WBS Summary'!$AJ:$AJ, $H16)</f>
        <v>0</v>
      </c>
      <c r="DP16" s="134">
        <f>SUMIFS('WBS Summary'!GA:GA,'WBS Summary'!$B:$B, $B16, 'WBS Summary'!$AH:$AH, $C16,'WBS Summary'!$AJ:$AJ, $H16)</f>
        <v>0</v>
      </c>
      <c r="DQ16" s="134">
        <f>SUMIFS('WBS Summary'!GB:GB,'WBS Summary'!$B:$B, $B16, 'WBS Summary'!$AH:$AH, $C16,'WBS Summary'!$AJ:$AJ, $H16)</f>
        <v>0</v>
      </c>
      <c r="DR16" s="134">
        <f>SUMIFS('WBS Summary'!GC:GC,'WBS Summary'!$B:$B, $B16, 'WBS Summary'!$AH:$AH, $C16,'WBS Summary'!$AJ:$AJ, $H16)</f>
        <v>0</v>
      </c>
      <c r="DS16" s="134">
        <f>SUMIFS('WBS Summary'!GD:GD,'WBS Summary'!$B:$B, $B16, 'WBS Summary'!$AH:$AH, $C16,'WBS Summary'!$AJ:$AJ, $H16)</f>
        <v>0</v>
      </c>
      <c r="DT16" s="134">
        <f>SUMIFS('WBS Summary'!GE:GE,'WBS Summary'!$B:$B, $B16, 'WBS Summary'!$AH:$AH, $C16,'WBS Summary'!$AJ:$AJ, $H16)</f>
        <v>0</v>
      </c>
      <c r="DU16" s="134">
        <f>SUMIFS('WBS Summary'!GF:GF,'WBS Summary'!$B:$B, $B16, 'WBS Summary'!$AH:$AH, $C16,'WBS Summary'!$AJ:$AJ, $H16)</f>
        <v>0</v>
      </c>
      <c r="DV16" s="134">
        <f>SUMIFS('WBS Summary'!GG:GG,'WBS Summary'!$B:$B, $B16, 'WBS Summary'!$AH:$AH, $C16,'WBS Summary'!$AJ:$AJ, $H16)</f>
        <v>0</v>
      </c>
      <c r="DW16" s="134">
        <f>SUMIFS('WBS Summary'!GH:GH,'WBS Summary'!$B:$B, $B16, 'WBS Summary'!$AH:$AH, $C16,'WBS Summary'!$AJ:$AJ, $H16)</f>
        <v>0</v>
      </c>
      <c r="DX16" s="134">
        <f>SUMIFS('WBS Summary'!GI:GI,'WBS Summary'!$B:$B, $B16, 'WBS Summary'!$AH:$AH, $C16,'WBS Summary'!$AJ:$AJ, $H16)</f>
        <v>0</v>
      </c>
      <c r="DY16" s="134">
        <f>SUMIFS('WBS Summary'!GJ:GJ,'WBS Summary'!$B:$B, $B16, 'WBS Summary'!$AH:$AH, $C16,'WBS Summary'!$AJ:$AJ, $H16)</f>
        <v>0</v>
      </c>
      <c r="DZ16" s="134">
        <f>SUMIFS('WBS Summary'!GK:GK,'WBS Summary'!$B:$B, $B16, 'WBS Summary'!$AH:$AH, $C16,'WBS Summary'!$AJ:$AJ, $H16)</f>
        <v>0</v>
      </c>
      <c r="EA16" s="134">
        <f>SUMIFS('WBS Summary'!GL:GL,'WBS Summary'!$B:$B, $B16, 'WBS Summary'!$AH:$AH, $C16,'WBS Summary'!$AJ:$AJ, $H16)</f>
        <v>0</v>
      </c>
      <c r="EB16" s="134">
        <f>SUMIFS('WBS Summary'!GM:GM,'WBS Summary'!$B:$B, $B16, 'WBS Summary'!$AH:$AH, $C16,'WBS Summary'!$AJ:$AJ, $H16)</f>
        <v>0</v>
      </c>
      <c r="EC16" s="134">
        <f>SUMIFS('WBS Summary'!GN:GN,'WBS Summary'!$B:$B, $B16, 'WBS Summary'!$AH:$AH, $C16,'WBS Summary'!$AJ:$AJ, $H16)</f>
        <v>0</v>
      </c>
      <c r="ED16" s="134">
        <f>SUMIFS('WBS Summary'!GO:GO,'WBS Summary'!$B:$B, $B16, 'WBS Summary'!$AH:$AH, $C16,'WBS Summary'!$AJ:$AJ, $H16)</f>
        <v>0</v>
      </c>
      <c r="EE16" s="134">
        <f>SUMIFS('WBS Summary'!GP:GP,'WBS Summary'!$B:$B, $B16, 'WBS Summary'!$AH:$AH, $C16,'WBS Summary'!$AJ:$AJ, $H16)</f>
        <v>0</v>
      </c>
      <c r="EF16" s="134">
        <f>SUMIFS('WBS Summary'!GQ:GQ,'WBS Summary'!$B:$B, $B16, 'WBS Summary'!$AH:$AH, $C16,'WBS Summary'!$AJ:$AJ, $H16)</f>
        <v>0</v>
      </c>
      <c r="EG16" s="134">
        <f>SUMIFS('WBS Summary'!GR:GR,'WBS Summary'!$B:$B, $B16, 'WBS Summary'!$AH:$AH, $C16,'WBS Summary'!$AJ:$AJ, $H16)</f>
        <v>0</v>
      </c>
      <c r="EH16" s="134">
        <f>SUMIFS('WBS Summary'!GS:GS,'WBS Summary'!$B:$B, $B16, 'WBS Summary'!$AH:$AH, $C16,'WBS Summary'!$AJ:$AJ, $H16)</f>
        <v>0</v>
      </c>
      <c r="EI16" s="134">
        <f>SUMIFS('WBS Summary'!GT:GT,'WBS Summary'!$B:$B, $B16, 'WBS Summary'!$AH:$AH, $C16,'WBS Summary'!$AJ:$AJ, $H16)</f>
        <v>0</v>
      </c>
      <c r="EJ16" s="134">
        <f>SUMIFS('WBS Summary'!GU:GU,'WBS Summary'!$B:$B, $B16, 'WBS Summary'!$AH:$AH, $C16,'WBS Summary'!$AJ:$AJ, $H16)</f>
        <v>0</v>
      </c>
      <c r="EK16" s="134">
        <f>SUMIFS('WBS Summary'!GV:GV,'WBS Summary'!$B:$B, $B16, 'WBS Summary'!$AH:$AH, $C16,'WBS Summary'!$AJ:$AJ, $H16)</f>
        <v>0</v>
      </c>
      <c r="EL16" s="134">
        <f>SUMIFS('WBS Summary'!GW:GW,'WBS Summary'!$B:$B, $B16, 'WBS Summary'!$AH:$AH, $C16,'WBS Summary'!$AJ:$AJ, $H16)</f>
        <v>0</v>
      </c>
      <c r="EM16" s="134">
        <f>SUMIFS('WBS Summary'!GX:GX,'WBS Summary'!$B:$B, $B16, 'WBS Summary'!$AH:$AH, $C16,'WBS Summary'!$AJ:$AJ, $H16)</f>
        <v>0</v>
      </c>
      <c r="EN16" s="134">
        <f>SUMIFS('WBS Summary'!GY:GY,'WBS Summary'!$B:$B, $B16, 'WBS Summary'!$AH:$AH, $C16,'WBS Summary'!$AJ:$AJ, $H16)</f>
        <v>0</v>
      </c>
      <c r="EO16" s="134">
        <f>SUMIFS('WBS Summary'!GZ:GZ,'WBS Summary'!$B:$B, $B16, 'WBS Summary'!$AH:$AH, $C16,'WBS Summary'!$AJ:$AJ, $H16)</f>
        <v>0</v>
      </c>
      <c r="EP16" s="134">
        <f>SUMIFS('WBS Summary'!HA:HA,'WBS Summary'!$B:$B, $B16, 'WBS Summary'!$AH:$AH, $C16,'WBS Summary'!$AJ:$AJ, $H16)</f>
        <v>0</v>
      </c>
      <c r="EQ16" s="134">
        <f>SUMIFS('WBS Summary'!HB:HB,'WBS Summary'!$B:$B, $B16, 'WBS Summary'!$AH:$AH, $C16,'WBS Summary'!$AJ:$AJ, $H16)</f>
        <v>0</v>
      </c>
      <c r="ER16" s="134">
        <f>SUMIFS('WBS Summary'!HC:HC,'WBS Summary'!$B:$B, $B16, 'WBS Summary'!$AH:$AH, $C16,'WBS Summary'!$AJ:$AJ, $H16)</f>
        <v>0</v>
      </c>
      <c r="ES16" s="134">
        <f>SUMIFS('WBS Summary'!HD:HD,'WBS Summary'!$B:$B, $B16, 'WBS Summary'!$AH:$AH, $C16,'WBS Summary'!$AJ:$AJ, $H16)</f>
        <v>0</v>
      </c>
      <c r="ET16" s="134">
        <f>SUMIFS('WBS Summary'!HE:HE,'WBS Summary'!$B:$B, $B16, 'WBS Summary'!$AH:$AH, $C16,'WBS Summary'!$AJ:$AJ, $H16)</f>
        <v>0</v>
      </c>
      <c r="EU16" s="134">
        <f>SUMIFS('WBS Summary'!HF:HF,'WBS Summary'!$B:$B, $B16, 'WBS Summary'!$AH:$AH, $C16,'WBS Summary'!$AJ:$AJ, $H16)</f>
        <v>0</v>
      </c>
      <c r="EV16" s="134">
        <f>SUMIFS('WBS Summary'!HG:HG,'WBS Summary'!$B:$B, $B16, 'WBS Summary'!$AH:$AH, $C16,'WBS Summary'!$AJ:$AJ, $H16)</f>
        <v>0</v>
      </c>
      <c r="EW16" s="134">
        <f>SUMIFS('WBS Summary'!HH:HH,'WBS Summary'!$B:$B, $B16, 'WBS Summary'!$AH:$AH, $C16,'WBS Summary'!$AJ:$AJ, $H16)</f>
        <v>0</v>
      </c>
      <c r="EX16" s="134">
        <f>SUMIFS('WBS Summary'!HI:HI,'WBS Summary'!$B:$B, $B16, 'WBS Summary'!$AH:$AH, $C16,'WBS Summary'!$AJ:$AJ, $H16)</f>
        <v>0</v>
      </c>
      <c r="EY16" s="134">
        <f>SUMIFS('WBS Summary'!HJ:HJ,'WBS Summary'!$B:$B, $B16, 'WBS Summary'!$AH:$AH, $C16,'WBS Summary'!$AJ:$AJ, $H16)</f>
        <v>0</v>
      </c>
      <c r="EZ16" s="134">
        <f>SUMIFS('WBS Summary'!HK:HK,'WBS Summary'!$B:$B, $B16, 'WBS Summary'!$AH:$AH, $C16,'WBS Summary'!$AJ:$AJ, $H16)</f>
        <v>0</v>
      </c>
      <c r="FA16" s="134">
        <f>SUMIFS('WBS Summary'!HL:HL,'WBS Summary'!$B:$B, $B16, 'WBS Summary'!$AH:$AH, $C16,'WBS Summary'!$AJ:$AJ, $H16)</f>
        <v>0</v>
      </c>
      <c r="FB16" s="134">
        <f>SUMIFS('WBS Summary'!HM:HM,'WBS Summary'!$B:$B, $B16, 'WBS Summary'!$AH:$AH, $C16,'WBS Summary'!$AJ:$AJ, $H16)</f>
        <v>0</v>
      </c>
      <c r="FC16" s="134">
        <f>SUMIFS('WBS Summary'!HN:HN,'WBS Summary'!$B:$B, $B16, 'WBS Summary'!$AH:$AH, $C16,'WBS Summary'!$AJ:$AJ, $H16)</f>
        <v>0</v>
      </c>
      <c r="FD16" s="134">
        <f>SUMIFS('WBS Summary'!HO:HO,'WBS Summary'!$B:$B, $B16, 'WBS Summary'!$AH:$AH, $C16,'WBS Summary'!$AJ:$AJ, $H16)</f>
        <v>0</v>
      </c>
      <c r="FE16" s="134">
        <f>SUMIFS('WBS Summary'!HP:HP,'WBS Summary'!$B:$B, $B16, 'WBS Summary'!$AH:$AH, $C16,'WBS Summary'!$AJ:$AJ, $H16)</f>
        <v>0</v>
      </c>
      <c r="FF16" s="134">
        <f>SUMIFS('WBS Summary'!HQ:HQ,'WBS Summary'!$B:$B, $B16, 'WBS Summary'!$AH:$AH, $C16,'WBS Summary'!$AJ:$AJ, $H16)</f>
        <v>0</v>
      </c>
      <c r="FG16" s="134">
        <f>SUMIFS('WBS Summary'!HR:HR,'WBS Summary'!$B:$B, $B16, 'WBS Summary'!$AH:$AH, $C16,'WBS Summary'!$AJ:$AJ, $H16)</f>
        <v>0</v>
      </c>
      <c r="FH16" s="134">
        <f>SUMIFS('WBS Summary'!HS:HS,'WBS Summary'!$B:$B, $B16, 'WBS Summary'!$AH:$AH, $C16,'WBS Summary'!$AJ:$AJ, $H16)</f>
        <v>0</v>
      </c>
      <c r="FI16" s="134">
        <f>SUMIFS('WBS Summary'!HT:HT,'WBS Summary'!$B:$B, $B16, 'WBS Summary'!$AH:$AH, $C16,'WBS Summary'!$AJ:$AJ, $H16)</f>
        <v>0</v>
      </c>
      <c r="FJ16" s="134">
        <f>SUMIFS('WBS Summary'!HU:HU,'WBS Summary'!$B:$B, $B16, 'WBS Summary'!$AH:$AH, $C16,'WBS Summary'!$AJ:$AJ, $H16)</f>
        <v>0</v>
      </c>
      <c r="FK16" s="134">
        <f>SUMIFS('WBS Summary'!HV:HV,'WBS Summary'!$B:$B, $B16, 'WBS Summary'!$AH:$AH, $C16,'WBS Summary'!$AJ:$AJ, $H16)</f>
        <v>0</v>
      </c>
      <c r="FL16" s="134">
        <f>SUMIFS('WBS Summary'!HW:HW,'WBS Summary'!$B:$B, $B16, 'WBS Summary'!$AH:$AH, $C16,'WBS Summary'!$AJ:$AJ, $H16)</f>
        <v>0</v>
      </c>
      <c r="FM16" s="134">
        <f>SUMIFS('WBS Summary'!HX:HX,'WBS Summary'!$B:$B, $B16, 'WBS Summary'!$AH:$AH, $C16,'WBS Summary'!$AJ:$AJ, $H16)</f>
        <v>0</v>
      </c>
      <c r="FN16" s="134">
        <f>SUMIFS('WBS Summary'!HY:HY,'WBS Summary'!$B:$B, $B16, 'WBS Summary'!$AH:$AH, $C16,'WBS Summary'!$AJ:$AJ, $H16)</f>
        <v>0</v>
      </c>
      <c r="FO16" s="134">
        <f>SUMIFS('WBS Summary'!HZ:HZ,'WBS Summary'!$B:$B, $B16, 'WBS Summary'!$AH:$AH, $C16,'WBS Summary'!$AJ:$AJ, $H16)</f>
        <v>0</v>
      </c>
      <c r="FP16" s="134">
        <f>SUMIFS('WBS Summary'!IA:IA,'WBS Summary'!$B:$B, $B16, 'WBS Summary'!$AH:$AH, $C16,'WBS Summary'!$AJ:$AJ, $H16)</f>
        <v>0</v>
      </c>
      <c r="FQ16" s="134">
        <f>SUMIFS('WBS Summary'!IB:IB,'WBS Summary'!$B:$B, $B16, 'WBS Summary'!$AH:$AH, $C16,'WBS Summary'!$AJ:$AJ, $H16)</f>
        <v>0</v>
      </c>
      <c r="FR16" s="134">
        <f>SUMIFS('WBS Summary'!IC:IC,'WBS Summary'!$B:$B, $B16, 'WBS Summary'!$AH:$AH, $C16,'WBS Summary'!$AJ:$AJ, $H16)</f>
        <v>0</v>
      </c>
      <c r="FS16" s="134">
        <f>SUMIFS('WBS Summary'!ID:ID,'WBS Summary'!$B:$B, $B16, 'WBS Summary'!$AH:$AH, $C16,'WBS Summary'!$AJ:$AJ, $H16)</f>
        <v>0</v>
      </c>
      <c r="FT16" s="134">
        <f>SUMIFS('WBS Summary'!IE:IE,'WBS Summary'!$B:$B, $B16, 'WBS Summary'!$AH:$AH, $C16,'WBS Summary'!$AJ:$AJ, $H16)</f>
        <v>0</v>
      </c>
      <c r="FU16" s="134">
        <f>SUMIFS('WBS Summary'!IF:IF,'WBS Summary'!$B:$B, $B16, 'WBS Summary'!$AH:$AH, $C16,'WBS Summary'!$AJ:$AJ, $H16)</f>
        <v>0</v>
      </c>
      <c r="FV16" s="134">
        <f>SUMIFS('WBS Summary'!IG:IG,'WBS Summary'!$B:$B, $B16, 'WBS Summary'!$AH:$AH, $C16,'WBS Summary'!$AJ:$AJ, $H16)</f>
        <v>0</v>
      </c>
      <c r="FW16" s="134">
        <f>SUMIFS('WBS Summary'!IH:IH,'WBS Summary'!$B:$B, $B16, 'WBS Summary'!$AH:$AH, $C16,'WBS Summary'!$AJ:$AJ, $H16)</f>
        <v>0</v>
      </c>
      <c r="FX16" s="134">
        <f>SUMIFS('WBS Summary'!II:II,'WBS Summary'!$B:$B, $B16, 'WBS Summary'!$AH:$AH, $C16,'WBS Summary'!$AJ:$AJ, $H16)</f>
        <v>0</v>
      </c>
      <c r="FY16" s="134">
        <f>SUMIFS('WBS Summary'!IJ:IJ,'WBS Summary'!$B:$B, $B16, 'WBS Summary'!$AH:$AH, $C16,'WBS Summary'!$AJ:$AJ, $H16)</f>
        <v>0</v>
      </c>
      <c r="FZ16" s="134">
        <f>SUMIFS('WBS Summary'!IK:IK,'WBS Summary'!$B:$B, $B16, 'WBS Summary'!$AH:$AH, $C16,'WBS Summary'!$AJ:$AJ, $H16)</f>
        <v>0</v>
      </c>
      <c r="GA16" s="134">
        <f>SUMIFS('WBS Summary'!IL:IL,'WBS Summary'!$B:$B, $B16, 'WBS Summary'!$AH:$AH, $C16,'WBS Summary'!$AJ:$AJ, $H16)</f>
        <v>0</v>
      </c>
      <c r="GB16" s="134">
        <f>SUMIFS('WBS Summary'!IM:IM,'WBS Summary'!$B:$B, $B16, 'WBS Summary'!$AH:$AH, $C16,'WBS Summary'!$AJ:$AJ, $H16)</f>
        <v>0</v>
      </c>
      <c r="GC16" s="134">
        <f>SUMIFS('WBS Summary'!IN:IN,'WBS Summary'!$B:$B, $B16, 'WBS Summary'!$AH:$AH, $C16,'WBS Summary'!$AJ:$AJ, $H16)</f>
        <v>0</v>
      </c>
      <c r="GD16" s="134">
        <f>SUMIFS('WBS Summary'!IO:IO,'WBS Summary'!$B:$B, $B16, 'WBS Summary'!$AH:$AH, $C16,'WBS Summary'!$AJ:$AJ, $H16)</f>
        <v>0</v>
      </c>
      <c r="GE16" s="134">
        <f>SUMIFS('WBS Summary'!IP:IP,'WBS Summary'!$B:$B, $B16, 'WBS Summary'!$AH:$AH, $C16,'WBS Summary'!$AJ:$AJ, $H16)</f>
        <v>0</v>
      </c>
      <c r="GF16" s="134">
        <f>SUMIFS('WBS Summary'!IQ:IQ,'WBS Summary'!$B:$B, $B16, 'WBS Summary'!$AH:$AH, $C16,'WBS Summary'!$AJ:$AJ, $H16)</f>
        <v>0</v>
      </c>
      <c r="GG16" s="134">
        <f>SUMIFS('WBS Summary'!IR:IR,'WBS Summary'!$B:$B, $B16, 'WBS Summary'!$AH:$AH, $C16,'WBS Summary'!$AJ:$AJ, $H16)</f>
        <v>0</v>
      </c>
      <c r="GH16" s="134">
        <f>SUMIFS('WBS Summary'!IS:IS,'WBS Summary'!$B:$B, $B16, 'WBS Summary'!$AH:$AH, $C16,'WBS Summary'!$AJ:$AJ, $H16)</f>
        <v>0</v>
      </c>
      <c r="GI16" s="134">
        <f>SUMIFS('WBS Summary'!IT:IT,'WBS Summary'!$B:$B, $B16, 'WBS Summary'!$AH:$AH, $C16,'WBS Summary'!$AJ:$AJ, $H16)</f>
        <v>0</v>
      </c>
      <c r="GJ16" s="134">
        <f>SUMIFS('WBS Summary'!IU:IU,'WBS Summary'!$B:$B, $B16, 'WBS Summary'!$AH:$AH, $C16,'WBS Summary'!$AJ:$AJ, $H16)</f>
        <v>0</v>
      </c>
      <c r="GK16" s="134">
        <f>SUMIFS('WBS Summary'!IV:IV,'WBS Summary'!$B:$B, $B16, 'WBS Summary'!$AH:$AH, $C16,'WBS Summary'!$AJ:$AJ, $H16)</f>
        <v>0</v>
      </c>
      <c r="GL16" s="134">
        <f>SUMIFS('WBS Summary'!IW:IW,'WBS Summary'!$B:$B, $B16, 'WBS Summary'!$AH:$AH, $C16,'WBS Summary'!$AJ:$AJ, $H16)</f>
        <v>0</v>
      </c>
      <c r="GM16" s="134">
        <f>SUMIFS('WBS Summary'!IX:IX,'WBS Summary'!$B:$B, $B16, 'WBS Summary'!$AH:$AH, $C16,'WBS Summary'!$AJ:$AJ, $H16)</f>
        <v>0</v>
      </c>
      <c r="GN16" s="134">
        <f>SUMIFS('WBS Summary'!IY:IY,'WBS Summary'!$B:$B, $B16, 'WBS Summary'!$AH:$AH, $C16,'WBS Summary'!$AJ:$AJ, $H16)</f>
        <v>0</v>
      </c>
      <c r="GO16" s="134">
        <f>SUMIFS('WBS Summary'!IZ:IZ,'WBS Summary'!$B:$B, $B16, 'WBS Summary'!$AH:$AH, $C16,'WBS Summary'!$AJ:$AJ, $H16)</f>
        <v>0</v>
      </c>
      <c r="GP16" s="134">
        <f>SUMIFS('WBS Summary'!JA:JA,'WBS Summary'!$B:$B, $B16, 'WBS Summary'!$AH:$AH, $C16,'WBS Summary'!$AJ:$AJ, $H16)</f>
        <v>0</v>
      </c>
      <c r="GQ16" s="134">
        <f>SUMIFS('WBS Summary'!JB:JB,'WBS Summary'!$B:$B, $B16, 'WBS Summary'!$AH:$AH, $C16,'WBS Summary'!$AJ:$AJ, $H16)</f>
        <v>0</v>
      </c>
      <c r="GR16" s="134">
        <f>SUMIFS('WBS Summary'!JC:JC,'WBS Summary'!$B:$B, $B16, 'WBS Summary'!$AH:$AH, $C16,'WBS Summary'!$AJ:$AJ, $H16)</f>
        <v>0</v>
      </c>
      <c r="GS16" s="134">
        <f>SUMIFS('WBS Summary'!JD:JD,'WBS Summary'!$B:$B, $B16, 'WBS Summary'!$AH:$AH, $C16,'WBS Summary'!$AJ:$AJ, $H16)</f>
        <v>0</v>
      </c>
      <c r="GT16" s="134">
        <f>SUMIFS('WBS Summary'!JE:JE,'WBS Summary'!$B:$B, $B16, 'WBS Summary'!$AH:$AH, $C16,'WBS Summary'!$AJ:$AJ, $H16)</f>
        <v>0</v>
      </c>
      <c r="GU16" s="134">
        <f>SUMIFS('WBS Summary'!JF:JF,'WBS Summary'!$B:$B, $B16, 'WBS Summary'!$AH:$AH, $C16,'WBS Summary'!$AJ:$AJ, $H16)</f>
        <v>0</v>
      </c>
      <c r="GV16" s="134">
        <f>SUMIFS('WBS Summary'!JG:JG,'WBS Summary'!$B:$B, $B16, 'WBS Summary'!$AH:$AH, $C16,'WBS Summary'!$AJ:$AJ, $H16)</f>
        <v>0</v>
      </c>
      <c r="GW16" s="134">
        <f>SUMIFS('WBS Summary'!JH:JH,'WBS Summary'!$B:$B, $B16, 'WBS Summary'!$AH:$AH, $C16,'WBS Summary'!$AJ:$AJ, $H16)</f>
        <v>0</v>
      </c>
      <c r="GX16" s="134">
        <f>SUMIFS('WBS Summary'!JI:JI,'WBS Summary'!$B:$B, $B16, 'WBS Summary'!$AH:$AH, $C16,'WBS Summary'!$AJ:$AJ, $H16)</f>
        <v>0</v>
      </c>
      <c r="GY16" s="134">
        <f>SUMIFS('WBS Summary'!JJ:JJ,'WBS Summary'!$B:$B, $B16, 'WBS Summary'!$AH:$AH, $C16,'WBS Summary'!$AJ:$AJ, $H16)</f>
        <v>0</v>
      </c>
      <c r="GZ16" s="134">
        <f>SUMIFS('WBS Summary'!JK:JK,'WBS Summary'!$B:$B, $B16, 'WBS Summary'!$AH:$AH, $C16,'WBS Summary'!$AJ:$AJ, $H16)</f>
        <v>0</v>
      </c>
      <c r="HA16" s="134">
        <f>SUMIFS('WBS Summary'!JL:JL,'WBS Summary'!$B:$B, $B16, 'WBS Summary'!$AH:$AH, $C16,'WBS Summary'!$AJ:$AJ, $H16)</f>
        <v>0</v>
      </c>
      <c r="HB16" s="134">
        <f>SUMIFS('WBS Summary'!JM:JM,'WBS Summary'!$B:$B, $B16, 'WBS Summary'!$AH:$AH, $C16,'WBS Summary'!$AJ:$AJ, $H16)</f>
        <v>0</v>
      </c>
      <c r="HC16"/>
    </row>
    <row r="17" spans="1:211" s="194" customFormat="1" outlineLevel="2">
      <c r="A17" s="220"/>
      <c r="B17" s="284" t="s">
        <v>475</v>
      </c>
      <c r="C17" s="227" t="s">
        <v>70</v>
      </c>
      <c r="D17" s="352"/>
      <c r="E17" s="352"/>
      <c r="F17" s="224">
        <f t="shared" si="6"/>
        <v>0</v>
      </c>
      <c r="G17" s="224">
        <f t="shared" si="7"/>
        <v>0</v>
      </c>
      <c r="H17" s="233" t="s">
        <v>345</v>
      </c>
      <c r="I17"/>
      <c r="J17" s="134">
        <f>SUMIFS('WBS Summary'!BD:BD,'WBS Summary'!$B:$B, $B17, 'WBS Summary'!$AH:$AH, $C17,'WBS Summary'!$AJ:$AJ, $H17)</f>
        <v>0</v>
      </c>
      <c r="K17" s="134">
        <f>SUMIFS('WBS Summary'!BE:BE,'WBS Summary'!$B:$B, $B17, 'WBS Summary'!$AH:$AH, $C17,'WBS Summary'!$AJ:$AJ, $H17)</f>
        <v>0</v>
      </c>
      <c r="L17" s="134">
        <f>SUMIFS('WBS Summary'!BF:BF,'WBS Summary'!$B:$B, $B17, 'WBS Summary'!$AH:$AH, $C17,'WBS Summary'!$AJ:$AJ, $H17)</f>
        <v>0</v>
      </c>
      <c r="M17" s="134">
        <f>SUMIFS('WBS Summary'!BG:BG,'WBS Summary'!$B:$B, $B17, 'WBS Summary'!$AH:$AH, $C17,'WBS Summary'!$AJ:$AJ, $H17)</f>
        <v>0</v>
      </c>
      <c r="N17" s="134">
        <f>SUMIFS('WBS Summary'!BH:BH,'WBS Summary'!$B:$B, $B17, 'WBS Summary'!$AH:$AH, $C17,'WBS Summary'!$AJ:$AJ, $H17)</f>
        <v>0</v>
      </c>
      <c r="O17" s="134">
        <f>SUMIFS('WBS Summary'!BI:BI,'WBS Summary'!$B:$B, $B17, 'WBS Summary'!$AH:$AH, $C17,'WBS Summary'!$AJ:$AJ, $H17)</f>
        <v>0</v>
      </c>
      <c r="P17" s="134">
        <f>SUMIFS('WBS Summary'!BJ:BJ,'WBS Summary'!$B:$B, $B17, 'WBS Summary'!$AH:$AH, $C17,'WBS Summary'!$AJ:$AJ, $H17)</f>
        <v>0</v>
      </c>
      <c r="Q17" s="134">
        <f>SUMIFS('WBS Summary'!BK:BK,'WBS Summary'!$B:$B, $B17, 'WBS Summary'!$AH:$AH, $C17,'WBS Summary'!$AJ:$AJ, $H17)</f>
        <v>0</v>
      </c>
      <c r="R17" s="134">
        <f>SUMIFS('WBS Summary'!BL:BL,'WBS Summary'!$B:$B, $B17, 'WBS Summary'!$AH:$AH, $C17,'WBS Summary'!$AJ:$AJ, $H17)</f>
        <v>0</v>
      </c>
      <c r="S17" s="134">
        <f>SUMIFS('WBS Summary'!BM:BM,'WBS Summary'!$B:$B, $B17, 'WBS Summary'!$AH:$AH, $C17,'WBS Summary'!$AJ:$AJ, $H17)</f>
        <v>0</v>
      </c>
      <c r="T17" s="134">
        <f>SUMIFS('WBS Summary'!BN:BN,'WBS Summary'!$B:$B, $B17, 'WBS Summary'!$AH:$AH, $C17,'WBS Summary'!$AJ:$AJ, $H17)</f>
        <v>0</v>
      </c>
      <c r="U17" s="134">
        <f>SUMIFS('WBS Summary'!BO:BO,'WBS Summary'!$B:$B, $B17, 'WBS Summary'!$AH:$AH, $C17,'WBS Summary'!$AJ:$AJ, $H17)</f>
        <v>0</v>
      </c>
      <c r="V17" s="134">
        <f>SUMIFS('WBS Summary'!BP:BP,'WBS Summary'!$B:$B, $B17, 'WBS Summary'!$AH:$AH, $C17,'WBS Summary'!$AJ:$AJ, $H17)</f>
        <v>0</v>
      </c>
      <c r="W17" s="134">
        <f>SUMIFS('WBS Summary'!BQ:BQ,'WBS Summary'!$B:$B, $B17, 'WBS Summary'!$AH:$AH, $C17,'WBS Summary'!$AJ:$AJ, $H17)</f>
        <v>0</v>
      </c>
      <c r="X17" s="134">
        <f>SUMIFS('WBS Summary'!BR:BR,'WBS Summary'!$B:$B, $B17, 'WBS Summary'!$AH:$AH, $C17,'WBS Summary'!$AJ:$AJ, $H17)</f>
        <v>0</v>
      </c>
      <c r="Y17" s="134">
        <f>SUMIFS('WBS Summary'!BS:BS,'WBS Summary'!$B:$B, $B17, 'WBS Summary'!$AH:$AH, $C17,'WBS Summary'!$AJ:$AJ, $H17)</f>
        <v>0</v>
      </c>
      <c r="Z17" s="134">
        <f>SUMIFS('WBS Summary'!BT:BT,'WBS Summary'!$B:$B, $B17, 'WBS Summary'!$AH:$AH, $C17,'WBS Summary'!$AJ:$AJ, $H17)</f>
        <v>0</v>
      </c>
      <c r="AA17" s="134">
        <f>SUMIFS('WBS Summary'!BU:BU,'WBS Summary'!$B:$B, $B17, 'WBS Summary'!$AH:$AH, $C17,'WBS Summary'!$AJ:$AJ, $H17)</f>
        <v>0</v>
      </c>
      <c r="AB17" s="134">
        <f>SUMIFS('WBS Summary'!BV:BV,'WBS Summary'!$B:$B, $B17, 'WBS Summary'!$AH:$AH, $C17,'WBS Summary'!$AJ:$AJ, $H17)</f>
        <v>0</v>
      </c>
      <c r="AC17" s="134">
        <f>SUMIFS('WBS Summary'!BW:BW,'WBS Summary'!$B:$B, $B17, 'WBS Summary'!$AH:$AH, $C17,'WBS Summary'!$AJ:$AJ, $H17)</f>
        <v>0</v>
      </c>
      <c r="AD17" s="134">
        <f>SUMIFS('WBS Summary'!BX:BX,'WBS Summary'!$B:$B, $B17, 'WBS Summary'!$AH:$AH, $C17,'WBS Summary'!$AJ:$AJ, $H17)</f>
        <v>0</v>
      </c>
      <c r="AE17" s="134">
        <f>SUMIFS('WBS Summary'!BY:BY,'WBS Summary'!$B:$B, $B17, 'WBS Summary'!$AH:$AH, $C17,'WBS Summary'!$AJ:$AJ, $H17)</f>
        <v>0</v>
      </c>
      <c r="AF17" s="134">
        <f>SUMIFS('WBS Summary'!BZ:BZ,'WBS Summary'!$B:$B, $B17, 'WBS Summary'!$AH:$AH, $C17,'WBS Summary'!$AJ:$AJ, $H17)</f>
        <v>0</v>
      </c>
      <c r="AG17" s="134">
        <f>SUMIFS('WBS Summary'!CA:CA,'WBS Summary'!$B:$B, $B17, 'WBS Summary'!$AH:$AH, $C17,'WBS Summary'!$AJ:$AJ, $H17)</f>
        <v>0</v>
      </c>
      <c r="AH17" s="134">
        <f>SUMIFS('WBS Summary'!CB:CB,'WBS Summary'!$B:$B, $B17, 'WBS Summary'!$AH:$AH, $C17,'WBS Summary'!$AJ:$AJ, $H17)</f>
        <v>0</v>
      </c>
      <c r="AI17" s="134">
        <f>SUMIFS('WBS Summary'!CC:CC,'WBS Summary'!$B:$B, $B17, 'WBS Summary'!$AH:$AH, $C17,'WBS Summary'!$AJ:$AJ, $H17)</f>
        <v>0</v>
      </c>
      <c r="AJ17" s="134">
        <f>SUMIFS('WBS Summary'!CD:CD,'WBS Summary'!$B:$B, $B17, 'WBS Summary'!$AH:$AH, $C17,'WBS Summary'!$AJ:$AJ, $H17)</f>
        <v>0</v>
      </c>
      <c r="AK17" s="134">
        <f>SUMIFS('WBS Summary'!CE:CE,'WBS Summary'!$B:$B, $B17, 'WBS Summary'!$AH:$AH, $C17,'WBS Summary'!$AJ:$AJ, $H17)</f>
        <v>0</v>
      </c>
      <c r="AL17" s="134">
        <f>SUMIFS('WBS Summary'!CF:CF,'WBS Summary'!$B:$B, $B17, 'WBS Summary'!$AH:$AH, $C17,'WBS Summary'!$AJ:$AJ, $H17)</f>
        <v>0</v>
      </c>
      <c r="AM17" s="134">
        <f>SUMIFS('WBS Summary'!CG:CG,'WBS Summary'!$B:$B, $B17, 'WBS Summary'!$AH:$AH, $C17,'WBS Summary'!$AJ:$AJ, $H17)</f>
        <v>0</v>
      </c>
      <c r="AN17" s="134">
        <f>SUMIFS('WBS Summary'!CH:CH,'WBS Summary'!$B:$B, $B17, 'WBS Summary'!$AH:$AH, $C17,'WBS Summary'!$AJ:$AJ, $H17)</f>
        <v>0</v>
      </c>
      <c r="AO17" s="134">
        <f>SUMIFS('WBS Summary'!CI:CI,'WBS Summary'!$B:$B, $B17, 'WBS Summary'!$AH:$AH, $C17,'WBS Summary'!$AJ:$AJ, $H17)</f>
        <v>0</v>
      </c>
      <c r="AP17" s="134">
        <f>SUMIFS('WBS Summary'!CJ:CJ,'WBS Summary'!$B:$B, $B17, 'WBS Summary'!$AH:$AH, $C17,'WBS Summary'!$AJ:$AJ, $H17)</f>
        <v>0</v>
      </c>
      <c r="AQ17" s="134">
        <f>SUMIFS('WBS Summary'!CK:CK,'WBS Summary'!$B:$B, $B17, 'WBS Summary'!$AH:$AH, $C17,'WBS Summary'!$AJ:$AJ, $H17)</f>
        <v>0</v>
      </c>
      <c r="AR17" s="134">
        <f>SUMIFS('WBS Summary'!CL:CL,'WBS Summary'!$B:$B, $B17, 'WBS Summary'!$AH:$AH, $C17,'WBS Summary'!$AJ:$AJ, $H17)</f>
        <v>0</v>
      </c>
      <c r="AS17" s="134">
        <f>SUMIFS('WBS Summary'!CM:CM,'WBS Summary'!$B:$B, $B17, 'WBS Summary'!$AH:$AH, $C17,'WBS Summary'!$AJ:$AJ, $H17)</f>
        <v>0</v>
      </c>
      <c r="AT17" s="134">
        <f>SUMIFS('WBS Summary'!CN:CN,'WBS Summary'!$B:$B, $B17, 'WBS Summary'!$AH:$AH, $C17,'WBS Summary'!$AJ:$AJ, $H17)</f>
        <v>0</v>
      </c>
      <c r="AU17" s="134">
        <f>SUMIFS('WBS Summary'!CO:CO,'WBS Summary'!$B:$B, $B17, 'WBS Summary'!$AH:$AH, $C17,'WBS Summary'!$AJ:$AJ, $H17)</f>
        <v>0</v>
      </c>
      <c r="AV17" s="134">
        <f>SUMIFS('WBS Summary'!CP:CP,'WBS Summary'!$B:$B, $B17, 'WBS Summary'!$AH:$AH, $C17,'WBS Summary'!$AJ:$AJ, $H17)</f>
        <v>0</v>
      </c>
      <c r="AW17" s="134">
        <f>SUMIFS('WBS Summary'!CQ:CQ,'WBS Summary'!$B:$B, $B17, 'WBS Summary'!$AH:$AH, $C17,'WBS Summary'!$AJ:$AJ, $H17)</f>
        <v>0</v>
      </c>
      <c r="AX17" s="134">
        <f>SUMIFS('WBS Summary'!CR:CR,'WBS Summary'!$B:$B, $B17, 'WBS Summary'!$AH:$AH, $C17,'WBS Summary'!$AJ:$AJ, $H17)</f>
        <v>0</v>
      </c>
      <c r="AY17" s="134">
        <f>SUMIFS('WBS Summary'!CS:CS,'WBS Summary'!$B:$B, $B17, 'WBS Summary'!$AH:$AH, $C17,'WBS Summary'!$AJ:$AJ, $H17)</f>
        <v>0</v>
      </c>
      <c r="AZ17" s="134">
        <f>SUMIFS('WBS Summary'!CT:CT,'WBS Summary'!$B:$B, $B17, 'WBS Summary'!$AH:$AH, $C17,'WBS Summary'!$AJ:$AJ, $H17)</f>
        <v>0</v>
      </c>
      <c r="BA17" s="134">
        <f>SUMIFS('WBS Summary'!CU:CU,'WBS Summary'!$B:$B, $B17, 'WBS Summary'!$AH:$AH, $C17,'WBS Summary'!$AJ:$AJ, $H17)</f>
        <v>0</v>
      </c>
      <c r="BB17" s="134">
        <f>SUMIFS('WBS Summary'!CV:CV,'WBS Summary'!$B:$B, $B17, 'WBS Summary'!$AH:$AH, $C17,'WBS Summary'!$AJ:$AJ, $H17)</f>
        <v>0</v>
      </c>
      <c r="BC17" s="134">
        <f>SUMIFS('WBS Summary'!CW:CW,'WBS Summary'!$B:$B, $B17, 'WBS Summary'!$AH:$AH, $C17,'WBS Summary'!$AJ:$AJ, $H17)</f>
        <v>0</v>
      </c>
      <c r="BD17" s="134">
        <f>SUMIFS('WBS Summary'!CX:CX,'WBS Summary'!$B:$B, $B17, 'WBS Summary'!$AH:$AH, $C17,'WBS Summary'!$AJ:$AJ, $H17)</f>
        <v>0</v>
      </c>
      <c r="BE17" s="134">
        <f>SUMIFS('WBS Summary'!CY:CY,'WBS Summary'!$B:$B, $B17, 'WBS Summary'!$AH:$AH, $C17,'WBS Summary'!$AJ:$AJ, $H17)</f>
        <v>0</v>
      </c>
      <c r="BF17" s="134">
        <f>SUMIFS('WBS Summary'!CZ:CZ,'WBS Summary'!$B:$B, $B17, 'WBS Summary'!$AH:$AH, $C17,'WBS Summary'!$AJ:$AJ, $H17)</f>
        <v>0</v>
      </c>
      <c r="BG17" s="134">
        <f>SUMIFS('WBS Summary'!DA:DA,'WBS Summary'!$B:$B, $B17, 'WBS Summary'!$AH:$AH, $C17,'WBS Summary'!$AJ:$AJ, $H17)</f>
        <v>0</v>
      </c>
      <c r="BH17" s="134">
        <f>SUMIFS('WBS Summary'!DB:DB,'WBS Summary'!$B:$B, $B17, 'WBS Summary'!$AH:$AH, $C17,'WBS Summary'!$AJ:$AJ, $H17)</f>
        <v>0</v>
      </c>
      <c r="BI17" s="134">
        <f>SUMIFS('WBS Summary'!DC:DC,'WBS Summary'!$B:$B, $B17, 'WBS Summary'!$AH:$AH, $C17,'WBS Summary'!$AJ:$AJ, $H17)</f>
        <v>0</v>
      </c>
      <c r="BJ17" s="134">
        <f>SUMIFS('WBS Summary'!DD:DD,'WBS Summary'!$B:$B, $B17, 'WBS Summary'!$AH:$AH, $C17,'WBS Summary'!$AJ:$AJ, $H17)</f>
        <v>0</v>
      </c>
      <c r="BK17" s="134">
        <f>SUMIFS('WBS Summary'!DE:DE,'WBS Summary'!$B:$B, $B17, 'WBS Summary'!$AH:$AH, $C17,'WBS Summary'!$AJ:$AJ, $H17)</f>
        <v>0</v>
      </c>
      <c r="BL17" s="134">
        <f>SUMIFS('WBS Summary'!DF:DF,'WBS Summary'!$B:$B, $B17, 'WBS Summary'!$AH:$AH, $C17,'WBS Summary'!$AJ:$AJ, $H17)</f>
        <v>0</v>
      </c>
      <c r="BM17" s="134">
        <f>SUMIFS('WBS Summary'!DG:DG,'WBS Summary'!$B:$B, $B17, 'WBS Summary'!$AH:$AH, $C17,'WBS Summary'!$AJ:$AJ, $H17)</f>
        <v>0</v>
      </c>
      <c r="BN17" s="134">
        <f>SUMIFS('WBS Summary'!DH:DH,'WBS Summary'!$B:$B, $B17, 'WBS Summary'!$AH:$AH, $C17,'WBS Summary'!$AJ:$AJ, $H17)</f>
        <v>0</v>
      </c>
      <c r="BO17" s="134">
        <f>SUMIFS('WBS Summary'!DI:DI,'WBS Summary'!$B:$B, $B17, 'WBS Summary'!$AH:$AH, $C17,'WBS Summary'!$AJ:$AJ, $H17)</f>
        <v>0</v>
      </c>
      <c r="BP17" s="134">
        <f>SUMIFS('WBS Summary'!DJ:DJ,'WBS Summary'!$B:$B, $B17, 'WBS Summary'!$AH:$AH, $C17,'WBS Summary'!$AJ:$AJ, $H17)</f>
        <v>0</v>
      </c>
      <c r="BQ17" s="134">
        <f>SUMIFS('WBS Summary'!DK:DK,'WBS Summary'!$B:$B, $B17, 'WBS Summary'!$AH:$AH, $C17,'WBS Summary'!$AJ:$AJ, $H17)</f>
        <v>0</v>
      </c>
      <c r="BR17" s="134">
        <f>SUMIFS('WBS Summary'!DL:DL,'WBS Summary'!$B:$B, $B17, 'WBS Summary'!$AH:$AH, $C17,'WBS Summary'!$AJ:$AJ, $H17)</f>
        <v>0</v>
      </c>
      <c r="BS17" s="134">
        <f>SUMIFS('WBS Summary'!DM:DM,'WBS Summary'!$B:$B, $B17, 'WBS Summary'!$AH:$AH, $C17,'WBS Summary'!$AJ:$AJ, $H17)</f>
        <v>0</v>
      </c>
      <c r="BT17" s="134">
        <f>SUMIFS('WBS Summary'!DN:DN,'WBS Summary'!$B:$B, $B17, 'WBS Summary'!$AH:$AH, $C17,'WBS Summary'!$AJ:$AJ, $H17)</f>
        <v>0</v>
      </c>
      <c r="BU17" s="134">
        <f>SUMIFS('WBS Summary'!DO:DO,'WBS Summary'!$B:$B, $B17, 'WBS Summary'!$AH:$AH, $C17,'WBS Summary'!$AJ:$AJ, $H17)</f>
        <v>0</v>
      </c>
      <c r="BV17" s="134">
        <f>SUMIFS('WBS Summary'!DP:DP,'WBS Summary'!$B:$B, $B17, 'WBS Summary'!$AH:$AH, $C17,'WBS Summary'!$AJ:$AJ, $H17)</f>
        <v>0</v>
      </c>
      <c r="BW17" s="134">
        <f>SUMIFS('WBS Summary'!DQ:DQ,'WBS Summary'!$B:$B, $B17, 'WBS Summary'!$AH:$AH, $C17,'WBS Summary'!$AJ:$AJ, $H17)</f>
        <v>0</v>
      </c>
      <c r="BX17" s="134">
        <f>SUMIFS('WBS Summary'!DR:DR,'WBS Summary'!$B:$B, $B17, 'WBS Summary'!$AH:$AH, $C17,'WBS Summary'!$AJ:$AJ, $H17)</f>
        <v>0</v>
      </c>
      <c r="BY17" s="134">
        <f>SUMIFS('WBS Summary'!DS:DS,'WBS Summary'!$B:$B, $B17, 'WBS Summary'!$AH:$AH, $C17,'WBS Summary'!$AJ:$AJ, $H17)</f>
        <v>0</v>
      </c>
      <c r="BZ17" s="134">
        <f>SUMIFS('WBS Summary'!DT:DT,'WBS Summary'!$B:$B, $B17, 'WBS Summary'!$AH:$AH, $C17,'WBS Summary'!$AJ:$AJ, $H17)</f>
        <v>0</v>
      </c>
      <c r="CA17" s="134">
        <f>SUMIFS('WBS Summary'!DU:DU,'WBS Summary'!$B:$B, $B17, 'WBS Summary'!$AH:$AH, $C17,'WBS Summary'!$AJ:$AJ, $H17)</f>
        <v>0</v>
      </c>
      <c r="CB17" s="134">
        <f>SUMIFS('WBS Summary'!DV:DV,'WBS Summary'!$B:$B, $B17, 'WBS Summary'!$AH:$AH, $C17,'WBS Summary'!$AJ:$AJ, $H17)</f>
        <v>0</v>
      </c>
      <c r="CC17" s="134">
        <f>SUMIFS('WBS Summary'!DW:DW,'WBS Summary'!$B:$B, $B17, 'WBS Summary'!$AH:$AH, $C17,'WBS Summary'!$AJ:$AJ, $H17)</f>
        <v>0</v>
      </c>
      <c r="CD17" s="134">
        <f>SUMIFS('WBS Summary'!DX:DX,'WBS Summary'!$B:$B, $B17, 'WBS Summary'!$AH:$AH, $C17,'WBS Summary'!$AJ:$AJ, $H17)</f>
        <v>0</v>
      </c>
      <c r="CE17" s="134">
        <f>SUMIFS('WBS Summary'!DY:DY,'WBS Summary'!$B:$B, $B17, 'WBS Summary'!$AH:$AH, $C17,'WBS Summary'!$AJ:$AJ, $H17)</f>
        <v>0</v>
      </c>
      <c r="CF17" s="134">
        <f>SUMIFS('WBS Summary'!DZ:DZ,'WBS Summary'!$B:$B, $B17, 'WBS Summary'!$AH:$AH, $C17,'WBS Summary'!$AJ:$AJ, $H17)</f>
        <v>0</v>
      </c>
      <c r="CG17" s="134">
        <f>SUMIFS('WBS Summary'!EA:EA,'WBS Summary'!$B:$B, $B17, 'WBS Summary'!$AH:$AH, $C17,'WBS Summary'!$AJ:$AJ, $H17)</f>
        <v>0</v>
      </c>
      <c r="CH17" s="134">
        <f>SUMIFS('WBS Summary'!EB:EB,'WBS Summary'!$B:$B, $B17, 'WBS Summary'!$AH:$AH, $C17,'WBS Summary'!$AJ:$AJ, $H17)</f>
        <v>0</v>
      </c>
      <c r="CI17" s="134">
        <f>SUMIFS('WBS Summary'!EC:EC,'WBS Summary'!$B:$B, $B17, 'WBS Summary'!$AH:$AH, $C17,'WBS Summary'!$AJ:$AJ, $H17)</f>
        <v>0</v>
      </c>
      <c r="CJ17" s="134">
        <f>SUMIFS('WBS Summary'!ED:ED,'WBS Summary'!$B:$B, $B17, 'WBS Summary'!$AH:$AH, $C17,'WBS Summary'!$AJ:$AJ, $H17)</f>
        <v>0</v>
      </c>
      <c r="CK17" s="134">
        <f>SUMIFS('WBS Summary'!EE:EE,'WBS Summary'!$B:$B, $B17, 'WBS Summary'!$AH:$AH, $C17,'WBS Summary'!$AJ:$AJ, $H17)</f>
        <v>0</v>
      </c>
      <c r="CL17" s="134">
        <f>SUMIFS('WBS Summary'!EF:EF,'WBS Summary'!$B:$B, $B17, 'WBS Summary'!$AH:$AH, $C17,'WBS Summary'!$AJ:$AJ, $H17)</f>
        <v>0</v>
      </c>
      <c r="CM17" s="134">
        <f>SUMIFS('WBS Summary'!EG:EG,'WBS Summary'!$B:$B, $B17, 'WBS Summary'!$AH:$AH, $C17,'WBS Summary'!$AJ:$AJ, $H17)</f>
        <v>0</v>
      </c>
      <c r="CN17" s="134">
        <f>SUMIFS('WBS Summary'!EH:EH,'WBS Summary'!$B:$B, $B17, 'WBS Summary'!$AH:$AH, $C17,'WBS Summary'!$AJ:$AJ, $H17)</f>
        <v>0</v>
      </c>
      <c r="CO17" s="134">
        <f>SUMIFS('WBS Summary'!EI:EI,'WBS Summary'!$B:$B, $B17, 'WBS Summary'!$AH:$AH, $C17,'WBS Summary'!$AJ:$AJ, $H17)</f>
        <v>0</v>
      </c>
      <c r="CP17" s="134">
        <f>SUMIFS('WBS Summary'!EJ:EJ,'WBS Summary'!$B:$B, $B17, 'WBS Summary'!$AH:$AH, $C17,'WBS Summary'!$AJ:$AJ, $H17)</f>
        <v>0</v>
      </c>
      <c r="CQ17" s="134">
        <f>SUMIFS('WBS Summary'!EK:EK,'WBS Summary'!$B:$B, $B17, 'WBS Summary'!$AH:$AH, $C17,'WBS Summary'!$AJ:$AJ, $H17)</f>
        <v>0</v>
      </c>
      <c r="CR17" s="134">
        <f>SUMIFS('WBS Summary'!EL:EL,'WBS Summary'!$B:$B, $B17, 'WBS Summary'!$AH:$AH, $C17,'WBS Summary'!$AJ:$AJ, $H17)</f>
        <v>0</v>
      </c>
      <c r="CS17" s="134">
        <f>SUMIFS('WBS Summary'!EM:EM,'WBS Summary'!$B:$B, $B17, 'WBS Summary'!$AH:$AH, $C17,'WBS Summary'!$AJ:$AJ, $H17)</f>
        <v>0</v>
      </c>
      <c r="CT17" s="134">
        <f>SUMIFS('WBS Summary'!EN:EN,'WBS Summary'!$B:$B, $B17, 'WBS Summary'!$AH:$AH, $C17,'WBS Summary'!$AJ:$AJ, $H17)</f>
        <v>0</v>
      </c>
      <c r="CU17" s="134">
        <f>SUMIFS('WBS Summary'!EO:EO,'WBS Summary'!$B:$B, $B17, 'WBS Summary'!$AH:$AH, $C17,'WBS Summary'!$AJ:$AJ, $H17)</f>
        <v>0</v>
      </c>
      <c r="CV17" s="134">
        <f>SUMIFS('WBS Summary'!EP:EP,'WBS Summary'!$B:$B, $B17, 'WBS Summary'!$AH:$AH, $C17,'WBS Summary'!$AJ:$AJ, $H17)</f>
        <v>0</v>
      </c>
      <c r="CW17" s="134">
        <f>SUMIFS('WBS Summary'!EQ:EQ,'WBS Summary'!$B:$B, $B17, 'WBS Summary'!$AH:$AH, $C17,'WBS Summary'!$AJ:$AJ, $H17)</f>
        <v>0</v>
      </c>
      <c r="CX17" s="134">
        <f>SUMIFS('WBS Summary'!ER:ER,'WBS Summary'!$B:$B, $B17, 'WBS Summary'!$AH:$AH, $C17,'WBS Summary'!$AJ:$AJ, $H17)</f>
        <v>0</v>
      </c>
      <c r="CY17" s="134">
        <f>SUMIFS('WBS Summary'!ES:ES,'WBS Summary'!$B:$B, $B17, 'WBS Summary'!$AH:$AH, $C17,'WBS Summary'!$AJ:$AJ, $H17)</f>
        <v>0</v>
      </c>
      <c r="CZ17" s="134">
        <f>SUMIFS('WBS Summary'!ET:ET,'WBS Summary'!$B:$B, $B17, 'WBS Summary'!$AH:$AH, $C17,'WBS Summary'!$AJ:$AJ, $H17)</f>
        <v>0</v>
      </c>
      <c r="DA17" s="134">
        <f>SUMIFS('WBS Summary'!EU:EU,'WBS Summary'!$B:$B, $B17, 'WBS Summary'!$AH:$AH, $C17,'WBS Summary'!$AJ:$AJ, $H17)</f>
        <v>0</v>
      </c>
      <c r="DB17" s="134">
        <f>SUMIFS('WBS Summary'!EV:EV,'WBS Summary'!$B:$B, $B17, 'WBS Summary'!$AH:$AH, $C17,'WBS Summary'!$AJ:$AJ, $H17)</f>
        <v>0</v>
      </c>
      <c r="DC17" s="134">
        <f>SUMIFS('WBS Summary'!EW:EW,'WBS Summary'!$B:$B, $B17, 'WBS Summary'!$AH:$AH, $C17,'WBS Summary'!$AJ:$AJ, $H17)</f>
        <v>0</v>
      </c>
      <c r="DD17" s="134">
        <f>SUMIFS('WBS Summary'!EX:EX,'WBS Summary'!$B:$B, $B17, 'WBS Summary'!$AH:$AH, $C17,'WBS Summary'!$AJ:$AJ, $H17)</f>
        <v>0</v>
      </c>
      <c r="DE17" s="134">
        <f>SUMIFS('WBS Summary'!EY:EY,'WBS Summary'!$B:$B, $B17, 'WBS Summary'!$AH:$AH, $C17,'WBS Summary'!$AJ:$AJ, $H17)</f>
        <v>0</v>
      </c>
      <c r="DF17"/>
      <c r="DG17" s="134">
        <f>SUMIFS('WBS Summary'!FR:FR,'WBS Summary'!$B:$B, $B17, 'WBS Summary'!$AH:$AH, $C17,'WBS Summary'!$AJ:$AJ, $H17)</f>
        <v>0</v>
      </c>
      <c r="DH17" s="134">
        <f>SUMIFS('WBS Summary'!FS:FS,'WBS Summary'!$B:$B, $B17, 'WBS Summary'!$AH:$AH, $C17,'WBS Summary'!$AJ:$AJ, $H17)</f>
        <v>0</v>
      </c>
      <c r="DI17" s="134">
        <f>SUMIFS('WBS Summary'!FT:FT,'WBS Summary'!$B:$B, $B17, 'WBS Summary'!$AH:$AH, $C17,'WBS Summary'!$AJ:$AJ, $H17)</f>
        <v>0</v>
      </c>
      <c r="DJ17" s="134">
        <f>SUMIFS('WBS Summary'!FU:FU,'WBS Summary'!$B:$B, $B17, 'WBS Summary'!$AH:$AH, $C17,'WBS Summary'!$AJ:$AJ, $H17)</f>
        <v>0</v>
      </c>
      <c r="DK17" s="134">
        <f>SUMIFS('WBS Summary'!FV:FV,'WBS Summary'!$B:$B, $B17, 'WBS Summary'!$AH:$AH, $C17,'WBS Summary'!$AJ:$AJ, $H17)</f>
        <v>0</v>
      </c>
      <c r="DL17" s="134">
        <f>SUMIFS('WBS Summary'!FW:FW,'WBS Summary'!$B:$B, $B17, 'WBS Summary'!$AH:$AH, $C17,'WBS Summary'!$AJ:$AJ, $H17)</f>
        <v>0</v>
      </c>
      <c r="DM17" s="134">
        <f>SUMIFS('WBS Summary'!FX:FX,'WBS Summary'!$B:$B, $B17, 'WBS Summary'!$AH:$AH, $C17,'WBS Summary'!$AJ:$AJ, $H17)</f>
        <v>0</v>
      </c>
      <c r="DN17" s="134">
        <f>SUMIFS('WBS Summary'!FY:FY,'WBS Summary'!$B:$B, $B17, 'WBS Summary'!$AH:$AH, $C17,'WBS Summary'!$AJ:$AJ, $H17)</f>
        <v>0</v>
      </c>
      <c r="DO17" s="134">
        <f>SUMIFS('WBS Summary'!FZ:FZ,'WBS Summary'!$B:$B, $B17, 'WBS Summary'!$AH:$AH, $C17,'WBS Summary'!$AJ:$AJ, $H17)</f>
        <v>0</v>
      </c>
      <c r="DP17" s="134">
        <f>SUMIFS('WBS Summary'!GA:GA,'WBS Summary'!$B:$B, $B17, 'WBS Summary'!$AH:$AH, $C17,'WBS Summary'!$AJ:$AJ, $H17)</f>
        <v>0</v>
      </c>
      <c r="DQ17" s="134">
        <f>SUMIFS('WBS Summary'!GB:GB,'WBS Summary'!$B:$B, $B17, 'WBS Summary'!$AH:$AH, $C17,'WBS Summary'!$AJ:$AJ, $H17)</f>
        <v>0</v>
      </c>
      <c r="DR17" s="134">
        <f>SUMIFS('WBS Summary'!GC:GC,'WBS Summary'!$B:$B, $B17, 'WBS Summary'!$AH:$AH, $C17,'WBS Summary'!$AJ:$AJ, $H17)</f>
        <v>0</v>
      </c>
      <c r="DS17" s="134">
        <f>SUMIFS('WBS Summary'!GD:GD,'WBS Summary'!$B:$B, $B17, 'WBS Summary'!$AH:$AH, $C17,'WBS Summary'!$AJ:$AJ, $H17)</f>
        <v>0</v>
      </c>
      <c r="DT17" s="134">
        <f>SUMIFS('WBS Summary'!GE:GE,'WBS Summary'!$B:$B, $B17, 'WBS Summary'!$AH:$AH, $C17,'WBS Summary'!$AJ:$AJ, $H17)</f>
        <v>0</v>
      </c>
      <c r="DU17" s="134">
        <f>SUMIFS('WBS Summary'!GF:GF,'WBS Summary'!$B:$B, $B17, 'WBS Summary'!$AH:$AH, $C17,'WBS Summary'!$AJ:$AJ, $H17)</f>
        <v>0</v>
      </c>
      <c r="DV17" s="134">
        <f>SUMIFS('WBS Summary'!GG:GG,'WBS Summary'!$B:$B, $B17, 'WBS Summary'!$AH:$AH, $C17,'WBS Summary'!$AJ:$AJ, $H17)</f>
        <v>0</v>
      </c>
      <c r="DW17" s="134">
        <f>SUMIFS('WBS Summary'!GH:GH,'WBS Summary'!$B:$B, $B17, 'WBS Summary'!$AH:$AH, $C17,'WBS Summary'!$AJ:$AJ, $H17)</f>
        <v>0</v>
      </c>
      <c r="DX17" s="134">
        <f>SUMIFS('WBS Summary'!GI:GI,'WBS Summary'!$B:$B, $B17, 'WBS Summary'!$AH:$AH, $C17,'WBS Summary'!$AJ:$AJ, $H17)</f>
        <v>0</v>
      </c>
      <c r="DY17" s="134">
        <f>SUMIFS('WBS Summary'!GJ:GJ,'WBS Summary'!$B:$B, $B17, 'WBS Summary'!$AH:$AH, $C17,'WBS Summary'!$AJ:$AJ, $H17)</f>
        <v>0</v>
      </c>
      <c r="DZ17" s="134">
        <f>SUMIFS('WBS Summary'!GK:GK,'WBS Summary'!$B:$B, $B17, 'WBS Summary'!$AH:$AH, $C17,'WBS Summary'!$AJ:$AJ, $H17)</f>
        <v>0</v>
      </c>
      <c r="EA17" s="134">
        <f>SUMIFS('WBS Summary'!GL:GL,'WBS Summary'!$B:$B, $B17, 'WBS Summary'!$AH:$AH, $C17,'WBS Summary'!$AJ:$AJ, $H17)</f>
        <v>0</v>
      </c>
      <c r="EB17" s="134">
        <f>SUMIFS('WBS Summary'!GM:GM,'WBS Summary'!$B:$B, $B17, 'WBS Summary'!$AH:$AH, $C17,'WBS Summary'!$AJ:$AJ, $H17)</f>
        <v>0</v>
      </c>
      <c r="EC17" s="134">
        <f>SUMIFS('WBS Summary'!GN:GN,'WBS Summary'!$B:$B, $B17, 'WBS Summary'!$AH:$AH, $C17,'WBS Summary'!$AJ:$AJ, $H17)</f>
        <v>0</v>
      </c>
      <c r="ED17" s="134">
        <f>SUMIFS('WBS Summary'!GO:GO,'WBS Summary'!$B:$B, $B17, 'WBS Summary'!$AH:$AH, $C17,'WBS Summary'!$AJ:$AJ, $H17)</f>
        <v>0</v>
      </c>
      <c r="EE17" s="134">
        <f>SUMIFS('WBS Summary'!GP:GP,'WBS Summary'!$B:$B, $B17, 'WBS Summary'!$AH:$AH, $C17,'WBS Summary'!$AJ:$AJ, $H17)</f>
        <v>0</v>
      </c>
      <c r="EF17" s="134">
        <f>SUMIFS('WBS Summary'!GQ:GQ,'WBS Summary'!$B:$B, $B17, 'WBS Summary'!$AH:$AH, $C17,'WBS Summary'!$AJ:$AJ, $H17)</f>
        <v>0</v>
      </c>
      <c r="EG17" s="134">
        <f>SUMIFS('WBS Summary'!GR:GR,'WBS Summary'!$B:$B, $B17, 'WBS Summary'!$AH:$AH, $C17,'WBS Summary'!$AJ:$AJ, $H17)</f>
        <v>0</v>
      </c>
      <c r="EH17" s="134">
        <f>SUMIFS('WBS Summary'!GS:GS,'WBS Summary'!$B:$B, $B17, 'WBS Summary'!$AH:$AH, $C17,'WBS Summary'!$AJ:$AJ, $H17)</f>
        <v>0</v>
      </c>
      <c r="EI17" s="134">
        <f>SUMIFS('WBS Summary'!GT:GT,'WBS Summary'!$B:$B, $B17, 'WBS Summary'!$AH:$AH, $C17,'WBS Summary'!$AJ:$AJ, $H17)</f>
        <v>0</v>
      </c>
      <c r="EJ17" s="134">
        <f>SUMIFS('WBS Summary'!GU:GU,'WBS Summary'!$B:$B, $B17, 'WBS Summary'!$AH:$AH, $C17,'WBS Summary'!$AJ:$AJ, $H17)</f>
        <v>0</v>
      </c>
      <c r="EK17" s="134">
        <f>SUMIFS('WBS Summary'!GV:GV,'WBS Summary'!$B:$B, $B17, 'WBS Summary'!$AH:$AH, $C17,'WBS Summary'!$AJ:$AJ, $H17)</f>
        <v>0</v>
      </c>
      <c r="EL17" s="134">
        <f>SUMIFS('WBS Summary'!GW:GW,'WBS Summary'!$B:$B, $B17, 'WBS Summary'!$AH:$AH, $C17,'WBS Summary'!$AJ:$AJ, $H17)</f>
        <v>0</v>
      </c>
      <c r="EM17" s="134">
        <f>SUMIFS('WBS Summary'!GX:GX,'WBS Summary'!$B:$B, $B17, 'WBS Summary'!$AH:$AH, $C17,'WBS Summary'!$AJ:$AJ, $H17)</f>
        <v>0</v>
      </c>
      <c r="EN17" s="134">
        <f>SUMIFS('WBS Summary'!GY:GY,'WBS Summary'!$B:$B, $B17, 'WBS Summary'!$AH:$AH, $C17,'WBS Summary'!$AJ:$AJ, $H17)</f>
        <v>0</v>
      </c>
      <c r="EO17" s="134">
        <f>SUMIFS('WBS Summary'!GZ:GZ,'WBS Summary'!$B:$B, $B17, 'WBS Summary'!$AH:$AH, $C17,'WBS Summary'!$AJ:$AJ, $H17)</f>
        <v>0</v>
      </c>
      <c r="EP17" s="134">
        <f>SUMIFS('WBS Summary'!HA:HA,'WBS Summary'!$B:$B, $B17, 'WBS Summary'!$AH:$AH, $C17,'WBS Summary'!$AJ:$AJ, $H17)</f>
        <v>0</v>
      </c>
      <c r="EQ17" s="134">
        <f>SUMIFS('WBS Summary'!HB:HB,'WBS Summary'!$B:$B, $B17, 'WBS Summary'!$AH:$AH, $C17,'WBS Summary'!$AJ:$AJ, $H17)</f>
        <v>0</v>
      </c>
      <c r="ER17" s="134">
        <f>SUMIFS('WBS Summary'!HC:HC,'WBS Summary'!$B:$B, $B17, 'WBS Summary'!$AH:$AH, $C17,'WBS Summary'!$AJ:$AJ, $H17)</f>
        <v>0</v>
      </c>
      <c r="ES17" s="134">
        <f>SUMIFS('WBS Summary'!HD:HD,'WBS Summary'!$B:$B, $B17, 'WBS Summary'!$AH:$AH, $C17,'WBS Summary'!$AJ:$AJ, $H17)</f>
        <v>0</v>
      </c>
      <c r="ET17" s="134">
        <f>SUMIFS('WBS Summary'!HE:HE,'WBS Summary'!$B:$B, $B17, 'WBS Summary'!$AH:$AH, $C17,'WBS Summary'!$AJ:$AJ, $H17)</f>
        <v>0</v>
      </c>
      <c r="EU17" s="134">
        <f>SUMIFS('WBS Summary'!HF:HF,'WBS Summary'!$B:$B, $B17, 'WBS Summary'!$AH:$AH, $C17,'WBS Summary'!$AJ:$AJ, $H17)</f>
        <v>0</v>
      </c>
      <c r="EV17" s="134">
        <f>SUMIFS('WBS Summary'!HG:HG,'WBS Summary'!$B:$B, $B17, 'WBS Summary'!$AH:$AH, $C17,'WBS Summary'!$AJ:$AJ, $H17)</f>
        <v>0</v>
      </c>
      <c r="EW17" s="134">
        <f>SUMIFS('WBS Summary'!HH:HH,'WBS Summary'!$B:$B, $B17, 'WBS Summary'!$AH:$AH, $C17,'WBS Summary'!$AJ:$AJ, $H17)</f>
        <v>0</v>
      </c>
      <c r="EX17" s="134">
        <f>SUMIFS('WBS Summary'!HI:HI,'WBS Summary'!$B:$B, $B17, 'WBS Summary'!$AH:$AH, $C17,'WBS Summary'!$AJ:$AJ, $H17)</f>
        <v>0</v>
      </c>
      <c r="EY17" s="134">
        <f>SUMIFS('WBS Summary'!HJ:HJ,'WBS Summary'!$B:$B, $B17, 'WBS Summary'!$AH:$AH, $C17,'WBS Summary'!$AJ:$AJ, $H17)</f>
        <v>0</v>
      </c>
      <c r="EZ17" s="134">
        <f>SUMIFS('WBS Summary'!HK:HK,'WBS Summary'!$B:$B, $B17, 'WBS Summary'!$AH:$AH, $C17,'WBS Summary'!$AJ:$AJ, $H17)</f>
        <v>0</v>
      </c>
      <c r="FA17" s="134">
        <f>SUMIFS('WBS Summary'!HL:HL,'WBS Summary'!$B:$B, $B17, 'WBS Summary'!$AH:$AH, $C17,'WBS Summary'!$AJ:$AJ, $H17)</f>
        <v>0</v>
      </c>
      <c r="FB17" s="134">
        <f>SUMIFS('WBS Summary'!HM:HM,'WBS Summary'!$B:$B, $B17, 'WBS Summary'!$AH:$AH, $C17,'WBS Summary'!$AJ:$AJ, $H17)</f>
        <v>0</v>
      </c>
      <c r="FC17" s="134">
        <f>SUMIFS('WBS Summary'!HN:HN,'WBS Summary'!$B:$B, $B17, 'WBS Summary'!$AH:$AH, $C17,'WBS Summary'!$AJ:$AJ, $H17)</f>
        <v>0</v>
      </c>
      <c r="FD17" s="134">
        <f>SUMIFS('WBS Summary'!HO:HO,'WBS Summary'!$B:$B, $B17, 'WBS Summary'!$AH:$AH, $C17,'WBS Summary'!$AJ:$AJ, $H17)</f>
        <v>0</v>
      </c>
      <c r="FE17" s="134">
        <f>SUMIFS('WBS Summary'!HP:HP,'WBS Summary'!$B:$B, $B17, 'WBS Summary'!$AH:$AH, $C17,'WBS Summary'!$AJ:$AJ, $H17)</f>
        <v>0</v>
      </c>
      <c r="FF17" s="134">
        <f>SUMIFS('WBS Summary'!HQ:HQ,'WBS Summary'!$B:$B, $B17, 'WBS Summary'!$AH:$AH, $C17,'WBS Summary'!$AJ:$AJ, $H17)</f>
        <v>0</v>
      </c>
      <c r="FG17" s="134">
        <f>SUMIFS('WBS Summary'!HR:HR,'WBS Summary'!$B:$B, $B17, 'WBS Summary'!$AH:$AH, $C17,'WBS Summary'!$AJ:$AJ, $H17)</f>
        <v>0</v>
      </c>
      <c r="FH17" s="134">
        <f>SUMIFS('WBS Summary'!HS:HS,'WBS Summary'!$B:$B, $B17, 'WBS Summary'!$AH:$AH, $C17,'WBS Summary'!$AJ:$AJ, $H17)</f>
        <v>0</v>
      </c>
      <c r="FI17" s="134">
        <f>SUMIFS('WBS Summary'!HT:HT,'WBS Summary'!$B:$B, $B17, 'WBS Summary'!$AH:$AH, $C17,'WBS Summary'!$AJ:$AJ, $H17)</f>
        <v>0</v>
      </c>
      <c r="FJ17" s="134">
        <f>SUMIFS('WBS Summary'!HU:HU,'WBS Summary'!$B:$B, $B17, 'WBS Summary'!$AH:$AH, $C17,'WBS Summary'!$AJ:$AJ, $H17)</f>
        <v>0</v>
      </c>
      <c r="FK17" s="134">
        <f>SUMIFS('WBS Summary'!HV:HV,'WBS Summary'!$B:$B, $B17, 'WBS Summary'!$AH:$AH, $C17,'WBS Summary'!$AJ:$AJ, $H17)</f>
        <v>0</v>
      </c>
      <c r="FL17" s="134">
        <f>SUMIFS('WBS Summary'!HW:HW,'WBS Summary'!$B:$B, $B17, 'WBS Summary'!$AH:$AH, $C17,'WBS Summary'!$AJ:$AJ, $H17)</f>
        <v>0</v>
      </c>
      <c r="FM17" s="134">
        <f>SUMIFS('WBS Summary'!HX:HX,'WBS Summary'!$B:$B, $B17, 'WBS Summary'!$AH:$AH, $C17,'WBS Summary'!$AJ:$AJ, $H17)</f>
        <v>0</v>
      </c>
      <c r="FN17" s="134">
        <f>SUMIFS('WBS Summary'!HY:HY,'WBS Summary'!$B:$B, $B17, 'WBS Summary'!$AH:$AH, $C17,'WBS Summary'!$AJ:$AJ, $H17)</f>
        <v>0</v>
      </c>
      <c r="FO17" s="134">
        <f>SUMIFS('WBS Summary'!HZ:HZ,'WBS Summary'!$B:$B, $B17, 'WBS Summary'!$AH:$AH, $C17,'WBS Summary'!$AJ:$AJ, $H17)</f>
        <v>0</v>
      </c>
      <c r="FP17" s="134">
        <f>SUMIFS('WBS Summary'!IA:IA,'WBS Summary'!$B:$B, $B17, 'WBS Summary'!$AH:$AH, $C17,'WBS Summary'!$AJ:$AJ, $H17)</f>
        <v>0</v>
      </c>
      <c r="FQ17" s="134">
        <f>SUMIFS('WBS Summary'!IB:IB,'WBS Summary'!$B:$B, $B17, 'WBS Summary'!$AH:$AH, $C17,'WBS Summary'!$AJ:$AJ, $H17)</f>
        <v>0</v>
      </c>
      <c r="FR17" s="134">
        <f>SUMIFS('WBS Summary'!IC:IC,'WBS Summary'!$B:$B, $B17, 'WBS Summary'!$AH:$AH, $C17,'WBS Summary'!$AJ:$AJ, $H17)</f>
        <v>0</v>
      </c>
      <c r="FS17" s="134">
        <f>SUMIFS('WBS Summary'!ID:ID,'WBS Summary'!$B:$B, $B17, 'WBS Summary'!$AH:$AH, $C17,'WBS Summary'!$AJ:$AJ, $H17)</f>
        <v>0</v>
      </c>
      <c r="FT17" s="134">
        <f>SUMIFS('WBS Summary'!IE:IE,'WBS Summary'!$B:$B, $B17, 'WBS Summary'!$AH:$AH, $C17,'WBS Summary'!$AJ:$AJ, $H17)</f>
        <v>0</v>
      </c>
      <c r="FU17" s="134">
        <f>SUMIFS('WBS Summary'!IF:IF,'WBS Summary'!$B:$B, $B17, 'WBS Summary'!$AH:$AH, $C17,'WBS Summary'!$AJ:$AJ, $H17)</f>
        <v>0</v>
      </c>
      <c r="FV17" s="134">
        <f>SUMIFS('WBS Summary'!IG:IG,'WBS Summary'!$B:$B, $B17, 'WBS Summary'!$AH:$AH, $C17,'WBS Summary'!$AJ:$AJ, $H17)</f>
        <v>0</v>
      </c>
      <c r="FW17" s="134">
        <f>SUMIFS('WBS Summary'!IH:IH,'WBS Summary'!$B:$B, $B17, 'WBS Summary'!$AH:$AH, $C17,'WBS Summary'!$AJ:$AJ, $H17)</f>
        <v>0</v>
      </c>
      <c r="FX17" s="134">
        <f>SUMIFS('WBS Summary'!II:II,'WBS Summary'!$B:$B, $B17, 'WBS Summary'!$AH:$AH, $C17,'WBS Summary'!$AJ:$AJ, $H17)</f>
        <v>0</v>
      </c>
      <c r="FY17" s="134">
        <f>SUMIFS('WBS Summary'!IJ:IJ,'WBS Summary'!$B:$B, $B17, 'WBS Summary'!$AH:$AH, $C17,'WBS Summary'!$AJ:$AJ, $H17)</f>
        <v>0</v>
      </c>
      <c r="FZ17" s="134">
        <f>SUMIFS('WBS Summary'!IK:IK,'WBS Summary'!$B:$B, $B17, 'WBS Summary'!$AH:$AH, $C17,'WBS Summary'!$AJ:$AJ, $H17)</f>
        <v>0</v>
      </c>
      <c r="GA17" s="134">
        <f>SUMIFS('WBS Summary'!IL:IL,'WBS Summary'!$B:$B, $B17, 'WBS Summary'!$AH:$AH, $C17,'WBS Summary'!$AJ:$AJ, $H17)</f>
        <v>0</v>
      </c>
      <c r="GB17" s="134">
        <f>SUMIFS('WBS Summary'!IM:IM,'WBS Summary'!$B:$B, $B17, 'WBS Summary'!$AH:$AH, $C17,'WBS Summary'!$AJ:$AJ, $H17)</f>
        <v>0</v>
      </c>
      <c r="GC17" s="134">
        <f>SUMIFS('WBS Summary'!IN:IN,'WBS Summary'!$B:$B, $B17, 'WBS Summary'!$AH:$AH, $C17,'WBS Summary'!$AJ:$AJ, $H17)</f>
        <v>0</v>
      </c>
      <c r="GD17" s="134">
        <f>SUMIFS('WBS Summary'!IO:IO,'WBS Summary'!$B:$B, $B17, 'WBS Summary'!$AH:$AH, $C17,'WBS Summary'!$AJ:$AJ, $H17)</f>
        <v>0</v>
      </c>
      <c r="GE17" s="134">
        <f>SUMIFS('WBS Summary'!IP:IP,'WBS Summary'!$B:$B, $B17, 'WBS Summary'!$AH:$AH, $C17,'WBS Summary'!$AJ:$AJ, $H17)</f>
        <v>0</v>
      </c>
      <c r="GF17" s="134">
        <f>SUMIFS('WBS Summary'!IQ:IQ,'WBS Summary'!$B:$B, $B17, 'WBS Summary'!$AH:$AH, $C17,'WBS Summary'!$AJ:$AJ, $H17)</f>
        <v>0</v>
      </c>
      <c r="GG17" s="134">
        <f>SUMIFS('WBS Summary'!IR:IR,'WBS Summary'!$B:$B, $B17, 'WBS Summary'!$AH:$AH, $C17,'WBS Summary'!$AJ:$AJ, $H17)</f>
        <v>0</v>
      </c>
      <c r="GH17" s="134">
        <f>SUMIFS('WBS Summary'!IS:IS,'WBS Summary'!$B:$B, $B17, 'WBS Summary'!$AH:$AH, $C17,'WBS Summary'!$AJ:$AJ, $H17)</f>
        <v>0</v>
      </c>
      <c r="GI17" s="134">
        <f>SUMIFS('WBS Summary'!IT:IT,'WBS Summary'!$B:$B, $B17, 'WBS Summary'!$AH:$AH, $C17,'WBS Summary'!$AJ:$AJ, $H17)</f>
        <v>0</v>
      </c>
      <c r="GJ17" s="134">
        <f>SUMIFS('WBS Summary'!IU:IU,'WBS Summary'!$B:$B, $B17, 'WBS Summary'!$AH:$AH, $C17,'WBS Summary'!$AJ:$AJ, $H17)</f>
        <v>0</v>
      </c>
      <c r="GK17" s="134">
        <f>SUMIFS('WBS Summary'!IV:IV,'WBS Summary'!$B:$B, $B17, 'WBS Summary'!$AH:$AH, $C17,'WBS Summary'!$AJ:$AJ, $H17)</f>
        <v>0</v>
      </c>
      <c r="GL17" s="134">
        <f>SUMIFS('WBS Summary'!IW:IW,'WBS Summary'!$B:$B, $B17, 'WBS Summary'!$AH:$AH, $C17,'WBS Summary'!$AJ:$AJ, $H17)</f>
        <v>0</v>
      </c>
      <c r="GM17" s="134">
        <f>SUMIFS('WBS Summary'!IX:IX,'WBS Summary'!$B:$B, $B17, 'WBS Summary'!$AH:$AH, $C17,'WBS Summary'!$AJ:$AJ, $H17)</f>
        <v>0</v>
      </c>
      <c r="GN17" s="134">
        <f>SUMIFS('WBS Summary'!IY:IY,'WBS Summary'!$B:$B, $B17, 'WBS Summary'!$AH:$AH, $C17,'WBS Summary'!$AJ:$AJ, $H17)</f>
        <v>0</v>
      </c>
      <c r="GO17" s="134">
        <f>SUMIFS('WBS Summary'!IZ:IZ,'WBS Summary'!$B:$B, $B17, 'WBS Summary'!$AH:$AH, $C17,'WBS Summary'!$AJ:$AJ, $H17)</f>
        <v>0</v>
      </c>
      <c r="GP17" s="134">
        <f>SUMIFS('WBS Summary'!JA:JA,'WBS Summary'!$B:$B, $B17, 'WBS Summary'!$AH:$AH, $C17,'WBS Summary'!$AJ:$AJ, $H17)</f>
        <v>0</v>
      </c>
      <c r="GQ17" s="134">
        <f>SUMIFS('WBS Summary'!JB:JB,'WBS Summary'!$B:$B, $B17, 'WBS Summary'!$AH:$AH, $C17,'WBS Summary'!$AJ:$AJ, $H17)</f>
        <v>0</v>
      </c>
      <c r="GR17" s="134">
        <f>SUMIFS('WBS Summary'!JC:JC,'WBS Summary'!$B:$B, $B17, 'WBS Summary'!$AH:$AH, $C17,'WBS Summary'!$AJ:$AJ, $H17)</f>
        <v>0</v>
      </c>
      <c r="GS17" s="134">
        <f>SUMIFS('WBS Summary'!JD:JD,'WBS Summary'!$B:$B, $B17, 'WBS Summary'!$AH:$AH, $C17,'WBS Summary'!$AJ:$AJ, $H17)</f>
        <v>0</v>
      </c>
      <c r="GT17" s="134">
        <f>SUMIFS('WBS Summary'!JE:JE,'WBS Summary'!$B:$B, $B17, 'WBS Summary'!$AH:$AH, $C17,'WBS Summary'!$AJ:$AJ, $H17)</f>
        <v>0</v>
      </c>
      <c r="GU17" s="134">
        <f>SUMIFS('WBS Summary'!JF:JF,'WBS Summary'!$B:$B, $B17, 'WBS Summary'!$AH:$AH, $C17,'WBS Summary'!$AJ:$AJ, $H17)</f>
        <v>0</v>
      </c>
      <c r="GV17" s="134">
        <f>SUMIFS('WBS Summary'!JG:JG,'WBS Summary'!$B:$B, $B17, 'WBS Summary'!$AH:$AH, $C17,'WBS Summary'!$AJ:$AJ, $H17)</f>
        <v>0</v>
      </c>
      <c r="GW17" s="134">
        <f>SUMIFS('WBS Summary'!JH:JH,'WBS Summary'!$B:$B, $B17, 'WBS Summary'!$AH:$AH, $C17,'WBS Summary'!$AJ:$AJ, $H17)</f>
        <v>0</v>
      </c>
      <c r="GX17" s="134">
        <f>SUMIFS('WBS Summary'!JI:JI,'WBS Summary'!$B:$B, $B17, 'WBS Summary'!$AH:$AH, $C17,'WBS Summary'!$AJ:$AJ, $H17)</f>
        <v>0</v>
      </c>
      <c r="GY17" s="134">
        <f>SUMIFS('WBS Summary'!JJ:JJ,'WBS Summary'!$B:$B, $B17, 'WBS Summary'!$AH:$AH, $C17,'WBS Summary'!$AJ:$AJ, $H17)</f>
        <v>0</v>
      </c>
      <c r="GZ17" s="134">
        <f>SUMIFS('WBS Summary'!JK:JK,'WBS Summary'!$B:$B, $B17, 'WBS Summary'!$AH:$AH, $C17,'WBS Summary'!$AJ:$AJ, $H17)</f>
        <v>0</v>
      </c>
      <c r="HA17" s="134">
        <f>SUMIFS('WBS Summary'!JL:JL,'WBS Summary'!$B:$B, $B17, 'WBS Summary'!$AH:$AH, $C17,'WBS Summary'!$AJ:$AJ, $H17)</f>
        <v>0</v>
      </c>
      <c r="HB17" s="134">
        <f>SUMIFS('WBS Summary'!JM:JM,'WBS Summary'!$B:$B, $B17, 'WBS Summary'!$AH:$AH, $C17,'WBS Summary'!$AJ:$AJ, $H17)</f>
        <v>0</v>
      </c>
      <c r="HC17"/>
    </row>
    <row r="18" spans="1:211" s="194" customFormat="1" outlineLevel="2">
      <c r="A18" s="220"/>
      <c r="B18" s="284" t="s">
        <v>475</v>
      </c>
      <c r="C18" s="227" t="s">
        <v>73</v>
      </c>
      <c r="D18" s="352"/>
      <c r="E18" s="352"/>
      <c r="F18" s="224">
        <f t="shared" si="6"/>
        <v>0</v>
      </c>
      <c r="G18" s="224">
        <f t="shared" si="7"/>
        <v>0</v>
      </c>
      <c r="H18" s="233" t="s">
        <v>345</v>
      </c>
      <c r="I18"/>
      <c r="J18" s="134">
        <f>SUMIFS('WBS Summary'!BD:BD,'WBS Summary'!$B:$B, $B18, 'WBS Summary'!$AH:$AH, $C18,'WBS Summary'!$AJ:$AJ, $H18)</f>
        <v>0</v>
      </c>
      <c r="K18" s="134">
        <f>SUMIFS('WBS Summary'!BE:BE,'WBS Summary'!$B:$B, $B18, 'WBS Summary'!$AH:$AH, $C18,'WBS Summary'!$AJ:$AJ, $H18)</f>
        <v>0</v>
      </c>
      <c r="L18" s="134">
        <f>SUMIFS('WBS Summary'!BF:BF,'WBS Summary'!$B:$B, $B18, 'WBS Summary'!$AH:$AH, $C18,'WBS Summary'!$AJ:$AJ, $H18)</f>
        <v>0</v>
      </c>
      <c r="M18" s="134">
        <f>SUMIFS('WBS Summary'!BG:BG,'WBS Summary'!$B:$B, $B18, 'WBS Summary'!$AH:$AH, $C18,'WBS Summary'!$AJ:$AJ, $H18)</f>
        <v>0</v>
      </c>
      <c r="N18" s="134">
        <f>SUMIFS('WBS Summary'!BH:BH,'WBS Summary'!$B:$B, $B18, 'WBS Summary'!$AH:$AH, $C18,'WBS Summary'!$AJ:$AJ, $H18)</f>
        <v>0</v>
      </c>
      <c r="O18" s="134">
        <f>SUMIFS('WBS Summary'!BI:BI,'WBS Summary'!$B:$B, $B18, 'WBS Summary'!$AH:$AH, $C18,'WBS Summary'!$AJ:$AJ, $H18)</f>
        <v>0</v>
      </c>
      <c r="P18" s="134">
        <f>SUMIFS('WBS Summary'!BJ:BJ,'WBS Summary'!$B:$B, $B18, 'WBS Summary'!$AH:$AH, $C18,'WBS Summary'!$AJ:$AJ, $H18)</f>
        <v>0</v>
      </c>
      <c r="Q18" s="134">
        <f>SUMIFS('WBS Summary'!BK:BK,'WBS Summary'!$B:$B, $B18, 'WBS Summary'!$AH:$AH, $C18,'WBS Summary'!$AJ:$AJ, $H18)</f>
        <v>0</v>
      </c>
      <c r="R18" s="134">
        <f>SUMIFS('WBS Summary'!BL:BL,'WBS Summary'!$B:$B, $B18, 'WBS Summary'!$AH:$AH, $C18,'WBS Summary'!$AJ:$AJ, $H18)</f>
        <v>0</v>
      </c>
      <c r="S18" s="134">
        <f>SUMIFS('WBS Summary'!BM:BM,'WBS Summary'!$B:$B, $B18, 'WBS Summary'!$AH:$AH, $C18,'WBS Summary'!$AJ:$AJ, $H18)</f>
        <v>0</v>
      </c>
      <c r="T18" s="134">
        <f>SUMIFS('WBS Summary'!BN:BN,'WBS Summary'!$B:$B, $B18, 'WBS Summary'!$AH:$AH, $C18,'WBS Summary'!$AJ:$AJ, $H18)</f>
        <v>0</v>
      </c>
      <c r="U18" s="134">
        <f>SUMIFS('WBS Summary'!BO:BO,'WBS Summary'!$B:$B, $B18, 'WBS Summary'!$AH:$AH, $C18,'WBS Summary'!$AJ:$AJ, $H18)</f>
        <v>0</v>
      </c>
      <c r="V18" s="134">
        <f>SUMIFS('WBS Summary'!BP:BP,'WBS Summary'!$B:$B, $B18, 'WBS Summary'!$AH:$AH, $C18,'WBS Summary'!$AJ:$AJ, $H18)</f>
        <v>0</v>
      </c>
      <c r="W18" s="134">
        <f>SUMIFS('WBS Summary'!BQ:BQ,'WBS Summary'!$B:$B, $B18, 'WBS Summary'!$AH:$AH, $C18,'WBS Summary'!$AJ:$AJ, $H18)</f>
        <v>0</v>
      </c>
      <c r="X18" s="134">
        <f>SUMIFS('WBS Summary'!BR:BR,'WBS Summary'!$B:$B, $B18, 'WBS Summary'!$AH:$AH, $C18,'WBS Summary'!$AJ:$AJ, $H18)</f>
        <v>0</v>
      </c>
      <c r="Y18" s="134">
        <f>SUMIFS('WBS Summary'!BS:BS,'WBS Summary'!$B:$B, $B18, 'WBS Summary'!$AH:$AH, $C18,'WBS Summary'!$AJ:$AJ, $H18)</f>
        <v>0</v>
      </c>
      <c r="Z18" s="134">
        <f>SUMIFS('WBS Summary'!BT:BT,'WBS Summary'!$B:$B, $B18, 'WBS Summary'!$AH:$AH, $C18,'WBS Summary'!$AJ:$AJ, $H18)</f>
        <v>0</v>
      </c>
      <c r="AA18" s="134">
        <f>SUMIFS('WBS Summary'!BU:BU,'WBS Summary'!$B:$B, $B18, 'WBS Summary'!$AH:$AH, $C18,'WBS Summary'!$AJ:$AJ, $H18)</f>
        <v>0</v>
      </c>
      <c r="AB18" s="134">
        <f>SUMIFS('WBS Summary'!BV:BV,'WBS Summary'!$B:$B, $B18, 'WBS Summary'!$AH:$AH, $C18,'WBS Summary'!$AJ:$AJ, $H18)</f>
        <v>0</v>
      </c>
      <c r="AC18" s="134">
        <f>SUMIFS('WBS Summary'!BW:BW,'WBS Summary'!$B:$B, $B18, 'WBS Summary'!$AH:$AH, $C18,'WBS Summary'!$AJ:$AJ, $H18)</f>
        <v>0</v>
      </c>
      <c r="AD18" s="134">
        <f>SUMIFS('WBS Summary'!BX:BX,'WBS Summary'!$B:$B, $B18, 'WBS Summary'!$AH:$AH, $C18,'WBS Summary'!$AJ:$AJ, $H18)</f>
        <v>0</v>
      </c>
      <c r="AE18" s="134">
        <f>SUMIFS('WBS Summary'!BY:BY,'WBS Summary'!$B:$B, $B18, 'WBS Summary'!$AH:$AH, $C18,'WBS Summary'!$AJ:$AJ, $H18)</f>
        <v>0</v>
      </c>
      <c r="AF18" s="134">
        <f>SUMIFS('WBS Summary'!BZ:BZ,'WBS Summary'!$B:$B, $B18, 'WBS Summary'!$AH:$AH, $C18,'WBS Summary'!$AJ:$AJ, $H18)</f>
        <v>0</v>
      </c>
      <c r="AG18" s="134">
        <f>SUMIFS('WBS Summary'!CA:CA,'WBS Summary'!$B:$B, $B18, 'WBS Summary'!$AH:$AH, $C18,'WBS Summary'!$AJ:$AJ, $H18)</f>
        <v>0</v>
      </c>
      <c r="AH18" s="134">
        <f>SUMIFS('WBS Summary'!CB:CB,'WBS Summary'!$B:$B, $B18, 'WBS Summary'!$AH:$AH, $C18,'WBS Summary'!$AJ:$AJ, $H18)</f>
        <v>0</v>
      </c>
      <c r="AI18" s="134">
        <f>SUMIFS('WBS Summary'!CC:CC,'WBS Summary'!$B:$B, $B18, 'WBS Summary'!$AH:$AH, $C18,'WBS Summary'!$AJ:$AJ, $H18)</f>
        <v>0</v>
      </c>
      <c r="AJ18" s="134">
        <f>SUMIFS('WBS Summary'!CD:CD,'WBS Summary'!$B:$B, $B18, 'WBS Summary'!$AH:$AH, $C18,'WBS Summary'!$AJ:$AJ, $H18)</f>
        <v>0</v>
      </c>
      <c r="AK18" s="134">
        <f>SUMIFS('WBS Summary'!CE:CE,'WBS Summary'!$B:$B, $B18, 'WBS Summary'!$AH:$AH, $C18,'WBS Summary'!$AJ:$AJ, $H18)</f>
        <v>0</v>
      </c>
      <c r="AL18" s="134">
        <f>SUMIFS('WBS Summary'!CF:CF,'WBS Summary'!$B:$B, $B18, 'WBS Summary'!$AH:$AH, $C18,'WBS Summary'!$AJ:$AJ, $H18)</f>
        <v>0</v>
      </c>
      <c r="AM18" s="134">
        <f>SUMIFS('WBS Summary'!CG:CG,'WBS Summary'!$B:$B, $B18, 'WBS Summary'!$AH:$AH, $C18,'WBS Summary'!$AJ:$AJ, $H18)</f>
        <v>0</v>
      </c>
      <c r="AN18" s="134">
        <f>SUMIFS('WBS Summary'!CH:CH,'WBS Summary'!$B:$B, $B18, 'WBS Summary'!$AH:$AH, $C18,'WBS Summary'!$AJ:$AJ, $H18)</f>
        <v>0</v>
      </c>
      <c r="AO18" s="134">
        <f>SUMIFS('WBS Summary'!CI:CI,'WBS Summary'!$B:$B, $B18, 'WBS Summary'!$AH:$AH, $C18,'WBS Summary'!$AJ:$AJ, $H18)</f>
        <v>0</v>
      </c>
      <c r="AP18" s="134">
        <f>SUMIFS('WBS Summary'!CJ:CJ,'WBS Summary'!$B:$B, $B18, 'WBS Summary'!$AH:$AH, $C18,'WBS Summary'!$AJ:$AJ, $H18)</f>
        <v>0</v>
      </c>
      <c r="AQ18" s="134">
        <f>SUMIFS('WBS Summary'!CK:CK,'WBS Summary'!$B:$B, $B18, 'WBS Summary'!$AH:$AH, $C18,'WBS Summary'!$AJ:$AJ, $H18)</f>
        <v>0</v>
      </c>
      <c r="AR18" s="134">
        <f>SUMIFS('WBS Summary'!CL:CL,'WBS Summary'!$B:$B, $B18, 'WBS Summary'!$AH:$AH, $C18,'WBS Summary'!$AJ:$AJ, $H18)</f>
        <v>0</v>
      </c>
      <c r="AS18" s="134">
        <f>SUMIFS('WBS Summary'!CM:CM,'WBS Summary'!$B:$B, $B18, 'WBS Summary'!$AH:$AH, $C18,'WBS Summary'!$AJ:$AJ, $H18)</f>
        <v>0</v>
      </c>
      <c r="AT18" s="134">
        <f>SUMIFS('WBS Summary'!CN:CN,'WBS Summary'!$B:$B, $B18, 'WBS Summary'!$AH:$AH, $C18,'WBS Summary'!$AJ:$AJ, $H18)</f>
        <v>0</v>
      </c>
      <c r="AU18" s="134">
        <f>SUMIFS('WBS Summary'!CO:CO,'WBS Summary'!$B:$B, $B18, 'WBS Summary'!$AH:$AH, $C18,'WBS Summary'!$AJ:$AJ, $H18)</f>
        <v>0</v>
      </c>
      <c r="AV18" s="134">
        <f>SUMIFS('WBS Summary'!CP:CP,'WBS Summary'!$B:$B, $B18, 'WBS Summary'!$AH:$AH, $C18,'WBS Summary'!$AJ:$AJ, $H18)</f>
        <v>0</v>
      </c>
      <c r="AW18" s="134">
        <f>SUMIFS('WBS Summary'!CQ:CQ,'WBS Summary'!$B:$B, $B18, 'WBS Summary'!$AH:$AH, $C18,'WBS Summary'!$AJ:$AJ, $H18)</f>
        <v>0</v>
      </c>
      <c r="AX18" s="134">
        <f>SUMIFS('WBS Summary'!CR:CR,'WBS Summary'!$B:$B, $B18, 'WBS Summary'!$AH:$AH, $C18,'WBS Summary'!$AJ:$AJ, $H18)</f>
        <v>0</v>
      </c>
      <c r="AY18" s="134">
        <f>SUMIFS('WBS Summary'!CS:CS,'WBS Summary'!$B:$B, $B18, 'WBS Summary'!$AH:$AH, $C18,'WBS Summary'!$AJ:$AJ, $H18)</f>
        <v>0</v>
      </c>
      <c r="AZ18" s="134">
        <f>SUMIFS('WBS Summary'!CT:CT,'WBS Summary'!$B:$B, $B18, 'WBS Summary'!$AH:$AH, $C18,'WBS Summary'!$AJ:$AJ, $H18)</f>
        <v>0</v>
      </c>
      <c r="BA18" s="134">
        <f>SUMIFS('WBS Summary'!CU:CU,'WBS Summary'!$B:$B, $B18, 'WBS Summary'!$AH:$AH, $C18,'WBS Summary'!$AJ:$AJ, $H18)</f>
        <v>0</v>
      </c>
      <c r="BB18" s="134">
        <f>SUMIFS('WBS Summary'!CV:CV,'WBS Summary'!$B:$B, $B18, 'WBS Summary'!$AH:$AH, $C18,'WBS Summary'!$AJ:$AJ, $H18)</f>
        <v>0</v>
      </c>
      <c r="BC18" s="134">
        <f>SUMIFS('WBS Summary'!CW:CW,'WBS Summary'!$B:$B, $B18, 'WBS Summary'!$AH:$AH, $C18,'WBS Summary'!$AJ:$AJ, $H18)</f>
        <v>0</v>
      </c>
      <c r="BD18" s="134">
        <f>SUMIFS('WBS Summary'!CX:CX,'WBS Summary'!$B:$B, $B18, 'WBS Summary'!$AH:$AH, $C18,'WBS Summary'!$AJ:$AJ, $H18)</f>
        <v>0</v>
      </c>
      <c r="BE18" s="134">
        <f>SUMIFS('WBS Summary'!CY:CY,'WBS Summary'!$B:$B, $B18, 'WBS Summary'!$AH:$AH, $C18,'WBS Summary'!$AJ:$AJ, $H18)</f>
        <v>0</v>
      </c>
      <c r="BF18" s="134">
        <f>SUMIFS('WBS Summary'!CZ:CZ,'WBS Summary'!$B:$B, $B18, 'WBS Summary'!$AH:$AH, $C18,'WBS Summary'!$AJ:$AJ, $H18)</f>
        <v>0</v>
      </c>
      <c r="BG18" s="134">
        <f>SUMIFS('WBS Summary'!DA:DA,'WBS Summary'!$B:$B, $B18, 'WBS Summary'!$AH:$AH, $C18,'WBS Summary'!$AJ:$AJ, $H18)</f>
        <v>0</v>
      </c>
      <c r="BH18" s="134">
        <f>SUMIFS('WBS Summary'!DB:DB,'WBS Summary'!$B:$B, $B18, 'WBS Summary'!$AH:$AH, $C18,'WBS Summary'!$AJ:$AJ, $H18)</f>
        <v>0</v>
      </c>
      <c r="BI18" s="134">
        <f>SUMIFS('WBS Summary'!DC:DC,'WBS Summary'!$B:$B, $B18, 'WBS Summary'!$AH:$AH, $C18,'WBS Summary'!$AJ:$AJ, $H18)</f>
        <v>0</v>
      </c>
      <c r="BJ18" s="134">
        <f>SUMIFS('WBS Summary'!DD:DD,'WBS Summary'!$B:$B, $B18, 'WBS Summary'!$AH:$AH, $C18,'WBS Summary'!$AJ:$AJ, $H18)</f>
        <v>0</v>
      </c>
      <c r="BK18" s="134">
        <f>SUMIFS('WBS Summary'!DE:DE,'WBS Summary'!$B:$B, $B18, 'WBS Summary'!$AH:$AH, $C18,'WBS Summary'!$AJ:$AJ, $H18)</f>
        <v>0</v>
      </c>
      <c r="BL18" s="134">
        <f>SUMIFS('WBS Summary'!DF:DF,'WBS Summary'!$B:$B, $B18, 'WBS Summary'!$AH:$AH, $C18,'WBS Summary'!$AJ:$AJ, $H18)</f>
        <v>0</v>
      </c>
      <c r="BM18" s="134">
        <f>SUMIFS('WBS Summary'!DG:DG,'WBS Summary'!$B:$B, $B18, 'WBS Summary'!$AH:$AH, $C18,'WBS Summary'!$AJ:$AJ, $H18)</f>
        <v>0</v>
      </c>
      <c r="BN18" s="134">
        <f>SUMIFS('WBS Summary'!DH:DH,'WBS Summary'!$B:$B, $B18, 'WBS Summary'!$AH:$AH, $C18,'WBS Summary'!$AJ:$AJ, $H18)</f>
        <v>0</v>
      </c>
      <c r="BO18" s="134">
        <f>SUMIFS('WBS Summary'!DI:DI,'WBS Summary'!$B:$B, $B18, 'WBS Summary'!$AH:$AH, $C18,'WBS Summary'!$AJ:$AJ, $H18)</f>
        <v>0</v>
      </c>
      <c r="BP18" s="134">
        <f>SUMIFS('WBS Summary'!DJ:DJ,'WBS Summary'!$B:$B, $B18, 'WBS Summary'!$AH:$AH, $C18,'WBS Summary'!$AJ:$AJ, $H18)</f>
        <v>0</v>
      </c>
      <c r="BQ18" s="134">
        <f>SUMIFS('WBS Summary'!DK:DK,'WBS Summary'!$B:$B, $B18, 'WBS Summary'!$AH:$AH, $C18,'WBS Summary'!$AJ:$AJ, $H18)</f>
        <v>0</v>
      </c>
      <c r="BR18" s="134">
        <f>SUMIFS('WBS Summary'!DL:DL,'WBS Summary'!$B:$B, $B18, 'WBS Summary'!$AH:$AH, $C18,'WBS Summary'!$AJ:$AJ, $H18)</f>
        <v>0</v>
      </c>
      <c r="BS18" s="134">
        <f>SUMIFS('WBS Summary'!DM:DM,'WBS Summary'!$B:$B, $B18, 'WBS Summary'!$AH:$AH, $C18,'WBS Summary'!$AJ:$AJ, $H18)</f>
        <v>0</v>
      </c>
      <c r="BT18" s="134">
        <f>SUMIFS('WBS Summary'!DN:DN,'WBS Summary'!$B:$B, $B18, 'WBS Summary'!$AH:$AH, $C18,'WBS Summary'!$AJ:$AJ, $H18)</f>
        <v>0</v>
      </c>
      <c r="BU18" s="134">
        <f>SUMIFS('WBS Summary'!DO:DO,'WBS Summary'!$B:$B, $B18, 'WBS Summary'!$AH:$AH, $C18,'WBS Summary'!$AJ:$AJ, $H18)</f>
        <v>0</v>
      </c>
      <c r="BV18" s="134">
        <f>SUMIFS('WBS Summary'!DP:DP,'WBS Summary'!$B:$B, $B18, 'WBS Summary'!$AH:$AH, $C18,'WBS Summary'!$AJ:$AJ, $H18)</f>
        <v>0</v>
      </c>
      <c r="BW18" s="134">
        <f>SUMIFS('WBS Summary'!DQ:DQ,'WBS Summary'!$B:$B, $B18, 'WBS Summary'!$AH:$AH, $C18,'WBS Summary'!$AJ:$AJ, $H18)</f>
        <v>0</v>
      </c>
      <c r="BX18" s="134">
        <f>SUMIFS('WBS Summary'!DR:DR,'WBS Summary'!$B:$B, $B18, 'WBS Summary'!$AH:$AH, $C18,'WBS Summary'!$AJ:$AJ, $H18)</f>
        <v>0</v>
      </c>
      <c r="BY18" s="134">
        <f>SUMIFS('WBS Summary'!DS:DS,'WBS Summary'!$B:$B, $B18, 'WBS Summary'!$AH:$AH, $C18,'WBS Summary'!$AJ:$AJ, $H18)</f>
        <v>0</v>
      </c>
      <c r="BZ18" s="134">
        <f>SUMIFS('WBS Summary'!DT:DT,'WBS Summary'!$B:$B, $B18, 'WBS Summary'!$AH:$AH, $C18,'WBS Summary'!$AJ:$AJ, $H18)</f>
        <v>0</v>
      </c>
      <c r="CA18" s="134">
        <f>SUMIFS('WBS Summary'!DU:DU,'WBS Summary'!$B:$B, $B18, 'WBS Summary'!$AH:$AH, $C18,'WBS Summary'!$AJ:$AJ, $H18)</f>
        <v>0</v>
      </c>
      <c r="CB18" s="134">
        <f>SUMIFS('WBS Summary'!DV:DV,'WBS Summary'!$B:$B, $B18, 'WBS Summary'!$AH:$AH, $C18,'WBS Summary'!$AJ:$AJ, $H18)</f>
        <v>0</v>
      </c>
      <c r="CC18" s="134">
        <f>SUMIFS('WBS Summary'!DW:DW,'WBS Summary'!$B:$B, $B18, 'WBS Summary'!$AH:$AH, $C18,'WBS Summary'!$AJ:$AJ, $H18)</f>
        <v>0</v>
      </c>
      <c r="CD18" s="134">
        <f>SUMIFS('WBS Summary'!DX:DX,'WBS Summary'!$B:$B, $B18, 'WBS Summary'!$AH:$AH, $C18,'WBS Summary'!$AJ:$AJ, $H18)</f>
        <v>0</v>
      </c>
      <c r="CE18" s="134">
        <f>SUMIFS('WBS Summary'!DY:DY,'WBS Summary'!$B:$B, $B18, 'WBS Summary'!$AH:$AH, $C18,'WBS Summary'!$AJ:$AJ, $H18)</f>
        <v>0</v>
      </c>
      <c r="CF18" s="134">
        <f>SUMIFS('WBS Summary'!DZ:DZ,'WBS Summary'!$B:$B, $B18, 'WBS Summary'!$AH:$AH, $C18,'WBS Summary'!$AJ:$AJ, $H18)</f>
        <v>0</v>
      </c>
      <c r="CG18" s="134">
        <f>SUMIFS('WBS Summary'!EA:EA,'WBS Summary'!$B:$B, $B18, 'WBS Summary'!$AH:$AH, $C18,'WBS Summary'!$AJ:$AJ, $H18)</f>
        <v>0</v>
      </c>
      <c r="CH18" s="134">
        <f>SUMIFS('WBS Summary'!EB:EB,'WBS Summary'!$B:$B, $B18, 'WBS Summary'!$AH:$AH, $C18,'WBS Summary'!$AJ:$AJ, $H18)</f>
        <v>0</v>
      </c>
      <c r="CI18" s="134">
        <f>SUMIFS('WBS Summary'!EC:EC,'WBS Summary'!$B:$B, $B18, 'WBS Summary'!$AH:$AH, $C18,'WBS Summary'!$AJ:$AJ, $H18)</f>
        <v>0</v>
      </c>
      <c r="CJ18" s="134">
        <f>SUMIFS('WBS Summary'!ED:ED,'WBS Summary'!$B:$B, $B18, 'WBS Summary'!$AH:$AH, $C18,'WBS Summary'!$AJ:$AJ, $H18)</f>
        <v>0</v>
      </c>
      <c r="CK18" s="134">
        <f>SUMIFS('WBS Summary'!EE:EE,'WBS Summary'!$B:$B, $B18, 'WBS Summary'!$AH:$AH, $C18,'WBS Summary'!$AJ:$AJ, $H18)</f>
        <v>0</v>
      </c>
      <c r="CL18" s="134">
        <f>SUMIFS('WBS Summary'!EF:EF,'WBS Summary'!$B:$B, $B18, 'WBS Summary'!$AH:$AH, $C18,'WBS Summary'!$AJ:$AJ, $H18)</f>
        <v>0</v>
      </c>
      <c r="CM18" s="134">
        <f>SUMIFS('WBS Summary'!EG:EG,'WBS Summary'!$B:$B, $B18, 'WBS Summary'!$AH:$AH, $C18,'WBS Summary'!$AJ:$AJ, $H18)</f>
        <v>0</v>
      </c>
      <c r="CN18" s="134">
        <f>SUMIFS('WBS Summary'!EH:EH,'WBS Summary'!$B:$B, $B18, 'WBS Summary'!$AH:$AH, $C18,'WBS Summary'!$AJ:$AJ, $H18)</f>
        <v>0</v>
      </c>
      <c r="CO18" s="134">
        <f>SUMIFS('WBS Summary'!EI:EI,'WBS Summary'!$B:$B, $B18, 'WBS Summary'!$AH:$AH, $C18,'WBS Summary'!$AJ:$AJ, $H18)</f>
        <v>0</v>
      </c>
      <c r="CP18" s="134">
        <f>SUMIFS('WBS Summary'!EJ:EJ,'WBS Summary'!$B:$B, $B18, 'WBS Summary'!$AH:$AH, $C18,'WBS Summary'!$AJ:$AJ, $H18)</f>
        <v>0</v>
      </c>
      <c r="CQ18" s="134">
        <f>SUMIFS('WBS Summary'!EK:EK,'WBS Summary'!$B:$B, $B18, 'WBS Summary'!$AH:$AH, $C18,'WBS Summary'!$AJ:$AJ, $H18)</f>
        <v>0</v>
      </c>
      <c r="CR18" s="134">
        <f>SUMIFS('WBS Summary'!EL:EL,'WBS Summary'!$B:$B, $B18, 'WBS Summary'!$AH:$AH, $C18,'WBS Summary'!$AJ:$AJ, $H18)</f>
        <v>0</v>
      </c>
      <c r="CS18" s="134">
        <f>SUMIFS('WBS Summary'!EM:EM,'WBS Summary'!$B:$B, $B18, 'WBS Summary'!$AH:$AH, $C18,'WBS Summary'!$AJ:$AJ, $H18)</f>
        <v>0</v>
      </c>
      <c r="CT18" s="134">
        <f>SUMIFS('WBS Summary'!EN:EN,'WBS Summary'!$B:$B, $B18, 'WBS Summary'!$AH:$AH, $C18,'WBS Summary'!$AJ:$AJ, $H18)</f>
        <v>0</v>
      </c>
      <c r="CU18" s="134">
        <f>SUMIFS('WBS Summary'!EO:EO,'WBS Summary'!$B:$B, $B18, 'WBS Summary'!$AH:$AH, $C18,'WBS Summary'!$AJ:$AJ, $H18)</f>
        <v>0</v>
      </c>
      <c r="CV18" s="134">
        <f>SUMIFS('WBS Summary'!EP:EP,'WBS Summary'!$B:$B, $B18, 'WBS Summary'!$AH:$AH, $C18,'WBS Summary'!$AJ:$AJ, $H18)</f>
        <v>0</v>
      </c>
      <c r="CW18" s="134">
        <f>SUMIFS('WBS Summary'!EQ:EQ,'WBS Summary'!$B:$B, $B18, 'WBS Summary'!$AH:$AH, $C18,'WBS Summary'!$AJ:$AJ, $H18)</f>
        <v>0</v>
      </c>
      <c r="CX18" s="134">
        <f>SUMIFS('WBS Summary'!ER:ER,'WBS Summary'!$B:$B, $B18, 'WBS Summary'!$AH:$AH, $C18,'WBS Summary'!$AJ:$AJ, $H18)</f>
        <v>0</v>
      </c>
      <c r="CY18" s="134">
        <f>SUMIFS('WBS Summary'!ES:ES,'WBS Summary'!$B:$B, $B18, 'WBS Summary'!$AH:$AH, $C18,'WBS Summary'!$AJ:$AJ, $H18)</f>
        <v>0</v>
      </c>
      <c r="CZ18" s="134">
        <f>SUMIFS('WBS Summary'!ET:ET,'WBS Summary'!$B:$B, $B18, 'WBS Summary'!$AH:$AH, $C18,'WBS Summary'!$AJ:$AJ, $H18)</f>
        <v>0</v>
      </c>
      <c r="DA18" s="134">
        <f>SUMIFS('WBS Summary'!EU:EU,'WBS Summary'!$B:$B, $B18, 'WBS Summary'!$AH:$AH, $C18,'WBS Summary'!$AJ:$AJ, $H18)</f>
        <v>0</v>
      </c>
      <c r="DB18" s="134">
        <f>SUMIFS('WBS Summary'!EV:EV,'WBS Summary'!$B:$B, $B18, 'WBS Summary'!$AH:$AH, $C18,'WBS Summary'!$AJ:$AJ, $H18)</f>
        <v>0</v>
      </c>
      <c r="DC18" s="134">
        <f>SUMIFS('WBS Summary'!EW:EW,'WBS Summary'!$B:$B, $B18, 'WBS Summary'!$AH:$AH, $C18,'WBS Summary'!$AJ:$AJ, $H18)</f>
        <v>0</v>
      </c>
      <c r="DD18" s="134">
        <f>SUMIFS('WBS Summary'!EX:EX,'WBS Summary'!$B:$B, $B18, 'WBS Summary'!$AH:$AH, $C18,'WBS Summary'!$AJ:$AJ, $H18)</f>
        <v>0</v>
      </c>
      <c r="DE18" s="134">
        <f>SUMIFS('WBS Summary'!EY:EY,'WBS Summary'!$B:$B, $B18, 'WBS Summary'!$AH:$AH, $C18,'WBS Summary'!$AJ:$AJ, $H18)</f>
        <v>0</v>
      </c>
      <c r="DF18"/>
      <c r="DG18" s="134">
        <f>SUMIFS('WBS Summary'!FR:FR,'WBS Summary'!$B:$B, $B18, 'WBS Summary'!$AH:$AH, $C18,'WBS Summary'!$AJ:$AJ, $H18)</f>
        <v>0</v>
      </c>
      <c r="DH18" s="134">
        <f>SUMIFS('WBS Summary'!FS:FS,'WBS Summary'!$B:$B, $B18, 'WBS Summary'!$AH:$AH, $C18,'WBS Summary'!$AJ:$AJ, $H18)</f>
        <v>0</v>
      </c>
      <c r="DI18" s="134">
        <f>SUMIFS('WBS Summary'!FT:FT,'WBS Summary'!$B:$B, $B18, 'WBS Summary'!$AH:$AH, $C18,'WBS Summary'!$AJ:$AJ, $H18)</f>
        <v>0</v>
      </c>
      <c r="DJ18" s="134">
        <f>SUMIFS('WBS Summary'!FU:FU,'WBS Summary'!$B:$B, $B18, 'WBS Summary'!$AH:$AH, $C18,'WBS Summary'!$AJ:$AJ, $H18)</f>
        <v>0</v>
      </c>
      <c r="DK18" s="134">
        <f>SUMIFS('WBS Summary'!FV:FV,'WBS Summary'!$B:$B, $B18, 'WBS Summary'!$AH:$AH, $C18,'WBS Summary'!$AJ:$AJ, $H18)</f>
        <v>0</v>
      </c>
      <c r="DL18" s="134">
        <f>SUMIFS('WBS Summary'!FW:FW,'WBS Summary'!$B:$B, $B18, 'WBS Summary'!$AH:$AH, $C18,'WBS Summary'!$AJ:$AJ, $H18)</f>
        <v>0</v>
      </c>
      <c r="DM18" s="134">
        <f>SUMIFS('WBS Summary'!FX:FX,'WBS Summary'!$B:$B, $B18, 'WBS Summary'!$AH:$AH, $C18,'WBS Summary'!$AJ:$AJ, $H18)</f>
        <v>0</v>
      </c>
      <c r="DN18" s="134">
        <f>SUMIFS('WBS Summary'!FY:FY,'WBS Summary'!$B:$B, $B18, 'WBS Summary'!$AH:$AH, $C18,'WBS Summary'!$AJ:$AJ, $H18)</f>
        <v>0</v>
      </c>
      <c r="DO18" s="134">
        <f>SUMIFS('WBS Summary'!FZ:FZ,'WBS Summary'!$B:$B, $B18, 'WBS Summary'!$AH:$AH, $C18,'WBS Summary'!$AJ:$AJ, $H18)</f>
        <v>0</v>
      </c>
      <c r="DP18" s="134">
        <f>SUMIFS('WBS Summary'!GA:GA,'WBS Summary'!$B:$B, $B18, 'WBS Summary'!$AH:$AH, $C18,'WBS Summary'!$AJ:$AJ, $H18)</f>
        <v>0</v>
      </c>
      <c r="DQ18" s="134">
        <f>SUMIFS('WBS Summary'!GB:GB,'WBS Summary'!$B:$B, $B18, 'WBS Summary'!$AH:$AH, $C18,'WBS Summary'!$AJ:$AJ, $H18)</f>
        <v>0</v>
      </c>
      <c r="DR18" s="134">
        <f>SUMIFS('WBS Summary'!GC:GC,'WBS Summary'!$B:$B, $B18, 'WBS Summary'!$AH:$AH, $C18,'WBS Summary'!$AJ:$AJ, $H18)</f>
        <v>0</v>
      </c>
      <c r="DS18" s="134">
        <f>SUMIFS('WBS Summary'!GD:GD,'WBS Summary'!$B:$B, $B18, 'WBS Summary'!$AH:$AH, $C18,'WBS Summary'!$AJ:$AJ, $H18)</f>
        <v>0</v>
      </c>
      <c r="DT18" s="134">
        <f>SUMIFS('WBS Summary'!GE:GE,'WBS Summary'!$B:$B, $B18, 'WBS Summary'!$AH:$AH, $C18,'WBS Summary'!$AJ:$AJ, $H18)</f>
        <v>0</v>
      </c>
      <c r="DU18" s="134">
        <f>SUMIFS('WBS Summary'!GF:GF,'WBS Summary'!$B:$B, $B18, 'WBS Summary'!$AH:$AH, $C18,'WBS Summary'!$AJ:$AJ, $H18)</f>
        <v>0</v>
      </c>
      <c r="DV18" s="134">
        <f>SUMIFS('WBS Summary'!GG:GG,'WBS Summary'!$B:$B, $B18, 'WBS Summary'!$AH:$AH, $C18,'WBS Summary'!$AJ:$AJ, $H18)</f>
        <v>0</v>
      </c>
      <c r="DW18" s="134">
        <f>SUMIFS('WBS Summary'!GH:GH,'WBS Summary'!$B:$B, $B18, 'WBS Summary'!$AH:$AH, $C18,'WBS Summary'!$AJ:$AJ, $H18)</f>
        <v>0</v>
      </c>
      <c r="DX18" s="134">
        <f>SUMIFS('WBS Summary'!GI:GI,'WBS Summary'!$B:$B, $B18, 'WBS Summary'!$AH:$AH, $C18,'WBS Summary'!$AJ:$AJ, $H18)</f>
        <v>0</v>
      </c>
      <c r="DY18" s="134">
        <f>SUMIFS('WBS Summary'!GJ:GJ,'WBS Summary'!$B:$B, $B18, 'WBS Summary'!$AH:$AH, $C18,'WBS Summary'!$AJ:$AJ, $H18)</f>
        <v>0</v>
      </c>
      <c r="DZ18" s="134">
        <f>SUMIFS('WBS Summary'!GK:GK,'WBS Summary'!$B:$B, $B18, 'WBS Summary'!$AH:$AH, $C18,'WBS Summary'!$AJ:$AJ, $H18)</f>
        <v>0</v>
      </c>
      <c r="EA18" s="134">
        <f>SUMIFS('WBS Summary'!GL:GL,'WBS Summary'!$B:$B, $B18, 'WBS Summary'!$AH:$AH, $C18,'WBS Summary'!$AJ:$AJ, $H18)</f>
        <v>0</v>
      </c>
      <c r="EB18" s="134">
        <f>SUMIFS('WBS Summary'!GM:GM,'WBS Summary'!$B:$B, $B18, 'WBS Summary'!$AH:$AH, $C18,'WBS Summary'!$AJ:$AJ, $H18)</f>
        <v>0</v>
      </c>
      <c r="EC18" s="134">
        <f>SUMIFS('WBS Summary'!GN:GN,'WBS Summary'!$B:$B, $B18, 'WBS Summary'!$AH:$AH, $C18,'WBS Summary'!$AJ:$AJ, $H18)</f>
        <v>0</v>
      </c>
      <c r="ED18" s="134">
        <f>SUMIFS('WBS Summary'!GO:GO,'WBS Summary'!$B:$B, $B18, 'WBS Summary'!$AH:$AH, $C18,'WBS Summary'!$AJ:$AJ, $H18)</f>
        <v>0</v>
      </c>
      <c r="EE18" s="134">
        <f>SUMIFS('WBS Summary'!GP:GP,'WBS Summary'!$B:$B, $B18, 'WBS Summary'!$AH:$AH, $C18,'WBS Summary'!$AJ:$AJ, $H18)</f>
        <v>0</v>
      </c>
      <c r="EF18" s="134">
        <f>SUMIFS('WBS Summary'!GQ:GQ,'WBS Summary'!$B:$B, $B18, 'WBS Summary'!$AH:$AH, $C18,'WBS Summary'!$AJ:$AJ, $H18)</f>
        <v>0</v>
      </c>
      <c r="EG18" s="134">
        <f>SUMIFS('WBS Summary'!GR:GR,'WBS Summary'!$B:$B, $B18, 'WBS Summary'!$AH:$AH, $C18,'WBS Summary'!$AJ:$AJ, $H18)</f>
        <v>0</v>
      </c>
      <c r="EH18" s="134">
        <f>SUMIFS('WBS Summary'!GS:GS,'WBS Summary'!$B:$B, $B18, 'WBS Summary'!$AH:$AH, $C18,'WBS Summary'!$AJ:$AJ, $H18)</f>
        <v>0</v>
      </c>
      <c r="EI18" s="134">
        <f>SUMIFS('WBS Summary'!GT:GT,'WBS Summary'!$B:$B, $B18, 'WBS Summary'!$AH:$AH, $C18,'WBS Summary'!$AJ:$AJ, $H18)</f>
        <v>0</v>
      </c>
      <c r="EJ18" s="134">
        <f>SUMIFS('WBS Summary'!GU:GU,'WBS Summary'!$B:$B, $B18, 'WBS Summary'!$AH:$AH, $C18,'WBS Summary'!$AJ:$AJ, $H18)</f>
        <v>0</v>
      </c>
      <c r="EK18" s="134">
        <f>SUMIFS('WBS Summary'!GV:GV,'WBS Summary'!$B:$B, $B18, 'WBS Summary'!$AH:$AH, $C18,'WBS Summary'!$AJ:$AJ, $H18)</f>
        <v>0</v>
      </c>
      <c r="EL18" s="134">
        <f>SUMIFS('WBS Summary'!GW:GW,'WBS Summary'!$B:$B, $B18, 'WBS Summary'!$AH:$AH, $C18,'WBS Summary'!$AJ:$AJ, $H18)</f>
        <v>0</v>
      </c>
      <c r="EM18" s="134">
        <f>SUMIFS('WBS Summary'!GX:GX,'WBS Summary'!$B:$B, $B18, 'WBS Summary'!$AH:$AH, $C18,'WBS Summary'!$AJ:$AJ, $H18)</f>
        <v>0</v>
      </c>
      <c r="EN18" s="134">
        <f>SUMIFS('WBS Summary'!GY:GY,'WBS Summary'!$B:$B, $B18, 'WBS Summary'!$AH:$AH, $C18,'WBS Summary'!$AJ:$AJ, $H18)</f>
        <v>0</v>
      </c>
      <c r="EO18" s="134">
        <f>SUMIFS('WBS Summary'!GZ:GZ,'WBS Summary'!$B:$B, $B18, 'WBS Summary'!$AH:$AH, $C18,'WBS Summary'!$AJ:$AJ, $H18)</f>
        <v>0</v>
      </c>
      <c r="EP18" s="134">
        <f>SUMIFS('WBS Summary'!HA:HA,'WBS Summary'!$B:$B, $B18, 'WBS Summary'!$AH:$AH, $C18,'WBS Summary'!$AJ:$AJ, $H18)</f>
        <v>0</v>
      </c>
      <c r="EQ18" s="134">
        <f>SUMIFS('WBS Summary'!HB:HB,'WBS Summary'!$B:$B, $B18, 'WBS Summary'!$AH:$AH, $C18,'WBS Summary'!$AJ:$AJ, $H18)</f>
        <v>0</v>
      </c>
      <c r="ER18" s="134">
        <f>SUMIFS('WBS Summary'!HC:HC,'WBS Summary'!$B:$B, $B18, 'WBS Summary'!$AH:$AH, $C18,'WBS Summary'!$AJ:$AJ, $H18)</f>
        <v>0</v>
      </c>
      <c r="ES18" s="134">
        <f>SUMIFS('WBS Summary'!HD:HD,'WBS Summary'!$B:$B, $B18, 'WBS Summary'!$AH:$AH, $C18,'WBS Summary'!$AJ:$AJ, $H18)</f>
        <v>0</v>
      </c>
      <c r="ET18" s="134">
        <f>SUMIFS('WBS Summary'!HE:HE,'WBS Summary'!$B:$B, $B18, 'WBS Summary'!$AH:$AH, $C18,'WBS Summary'!$AJ:$AJ, $H18)</f>
        <v>0</v>
      </c>
      <c r="EU18" s="134">
        <f>SUMIFS('WBS Summary'!HF:HF,'WBS Summary'!$B:$B, $B18, 'WBS Summary'!$AH:$AH, $C18,'WBS Summary'!$AJ:$AJ, $H18)</f>
        <v>0</v>
      </c>
      <c r="EV18" s="134">
        <f>SUMIFS('WBS Summary'!HG:HG,'WBS Summary'!$B:$B, $B18, 'WBS Summary'!$AH:$AH, $C18,'WBS Summary'!$AJ:$AJ, $H18)</f>
        <v>0</v>
      </c>
      <c r="EW18" s="134">
        <f>SUMIFS('WBS Summary'!HH:HH,'WBS Summary'!$B:$B, $B18, 'WBS Summary'!$AH:$AH, $C18,'WBS Summary'!$AJ:$AJ, $H18)</f>
        <v>0</v>
      </c>
      <c r="EX18" s="134">
        <f>SUMIFS('WBS Summary'!HI:HI,'WBS Summary'!$B:$B, $B18, 'WBS Summary'!$AH:$AH, $C18,'WBS Summary'!$AJ:$AJ, $H18)</f>
        <v>0</v>
      </c>
      <c r="EY18" s="134">
        <f>SUMIFS('WBS Summary'!HJ:HJ,'WBS Summary'!$B:$B, $B18, 'WBS Summary'!$AH:$AH, $C18,'WBS Summary'!$AJ:$AJ, $H18)</f>
        <v>0</v>
      </c>
      <c r="EZ18" s="134">
        <f>SUMIFS('WBS Summary'!HK:HK,'WBS Summary'!$B:$B, $B18, 'WBS Summary'!$AH:$AH, $C18,'WBS Summary'!$AJ:$AJ, $H18)</f>
        <v>0</v>
      </c>
      <c r="FA18" s="134">
        <f>SUMIFS('WBS Summary'!HL:HL,'WBS Summary'!$B:$B, $B18, 'WBS Summary'!$AH:$AH, $C18,'WBS Summary'!$AJ:$AJ, $H18)</f>
        <v>0</v>
      </c>
      <c r="FB18" s="134">
        <f>SUMIFS('WBS Summary'!HM:HM,'WBS Summary'!$B:$B, $B18, 'WBS Summary'!$AH:$AH, $C18,'WBS Summary'!$AJ:$AJ, $H18)</f>
        <v>0</v>
      </c>
      <c r="FC18" s="134">
        <f>SUMIFS('WBS Summary'!HN:HN,'WBS Summary'!$B:$B, $B18, 'WBS Summary'!$AH:$AH, $C18,'WBS Summary'!$AJ:$AJ, $H18)</f>
        <v>0</v>
      </c>
      <c r="FD18" s="134">
        <f>SUMIFS('WBS Summary'!HO:HO,'WBS Summary'!$B:$B, $B18, 'WBS Summary'!$AH:$AH, $C18,'WBS Summary'!$AJ:$AJ, $H18)</f>
        <v>0</v>
      </c>
      <c r="FE18" s="134">
        <f>SUMIFS('WBS Summary'!HP:HP,'WBS Summary'!$B:$B, $B18, 'WBS Summary'!$AH:$AH, $C18,'WBS Summary'!$AJ:$AJ, $H18)</f>
        <v>0</v>
      </c>
      <c r="FF18" s="134">
        <f>SUMIFS('WBS Summary'!HQ:HQ,'WBS Summary'!$B:$B, $B18, 'WBS Summary'!$AH:$AH, $C18,'WBS Summary'!$AJ:$AJ, $H18)</f>
        <v>0</v>
      </c>
      <c r="FG18" s="134">
        <f>SUMIFS('WBS Summary'!HR:HR,'WBS Summary'!$B:$B, $B18, 'WBS Summary'!$AH:$AH, $C18,'WBS Summary'!$AJ:$AJ, $H18)</f>
        <v>0</v>
      </c>
      <c r="FH18" s="134">
        <f>SUMIFS('WBS Summary'!HS:HS,'WBS Summary'!$B:$B, $B18, 'WBS Summary'!$AH:$AH, $C18,'WBS Summary'!$AJ:$AJ, $H18)</f>
        <v>0</v>
      </c>
      <c r="FI18" s="134">
        <f>SUMIFS('WBS Summary'!HT:HT,'WBS Summary'!$B:$B, $B18, 'WBS Summary'!$AH:$AH, $C18,'WBS Summary'!$AJ:$AJ, $H18)</f>
        <v>0</v>
      </c>
      <c r="FJ18" s="134">
        <f>SUMIFS('WBS Summary'!HU:HU,'WBS Summary'!$B:$B, $B18, 'WBS Summary'!$AH:$AH, $C18,'WBS Summary'!$AJ:$AJ, $H18)</f>
        <v>0</v>
      </c>
      <c r="FK18" s="134">
        <f>SUMIFS('WBS Summary'!HV:HV,'WBS Summary'!$B:$B, $B18, 'WBS Summary'!$AH:$AH, $C18,'WBS Summary'!$AJ:$AJ, $H18)</f>
        <v>0</v>
      </c>
      <c r="FL18" s="134">
        <f>SUMIFS('WBS Summary'!HW:HW,'WBS Summary'!$B:$B, $B18, 'WBS Summary'!$AH:$AH, $C18,'WBS Summary'!$AJ:$AJ, $H18)</f>
        <v>0</v>
      </c>
      <c r="FM18" s="134">
        <f>SUMIFS('WBS Summary'!HX:HX,'WBS Summary'!$B:$B, $B18, 'WBS Summary'!$AH:$AH, $C18,'WBS Summary'!$AJ:$AJ, $H18)</f>
        <v>0</v>
      </c>
      <c r="FN18" s="134">
        <f>SUMIFS('WBS Summary'!HY:HY,'WBS Summary'!$B:$B, $B18, 'WBS Summary'!$AH:$AH, $C18,'WBS Summary'!$AJ:$AJ, $H18)</f>
        <v>0</v>
      </c>
      <c r="FO18" s="134">
        <f>SUMIFS('WBS Summary'!HZ:HZ,'WBS Summary'!$B:$B, $B18, 'WBS Summary'!$AH:$AH, $C18,'WBS Summary'!$AJ:$AJ, $H18)</f>
        <v>0</v>
      </c>
      <c r="FP18" s="134">
        <f>SUMIFS('WBS Summary'!IA:IA,'WBS Summary'!$B:$B, $B18, 'WBS Summary'!$AH:$AH, $C18,'WBS Summary'!$AJ:$AJ, $H18)</f>
        <v>0</v>
      </c>
      <c r="FQ18" s="134">
        <f>SUMIFS('WBS Summary'!IB:IB,'WBS Summary'!$B:$B, $B18, 'WBS Summary'!$AH:$AH, $C18,'WBS Summary'!$AJ:$AJ, $H18)</f>
        <v>0</v>
      </c>
      <c r="FR18" s="134">
        <f>SUMIFS('WBS Summary'!IC:IC,'WBS Summary'!$B:$B, $B18, 'WBS Summary'!$AH:$AH, $C18,'WBS Summary'!$AJ:$AJ, $H18)</f>
        <v>0</v>
      </c>
      <c r="FS18" s="134">
        <f>SUMIFS('WBS Summary'!ID:ID,'WBS Summary'!$B:$B, $B18, 'WBS Summary'!$AH:$AH, $C18,'WBS Summary'!$AJ:$AJ, $H18)</f>
        <v>0</v>
      </c>
      <c r="FT18" s="134">
        <f>SUMIFS('WBS Summary'!IE:IE,'WBS Summary'!$B:$B, $B18, 'WBS Summary'!$AH:$AH, $C18,'WBS Summary'!$AJ:$AJ, $H18)</f>
        <v>0</v>
      </c>
      <c r="FU18" s="134">
        <f>SUMIFS('WBS Summary'!IF:IF,'WBS Summary'!$B:$B, $B18, 'WBS Summary'!$AH:$AH, $C18,'WBS Summary'!$AJ:$AJ, $H18)</f>
        <v>0</v>
      </c>
      <c r="FV18" s="134">
        <f>SUMIFS('WBS Summary'!IG:IG,'WBS Summary'!$B:$B, $B18, 'WBS Summary'!$AH:$AH, $C18,'WBS Summary'!$AJ:$AJ, $H18)</f>
        <v>0</v>
      </c>
      <c r="FW18" s="134">
        <f>SUMIFS('WBS Summary'!IH:IH,'WBS Summary'!$B:$B, $B18, 'WBS Summary'!$AH:$AH, $C18,'WBS Summary'!$AJ:$AJ, $H18)</f>
        <v>0</v>
      </c>
      <c r="FX18" s="134">
        <f>SUMIFS('WBS Summary'!II:II,'WBS Summary'!$B:$B, $B18, 'WBS Summary'!$AH:$AH, $C18,'WBS Summary'!$AJ:$AJ, $H18)</f>
        <v>0</v>
      </c>
      <c r="FY18" s="134">
        <f>SUMIFS('WBS Summary'!IJ:IJ,'WBS Summary'!$B:$B, $B18, 'WBS Summary'!$AH:$AH, $C18,'WBS Summary'!$AJ:$AJ, $H18)</f>
        <v>0</v>
      </c>
      <c r="FZ18" s="134">
        <f>SUMIFS('WBS Summary'!IK:IK,'WBS Summary'!$B:$B, $B18, 'WBS Summary'!$AH:$AH, $C18,'WBS Summary'!$AJ:$AJ, $H18)</f>
        <v>0</v>
      </c>
      <c r="GA18" s="134">
        <f>SUMIFS('WBS Summary'!IL:IL,'WBS Summary'!$B:$B, $B18, 'WBS Summary'!$AH:$AH, $C18,'WBS Summary'!$AJ:$AJ, $H18)</f>
        <v>0</v>
      </c>
      <c r="GB18" s="134">
        <f>SUMIFS('WBS Summary'!IM:IM,'WBS Summary'!$B:$B, $B18, 'WBS Summary'!$AH:$AH, $C18,'WBS Summary'!$AJ:$AJ, $H18)</f>
        <v>0</v>
      </c>
      <c r="GC18" s="134">
        <f>SUMIFS('WBS Summary'!IN:IN,'WBS Summary'!$B:$B, $B18, 'WBS Summary'!$AH:$AH, $C18,'WBS Summary'!$AJ:$AJ, $H18)</f>
        <v>0</v>
      </c>
      <c r="GD18" s="134">
        <f>SUMIFS('WBS Summary'!IO:IO,'WBS Summary'!$B:$B, $B18, 'WBS Summary'!$AH:$AH, $C18,'WBS Summary'!$AJ:$AJ, $H18)</f>
        <v>0</v>
      </c>
      <c r="GE18" s="134">
        <f>SUMIFS('WBS Summary'!IP:IP,'WBS Summary'!$B:$B, $B18, 'WBS Summary'!$AH:$AH, $C18,'WBS Summary'!$AJ:$AJ, $H18)</f>
        <v>0</v>
      </c>
      <c r="GF18" s="134">
        <f>SUMIFS('WBS Summary'!IQ:IQ,'WBS Summary'!$B:$B, $B18, 'WBS Summary'!$AH:$AH, $C18,'WBS Summary'!$AJ:$AJ, $H18)</f>
        <v>0</v>
      </c>
      <c r="GG18" s="134">
        <f>SUMIFS('WBS Summary'!IR:IR,'WBS Summary'!$B:$B, $B18, 'WBS Summary'!$AH:$AH, $C18,'WBS Summary'!$AJ:$AJ, $H18)</f>
        <v>0</v>
      </c>
      <c r="GH18" s="134">
        <f>SUMIFS('WBS Summary'!IS:IS,'WBS Summary'!$B:$B, $B18, 'WBS Summary'!$AH:$AH, $C18,'WBS Summary'!$AJ:$AJ, $H18)</f>
        <v>0</v>
      </c>
      <c r="GI18" s="134">
        <f>SUMIFS('WBS Summary'!IT:IT,'WBS Summary'!$B:$B, $B18, 'WBS Summary'!$AH:$AH, $C18,'WBS Summary'!$AJ:$AJ, $H18)</f>
        <v>0</v>
      </c>
      <c r="GJ18" s="134">
        <f>SUMIFS('WBS Summary'!IU:IU,'WBS Summary'!$B:$B, $B18, 'WBS Summary'!$AH:$AH, $C18,'WBS Summary'!$AJ:$AJ, $H18)</f>
        <v>0</v>
      </c>
      <c r="GK18" s="134">
        <f>SUMIFS('WBS Summary'!IV:IV,'WBS Summary'!$B:$B, $B18, 'WBS Summary'!$AH:$AH, $C18,'WBS Summary'!$AJ:$AJ, $H18)</f>
        <v>0</v>
      </c>
      <c r="GL18" s="134">
        <f>SUMIFS('WBS Summary'!IW:IW,'WBS Summary'!$B:$B, $B18, 'WBS Summary'!$AH:$AH, $C18,'WBS Summary'!$AJ:$AJ, $H18)</f>
        <v>0</v>
      </c>
      <c r="GM18" s="134">
        <f>SUMIFS('WBS Summary'!IX:IX,'WBS Summary'!$B:$B, $B18, 'WBS Summary'!$AH:$AH, $C18,'WBS Summary'!$AJ:$AJ, $H18)</f>
        <v>0</v>
      </c>
      <c r="GN18" s="134">
        <f>SUMIFS('WBS Summary'!IY:IY,'WBS Summary'!$B:$B, $B18, 'WBS Summary'!$AH:$AH, $C18,'WBS Summary'!$AJ:$AJ, $H18)</f>
        <v>0</v>
      </c>
      <c r="GO18" s="134">
        <f>SUMIFS('WBS Summary'!IZ:IZ,'WBS Summary'!$B:$B, $B18, 'WBS Summary'!$AH:$AH, $C18,'WBS Summary'!$AJ:$AJ, $H18)</f>
        <v>0</v>
      </c>
      <c r="GP18" s="134">
        <f>SUMIFS('WBS Summary'!JA:JA,'WBS Summary'!$B:$B, $B18, 'WBS Summary'!$AH:$AH, $C18,'WBS Summary'!$AJ:$AJ, $H18)</f>
        <v>0</v>
      </c>
      <c r="GQ18" s="134">
        <f>SUMIFS('WBS Summary'!JB:JB,'WBS Summary'!$B:$B, $B18, 'WBS Summary'!$AH:$AH, $C18,'WBS Summary'!$AJ:$AJ, $H18)</f>
        <v>0</v>
      </c>
      <c r="GR18" s="134">
        <f>SUMIFS('WBS Summary'!JC:JC,'WBS Summary'!$B:$B, $B18, 'WBS Summary'!$AH:$AH, $C18,'WBS Summary'!$AJ:$AJ, $H18)</f>
        <v>0</v>
      </c>
      <c r="GS18" s="134">
        <f>SUMIFS('WBS Summary'!JD:JD,'WBS Summary'!$B:$B, $B18, 'WBS Summary'!$AH:$AH, $C18,'WBS Summary'!$AJ:$AJ, $H18)</f>
        <v>0</v>
      </c>
      <c r="GT18" s="134">
        <f>SUMIFS('WBS Summary'!JE:JE,'WBS Summary'!$B:$B, $B18, 'WBS Summary'!$AH:$AH, $C18,'WBS Summary'!$AJ:$AJ, $H18)</f>
        <v>0</v>
      </c>
      <c r="GU18" s="134">
        <f>SUMIFS('WBS Summary'!JF:JF,'WBS Summary'!$B:$B, $B18, 'WBS Summary'!$AH:$AH, $C18,'WBS Summary'!$AJ:$AJ, $H18)</f>
        <v>0</v>
      </c>
      <c r="GV18" s="134">
        <f>SUMIFS('WBS Summary'!JG:JG,'WBS Summary'!$B:$B, $B18, 'WBS Summary'!$AH:$AH, $C18,'WBS Summary'!$AJ:$AJ, $H18)</f>
        <v>0</v>
      </c>
      <c r="GW18" s="134">
        <f>SUMIFS('WBS Summary'!JH:JH,'WBS Summary'!$B:$B, $B18, 'WBS Summary'!$AH:$AH, $C18,'WBS Summary'!$AJ:$AJ, $H18)</f>
        <v>0</v>
      </c>
      <c r="GX18" s="134">
        <f>SUMIFS('WBS Summary'!JI:JI,'WBS Summary'!$B:$B, $B18, 'WBS Summary'!$AH:$AH, $C18,'WBS Summary'!$AJ:$AJ, $H18)</f>
        <v>0</v>
      </c>
      <c r="GY18" s="134">
        <f>SUMIFS('WBS Summary'!JJ:JJ,'WBS Summary'!$B:$B, $B18, 'WBS Summary'!$AH:$AH, $C18,'WBS Summary'!$AJ:$AJ, $H18)</f>
        <v>0</v>
      </c>
      <c r="GZ18" s="134">
        <f>SUMIFS('WBS Summary'!JK:JK,'WBS Summary'!$B:$B, $B18, 'WBS Summary'!$AH:$AH, $C18,'WBS Summary'!$AJ:$AJ, $H18)</f>
        <v>0</v>
      </c>
      <c r="HA18" s="134">
        <f>SUMIFS('WBS Summary'!JL:JL,'WBS Summary'!$B:$B, $B18, 'WBS Summary'!$AH:$AH, $C18,'WBS Summary'!$AJ:$AJ, $H18)</f>
        <v>0</v>
      </c>
      <c r="HB18" s="134">
        <f>SUMIFS('WBS Summary'!JM:JM,'WBS Summary'!$B:$B, $B18, 'WBS Summary'!$AH:$AH, $C18,'WBS Summary'!$AJ:$AJ, $H18)</f>
        <v>0</v>
      </c>
      <c r="HC18"/>
    </row>
    <row r="19" spans="1:211" s="194" customFormat="1" outlineLevel="2">
      <c r="A19" s="220"/>
      <c r="B19" s="284" t="s">
        <v>475</v>
      </c>
      <c r="C19" s="227" t="s">
        <v>71</v>
      </c>
      <c r="D19" s="352"/>
      <c r="E19" s="352"/>
      <c r="F19" s="224">
        <f t="shared" si="6"/>
        <v>0</v>
      </c>
      <c r="G19" s="224">
        <f t="shared" si="7"/>
        <v>0</v>
      </c>
      <c r="H19" s="233" t="s">
        <v>345</v>
      </c>
      <c r="I19"/>
      <c r="J19" s="134">
        <f>SUMIFS('WBS Summary'!BD:BD,'WBS Summary'!$B:$B, $B19, 'WBS Summary'!$AH:$AH, $C19,'WBS Summary'!$AJ:$AJ, $H19)</f>
        <v>0</v>
      </c>
      <c r="K19" s="134">
        <f>SUMIFS('WBS Summary'!BE:BE,'WBS Summary'!$B:$B, $B19, 'WBS Summary'!$AH:$AH, $C19,'WBS Summary'!$AJ:$AJ, $H19)</f>
        <v>0</v>
      </c>
      <c r="L19" s="134">
        <f>SUMIFS('WBS Summary'!BF:BF,'WBS Summary'!$B:$B, $B19, 'WBS Summary'!$AH:$AH, $C19,'WBS Summary'!$AJ:$AJ, $H19)</f>
        <v>0</v>
      </c>
      <c r="M19" s="134">
        <f>SUMIFS('WBS Summary'!BG:BG,'WBS Summary'!$B:$B, $B19, 'WBS Summary'!$AH:$AH, $C19,'WBS Summary'!$AJ:$AJ, $H19)</f>
        <v>0</v>
      </c>
      <c r="N19" s="134">
        <f>SUMIFS('WBS Summary'!BH:BH,'WBS Summary'!$B:$B, $B19, 'WBS Summary'!$AH:$AH, $C19,'WBS Summary'!$AJ:$AJ, $H19)</f>
        <v>0</v>
      </c>
      <c r="O19" s="134">
        <f>SUMIFS('WBS Summary'!BI:BI,'WBS Summary'!$B:$B, $B19, 'WBS Summary'!$AH:$AH, $C19,'WBS Summary'!$AJ:$AJ, $H19)</f>
        <v>0</v>
      </c>
      <c r="P19" s="134">
        <f>SUMIFS('WBS Summary'!BJ:BJ,'WBS Summary'!$B:$B, $B19, 'WBS Summary'!$AH:$AH, $C19,'WBS Summary'!$AJ:$AJ, $H19)</f>
        <v>0</v>
      </c>
      <c r="Q19" s="134">
        <f>SUMIFS('WBS Summary'!BK:BK,'WBS Summary'!$B:$B, $B19, 'WBS Summary'!$AH:$AH, $C19,'WBS Summary'!$AJ:$AJ, $H19)</f>
        <v>0</v>
      </c>
      <c r="R19" s="134">
        <f>SUMIFS('WBS Summary'!BL:BL,'WBS Summary'!$B:$B, $B19, 'WBS Summary'!$AH:$AH, $C19,'WBS Summary'!$AJ:$AJ, $H19)</f>
        <v>0</v>
      </c>
      <c r="S19" s="134">
        <f>SUMIFS('WBS Summary'!BM:BM,'WBS Summary'!$B:$B, $B19, 'WBS Summary'!$AH:$AH, $C19,'WBS Summary'!$AJ:$AJ, $H19)</f>
        <v>0</v>
      </c>
      <c r="T19" s="134">
        <f>SUMIFS('WBS Summary'!BN:BN,'WBS Summary'!$B:$B, $B19, 'WBS Summary'!$AH:$AH, $C19,'WBS Summary'!$AJ:$AJ, $H19)</f>
        <v>0</v>
      </c>
      <c r="U19" s="134">
        <f>SUMIFS('WBS Summary'!BO:BO,'WBS Summary'!$B:$B, $B19, 'WBS Summary'!$AH:$AH, $C19,'WBS Summary'!$AJ:$AJ, $H19)</f>
        <v>0</v>
      </c>
      <c r="V19" s="134">
        <f>SUMIFS('WBS Summary'!BP:BP,'WBS Summary'!$B:$B, $B19, 'WBS Summary'!$AH:$AH, $C19,'WBS Summary'!$AJ:$AJ, $H19)</f>
        <v>0</v>
      </c>
      <c r="W19" s="134">
        <f>SUMIFS('WBS Summary'!BQ:BQ,'WBS Summary'!$B:$B, $B19, 'WBS Summary'!$AH:$AH, $C19,'WBS Summary'!$AJ:$AJ, $H19)</f>
        <v>0</v>
      </c>
      <c r="X19" s="134">
        <f>SUMIFS('WBS Summary'!BR:BR,'WBS Summary'!$B:$B, $B19, 'WBS Summary'!$AH:$AH, $C19,'WBS Summary'!$AJ:$AJ, $H19)</f>
        <v>0</v>
      </c>
      <c r="Y19" s="134">
        <f>SUMIFS('WBS Summary'!BS:BS,'WBS Summary'!$B:$B, $B19, 'WBS Summary'!$AH:$AH, $C19,'WBS Summary'!$AJ:$AJ, $H19)</f>
        <v>0</v>
      </c>
      <c r="Z19" s="134">
        <f>SUMIFS('WBS Summary'!BT:BT,'WBS Summary'!$B:$B, $B19, 'WBS Summary'!$AH:$AH, $C19,'WBS Summary'!$AJ:$AJ, $H19)</f>
        <v>0</v>
      </c>
      <c r="AA19" s="134">
        <f>SUMIFS('WBS Summary'!BU:BU,'WBS Summary'!$B:$B, $B19, 'WBS Summary'!$AH:$AH, $C19,'WBS Summary'!$AJ:$AJ, $H19)</f>
        <v>0</v>
      </c>
      <c r="AB19" s="134">
        <f>SUMIFS('WBS Summary'!BV:BV,'WBS Summary'!$B:$B, $B19, 'WBS Summary'!$AH:$AH, $C19,'WBS Summary'!$AJ:$AJ, $H19)</f>
        <v>0</v>
      </c>
      <c r="AC19" s="134">
        <f>SUMIFS('WBS Summary'!BW:BW,'WBS Summary'!$B:$B, $B19, 'WBS Summary'!$AH:$AH, $C19,'WBS Summary'!$AJ:$AJ, $H19)</f>
        <v>0</v>
      </c>
      <c r="AD19" s="134">
        <f>SUMIFS('WBS Summary'!BX:BX,'WBS Summary'!$B:$B, $B19, 'WBS Summary'!$AH:$AH, $C19,'WBS Summary'!$AJ:$AJ, $H19)</f>
        <v>0</v>
      </c>
      <c r="AE19" s="134">
        <f>SUMIFS('WBS Summary'!BY:BY,'WBS Summary'!$B:$B, $B19, 'WBS Summary'!$AH:$AH, $C19,'WBS Summary'!$AJ:$AJ, $H19)</f>
        <v>0</v>
      </c>
      <c r="AF19" s="134">
        <f>SUMIFS('WBS Summary'!BZ:BZ,'WBS Summary'!$B:$B, $B19, 'WBS Summary'!$AH:$AH, $C19,'WBS Summary'!$AJ:$AJ, $H19)</f>
        <v>0</v>
      </c>
      <c r="AG19" s="134">
        <f>SUMIFS('WBS Summary'!CA:CA,'WBS Summary'!$B:$B, $B19, 'WBS Summary'!$AH:$AH, $C19,'WBS Summary'!$AJ:$AJ, $H19)</f>
        <v>0</v>
      </c>
      <c r="AH19" s="134">
        <f>SUMIFS('WBS Summary'!CB:CB,'WBS Summary'!$B:$B, $B19, 'WBS Summary'!$AH:$AH, $C19,'WBS Summary'!$AJ:$AJ, $H19)</f>
        <v>0</v>
      </c>
      <c r="AI19" s="134">
        <f>SUMIFS('WBS Summary'!CC:CC,'WBS Summary'!$B:$B, $B19, 'WBS Summary'!$AH:$AH, $C19,'WBS Summary'!$AJ:$AJ, $H19)</f>
        <v>0</v>
      </c>
      <c r="AJ19" s="134">
        <f>SUMIFS('WBS Summary'!CD:CD,'WBS Summary'!$B:$B, $B19, 'WBS Summary'!$AH:$AH, $C19,'WBS Summary'!$AJ:$AJ, $H19)</f>
        <v>0</v>
      </c>
      <c r="AK19" s="134">
        <f>SUMIFS('WBS Summary'!CE:CE,'WBS Summary'!$B:$B, $B19, 'WBS Summary'!$AH:$AH, $C19,'WBS Summary'!$AJ:$AJ, $H19)</f>
        <v>0</v>
      </c>
      <c r="AL19" s="134">
        <f>SUMIFS('WBS Summary'!CF:CF,'WBS Summary'!$B:$B, $B19, 'WBS Summary'!$AH:$AH, $C19,'WBS Summary'!$AJ:$AJ, $H19)</f>
        <v>0</v>
      </c>
      <c r="AM19" s="134">
        <f>SUMIFS('WBS Summary'!CG:CG,'WBS Summary'!$B:$B, $B19, 'WBS Summary'!$AH:$AH, $C19,'WBS Summary'!$AJ:$AJ, $H19)</f>
        <v>0</v>
      </c>
      <c r="AN19" s="134">
        <f>SUMIFS('WBS Summary'!CH:CH,'WBS Summary'!$B:$B, $B19, 'WBS Summary'!$AH:$AH, $C19,'WBS Summary'!$AJ:$AJ, $H19)</f>
        <v>0</v>
      </c>
      <c r="AO19" s="134">
        <f>SUMIFS('WBS Summary'!CI:CI,'WBS Summary'!$B:$B, $B19, 'WBS Summary'!$AH:$AH, $C19,'WBS Summary'!$AJ:$AJ, $H19)</f>
        <v>0</v>
      </c>
      <c r="AP19" s="134">
        <f>SUMIFS('WBS Summary'!CJ:CJ,'WBS Summary'!$B:$B, $B19, 'WBS Summary'!$AH:$AH, $C19,'WBS Summary'!$AJ:$AJ, $H19)</f>
        <v>0</v>
      </c>
      <c r="AQ19" s="134">
        <f>SUMIFS('WBS Summary'!CK:CK,'WBS Summary'!$B:$B, $B19, 'WBS Summary'!$AH:$AH, $C19,'WBS Summary'!$AJ:$AJ, $H19)</f>
        <v>0</v>
      </c>
      <c r="AR19" s="134">
        <f>SUMIFS('WBS Summary'!CL:CL,'WBS Summary'!$B:$B, $B19, 'WBS Summary'!$AH:$AH, $C19,'WBS Summary'!$AJ:$AJ, $H19)</f>
        <v>0</v>
      </c>
      <c r="AS19" s="134">
        <f>SUMIFS('WBS Summary'!CM:CM,'WBS Summary'!$B:$B, $B19, 'WBS Summary'!$AH:$AH, $C19,'WBS Summary'!$AJ:$AJ, $H19)</f>
        <v>0</v>
      </c>
      <c r="AT19" s="134">
        <f>SUMIFS('WBS Summary'!CN:CN,'WBS Summary'!$B:$B, $B19, 'WBS Summary'!$AH:$AH, $C19,'WBS Summary'!$AJ:$AJ, $H19)</f>
        <v>0</v>
      </c>
      <c r="AU19" s="134">
        <f>SUMIFS('WBS Summary'!CO:CO,'WBS Summary'!$B:$B, $B19, 'WBS Summary'!$AH:$AH, $C19,'WBS Summary'!$AJ:$AJ, $H19)</f>
        <v>0</v>
      </c>
      <c r="AV19" s="134">
        <f>SUMIFS('WBS Summary'!CP:CP,'WBS Summary'!$B:$B, $B19, 'WBS Summary'!$AH:$AH, $C19,'WBS Summary'!$AJ:$AJ, $H19)</f>
        <v>0</v>
      </c>
      <c r="AW19" s="134">
        <f>SUMIFS('WBS Summary'!CQ:CQ,'WBS Summary'!$B:$B, $B19, 'WBS Summary'!$AH:$AH, $C19,'WBS Summary'!$AJ:$AJ, $H19)</f>
        <v>0</v>
      </c>
      <c r="AX19" s="134">
        <f>SUMIFS('WBS Summary'!CR:CR,'WBS Summary'!$B:$B, $B19, 'WBS Summary'!$AH:$AH, $C19,'WBS Summary'!$AJ:$AJ, $H19)</f>
        <v>0</v>
      </c>
      <c r="AY19" s="134">
        <f>SUMIFS('WBS Summary'!CS:CS,'WBS Summary'!$B:$B, $B19, 'WBS Summary'!$AH:$AH, $C19,'WBS Summary'!$AJ:$AJ, $H19)</f>
        <v>0</v>
      </c>
      <c r="AZ19" s="134">
        <f>SUMIFS('WBS Summary'!CT:CT,'WBS Summary'!$B:$B, $B19, 'WBS Summary'!$AH:$AH, $C19,'WBS Summary'!$AJ:$AJ, $H19)</f>
        <v>0</v>
      </c>
      <c r="BA19" s="134">
        <f>SUMIFS('WBS Summary'!CU:CU,'WBS Summary'!$B:$B, $B19, 'WBS Summary'!$AH:$AH, $C19,'WBS Summary'!$AJ:$AJ, $H19)</f>
        <v>0</v>
      </c>
      <c r="BB19" s="134">
        <f>SUMIFS('WBS Summary'!CV:CV,'WBS Summary'!$B:$B, $B19, 'WBS Summary'!$AH:$AH, $C19,'WBS Summary'!$AJ:$AJ, $H19)</f>
        <v>0</v>
      </c>
      <c r="BC19" s="134">
        <f>SUMIFS('WBS Summary'!CW:CW,'WBS Summary'!$B:$B, $B19, 'WBS Summary'!$AH:$AH, $C19,'WBS Summary'!$AJ:$AJ, $H19)</f>
        <v>0</v>
      </c>
      <c r="BD19" s="134">
        <f>SUMIFS('WBS Summary'!CX:CX,'WBS Summary'!$B:$B, $B19, 'WBS Summary'!$AH:$AH, $C19,'WBS Summary'!$AJ:$AJ, $H19)</f>
        <v>0</v>
      </c>
      <c r="BE19" s="134">
        <f>SUMIFS('WBS Summary'!CY:CY,'WBS Summary'!$B:$B, $B19, 'WBS Summary'!$AH:$AH, $C19,'WBS Summary'!$AJ:$AJ, $H19)</f>
        <v>0</v>
      </c>
      <c r="BF19" s="134">
        <f>SUMIFS('WBS Summary'!CZ:CZ,'WBS Summary'!$B:$B, $B19, 'WBS Summary'!$AH:$AH, $C19,'WBS Summary'!$AJ:$AJ, $H19)</f>
        <v>0</v>
      </c>
      <c r="BG19" s="134">
        <f>SUMIFS('WBS Summary'!DA:DA,'WBS Summary'!$B:$B, $B19, 'WBS Summary'!$AH:$AH, $C19,'WBS Summary'!$AJ:$AJ, $H19)</f>
        <v>0</v>
      </c>
      <c r="BH19" s="134">
        <f>SUMIFS('WBS Summary'!DB:DB,'WBS Summary'!$B:$B, $B19, 'WBS Summary'!$AH:$AH, $C19,'WBS Summary'!$AJ:$AJ, $H19)</f>
        <v>0</v>
      </c>
      <c r="BI19" s="134">
        <f>SUMIFS('WBS Summary'!DC:DC,'WBS Summary'!$B:$B, $B19, 'WBS Summary'!$AH:$AH, $C19,'WBS Summary'!$AJ:$AJ, $H19)</f>
        <v>0</v>
      </c>
      <c r="BJ19" s="134">
        <f>SUMIFS('WBS Summary'!DD:DD,'WBS Summary'!$B:$B, $B19, 'WBS Summary'!$AH:$AH, $C19,'WBS Summary'!$AJ:$AJ, $H19)</f>
        <v>0</v>
      </c>
      <c r="BK19" s="134">
        <f>SUMIFS('WBS Summary'!DE:DE,'WBS Summary'!$B:$B, $B19, 'WBS Summary'!$AH:$AH, $C19,'WBS Summary'!$AJ:$AJ, $H19)</f>
        <v>0</v>
      </c>
      <c r="BL19" s="134">
        <f>SUMIFS('WBS Summary'!DF:DF,'WBS Summary'!$B:$B, $B19, 'WBS Summary'!$AH:$AH, $C19,'WBS Summary'!$AJ:$AJ, $H19)</f>
        <v>0</v>
      </c>
      <c r="BM19" s="134">
        <f>SUMIFS('WBS Summary'!DG:DG,'WBS Summary'!$B:$B, $B19, 'WBS Summary'!$AH:$AH, $C19,'WBS Summary'!$AJ:$AJ, $H19)</f>
        <v>0</v>
      </c>
      <c r="BN19" s="134">
        <f>SUMIFS('WBS Summary'!DH:DH,'WBS Summary'!$B:$B, $B19, 'WBS Summary'!$AH:$AH, $C19,'WBS Summary'!$AJ:$AJ, $H19)</f>
        <v>0</v>
      </c>
      <c r="BO19" s="134">
        <f>SUMIFS('WBS Summary'!DI:DI,'WBS Summary'!$B:$B, $B19, 'WBS Summary'!$AH:$AH, $C19,'WBS Summary'!$AJ:$AJ, $H19)</f>
        <v>0</v>
      </c>
      <c r="BP19" s="134">
        <f>SUMIFS('WBS Summary'!DJ:DJ,'WBS Summary'!$B:$B, $B19, 'WBS Summary'!$AH:$AH, $C19,'WBS Summary'!$AJ:$AJ, $H19)</f>
        <v>0</v>
      </c>
      <c r="BQ19" s="134">
        <f>SUMIFS('WBS Summary'!DK:DK,'WBS Summary'!$B:$B, $B19, 'WBS Summary'!$AH:$AH, $C19,'WBS Summary'!$AJ:$AJ, $H19)</f>
        <v>0</v>
      </c>
      <c r="BR19" s="134">
        <f>SUMIFS('WBS Summary'!DL:DL,'WBS Summary'!$B:$B, $B19, 'WBS Summary'!$AH:$AH, $C19,'WBS Summary'!$AJ:$AJ, $H19)</f>
        <v>0</v>
      </c>
      <c r="BS19" s="134">
        <f>SUMIFS('WBS Summary'!DM:DM,'WBS Summary'!$B:$B, $B19, 'WBS Summary'!$AH:$AH, $C19,'WBS Summary'!$AJ:$AJ, $H19)</f>
        <v>0</v>
      </c>
      <c r="BT19" s="134">
        <f>SUMIFS('WBS Summary'!DN:DN,'WBS Summary'!$B:$B, $B19, 'WBS Summary'!$AH:$AH, $C19,'WBS Summary'!$AJ:$AJ, $H19)</f>
        <v>0</v>
      </c>
      <c r="BU19" s="134">
        <f>SUMIFS('WBS Summary'!DO:DO,'WBS Summary'!$B:$B, $B19, 'WBS Summary'!$AH:$AH, $C19,'WBS Summary'!$AJ:$AJ, $H19)</f>
        <v>0</v>
      </c>
      <c r="BV19" s="134">
        <f>SUMIFS('WBS Summary'!DP:DP,'WBS Summary'!$B:$B, $B19, 'WBS Summary'!$AH:$AH, $C19,'WBS Summary'!$AJ:$AJ, $H19)</f>
        <v>0</v>
      </c>
      <c r="BW19" s="134">
        <f>SUMIFS('WBS Summary'!DQ:DQ,'WBS Summary'!$B:$B, $B19, 'WBS Summary'!$AH:$AH, $C19,'WBS Summary'!$AJ:$AJ, $H19)</f>
        <v>0</v>
      </c>
      <c r="BX19" s="134">
        <f>SUMIFS('WBS Summary'!DR:DR,'WBS Summary'!$B:$B, $B19, 'WBS Summary'!$AH:$AH, $C19,'WBS Summary'!$AJ:$AJ, $H19)</f>
        <v>0</v>
      </c>
      <c r="BY19" s="134">
        <f>SUMIFS('WBS Summary'!DS:DS,'WBS Summary'!$B:$B, $B19, 'WBS Summary'!$AH:$AH, $C19,'WBS Summary'!$AJ:$AJ, $H19)</f>
        <v>0</v>
      </c>
      <c r="BZ19" s="134">
        <f>SUMIFS('WBS Summary'!DT:DT,'WBS Summary'!$B:$B, $B19, 'WBS Summary'!$AH:$AH, $C19,'WBS Summary'!$AJ:$AJ, $H19)</f>
        <v>0</v>
      </c>
      <c r="CA19" s="134">
        <f>SUMIFS('WBS Summary'!DU:DU,'WBS Summary'!$B:$B, $B19, 'WBS Summary'!$AH:$AH, $C19,'WBS Summary'!$AJ:$AJ, $H19)</f>
        <v>0</v>
      </c>
      <c r="CB19" s="134">
        <f>SUMIFS('WBS Summary'!DV:DV,'WBS Summary'!$B:$B, $B19, 'WBS Summary'!$AH:$AH, $C19,'WBS Summary'!$AJ:$AJ, $H19)</f>
        <v>0</v>
      </c>
      <c r="CC19" s="134">
        <f>SUMIFS('WBS Summary'!DW:DW,'WBS Summary'!$B:$B, $B19, 'WBS Summary'!$AH:$AH, $C19,'WBS Summary'!$AJ:$AJ, $H19)</f>
        <v>0</v>
      </c>
      <c r="CD19" s="134">
        <f>SUMIFS('WBS Summary'!DX:DX,'WBS Summary'!$B:$B, $B19, 'WBS Summary'!$AH:$AH, $C19,'WBS Summary'!$AJ:$AJ, $H19)</f>
        <v>0</v>
      </c>
      <c r="CE19" s="134">
        <f>SUMIFS('WBS Summary'!DY:DY,'WBS Summary'!$B:$B, $B19, 'WBS Summary'!$AH:$AH, $C19,'WBS Summary'!$AJ:$AJ, $H19)</f>
        <v>0</v>
      </c>
      <c r="CF19" s="134">
        <f>SUMIFS('WBS Summary'!DZ:DZ,'WBS Summary'!$B:$B, $B19, 'WBS Summary'!$AH:$AH, $C19,'WBS Summary'!$AJ:$AJ, $H19)</f>
        <v>0</v>
      </c>
      <c r="CG19" s="134">
        <f>SUMIFS('WBS Summary'!EA:EA,'WBS Summary'!$B:$B, $B19, 'WBS Summary'!$AH:$AH, $C19,'WBS Summary'!$AJ:$AJ, $H19)</f>
        <v>0</v>
      </c>
      <c r="CH19" s="134">
        <f>SUMIFS('WBS Summary'!EB:EB,'WBS Summary'!$B:$B, $B19, 'WBS Summary'!$AH:$AH, $C19,'WBS Summary'!$AJ:$AJ, $H19)</f>
        <v>0</v>
      </c>
      <c r="CI19" s="134">
        <f>SUMIFS('WBS Summary'!EC:EC,'WBS Summary'!$B:$B, $B19, 'WBS Summary'!$AH:$AH, $C19,'WBS Summary'!$AJ:$AJ, $H19)</f>
        <v>0</v>
      </c>
      <c r="CJ19" s="134">
        <f>SUMIFS('WBS Summary'!ED:ED,'WBS Summary'!$B:$B, $B19, 'WBS Summary'!$AH:$AH, $C19,'WBS Summary'!$AJ:$AJ, $H19)</f>
        <v>0</v>
      </c>
      <c r="CK19" s="134">
        <f>SUMIFS('WBS Summary'!EE:EE,'WBS Summary'!$B:$B, $B19, 'WBS Summary'!$AH:$AH, $C19,'WBS Summary'!$AJ:$AJ, $H19)</f>
        <v>0</v>
      </c>
      <c r="CL19" s="134">
        <f>SUMIFS('WBS Summary'!EF:EF,'WBS Summary'!$B:$B, $B19, 'WBS Summary'!$AH:$AH, $C19,'WBS Summary'!$AJ:$AJ, $H19)</f>
        <v>0</v>
      </c>
      <c r="CM19" s="134">
        <f>SUMIFS('WBS Summary'!EG:EG,'WBS Summary'!$B:$B, $B19, 'WBS Summary'!$AH:$AH, $C19,'WBS Summary'!$AJ:$AJ, $H19)</f>
        <v>0</v>
      </c>
      <c r="CN19" s="134">
        <f>SUMIFS('WBS Summary'!EH:EH,'WBS Summary'!$B:$B, $B19, 'WBS Summary'!$AH:$AH, $C19,'WBS Summary'!$AJ:$AJ, $H19)</f>
        <v>0</v>
      </c>
      <c r="CO19" s="134">
        <f>SUMIFS('WBS Summary'!EI:EI,'WBS Summary'!$B:$B, $B19, 'WBS Summary'!$AH:$AH, $C19,'WBS Summary'!$AJ:$AJ, $H19)</f>
        <v>0</v>
      </c>
      <c r="CP19" s="134">
        <f>SUMIFS('WBS Summary'!EJ:EJ,'WBS Summary'!$B:$B, $B19, 'WBS Summary'!$AH:$AH, $C19,'WBS Summary'!$AJ:$AJ, $H19)</f>
        <v>0</v>
      </c>
      <c r="CQ19" s="134">
        <f>SUMIFS('WBS Summary'!EK:EK,'WBS Summary'!$B:$B, $B19, 'WBS Summary'!$AH:$AH, $C19,'WBS Summary'!$AJ:$AJ, $H19)</f>
        <v>0</v>
      </c>
      <c r="CR19" s="134">
        <f>SUMIFS('WBS Summary'!EL:EL,'WBS Summary'!$B:$B, $B19, 'WBS Summary'!$AH:$AH, $C19,'WBS Summary'!$AJ:$AJ, $H19)</f>
        <v>0</v>
      </c>
      <c r="CS19" s="134">
        <f>SUMIFS('WBS Summary'!EM:EM,'WBS Summary'!$B:$B, $B19, 'WBS Summary'!$AH:$AH, $C19,'WBS Summary'!$AJ:$AJ, $H19)</f>
        <v>0</v>
      </c>
      <c r="CT19" s="134">
        <f>SUMIFS('WBS Summary'!EN:EN,'WBS Summary'!$B:$B, $B19, 'WBS Summary'!$AH:$AH, $C19,'WBS Summary'!$AJ:$AJ, $H19)</f>
        <v>0</v>
      </c>
      <c r="CU19" s="134">
        <f>SUMIFS('WBS Summary'!EO:EO,'WBS Summary'!$B:$B, $B19, 'WBS Summary'!$AH:$AH, $C19,'WBS Summary'!$AJ:$AJ, $H19)</f>
        <v>0</v>
      </c>
      <c r="CV19" s="134">
        <f>SUMIFS('WBS Summary'!EP:EP,'WBS Summary'!$B:$B, $B19, 'WBS Summary'!$AH:$AH, $C19,'WBS Summary'!$AJ:$AJ, $H19)</f>
        <v>0</v>
      </c>
      <c r="CW19" s="134">
        <f>SUMIFS('WBS Summary'!EQ:EQ,'WBS Summary'!$B:$B, $B19, 'WBS Summary'!$AH:$AH, $C19,'WBS Summary'!$AJ:$AJ, $H19)</f>
        <v>0</v>
      </c>
      <c r="CX19" s="134">
        <f>SUMIFS('WBS Summary'!ER:ER,'WBS Summary'!$B:$B, $B19, 'WBS Summary'!$AH:$AH, $C19,'WBS Summary'!$AJ:$AJ, $H19)</f>
        <v>0</v>
      </c>
      <c r="CY19" s="134">
        <f>SUMIFS('WBS Summary'!ES:ES,'WBS Summary'!$B:$B, $B19, 'WBS Summary'!$AH:$AH, $C19,'WBS Summary'!$AJ:$AJ, $H19)</f>
        <v>0</v>
      </c>
      <c r="CZ19" s="134">
        <f>SUMIFS('WBS Summary'!ET:ET,'WBS Summary'!$B:$B, $B19, 'WBS Summary'!$AH:$AH, $C19,'WBS Summary'!$AJ:$AJ, $H19)</f>
        <v>0</v>
      </c>
      <c r="DA19" s="134">
        <f>SUMIFS('WBS Summary'!EU:EU,'WBS Summary'!$B:$B, $B19, 'WBS Summary'!$AH:$AH, $C19,'WBS Summary'!$AJ:$AJ, $H19)</f>
        <v>0</v>
      </c>
      <c r="DB19" s="134">
        <f>SUMIFS('WBS Summary'!EV:EV,'WBS Summary'!$B:$B, $B19, 'WBS Summary'!$AH:$AH, $C19,'WBS Summary'!$AJ:$AJ, $H19)</f>
        <v>0</v>
      </c>
      <c r="DC19" s="134">
        <f>SUMIFS('WBS Summary'!EW:EW,'WBS Summary'!$B:$B, $B19, 'WBS Summary'!$AH:$AH, $C19,'WBS Summary'!$AJ:$AJ, $H19)</f>
        <v>0</v>
      </c>
      <c r="DD19" s="134">
        <f>SUMIFS('WBS Summary'!EX:EX,'WBS Summary'!$B:$B, $B19, 'WBS Summary'!$AH:$AH, $C19,'WBS Summary'!$AJ:$AJ, $H19)</f>
        <v>0</v>
      </c>
      <c r="DE19" s="134">
        <f>SUMIFS('WBS Summary'!EY:EY,'WBS Summary'!$B:$B, $B19, 'WBS Summary'!$AH:$AH, $C19,'WBS Summary'!$AJ:$AJ, $H19)</f>
        <v>0</v>
      </c>
      <c r="DF19"/>
      <c r="DG19" s="134">
        <f>SUMIFS('WBS Summary'!FR:FR,'WBS Summary'!$B:$B, $B19, 'WBS Summary'!$AH:$AH, $C19,'WBS Summary'!$AJ:$AJ, $H19)</f>
        <v>0</v>
      </c>
      <c r="DH19" s="134">
        <f>SUMIFS('WBS Summary'!FS:FS,'WBS Summary'!$B:$B, $B19, 'WBS Summary'!$AH:$AH, $C19,'WBS Summary'!$AJ:$AJ, $H19)</f>
        <v>0</v>
      </c>
      <c r="DI19" s="134">
        <f>SUMIFS('WBS Summary'!FT:FT,'WBS Summary'!$B:$B, $B19, 'WBS Summary'!$AH:$AH, $C19,'WBS Summary'!$AJ:$AJ, $H19)</f>
        <v>0</v>
      </c>
      <c r="DJ19" s="134">
        <f>SUMIFS('WBS Summary'!FU:FU,'WBS Summary'!$B:$B, $B19, 'WBS Summary'!$AH:$AH, $C19,'WBS Summary'!$AJ:$AJ, $H19)</f>
        <v>0</v>
      </c>
      <c r="DK19" s="134">
        <f>SUMIFS('WBS Summary'!FV:FV,'WBS Summary'!$B:$B, $B19, 'WBS Summary'!$AH:$AH, $C19,'WBS Summary'!$AJ:$AJ, $H19)</f>
        <v>0</v>
      </c>
      <c r="DL19" s="134">
        <f>SUMIFS('WBS Summary'!FW:FW,'WBS Summary'!$B:$B, $B19, 'WBS Summary'!$AH:$AH, $C19,'WBS Summary'!$AJ:$AJ, $H19)</f>
        <v>0</v>
      </c>
      <c r="DM19" s="134">
        <f>SUMIFS('WBS Summary'!FX:FX,'WBS Summary'!$B:$B, $B19, 'WBS Summary'!$AH:$AH, $C19,'WBS Summary'!$AJ:$AJ, $H19)</f>
        <v>0</v>
      </c>
      <c r="DN19" s="134">
        <f>SUMIFS('WBS Summary'!FY:FY,'WBS Summary'!$B:$B, $B19, 'WBS Summary'!$AH:$AH, $C19,'WBS Summary'!$AJ:$AJ, $H19)</f>
        <v>0</v>
      </c>
      <c r="DO19" s="134">
        <f>SUMIFS('WBS Summary'!FZ:FZ,'WBS Summary'!$B:$B, $B19, 'WBS Summary'!$AH:$AH, $C19,'WBS Summary'!$AJ:$AJ, $H19)</f>
        <v>0</v>
      </c>
      <c r="DP19" s="134">
        <f>SUMIFS('WBS Summary'!GA:GA,'WBS Summary'!$B:$B, $B19, 'WBS Summary'!$AH:$AH, $C19,'WBS Summary'!$AJ:$AJ, $H19)</f>
        <v>0</v>
      </c>
      <c r="DQ19" s="134">
        <f>SUMIFS('WBS Summary'!GB:GB,'WBS Summary'!$B:$B, $B19, 'WBS Summary'!$AH:$AH, $C19,'WBS Summary'!$AJ:$AJ, $H19)</f>
        <v>0</v>
      </c>
      <c r="DR19" s="134">
        <f>SUMIFS('WBS Summary'!GC:GC,'WBS Summary'!$B:$B, $B19, 'WBS Summary'!$AH:$AH, $C19,'WBS Summary'!$AJ:$AJ, $H19)</f>
        <v>0</v>
      </c>
      <c r="DS19" s="134">
        <f>SUMIFS('WBS Summary'!GD:GD,'WBS Summary'!$B:$B, $B19, 'WBS Summary'!$AH:$AH, $C19,'WBS Summary'!$AJ:$AJ, $H19)</f>
        <v>0</v>
      </c>
      <c r="DT19" s="134">
        <f>SUMIFS('WBS Summary'!GE:GE,'WBS Summary'!$B:$B, $B19, 'WBS Summary'!$AH:$AH, $C19,'WBS Summary'!$AJ:$AJ, $H19)</f>
        <v>0</v>
      </c>
      <c r="DU19" s="134">
        <f>SUMIFS('WBS Summary'!GF:GF,'WBS Summary'!$B:$B, $B19, 'WBS Summary'!$AH:$AH, $C19,'WBS Summary'!$AJ:$AJ, $H19)</f>
        <v>0</v>
      </c>
      <c r="DV19" s="134">
        <f>SUMIFS('WBS Summary'!GG:GG,'WBS Summary'!$B:$B, $B19, 'WBS Summary'!$AH:$AH, $C19,'WBS Summary'!$AJ:$AJ, $H19)</f>
        <v>0</v>
      </c>
      <c r="DW19" s="134">
        <f>SUMIFS('WBS Summary'!GH:GH,'WBS Summary'!$B:$B, $B19, 'WBS Summary'!$AH:$AH, $C19,'WBS Summary'!$AJ:$AJ, $H19)</f>
        <v>0</v>
      </c>
      <c r="DX19" s="134">
        <f>SUMIFS('WBS Summary'!GI:GI,'WBS Summary'!$B:$B, $B19, 'WBS Summary'!$AH:$AH, $C19,'WBS Summary'!$AJ:$AJ, $H19)</f>
        <v>0</v>
      </c>
      <c r="DY19" s="134">
        <f>SUMIFS('WBS Summary'!GJ:GJ,'WBS Summary'!$B:$B, $B19, 'WBS Summary'!$AH:$AH, $C19,'WBS Summary'!$AJ:$AJ, $H19)</f>
        <v>0</v>
      </c>
      <c r="DZ19" s="134">
        <f>SUMIFS('WBS Summary'!GK:GK,'WBS Summary'!$B:$B, $B19, 'WBS Summary'!$AH:$AH, $C19,'WBS Summary'!$AJ:$AJ, $H19)</f>
        <v>0</v>
      </c>
      <c r="EA19" s="134">
        <f>SUMIFS('WBS Summary'!GL:GL,'WBS Summary'!$B:$B, $B19, 'WBS Summary'!$AH:$AH, $C19,'WBS Summary'!$AJ:$AJ, $H19)</f>
        <v>0</v>
      </c>
      <c r="EB19" s="134">
        <f>SUMIFS('WBS Summary'!GM:GM,'WBS Summary'!$B:$B, $B19, 'WBS Summary'!$AH:$AH, $C19,'WBS Summary'!$AJ:$AJ, $H19)</f>
        <v>0</v>
      </c>
      <c r="EC19" s="134">
        <f>SUMIFS('WBS Summary'!GN:GN,'WBS Summary'!$B:$B, $B19, 'WBS Summary'!$AH:$AH, $C19,'WBS Summary'!$AJ:$AJ, $H19)</f>
        <v>0</v>
      </c>
      <c r="ED19" s="134">
        <f>SUMIFS('WBS Summary'!GO:GO,'WBS Summary'!$B:$B, $B19, 'WBS Summary'!$AH:$AH, $C19,'WBS Summary'!$AJ:$AJ, $H19)</f>
        <v>0</v>
      </c>
      <c r="EE19" s="134">
        <f>SUMIFS('WBS Summary'!GP:GP,'WBS Summary'!$B:$B, $B19, 'WBS Summary'!$AH:$AH, $C19,'WBS Summary'!$AJ:$AJ, $H19)</f>
        <v>0</v>
      </c>
      <c r="EF19" s="134">
        <f>SUMIFS('WBS Summary'!GQ:GQ,'WBS Summary'!$B:$B, $B19, 'WBS Summary'!$AH:$AH, $C19,'WBS Summary'!$AJ:$AJ, $H19)</f>
        <v>0</v>
      </c>
      <c r="EG19" s="134">
        <f>SUMIFS('WBS Summary'!GR:GR,'WBS Summary'!$B:$B, $B19, 'WBS Summary'!$AH:$AH, $C19,'WBS Summary'!$AJ:$AJ, $H19)</f>
        <v>0</v>
      </c>
      <c r="EH19" s="134">
        <f>SUMIFS('WBS Summary'!GS:GS,'WBS Summary'!$B:$B, $B19, 'WBS Summary'!$AH:$AH, $C19,'WBS Summary'!$AJ:$AJ, $H19)</f>
        <v>0</v>
      </c>
      <c r="EI19" s="134">
        <f>SUMIFS('WBS Summary'!GT:GT,'WBS Summary'!$B:$B, $B19, 'WBS Summary'!$AH:$AH, $C19,'WBS Summary'!$AJ:$AJ, $H19)</f>
        <v>0</v>
      </c>
      <c r="EJ19" s="134">
        <f>SUMIFS('WBS Summary'!GU:GU,'WBS Summary'!$B:$B, $B19, 'WBS Summary'!$AH:$AH, $C19,'WBS Summary'!$AJ:$AJ, $H19)</f>
        <v>0</v>
      </c>
      <c r="EK19" s="134">
        <f>SUMIFS('WBS Summary'!GV:GV,'WBS Summary'!$B:$B, $B19, 'WBS Summary'!$AH:$AH, $C19,'WBS Summary'!$AJ:$AJ, $H19)</f>
        <v>0</v>
      </c>
      <c r="EL19" s="134">
        <f>SUMIFS('WBS Summary'!GW:GW,'WBS Summary'!$B:$B, $B19, 'WBS Summary'!$AH:$AH, $C19,'WBS Summary'!$AJ:$AJ, $H19)</f>
        <v>0</v>
      </c>
      <c r="EM19" s="134">
        <f>SUMIFS('WBS Summary'!GX:GX,'WBS Summary'!$B:$B, $B19, 'WBS Summary'!$AH:$AH, $C19,'WBS Summary'!$AJ:$AJ, $H19)</f>
        <v>0</v>
      </c>
      <c r="EN19" s="134">
        <f>SUMIFS('WBS Summary'!GY:GY,'WBS Summary'!$B:$B, $B19, 'WBS Summary'!$AH:$AH, $C19,'WBS Summary'!$AJ:$AJ, $H19)</f>
        <v>0</v>
      </c>
      <c r="EO19" s="134">
        <f>SUMIFS('WBS Summary'!GZ:GZ,'WBS Summary'!$B:$B, $B19, 'WBS Summary'!$AH:$AH, $C19,'WBS Summary'!$AJ:$AJ, $H19)</f>
        <v>0</v>
      </c>
      <c r="EP19" s="134">
        <f>SUMIFS('WBS Summary'!HA:HA,'WBS Summary'!$B:$B, $B19, 'WBS Summary'!$AH:$AH, $C19,'WBS Summary'!$AJ:$AJ, $H19)</f>
        <v>0</v>
      </c>
      <c r="EQ19" s="134">
        <f>SUMIFS('WBS Summary'!HB:HB,'WBS Summary'!$B:$B, $B19, 'WBS Summary'!$AH:$AH, $C19,'WBS Summary'!$AJ:$AJ, $H19)</f>
        <v>0</v>
      </c>
      <c r="ER19" s="134">
        <f>SUMIFS('WBS Summary'!HC:HC,'WBS Summary'!$B:$B, $B19, 'WBS Summary'!$AH:$AH, $C19,'WBS Summary'!$AJ:$AJ, $H19)</f>
        <v>0</v>
      </c>
      <c r="ES19" s="134">
        <f>SUMIFS('WBS Summary'!HD:HD,'WBS Summary'!$B:$B, $B19, 'WBS Summary'!$AH:$AH, $C19,'WBS Summary'!$AJ:$AJ, $H19)</f>
        <v>0</v>
      </c>
      <c r="ET19" s="134">
        <f>SUMIFS('WBS Summary'!HE:HE,'WBS Summary'!$B:$B, $B19, 'WBS Summary'!$AH:$AH, $C19,'WBS Summary'!$AJ:$AJ, $H19)</f>
        <v>0</v>
      </c>
      <c r="EU19" s="134">
        <f>SUMIFS('WBS Summary'!HF:HF,'WBS Summary'!$B:$B, $B19, 'WBS Summary'!$AH:$AH, $C19,'WBS Summary'!$AJ:$AJ, $H19)</f>
        <v>0</v>
      </c>
      <c r="EV19" s="134">
        <f>SUMIFS('WBS Summary'!HG:HG,'WBS Summary'!$B:$B, $B19, 'WBS Summary'!$AH:$AH, $C19,'WBS Summary'!$AJ:$AJ, $H19)</f>
        <v>0</v>
      </c>
      <c r="EW19" s="134">
        <f>SUMIFS('WBS Summary'!HH:HH,'WBS Summary'!$B:$B, $B19, 'WBS Summary'!$AH:$AH, $C19,'WBS Summary'!$AJ:$AJ, $H19)</f>
        <v>0</v>
      </c>
      <c r="EX19" s="134">
        <f>SUMIFS('WBS Summary'!HI:HI,'WBS Summary'!$B:$B, $B19, 'WBS Summary'!$AH:$AH, $C19,'WBS Summary'!$AJ:$AJ, $H19)</f>
        <v>0</v>
      </c>
      <c r="EY19" s="134">
        <f>SUMIFS('WBS Summary'!HJ:HJ,'WBS Summary'!$B:$B, $B19, 'WBS Summary'!$AH:$AH, $C19,'WBS Summary'!$AJ:$AJ, $H19)</f>
        <v>0</v>
      </c>
      <c r="EZ19" s="134">
        <f>SUMIFS('WBS Summary'!HK:HK,'WBS Summary'!$B:$B, $B19, 'WBS Summary'!$AH:$AH, $C19,'WBS Summary'!$AJ:$AJ, $H19)</f>
        <v>0</v>
      </c>
      <c r="FA19" s="134">
        <f>SUMIFS('WBS Summary'!HL:HL,'WBS Summary'!$B:$B, $B19, 'WBS Summary'!$AH:$AH, $C19,'WBS Summary'!$AJ:$AJ, $H19)</f>
        <v>0</v>
      </c>
      <c r="FB19" s="134">
        <f>SUMIFS('WBS Summary'!HM:HM,'WBS Summary'!$B:$B, $B19, 'WBS Summary'!$AH:$AH, $C19,'WBS Summary'!$AJ:$AJ, $H19)</f>
        <v>0</v>
      </c>
      <c r="FC19" s="134">
        <f>SUMIFS('WBS Summary'!HN:HN,'WBS Summary'!$B:$B, $B19, 'WBS Summary'!$AH:$AH, $C19,'WBS Summary'!$AJ:$AJ, $H19)</f>
        <v>0</v>
      </c>
      <c r="FD19" s="134">
        <f>SUMIFS('WBS Summary'!HO:HO,'WBS Summary'!$B:$B, $B19, 'WBS Summary'!$AH:$AH, $C19,'WBS Summary'!$AJ:$AJ, $H19)</f>
        <v>0</v>
      </c>
      <c r="FE19" s="134">
        <f>SUMIFS('WBS Summary'!HP:HP,'WBS Summary'!$B:$B, $B19, 'WBS Summary'!$AH:$AH, $C19,'WBS Summary'!$AJ:$AJ, $H19)</f>
        <v>0</v>
      </c>
      <c r="FF19" s="134">
        <f>SUMIFS('WBS Summary'!HQ:HQ,'WBS Summary'!$B:$B, $B19, 'WBS Summary'!$AH:$AH, $C19,'WBS Summary'!$AJ:$AJ, $H19)</f>
        <v>0</v>
      </c>
      <c r="FG19" s="134">
        <f>SUMIFS('WBS Summary'!HR:HR,'WBS Summary'!$B:$B, $B19, 'WBS Summary'!$AH:$AH, $C19,'WBS Summary'!$AJ:$AJ, $H19)</f>
        <v>0</v>
      </c>
      <c r="FH19" s="134">
        <f>SUMIFS('WBS Summary'!HS:HS,'WBS Summary'!$B:$B, $B19, 'WBS Summary'!$AH:$AH, $C19,'WBS Summary'!$AJ:$AJ, $H19)</f>
        <v>0</v>
      </c>
      <c r="FI19" s="134">
        <f>SUMIFS('WBS Summary'!HT:HT,'WBS Summary'!$B:$B, $B19, 'WBS Summary'!$AH:$AH, $C19,'WBS Summary'!$AJ:$AJ, $H19)</f>
        <v>0</v>
      </c>
      <c r="FJ19" s="134">
        <f>SUMIFS('WBS Summary'!HU:HU,'WBS Summary'!$B:$B, $B19, 'WBS Summary'!$AH:$AH, $C19,'WBS Summary'!$AJ:$AJ, $H19)</f>
        <v>0</v>
      </c>
      <c r="FK19" s="134">
        <f>SUMIFS('WBS Summary'!HV:HV,'WBS Summary'!$B:$B, $B19, 'WBS Summary'!$AH:$AH, $C19,'WBS Summary'!$AJ:$AJ, $H19)</f>
        <v>0</v>
      </c>
      <c r="FL19" s="134">
        <f>SUMIFS('WBS Summary'!HW:HW,'WBS Summary'!$B:$B, $B19, 'WBS Summary'!$AH:$AH, $C19,'WBS Summary'!$AJ:$AJ, $H19)</f>
        <v>0</v>
      </c>
      <c r="FM19" s="134">
        <f>SUMIFS('WBS Summary'!HX:HX,'WBS Summary'!$B:$B, $B19, 'WBS Summary'!$AH:$AH, $C19,'WBS Summary'!$AJ:$AJ, $H19)</f>
        <v>0</v>
      </c>
      <c r="FN19" s="134">
        <f>SUMIFS('WBS Summary'!HY:HY,'WBS Summary'!$B:$B, $B19, 'WBS Summary'!$AH:$AH, $C19,'WBS Summary'!$AJ:$AJ, $H19)</f>
        <v>0</v>
      </c>
      <c r="FO19" s="134">
        <f>SUMIFS('WBS Summary'!HZ:HZ,'WBS Summary'!$B:$B, $B19, 'WBS Summary'!$AH:$AH, $C19,'WBS Summary'!$AJ:$AJ, $H19)</f>
        <v>0</v>
      </c>
      <c r="FP19" s="134">
        <f>SUMIFS('WBS Summary'!IA:IA,'WBS Summary'!$B:$B, $B19, 'WBS Summary'!$AH:$AH, $C19,'WBS Summary'!$AJ:$AJ, $H19)</f>
        <v>0</v>
      </c>
      <c r="FQ19" s="134">
        <f>SUMIFS('WBS Summary'!IB:IB,'WBS Summary'!$B:$B, $B19, 'WBS Summary'!$AH:$AH, $C19,'WBS Summary'!$AJ:$AJ, $H19)</f>
        <v>0</v>
      </c>
      <c r="FR19" s="134">
        <f>SUMIFS('WBS Summary'!IC:IC,'WBS Summary'!$B:$B, $B19, 'WBS Summary'!$AH:$AH, $C19,'WBS Summary'!$AJ:$AJ, $H19)</f>
        <v>0</v>
      </c>
      <c r="FS19" s="134">
        <f>SUMIFS('WBS Summary'!ID:ID,'WBS Summary'!$B:$B, $B19, 'WBS Summary'!$AH:$AH, $C19,'WBS Summary'!$AJ:$AJ, $H19)</f>
        <v>0</v>
      </c>
      <c r="FT19" s="134">
        <f>SUMIFS('WBS Summary'!IE:IE,'WBS Summary'!$B:$B, $B19, 'WBS Summary'!$AH:$AH, $C19,'WBS Summary'!$AJ:$AJ, $H19)</f>
        <v>0</v>
      </c>
      <c r="FU19" s="134">
        <f>SUMIFS('WBS Summary'!IF:IF,'WBS Summary'!$B:$B, $B19, 'WBS Summary'!$AH:$AH, $C19,'WBS Summary'!$AJ:$AJ, $H19)</f>
        <v>0</v>
      </c>
      <c r="FV19" s="134">
        <f>SUMIFS('WBS Summary'!IG:IG,'WBS Summary'!$B:$B, $B19, 'WBS Summary'!$AH:$AH, $C19,'WBS Summary'!$AJ:$AJ, $H19)</f>
        <v>0</v>
      </c>
      <c r="FW19" s="134">
        <f>SUMIFS('WBS Summary'!IH:IH,'WBS Summary'!$B:$B, $B19, 'WBS Summary'!$AH:$AH, $C19,'WBS Summary'!$AJ:$AJ, $H19)</f>
        <v>0</v>
      </c>
      <c r="FX19" s="134">
        <f>SUMIFS('WBS Summary'!II:II,'WBS Summary'!$B:$B, $B19, 'WBS Summary'!$AH:$AH, $C19,'WBS Summary'!$AJ:$AJ, $H19)</f>
        <v>0</v>
      </c>
      <c r="FY19" s="134">
        <f>SUMIFS('WBS Summary'!IJ:IJ,'WBS Summary'!$B:$B, $B19, 'WBS Summary'!$AH:$AH, $C19,'WBS Summary'!$AJ:$AJ, $H19)</f>
        <v>0</v>
      </c>
      <c r="FZ19" s="134">
        <f>SUMIFS('WBS Summary'!IK:IK,'WBS Summary'!$B:$B, $B19, 'WBS Summary'!$AH:$AH, $C19,'WBS Summary'!$AJ:$AJ, $H19)</f>
        <v>0</v>
      </c>
      <c r="GA19" s="134">
        <f>SUMIFS('WBS Summary'!IL:IL,'WBS Summary'!$B:$B, $B19, 'WBS Summary'!$AH:$AH, $C19,'WBS Summary'!$AJ:$AJ, $H19)</f>
        <v>0</v>
      </c>
      <c r="GB19" s="134">
        <f>SUMIFS('WBS Summary'!IM:IM,'WBS Summary'!$B:$B, $B19, 'WBS Summary'!$AH:$AH, $C19,'WBS Summary'!$AJ:$AJ, $H19)</f>
        <v>0</v>
      </c>
      <c r="GC19" s="134">
        <f>SUMIFS('WBS Summary'!IN:IN,'WBS Summary'!$B:$B, $B19, 'WBS Summary'!$AH:$AH, $C19,'WBS Summary'!$AJ:$AJ, $H19)</f>
        <v>0</v>
      </c>
      <c r="GD19" s="134">
        <f>SUMIFS('WBS Summary'!IO:IO,'WBS Summary'!$B:$B, $B19, 'WBS Summary'!$AH:$AH, $C19,'WBS Summary'!$AJ:$AJ, $H19)</f>
        <v>0</v>
      </c>
      <c r="GE19" s="134">
        <f>SUMIFS('WBS Summary'!IP:IP,'WBS Summary'!$B:$B, $B19, 'WBS Summary'!$AH:$AH, $C19,'WBS Summary'!$AJ:$AJ, $H19)</f>
        <v>0</v>
      </c>
      <c r="GF19" s="134">
        <f>SUMIFS('WBS Summary'!IQ:IQ,'WBS Summary'!$B:$B, $B19, 'WBS Summary'!$AH:$AH, $C19,'WBS Summary'!$AJ:$AJ, $H19)</f>
        <v>0</v>
      </c>
      <c r="GG19" s="134">
        <f>SUMIFS('WBS Summary'!IR:IR,'WBS Summary'!$B:$B, $B19, 'WBS Summary'!$AH:$AH, $C19,'WBS Summary'!$AJ:$AJ, $H19)</f>
        <v>0</v>
      </c>
      <c r="GH19" s="134">
        <f>SUMIFS('WBS Summary'!IS:IS,'WBS Summary'!$B:$B, $B19, 'WBS Summary'!$AH:$AH, $C19,'WBS Summary'!$AJ:$AJ, $H19)</f>
        <v>0</v>
      </c>
      <c r="GI19" s="134">
        <f>SUMIFS('WBS Summary'!IT:IT,'WBS Summary'!$B:$B, $B19, 'WBS Summary'!$AH:$AH, $C19,'WBS Summary'!$AJ:$AJ, $H19)</f>
        <v>0</v>
      </c>
      <c r="GJ19" s="134">
        <f>SUMIFS('WBS Summary'!IU:IU,'WBS Summary'!$B:$B, $B19, 'WBS Summary'!$AH:$AH, $C19,'WBS Summary'!$AJ:$AJ, $H19)</f>
        <v>0</v>
      </c>
      <c r="GK19" s="134">
        <f>SUMIFS('WBS Summary'!IV:IV,'WBS Summary'!$B:$B, $B19, 'WBS Summary'!$AH:$AH, $C19,'WBS Summary'!$AJ:$AJ, $H19)</f>
        <v>0</v>
      </c>
      <c r="GL19" s="134">
        <f>SUMIFS('WBS Summary'!IW:IW,'WBS Summary'!$B:$B, $B19, 'WBS Summary'!$AH:$AH, $C19,'WBS Summary'!$AJ:$AJ, $H19)</f>
        <v>0</v>
      </c>
      <c r="GM19" s="134">
        <f>SUMIFS('WBS Summary'!IX:IX,'WBS Summary'!$B:$B, $B19, 'WBS Summary'!$AH:$AH, $C19,'WBS Summary'!$AJ:$AJ, $H19)</f>
        <v>0</v>
      </c>
      <c r="GN19" s="134">
        <f>SUMIFS('WBS Summary'!IY:IY,'WBS Summary'!$B:$B, $B19, 'WBS Summary'!$AH:$AH, $C19,'WBS Summary'!$AJ:$AJ, $H19)</f>
        <v>0</v>
      </c>
      <c r="GO19" s="134">
        <f>SUMIFS('WBS Summary'!IZ:IZ,'WBS Summary'!$B:$B, $B19, 'WBS Summary'!$AH:$AH, $C19,'WBS Summary'!$AJ:$AJ, $H19)</f>
        <v>0</v>
      </c>
      <c r="GP19" s="134">
        <f>SUMIFS('WBS Summary'!JA:JA,'WBS Summary'!$B:$B, $B19, 'WBS Summary'!$AH:$AH, $C19,'WBS Summary'!$AJ:$AJ, $H19)</f>
        <v>0</v>
      </c>
      <c r="GQ19" s="134">
        <f>SUMIFS('WBS Summary'!JB:JB,'WBS Summary'!$B:$B, $B19, 'WBS Summary'!$AH:$AH, $C19,'WBS Summary'!$AJ:$AJ, $H19)</f>
        <v>0</v>
      </c>
      <c r="GR19" s="134">
        <f>SUMIFS('WBS Summary'!JC:JC,'WBS Summary'!$B:$B, $B19, 'WBS Summary'!$AH:$AH, $C19,'WBS Summary'!$AJ:$AJ, $H19)</f>
        <v>0</v>
      </c>
      <c r="GS19" s="134">
        <f>SUMIFS('WBS Summary'!JD:JD,'WBS Summary'!$B:$B, $B19, 'WBS Summary'!$AH:$AH, $C19,'WBS Summary'!$AJ:$AJ, $H19)</f>
        <v>0</v>
      </c>
      <c r="GT19" s="134">
        <f>SUMIFS('WBS Summary'!JE:JE,'WBS Summary'!$B:$B, $B19, 'WBS Summary'!$AH:$AH, $C19,'WBS Summary'!$AJ:$AJ, $H19)</f>
        <v>0</v>
      </c>
      <c r="GU19" s="134">
        <f>SUMIFS('WBS Summary'!JF:JF,'WBS Summary'!$B:$B, $B19, 'WBS Summary'!$AH:$AH, $C19,'WBS Summary'!$AJ:$AJ, $H19)</f>
        <v>0</v>
      </c>
      <c r="GV19" s="134">
        <f>SUMIFS('WBS Summary'!JG:JG,'WBS Summary'!$B:$B, $B19, 'WBS Summary'!$AH:$AH, $C19,'WBS Summary'!$AJ:$AJ, $H19)</f>
        <v>0</v>
      </c>
      <c r="GW19" s="134">
        <f>SUMIFS('WBS Summary'!JH:JH,'WBS Summary'!$B:$B, $B19, 'WBS Summary'!$AH:$AH, $C19,'WBS Summary'!$AJ:$AJ, $H19)</f>
        <v>0</v>
      </c>
      <c r="GX19" s="134">
        <f>SUMIFS('WBS Summary'!JI:JI,'WBS Summary'!$B:$B, $B19, 'WBS Summary'!$AH:$AH, $C19,'WBS Summary'!$AJ:$AJ, $H19)</f>
        <v>0</v>
      </c>
      <c r="GY19" s="134">
        <f>SUMIFS('WBS Summary'!JJ:JJ,'WBS Summary'!$B:$B, $B19, 'WBS Summary'!$AH:$AH, $C19,'WBS Summary'!$AJ:$AJ, $H19)</f>
        <v>0</v>
      </c>
      <c r="GZ19" s="134">
        <f>SUMIFS('WBS Summary'!JK:JK,'WBS Summary'!$B:$B, $B19, 'WBS Summary'!$AH:$AH, $C19,'WBS Summary'!$AJ:$AJ, $H19)</f>
        <v>0</v>
      </c>
      <c r="HA19" s="134">
        <f>SUMIFS('WBS Summary'!JL:JL,'WBS Summary'!$B:$B, $B19, 'WBS Summary'!$AH:$AH, $C19,'WBS Summary'!$AJ:$AJ, $H19)</f>
        <v>0</v>
      </c>
      <c r="HB19" s="134">
        <f>SUMIFS('WBS Summary'!JM:JM,'WBS Summary'!$B:$B, $B19, 'WBS Summary'!$AH:$AH, $C19,'WBS Summary'!$AJ:$AJ, $H19)</f>
        <v>0</v>
      </c>
      <c r="HC19"/>
    </row>
    <row r="20" spans="1:211" s="194" customFormat="1" outlineLevel="2">
      <c r="A20" s="220"/>
      <c r="B20" s="284" t="s">
        <v>475</v>
      </c>
      <c r="C20" s="227" t="s">
        <v>107</v>
      </c>
      <c r="D20" s="352"/>
      <c r="E20" s="352"/>
      <c r="F20" s="224">
        <f t="shared" si="6"/>
        <v>0</v>
      </c>
      <c r="G20" s="224">
        <f t="shared" si="7"/>
        <v>0</v>
      </c>
      <c r="H20" s="233" t="s">
        <v>345</v>
      </c>
      <c r="I20"/>
      <c r="J20" s="134">
        <f>SUMIFS('WBS Summary'!BD:BD,'WBS Summary'!$B:$B, $B20, 'WBS Summary'!$AH:$AH, $C20,'WBS Summary'!$AJ:$AJ, $H20)</f>
        <v>0</v>
      </c>
      <c r="K20" s="134">
        <f>SUMIFS('WBS Summary'!BE:BE,'WBS Summary'!$B:$B, $B20, 'WBS Summary'!$AH:$AH, $C20,'WBS Summary'!$AJ:$AJ, $H20)</f>
        <v>0</v>
      </c>
      <c r="L20" s="134">
        <f>SUMIFS('WBS Summary'!BF:BF,'WBS Summary'!$B:$B, $B20, 'WBS Summary'!$AH:$AH, $C20,'WBS Summary'!$AJ:$AJ, $H20)</f>
        <v>0</v>
      </c>
      <c r="M20" s="134">
        <f>SUMIFS('WBS Summary'!BG:BG,'WBS Summary'!$B:$B, $B20, 'WBS Summary'!$AH:$AH, $C20,'WBS Summary'!$AJ:$AJ, $H20)</f>
        <v>0</v>
      </c>
      <c r="N20" s="134">
        <f>SUMIFS('WBS Summary'!BH:BH,'WBS Summary'!$B:$B, $B20, 'WBS Summary'!$AH:$AH, $C20,'WBS Summary'!$AJ:$AJ, $H20)</f>
        <v>0</v>
      </c>
      <c r="O20" s="134">
        <f>SUMIFS('WBS Summary'!BI:BI,'WBS Summary'!$B:$B, $B20, 'WBS Summary'!$AH:$AH, $C20,'WBS Summary'!$AJ:$AJ, $H20)</f>
        <v>0</v>
      </c>
      <c r="P20" s="134">
        <f>SUMIFS('WBS Summary'!BJ:BJ,'WBS Summary'!$B:$B, $B20, 'WBS Summary'!$AH:$AH, $C20,'WBS Summary'!$AJ:$AJ, $H20)</f>
        <v>0</v>
      </c>
      <c r="Q20" s="134">
        <f>SUMIFS('WBS Summary'!BK:BK,'WBS Summary'!$B:$B, $B20, 'WBS Summary'!$AH:$AH, $C20,'WBS Summary'!$AJ:$AJ, $H20)</f>
        <v>0</v>
      </c>
      <c r="R20" s="134">
        <f>SUMIFS('WBS Summary'!BL:BL,'WBS Summary'!$B:$B, $B20, 'WBS Summary'!$AH:$AH, $C20,'WBS Summary'!$AJ:$AJ, $H20)</f>
        <v>0</v>
      </c>
      <c r="S20" s="134">
        <f>SUMIFS('WBS Summary'!BM:BM,'WBS Summary'!$B:$B, $B20, 'WBS Summary'!$AH:$AH, $C20,'WBS Summary'!$AJ:$AJ, $H20)</f>
        <v>0</v>
      </c>
      <c r="T20" s="134">
        <f>SUMIFS('WBS Summary'!BN:BN,'WBS Summary'!$B:$B, $B20, 'WBS Summary'!$AH:$AH, $C20,'WBS Summary'!$AJ:$AJ, $H20)</f>
        <v>0</v>
      </c>
      <c r="U20" s="134">
        <f>SUMIFS('WBS Summary'!BO:BO,'WBS Summary'!$B:$B, $B20, 'WBS Summary'!$AH:$AH, $C20,'WBS Summary'!$AJ:$AJ, $H20)</f>
        <v>0</v>
      </c>
      <c r="V20" s="134">
        <f>SUMIFS('WBS Summary'!BP:BP,'WBS Summary'!$B:$B, $B20, 'WBS Summary'!$AH:$AH, $C20,'WBS Summary'!$AJ:$AJ, $H20)</f>
        <v>0</v>
      </c>
      <c r="W20" s="134">
        <f>SUMIFS('WBS Summary'!BQ:BQ,'WBS Summary'!$B:$B, $B20, 'WBS Summary'!$AH:$AH, $C20,'WBS Summary'!$AJ:$AJ, $H20)</f>
        <v>0</v>
      </c>
      <c r="X20" s="134">
        <f>SUMIFS('WBS Summary'!BR:BR,'WBS Summary'!$B:$B, $B20, 'WBS Summary'!$AH:$AH, $C20,'WBS Summary'!$AJ:$AJ, $H20)</f>
        <v>0</v>
      </c>
      <c r="Y20" s="134">
        <f>SUMIFS('WBS Summary'!BS:BS,'WBS Summary'!$B:$B, $B20, 'WBS Summary'!$AH:$AH, $C20,'WBS Summary'!$AJ:$AJ, $H20)</f>
        <v>0</v>
      </c>
      <c r="Z20" s="134">
        <f>SUMIFS('WBS Summary'!BT:BT,'WBS Summary'!$B:$B, $B20, 'WBS Summary'!$AH:$AH, $C20,'WBS Summary'!$AJ:$AJ, $H20)</f>
        <v>0</v>
      </c>
      <c r="AA20" s="134">
        <f>SUMIFS('WBS Summary'!BU:BU,'WBS Summary'!$B:$B, $B20, 'WBS Summary'!$AH:$AH, $C20,'WBS Summary'!$AJ:$AJ, $H20)</f>
        <v>0</v>
      </c>
      <c r="AB20" s="134">
        <f>SUMIFS('WBS Summary'!BV:BV,'WBS Summary'!$B:$B, $B20, 'WBS Summary'!$AH:$AH, $C20,'WBS Summary'!$AJ:$AJ, $H20)</f>
        <v>0</v>
      </c>
      <c r="AC20" s="134">
        <f>SUMIFS('WBS Summary'!BW:BW,'WBS Summary'!$B:$B, $B20, 'WBS Summary'!$AH:$AH, $C20,'WBS Summary'!$AJ:$AJ, $H20)</f>
        <v>0</v>
      </c>
      <c r="AD20" s="134">
        <f>SUMIFS('WBS Summary'!BX:BX,'WBS Summary'!$B:$B, $B20, 'WBS Summary'!$AH:$AH, $C20,'WBS Summary'!$AJ:$AJ, $H20)</f>
        <v>0</v>
      </c>
      <c r="AE20" s="134">
        <f>SUMIFS('WBS Summary'!BY:BY,'WBS Summary'!$B:$B, $B20, 'WBS Summary'!$AH:$AH, $C20,'WBS Summary'!$AJ:$AJ, $H20)</f>
        <v>0</v>
      </c>
      <c r="AF20" s="134">
        <f>SUMIFS('WBS Summary'!BZ:BZ,'WBS Summary'!$B:$B, $B20, 'WBS Summary'!$AH:$AH, $C20,'WBS Summary'!$AJ:$AJ, $H20)</f>
        <v>0</v>
      </c>
      <c r="AG20" s="134">
        <f>SUMIFS('WBS Summary'!CA:CA,'WBS Summary'!$B:$B, $B20, 'WBS Summary'!$AH:$AH, $C20,'WBS Summary'!$AJ:$AJ, $H20)</f>
        <v>0</v>
      </c>
      <c r="AH20" s="134">
        <f>SUMIFS('WBS Summary'!CB:CB,'WBS Summary'!$B:$B, $B20, 'WBS Summary'!$AH:$AH, $C20,'WBS Summary'!$AJ:$AJ, $H20)</f>
        <v>0</v>
      </c>
      <c r="AI20" s="134">
        <f>SUMIFS('WBS Summary'!CC:CC,'WBS Summary'!$B:$B, $B20, 'WBS Summary'!$AH:$AH, $C20,'WBS Summary'!$AJ:$AJ, $H20)</f>
        <v>0</v>
      </c>
      <c r="AJ20" s="134">
        <f>SUMIFS('WBS Summary'!CD:CD,'WBS Summary'!$B:$B, $B20, 'WBS Summary'!$AH:$AH, $C20,'WBS Summary'!$AJ:$AJ, $H20)</f>
        <v>0</v>
      </c>
      <c r="AK20" s="134">
        <f>SUMIFS('WBS Summary'!CE:CE,'WBS Summary'!$B:$B, $B20, 'WBS Summary'!$AH:$AH, $C20,'WBS Summary'!$AJ:$AJ, $H20)</f>
        <v>0</v>
      </c>
      <c r="AL20" s="134">
        <f>SUMIFS('WBS Summary'!CF:CF,'WBS Summary'!$B:$B, $B20, 'WBS Summary'!$AH:$AH, $C20,'WBS Summary'!$AJ:$AJ, $H20)</f>
        <v>0</v>
      </c>
      <c r="AM20" s="134">
        <f>SUMIFS('WBS Summary'!CG:CG,'WBS Summary'!$B:$B, $B20, 'WBS Summary'!$AH:$AH, $C20,'WBS Summary'!$AJ:$AJ, $H20)</f>
        <v>0</v>
      </c>
      <c r="AN20" s="134">
        <f>SUMIFS('WBS Summary'!CH:CH,'WBS Summary'!$B:$B, $B20, 'WBS Summary'!$AH:$AH, $C20,'WBS Summary'!$AJ:$AJ, $H20)</f>
        <v>0</v>
      </c>
      <c r="AO20" s="134">
        <f>SUMIFS('WBS Summary'!CI:CI,'WBS Summary'!$B:$B, $B20, 'WBS Summary'!$AH:$AH, $C20,'WBS Summary'!$AJ:$AJ, $H20)</f>
        <v>0</v>
      </c>
      <c r="AP20" s="134">
        <f>SUMIFS('WBS Summary'!CJ:CJ,'WBS Summary'!$B:$B, $B20, 'WBS Summary'!$AH:$AH, $C20,'WBS Summary'!$AJ:$AJ, $H20)</f>
        <v>0</v>
      </c>
      <c r="AQ20" s="134">
        <f>SUMIFS('WBS Summary'!CK:CK,'WBS Summary'!$B:$B, $B20, 'WBS Summary'!$AH:$AH, $C20,'WBS Summary'!$AJ:$AJ, $H20)</f>
        <v>0</v>
      </c>
      <c r="AR20" s="134">
        <f>SUMIFS('WBS Summary'!CL:CL,'WBS Summary'!$B:$B, $B20, 'WBS Summary'!$AH:$AH, $C20,'WBS Summary'!$AJ:$AJ, $H20)</f>
        <v>0</v>
      </c>
      <c r="AS20" s="134">
        <f>SUMIFS('WBS Summary'!CM:CM,'WBS Summary'!$B:$B, $B20, 'WBS Summary'!$AH:$AH, $C20,'WBS Summary'!$AJ:$AJ, $H20)</f>
        <v>0</v>
      </c>
      <c r="AT20" s="134">
        <f>SUMIFS('WBS Summary'!CN:CN,'WBS Summary'!$B:$B, $B20, 'WBS Summary'!$AH:$AH, $C20,'WBS Summary'!$AJ:$AJ, $H20)</f>
        <v>0</v>
      </c>
      <c r="AU20" s="134">
        <f>SUMIFS('WBS Summary'!CO:CO,'WBS Summary'!$B:$B, $B20, 'WBS Summary'!$AH:$AH, $C20,'WBS Summary'!$AJ:$AJ, $H20)</f>
        <v>0</v>
      </c>
      <c r="AV20" s="134">
        <f>SUMIFS('WBS Summary'!CP:CP,'WBS Summary'!$B:$B, $B20, 'WBS Summary'!$AH:$AH, $C20,'WBS Summary'!$AJ:$AJ, $H20)</f>
        <v>0</v>
      </c>
      <c r="AW20" s="134">
        <f>SUMIFS('WBS Summary'!CQ:CQ,'WBS Summary'!$B:$B, $B20, 'WBS Summary'!$AH:$AH, $C20,'WBS Summary'!$AJ:$AJ, $H20)</f>
        <v>0</v>
      </c>
      <c r="AX20" s="134">
        <f>SUMIFS('WBS Summary'!CR:CR,'WBS Summary'!$B:$B, $B20, 'WBS Summary'!$AH:$AH, $C20,'WBS Summary'!$AJ:$AJ, $H20)</f>
        <v>0</v>
      </c>
      <c r="AY20" s="134">
        <f>SUMIFS('WBS Summary'!CS:CS,'WBS Summary'!$B:$B, $B20, 'WBS Summary'!$AH:$AH, $C20,'WBS Summary'!$AJ:$AJ, $H20)</f>
        <v>0</v>
      </c>
      <c r="AZ20" s="134">
        <f>SUMIFS('WBS Summary'!CT:CT,'WBS Summary'!$B:$B, $B20, 'WBS Summary'!$AH:$AH, $C20,'WBS Summary'!$AJ:$AJ, $H20)</f>
        <v>0</v>
      </c>
      <c r="BA20" s="134">
        <f>SUMIFS('WBS Summary'!CU:CU,'WBS Summary'!$B:$B, $B20, 'WBS Summary'!$AH:$AH, $C20,'WBS Summary'!$AJ:$AJ, $H20)</f>
        <v>0</v>
      </c>
      <c r="BB20" s="134">
        <f>SUMIFS('WBS Summary'!CV:CV,'WBS Summary'!$B:$B, $B20, 'WBS Summary'!$AH:$AH, $C20,'WBS Summary'!$AJ:$AJ, $H20)</f>
        <v>0</v>
      </c>
      <c r="BC20" s="134">
        <f>SUMIFS('WBS Summary'!CW:CW,'WBS Summary'!$B:$B, $B20, 'WBS Summary'!$AH:$AH, $C20,'WBS Summary'!$AJ:$AJ, $H20)</f>
        <v>0</v>
      </c>
      <c r="BD20" s="134">
        <f>SUMIFS('WBS Summary'!CX:CX,'WBS Summary'!$B:$B, $B20, 'WBS Summary'!$AH:$AH, $C20,'WBS Summary'!$AJ:$AJ, $H20)</f>
        <v>0</v>
      </c>
      <c r="BE20" s="134">
        <f>SUMIFS('WBS Summary'!CY:CY,'WBS Summary'!$B:$B, $B20, 'WBS Summary'!$AH:$AH, $C20,'WBS Summary'!$AJ:$AJ, $H20)</f>
        <v>0</v>
      </c>
      <c r="BF20" s="134">
        <f>SUMIFS('WBS Summary'!CZ:CZ,'WBS Summary'!$B:$B, $B20, 'WBS Summary'!$AH:$AH, $C20,'WBS Summary'!$AJ:$AJ, $H20)</f>
        <v>0</v>
      </c>
      <c r="BG20" s="134">
        <f>SUMIFS('WBS Summary'!DA:DA,'WBS Summary'!$B:$B, $B20, 'WBS Summary'!$AH:$AH, $C20,'WBS Summary'!$AJ:$AJ, $H20)</f>
        <v>0</v>
      </c>
      <c r="BH20" s="134">
        <f>SUMIFS('WBS Summary'!DB:DB,'WBS Summary'!$B:$B, $B20, 'WBS Summary'!$AH:$AH, $C20,'WBS Summary'!$AJ:$AJ, $H20)</f>
        <v>0</v>
      </c>
      <c r="BI20" s="134">
        <f>SUMIFS('WBS Summary'!DC:DC,'WBS Summary'!$B:$B, $B20, 'WBS Summary'!$AH:$AH, $C20,'WBS Summary'!$AJ:$AJ, $H20)</f>
        <v>0</v>
      </c>
      <c r="BJ20" s="134">
        <f>SUMIFS('WBS Summary'!DD:DD,'WBS Summary'!$B:$B, $B20, 'WBS Summary'!$AH:$AH, $C20,'WBS Summary'!$AJ:$AJ, $H20)</f>
        <v>0</v>
      </c>
      <c r="BK20" s="134">
        <f>SUMIFS('WBS Summary'!DE:DE,'WBS Summary'!$B:$B, $B20, 'WBS Summary'!$AH:$AH, $C20,'WBS Summary'!$AJ:$AJ, $H20)</f>
        <v>0</v>
      </c>
      <c r="BL20" s="134">
        <f>SUMIFS('WBS Summary'!DF:DF,'WBS Summary'!$B:$B, $B20, 'WBS Summary'!$AH:$AH, $C20,'WBS Summary'!$AJ:$AJ, $H20)</f>
        <v>0</v>
      </c>
      <c r="BM20" s="134">
        <f>SUMIFS('WBS Summary'!DG:DG,'WBS Summary'!$B:$B, $B20, 'WBS Summary'!$AH:$AH, $C20,'WBS Summary'!$AJ:$AJ, $H20)</f>
        <v>0</v>
      </c>
      <c r="BN20" s="134">
        <f>SUMIFS('WBS Summary'!DH:DH,'WBS Summary'!$B:$B, $B20, 'WBS Summary'!$AH:$AH, $C20,'WBS Summary'!$AJ:$AJ, $H20)</f>
        <v>0</v>
      </c>
      <c r="BO20" s="134">
        <f>SUMIFS('WBS Summary'!DI:DI,'WBS Summary'!$B:$B, $B20, 'WBS Summary'!$AH:$AH, $C20,'WBS Summary'!$AJ:$AJ, $H20)</f>
        <v>0</v>
      </c>
      <c r="BP20" s="134">
        <f>SUMIFS('WBS Summary'!DJ:DJ,'WBS Summary'!$B:$B, $B20, 'WBS Summary'!$AH:$AH, $C20,'WBS Summary'!$AJ:$AJ, $H20)</f>
        <v>0</v>
      </c>
      <c r="BQ20" s="134">
        <f>SUMIFS('WBS Summary'!DK:DK,'WBS Summary'!$B:$B, $B20, 'WBS Summary'!$AH:$AH, $C20,'WBS Summary'!$AJ:$AJ, $H20)</f>
        <v>0</v>
      </c>
      <c r="BR20" s="134">
        <f>SUMIFS('WBS Summary'!DL:DL,'WBS Summary'!$B:$B, $B20, 'WBS Summary'!$AH:$AH, $C20,'WBS Summary'!$AJ:$AJ, $H20)</f>
        <v>0</v>
      </c>
      <c r="BS20" s="134">
        <f>SUMIFS('WBS Summary'!DM:DM,'WBS Summary'!$B:$B, $B20, 'WBS Summary'!$AH:$AH, $C20,'WBS Summary'!$AJ:$AJ, $H20)</f>
        <v>0</v>
      </c>
      <c r="BT20" s="134">
        <f>SUMIFS('WBS Summary'!DN:DN,'WBS Summary'!$B:$B, $B20, 'WBS Summary'!$AH:$AH, $C20,'WBS Summary'!$AJ:$AJ, $H20)</f>
        <v>0</v>
      </c>
      <c r="BU20" s="134">
        <f>SUMIFS('WBS Summary'!DO:DO,'WBS Summary'!$B:$B, $B20, 'WBS Summary'!$AH:$AH, $C20,'WBS Summary'!$AJ:$AJ, $H20)</f>
        <v>0</v>
      </c>
      <c r="BV20" s="134">
        <f>SUMIFS('WBS Summary'!DP:DP,'WBS Summary'!$B:$B, $B20, 'WBS Summary'!$AH:$AH, $C20,'WBS Summary'!$AJ:$AJ, $H20)</f>
        <v>0</v>
      </c>
      <c r="BW20" s="134">
        <f>SUMIFS('WBS Summary'!DQ:DQ,'WBS Summary'!$B:$B, $B20, 'WBS Summary'!$AH:$AH, $C20,'WBS Summary'!$AJ:$AJ, $H20)</f>
        <v>0</v>
      </c>
      <c r="BX20" s="134">
        <f>SUMIFS('WBS Summary'!DR:DR,'WBS Summary'!$B:$B, $B20, 'WBS Summary'!$AH:$AH, $C20,'WBS Summary'!$AJ:$AJ, $H20)</f>
        <v>0</v>
      </c>
      <c r="BY20" s="134">
        <f>SUMIFS('WBS Summary'!DS:DS,'WBS Summary'!$B:$B, $B20, 'WBS Summary'!$AH:$AH, $C20,'WBS Summary'!$AJ:$AJ, $H20)</f>
        <v>0</v>
      </c>
      <c r="BZ20" s="134">
        <f>SUMIFS('WBS Summary'!DT:DT,'WBS Summary'!$B:$B, $B20, 'WBS Summary'!$AH:$AH, $C20,'WBS Summary'!$AJ:$AJ, $H20)</f>
        <v>0</v>
      </c>
      <c r="CA20" s="134">
        <f>SUMIFS('WBS Summary'!DU:DU,'WBS Summary'!$B:$B, $B20, 'WBS Summary'!$AH:$AH, $C20,'WBS Summary'!$AJ:$AJ, $H20)</f>
        <v>0</v>
      </c>
      <c r="CB20" s="134">
        <f>SUMIFS('WBS Summary'!DV:DV,'WBS Summary'!$B:$B, $B20, 'WBS Summary'!$AH:$AH, $C20,'WBS Summary'!$AJ:$AJ, $H20)</f>
        <v>0</v>
      </c>
      <c r="CC20" s="134">
        <f>SUMIFS('WBS Summary'!DW:DW,'WBS Summary'!$B:$B, $B20, 'WBS Summary'!$AH:$AH, $C20,'WBS Summary'!$AJ:$AJ, $H20)</f>
        <v>0</v>
      </c>
      <c r="CD20" s="134">
        <f>SUMIFS('WBS Summary'!DX:DX,'WBS Summary'!$B:$B, $B20, 'WBS Summary'!$AH:$AH, $C20,'WBS Summary'!$AJ:$AJ, $H20)</f>
        <v>0</v>
      </c>
      <c r="CE20" s="134">
        <f>SUMIFS('WBS Summary'!DY:DY,'WBS Summary'!$B:$B, $B20, 'WBS Summary'!$AH:$AH, $C20,'WBS Summary'!$AJ:$AJ, $H20)</f>
        <v>0</v>
      </c>
      <c r="CF20" s="134">
        <f>SUMIFS('WBS Summary'!DZ:DZ,'WBS Summary'!$B:$B, $B20, 'WBS Summary'!$AH:$AH, $C20,'WBS Summary'!$AJ:$AJ, $H20)</f>
        <v>0</v>
      </c>
      <c r="CG20" s="134">
        <f>SUMIFS('WBS Summary'!EA:EA,'WBS Summary'!$B:$B, $B20, 'WBS Summary'!$AH:$AH, $C20,'WBS Summary'!$AJ:$AJ, $H20)</f>
        <v>0</v>
      </c>
      <c r="CH20" s="134">
        <f>SUMIFS('WBS Summary'!EB:EB,'WBS Summary'!$B:$B, $B20, 'WBS Summary'!$AH:$AH, $C20,'WBS Summary'!$AJ:$AJ, $H20)</f>
        <v>0</v>
      </c>
      <c r="CI20" s="134">
        <f>SUMIFS('WBS Summary'!EC:EC,'WBS Summary'!$B:$B, $B20, 'WBS Summary'!$AH:$AH, $C20,'WBS Summary'!$AJ:$AJ, $H20)</f>
        <v>0</v>
      </c>
      <c r="CJ20" s="134">
        <f>SUMIFS('WBS Summary'!ED:ED,'WBS Summary'!$B:$B, $B20, 'WBS Summary'!$AH:$AH, $C20,'WBS Summary'!$AJ:$AJ, $H20)</f>
        <v>0</v>
      </c>
      <c r="CK20" s="134">
        <f>SUMIFS('WBS Summary'!EE:EE,'WBS Summary'!$B:$B, $B20, 'WBS Summary'!$AH:$AH, $C20,'WBS Summary'!$AJ:$AJ, $H20)</f>
        <v>0</v>
      </c>
      <c r="CL20" s="134">
        <f>SUMIFS('WBS Summary'!EF:EF,'WBS Summary'!$B:$B, $B20, 'WBS Summary'!$AH:$AH, $C20,'WBS Summary'!$AJ:$AJ, $H20)</f>
        <v>0</v>
      </c>
      <c r="CM20" s="134">
        <f>SUMIFS('WBS Summary'!EG:EG,'WBS Summary'!$B:$B, $B20, 'WBS Summary'!$AH:$AH, $C20,'WBS Summary'!$AJ:$AJ, $H20)</f>
        <v>0</v>
      </c>
      <c r="CN20" s="134">
        <f>SUMIFS('WBS Summary'!EH:EH,'WBS Summary'!$B:$B, $B20, 'WBS Summary'!$AH:$AH, $C20,'WBS Summary'!$AJ:$AJ, $H20)</f>
        <v>0</v>
      </c>
      <c r="CO20" s="134">
        <f>SUMIFS('WBS Summary'!EI:EI,'WBS Summary'!$B:$B, $B20, 'WBS Summary'!$AH:$AH, $C20,'WBS Summary'!$AJ:$AJ, $H20)</f>
        <v>0</v>
      </c>
      <c r="CP20" s="134">
        <f>SUMIFS('WBS Summary'!EJ:EJ,'WBS Summary'!$B:$B, $B20, 'WBS Summary'!$AH:$AH, $C20,'WBS Summary'!$AJ:$AJ, $H20)</f>
        <v>0</v>
      </c>
      <c r="CQ20" s="134">
        <f>SUMIFS('WBS Summary'!EK:EK,'WBS Summary'!$B:$B, $B20, 'WBS Summary'!$AH:$AH, $C20,'WBS Summary'!$AJ:$AJ, $H20)</f>
        <v>0</v>
      </c>
      <c r="CR20" s="134">
        <f>SUMIFS('WBS Summary'!EL:EL,'WBS Summary'!$B:$B, $B20, 'WBS Summary'!$AH:$AH, $C20,'WBS Summary'!$AJ:$AJ, $H20)</f>
        <v>0</v>
      </c>
      <c r="CS20" s="134">
        <f>SUMIFS('WBS Summary'!EM:EM,'WBS Summary'!$B:$B, $B20, 'WBS Summary'!$AH:$AH, $C20,'WBS Summary'!$AJ:$AJ, $H20)</f>
        <v>0</v>
      </c>
      <c r="CT20" s="134">
        <f>SUMIFS('WBS Summary'!EN:EN,'WBS Summary'!$B:$B, $B20, 'WBS Summary'!$AH:$AH, $C20,'WBS Summary'!$AJ:$AJ, $H20)</f>
        <v>0</v>
      </c>
      <c r="CU20" s="134">
        <f>SUMIFS('WBS Summary'!EO:EO,'WBS Summary'!$B:$B, $B20, 'WBS Summary'!$AH:$AH, $C20,'WBS Summary'!$AJ:$AJ, $H20)</f>
        <v>0</v>
      </c>
      <c r="CV20" s="134">
        <f>SUMIFS('WBS Summary'!EP:EP,'WBS Summary'!$B:$B, $B20, 'WBS Summary'!$AH:$AH, $C20,'WBS Summary'!$AJ:$AJ, $H20)</f>
        <v>0</v>
      </c>
      <c r="CW20" s="134">
        <f>SUMIFS('WBS Summary'!EQ:EQ,'WBS Summary'!$B:$B, $B20, 'WBS Summary'!$AH:$AH, $C20,'WBS Summary'!$AJ:$AJ, $H20)</f>
        <v>0</v>
      </c>
      <c r="CX20" s="134">
        <f>SUMIFS('WBS Summary'!ER:ER,'WBS Summary'!$B:$B, $B20, 'WBS Summary'!$AH:$AH, $C20,'WBS Summary'!$AJ:$AJ, $H20)</f>
        <v>0</v>
      </c>
      <c r="CY20" s="134">
        <f>SUMIFS('WBS Summary'!ES:ES,'WBS Summary'!$B:$B, $B20, 'WBS Summary'!$AH:$AH, $C20,'WBS Summary'!$AJ:$AJ, $H20)</f>
        <v>0</v>
      </c>
      <c r="CZ20" s="134">
        <f>SUMIFS('WBS Summary'!ET:ET,'WBS Summary'!$B:$B, $B20, 'WBS Summary'!$AH:$AH, $C20,'WBS Summary'!$AJ:$AJ, $H20)</f>
        <v>0</v>
      </c>
      <c r="DA20" s="134">
        <f>SUMIFS('WBS Summary'!EU:EU,'WBS Summary'!$B:$B, $B20, 'WBS Summary'!$AH:$AH, $C20,'WBS Summary'!$AJ:$AJ, $H20)</f>
        <v>0</v>
      </c>
      <c r="DB20" s="134">
        <f>SUMIFS('WBS Summary'!EV:EV,'WBS Summary'!$B:$B, $B20, 'WBS Summary'!$AH:$AH, $C20,'WBS Summary'!$AJ:$AJ, $H20)</f>
        <v>0</v>
      </c>
      <c r="DC20" s="134">
        <f>SUMIFS('WBS Summary'!EW:EW,'WBS Summary'!$B:$B, $B20, 'WBS Summary'!$AH:$AH, $C20,'WBS Summary'!$AJ:$AJ, $H20)</f>
        <v>0</v>
      </c>
      <c r="DD20" s="134">
        <f>SUMIFS('WBS Summary'!EX:EX,'WBS Summary'!$B:$B, $B20, 'WBS Summary'!$AH:$AH, $C20,'WBS Summary'!$AJ:$AJ, $H20)</f>
        <v>0</v>
      </c>
      <c r="DE20" s="134">
        <f>SUMIFS('WBS Summary'!EY:EY,'WBS Summary'!$B:$B, $B20, 'WBS Summary'!$AH:$AH, $C20,'WBS Summary'!$AJ:$AJ, $H20)</f>
        <v>0</v>
      </c>
      <c r="DF20"/>
      <c r="DG20" s="134">
        <f>SUMIFS('WBS Summary'!FR:FR,'WBS Summary'!$B:$B, $B20, 'WBS Summary'!$AH:$AH, $C20,'WBS Summary'!$AJ:$AJ, $H20)</f>
        <v>0</v>
      </c>
      <c r="DH20" s="134">
        <f>SUMIFS('WBS Summary'!FS:FS,'WBS Summary'!$B:$B, $B20, 'WBS Summary'!$AH:$AH, $C20,'WBS Summary'!$AJ:$AJ, $H20)</f>
        <v>0</v>
      </c>
      <c r="DI20" s="134">
        <f>SUMIFS('WBS Summary'!FT:FT,'WBS Summary'!$B:$B, $B20, 'WBS Summary'!$AH:$AH, $C20,'WBS Summary'!$AJ:$AJ, $H20)</f>
        <v>0</v>
      </c>
      <c r="DJ20" s="134">
        <f>SUMIFS('WBS Summary'!FU:FU,'WBS Summary'!$B:$B, $B20, 'WBS Summary'!$AH:$AH, $C20,'WBS Summary'!$AJ:$AJ, $H20)</f>
        <v>0</v>
      </c>
      <c r="DK20" s="134">
        <f>SUMIFS('WBS Summary'!FV:FV,'WBS Summary'!$B:$B, $B20, 'WBS Summary'!$AH:$AH, $C20,'WBS Summary'!$AJ:$AJ, $H20)</f>
        <v>0</v>
      </c>
      <c r="DL20" s="134">
        <f>SUMIFS('WBS Summary'!FW:FW,'WBS Summary'!$B:$B, $B20, 'WBS Summary'!$AH:$AH, $C20,'WBS Summary'!$AJ:$AJ, $H20)</f>
        <v>0</v>
      </c>
      <c r="DM20" s="134">
        <f>SUMIFS('WBS Summary'!FX:FX,'WBS Summary'!$B:$B, $B20, 'WBS Summary'!$AH:$AH, $C20,'WBS Summary'!$AJ:$AJ, $H20)</f>
        <v>0</v>
      </c>
      <c r="DN20" s="134">
        <f>SUMIFS('WBS Summary'!FY:FY,'WBS Summary'!$B:$B, $B20, 'WBS Summary'!$AH:$AH, $C20,'WBS Summary'!$AJ:$AJ, $H20)</f>
        <v>0</v>
      </c>
      <c r="DO20" s="134">
        <f>SUMIFS('WBS Summary'!FZ:FZ,'WBS Summary'!$B:$B, $B20, 'WBS Summary'!$AH:$AH, $C20,'WBS Summary'!$AJ:$AJ, $H20)</f>
        <v>0</v>
      </c>
      <c r="DP20" s="134">
        <f>SUMIFS('WBS Summary'!GA:GA,'WBS Summary'!$B:$B, $B20, 'WBS Summary'!$AH:$AH, $C20,'WBS Summary'!$AJ:$AJ, $H20)</f>
        <v>0</v>
      </c>
      <c r="DQ20" s="134">
        <f>SUMIFS('WBS Summary'!GB:GB,'WBS Summary'!$B:$B, $B20, 'WBS Summary'!$AH:$AH, $C20,'WBS Summary'!$AJ:$AJ, $H20)</f>
        <v>0</v>
      </c>
      <c r="DR20" s="134">
        <f>SUMIFS('WBS Summary'!GC:GC,'WBS Summary'!$B:$B, $B20, 'WBS Summary'!$AH:$AH, $C20,'WBS Summary'!$AJ:$AJ, $H20)</f>
        <v>0</v>
      </c>
      <c r="DS20" s="134">
        <f>SUMIFS('WBS Summary'!GD:GD,'WBS Summary'!$B:$B, $B20, 'WBS Summary'!$AH:$AH, $C20,'WBS Summary'!$AJ:$AJ, $H20)</f>
        <v>0</v>
      </c>
      <c r="DT20" s="134">
        <f>SUMIFS('WBS Summary'!GE:GE,'WBS Summary'!$B:$B, $B20, 'WBS Summary'!$AH:$AH, $C20,'WBS Summary'!$AJ:$AJ, $H20)</f>
        <v>0</v>
      </c>
      <c r="DU20" s="134">
        <f>SUMIFS('WBS Summary'!GF:GF,'WBS Summary'!$B:$B, $B20, 'WBS Summary'!$AH:$AH, $C20,'WBS Summary'!$AJ:$AJ, $H20)</f>
        <v>0</v>
      </c>
      <c r="DV20" s="134">
        <f>SUMIFS('WBS Summary'!GG:GG,'WBS Summary'!$B:$B, $B20, 'WBS Summary'!$AH:$AH, $C20,'WBS Summary'!$AJ:$AJ, $H20)</f>
        <v>0</v>
      </c>
      <c r="DW20" s="134">
        <f>SUMIFS('WBS Summary'!GH:GH,'WBS Summary'!$B:$B, $B20, 'WBS Summary'!$AH:$AH, $C20,'WBS Summary'!$AJ:$AJ, $H20)</f>
        <v>0</v>
      </c>
      <c r="DX20" s="134">
        <f>SUMIFS('WBS Summary'!GI:GI,'WBS Summary'!$B:$B, $B20, 'WBS Summary'!$AH:$AH, $C20,'WBS Summary'!$AJ:$AJ, $H20)</f>
        <v>0</v>
      </c>
      <c r="DY20" s="134">
        <f>SUMIFS('WBS Summary'!GJ:GJ,'WBS Summary'!$B:$B, $B20, 'WBS Summary'!$AH:$AH, $C20,'WBS Summary'!$AJ:$AJ, $H20)</f>
        <v>0</v>
      </c>
      <c r="DZ20" s="134">
        <f>SUMIFS('WBS Summary'!GK:GK,'WBS Summary'!$B:$B, $B20, 'WBS Summary'!$AH:$AH, $C20,'WBS Summary'!$AJ:$AJ, $H20)</f>
        <v>0</v>
      </c>
      <c r="EA20" s="134">
        <f>SUMIFS('WBS Summary'!GL:GL,'WBS Summary'!$B:$B, $B20, 'WBS Summary'!$AH:$AH, $C20,'WBS Summary'!$AJ:$AJ, $H20)</f>
        <v>0</v>
      </c>
      <c r="EB20" s="134">
        <f>SUMIFS('WBS Summary'!GM:GM,'WBS Summary'!$B:$B, $B20, 'WBS Summary'!$AH:$AH, $C20,'WBS Summary'!$AJ:$AJ, $H20)</f>
        <v>0</v>
      </c>
      <c r="EC20" s="134">
        <f>SUMIFS('WBS Summary'!GN:GN,'WBS Summary'!$B:$B, $B20, 'WBS Summary'!$AH:$AH, $C20,'WBS Summary'!$AJ:$AJ, $H20)</f>
        <v>0</v>
      </c>
      <c r="ED20" s="134">
        <f>SUMIFS('WBS Summary'!GO:GO,'WBS Summary'!$B:$B, $B20, 'WBS Summary'!$AH:$AH, $C20,'WBS Summary'!$AJ:$AJ, $H20)</f>
        <v>0</v>
      </c>
      <c r="EE20" s="134">
        <f>SUMIFS('WBS Summary'!GP:GP,'WBS Summary'!$B:$B, $B20, 'WBS Summary'!$AH:$AH, $C20,'WBS Summary'!$AJ:$AJ, $H20)</f>
        <v>0</v>
      </c>
      <c r="EF20" s="134">
        <f>SUMIFS('WBS Summary'!GQ:GQ,'WBS Summary'!$B:$B, $B20, 'WBS Summary'!$AH:$AH, $C20,'WBS Summary'!$AJ:$AJ, $H20)</f>
        <v>0</v>
      </c>
      <c r="EG20" s="134">
        <f>SUMIFS('WBS Summary'!GR:GR,'WBS Summary'!$B:$B, $B20, 'WBS Summary'!$AH:$AH, $C20,'WBS Summary'!$AJ:$AJ, $H20)</f>
        <v>0</v>
      </c>
      <c r="EH20" s="134">
        <f>SUMIFS('WBS Summary'!GS:GS,'WBS Summary'!$B:$B, $B20, 'WBS Summary'!$AH:$AH, $C20,'WBS Summary'!$AJ:$AJ, $H20)</f>
        <v>0</v>
      </c>
      <c r="EI20" s="134">
        <f>SUMIFS('WBS Summary'!GT:GT,'WBS Summary'!$B:$B, $B20, 'WBS Summary'!$AH:$AH, $C20,'WBS Summary'!$AJ:$AJ, $H20)</f>
        <v>0</v>
      </c>
      <c r="EJ20" s="134">
        <f>SUMIFS('WBS Summary'!GU:GU,'WBS Summary'!$B:$B, $B20, 'WBS Summary'!$AH:$AH, $C20,'WBS Summary'!$AJ:$AJ, $H20)</f>
        <v>0</v>
      </c>
      <c r="EK20" s="134">
        <f>SUMIFS('WBS Summary'!GV:GV,'WBS Summary'!$B:$B, $B20, 'WBS Summary'!$AH:$AH, $C20,'WBS Summary'!$AJ:$AJ, $H20)</f>
        <v>0</v>
      </c>
      <c r="EL20" s="134">
        <f>SUMIFS('WBS Summary'!GW:GW,'WBS Summary'!$B:$B, $B20, 'WBS Summary'!$AH:$AH, $C20,'WBS Summary'!$AJ:$AJ, $H20)</f>
        <v>0</v>
      </c>
      <c r="EM20" s="134">
        <f>SUMIFS('WBS Summary'!GX:GX,'WBS Summary'!$B:$B, $B20, 'WBS Summary'!$AH:$AH, $C20,'WBS Summary'!$AJ:$AJ, $H20)</f>
        <v>0</v>
      </c>
      <c r="EN20" s="134">
        <f>SUMIFS('WBS Summary'!GY:GY,'WBS Summary'!$B:$B, $B20, 'WBS Summary'!$AH:$AH, $C20,'WBS Summary'!$AJ:$AJ, $H20)</f>
        <v>0</v>
      </c>
      <c r="EO20" s="134">
        <f>SUMIFS('WBS Summary'!GZ:GZ,'WBS Summary'!$B:$B, $B20, 'WBS Summary'!$AH:$AH, $C20,'WBS Summary'!$AJ:$AJ, $H20)</f>
        <v>0</v>
      </c>
      <c r="EP20" s="134">
        <f>SUMIFS('WBS Summary'!HA:HA,'WBS Summary'!$B:$B, $B20, 'WBS Summary'!$AH:$AH, $C20,'WBS Summary'!$AJ:$AJ, $H20)</f>
        <v>0</v>
      </c>
      <c r="EQ20" s="134">
        <f>SUMIFS('WBS Summary'!HB:HB,'WBS Summary'!$B:$B, $B20, 'WBS Summary'!$AH:$AH, $C20,'WBS Summary'!$AJ:$AJ, $H20)</f>
        <v>0</v>
      </c>
      <c r="ER20" s="134">
        <f>SUMIFS('WBS Summary'!HC:HC,'WBS Summary'!$B:$B, $B20, 'WBS Summary'!$AH:$AH, $C20,'WBS Summary'!$AJ:$AJ, $H20)</f>
        <v>0</v>
      </c>
      <c r="ES20" s="134">
        <f>SUMIFS('WBS Summary'!HD:HD,'WBS Summary'!$B:$B, $B20, 'WBS Summary'!$AH:$AH, $C20,'WBS Summary'!$AJ:$AJ, $H20)</f>
        <v>0</v>
      </c>
      <c r="ET20" s="134">
        <f>SUMIFS('WBS Summary'!HE:HE,'WBS Summary'!$B:$B, $B20, 'WBS Summary'!$AH:$AH, $C20,'WBS Summary'!$AJ:$AJ, $H20)</f>
        <v>0</v>
      </c>
      <c r="EU20" s="134">
        <f>SUMIFS('WBS Summary'!HF:HF,'WBS Summary'!$B:$B, $B20, 'WBS Summary'!$AH:$AH, $C20,'WBS Summary'!$AJ:$AJ, $H20)</f>
        <v>0</v>
      </c>
      <c r="EV20" s="134">
        <f>SUMIFS('WBS Summary'!HG:HG,'WBS Summary'!$B:$B, $B20, 'WBS Summary'!$AH:$AH, $C20,'WBS Summary'!$AJ:$AJ, $H20)</f>
        <v>0</v>
      </c>
      <c r="EW20" s="134">
        <f>SUMIFS('WBS Summary'!HH:HH,'WBS Summary'!$B:$B, $B20, 'WBS Summary'!$AH:$AH, $C20,'WBS Summary'!$AJ:$AJ, $H20)</f>
        <v>0</v>
      </c>
      <c r="EX20" s="134">
        <f>SUMIFS('WBS Summary'!HI:HI,'WBS Summary'!$B:$B, $B20, 'WBS Summary'!$AH:$AH, $C20,'WBS Summary'!$AJ:$AJ, $H20)</f>
        <v>0</v>
      </c>
      <c r="EY20" s="134">
        <f>SUMIFS('WBS Summary'!HJ:HJ,'WBS Summary'!$B:$B, $B20, 'WBS Summary'!$AH:$AH, $C20,'WBS Summary'!$AJ:$AJ, $H20)</f>
        <v>0</v>
      </c>
      <c r="EZ20" s="134">
        <f>SUMIFS('WBS Summary'!HK:HK,'WBS Summary'!$B:$B, $B20, 'WBS Summary'!$AH:$AH, $C20,'WBS Summary'!$AJ:$AJ, $H20)</f>
        <v>0</v>
      </c>
      <c r="FA20" s="134">
        <f>SUMIFS('WBS Summary'!HL:HL,'WBS Summary'!$B:$B, $B20, 'WBS Summary'!$AH:$AH, $C20,'WBS Summary'!$AJ:$AJ, $H20)</f>
        <v>0</v>
      </c>
      <c r="FB20" s="134">
        <f>SUMIFS('WBS Summary'!HM:HM,'WBS Summary'!$B:$B, $B20, 'WBS Summary'!$AH:$AH, $C20,'WBS Summary'!$AJ:$AJ, $H20)</f>
        <v>0</v>
      </c>
      <c r="FC20" s="134">
        <f>SUMIFS('WBS Summary'!HN:HN,'WBS Summary'!$B:$B, $B20, 'WBS Summary'!$AH:$AH, $C20,'WBS Summary'!$AJ:$AJ, $H20)</f>
        <v>0</v>
      </c>
      <c r="FD20" s="134">
        <f>SUMIFS('WBS Summary'!HO:HO,'WBS Summary'!$B:$B, $B20, 'WBS Summary'!$AH:$AH, $C20,'WBS Summary'!$AJ:$AJ, $H20)</f>
        <v>0</v>
      </c>
      <c r="FE20" s="134">
        <f>SUMIFS('WBS Summary'!HP:HP,'WBS Summary'!$B:$B, $B20, 'WBS Summary'!$AH:$AH, $C20,'WBS Summary'!$AJ:$AJ, $H20)</f>
        <v>0</v>
      </c>
      <c r="FF20" s="134">
        <f>SUMIFS('WBS Summary'!HQ:HQ,'WBS Summary'!$B:$B, $B20, 'WBS Summary'!$AH:$AH, $C20,'WBS Summary'!$AJ:$AJ, $H20)</f>
        <v>0</v>
      </c>
      <c r="FG20" s="134">
        <f>SUMIFS('WBS Summary'!HR:HR,'WBS Summary'!$B:$B, $B20, 'WBS Summary'!$AH:$AH, $C20,'WBS Summary'!$AJ:$AJ, $H20)</f>
        <v>0</v>
      </c>
      <c r="FH20" s="134">
        <f>SUMIFS('WBS Summary'!HS:HS,'WBS Summary'!$B:$B, $B20, 'WBS Summary'!$AH:$AH, $C20,'WBS Summary'!$AJ:$AJ, $H20)</f>
        <v>0</v>
      </c>
      <c r="FI20" s="134">
        <f>SUMIFS('WBS Summary'!HT:HT,'WBS Summary'!$B:$B, $B20, 'WBS Summary'!$AH:$AH, $C20,'WBS Summary'!$AJ:$AJ, $H20)</f>
        <v>0</v>
      </c>
      <c r="FJ20" s="134">
        <f>SUMIFS('WBS Summary'!HU:HU,'WBS Summary'!$B:$B, $B20, 'WBS Summary'!$AH:$AH, $C20,'WBS Summary'!$AJ:$AJ, $H20)</f>
        <v>0</v>
      </c>
      <c r="FK20" s="134">
        <f>SUMIFS('WBS Summary'!HV:HV,'WBS Summary'!$B:$B, $B20, 'WBS Summary'!$AH:$AH, $C20,'WBS Summary'!$AJ:$AJ, $H20)</f>
        <v>0</v>
      </c>
      <c r="FL20" s="134">
        <f>SUMIFS('WBS Summary'!HW:HW,'WBS Summary'!$B:$B, $B20, 'WBS Summary'!$AH:$AH, $C20,'WBS Summary'!$AJ:$AJ, $H20)</f>
        <v>0</v>
      </c>
      <c r="FM20" s="134">
        <f>SUMIFS('WBS Summary'!HX:HX,'WBS Summary'!$B:$B, $B20, 'WBS Summary'!$AH:$AH, $C20,'WBS Summary'!$AJ:$AJ, $H20)</f>
        <v>0</v>
      </c>
      <c r="FN20" s="134">
        <f>SUMIFS('WBS Summary'!HY:HY,'WBS Summary'!$B:$B, $B20, 'WBS Summary'!$AH:$AH, $C20,'WBS Summary'!$AJ:$AJ, $H20)</f>
        <v>0</v>
      </c>
      <c r="FO20" s="134">
        <f>SUMIFS('WBS Summary'!HZ:HZ,'WBS Summary'!$B:$B, $B20, 'WBS Summary'!$AH:$AH, $C20,'WBS Summary'!$AJ:$AJ, $H20)</f>
        <v>0</v>
      </c>
      <c r="FP20" s="134">
        <f>SUMIFS('WBS Summary'!IA:IA,'WBS Summary'!$B:$B, $B20, 'WBS Summary'!$AH:$AH, $C20,'WBS Summary'!$AJ:$AJ, $H20)</f>
        <v>0</v>
      </c>
      <c r="FQ20" s="134">
        <f>SUMIFS('WBS Summary'!IB:IB,'WBS Summary'!$B:$B, $B20, 'WBS Summary'!$AH:$AH, $C20,'WBS Summary'!$AJ:$AJ, $H20)</f>
        <v>0</v>
      </c>
      <c r="FR20" s="134">
        <f>SUMIFS('WBS Summary'!IC:IC,'WBS Summary'!$B:$B, $B20, 'WBS Summary'!$AH:$AH, $C20,'WBS Summary'!$AJ:$AJ, $H20)</f>
        <v>0</v>
      </c>
      <c r="FS20" s="134">
        <f>SUMIFS('WBS Summary'!ID:ID,'WBS Summary'!$B:$B, $B20, 'WBS Summary'!$AH:$AH, $C20,'WBS Summary'!$AJ:$AJ, $H20)</f>
        <v>0</v>
      </c>
      <c r="FT20" s="134">
        <f>SUMIFS('WBS Summary'!IE:IE,'WBS Summary'!$B:$B, $B20, 'WBS Summary'!$AH:$AH, $C20,'WBS Summary'!$AJ:$AJ, $H20)</f>
        <v>0</v>
      </c>
      <c r="FU20" s="134">
        <f>SUMIFS('WBS Summary'!IF:IF,'WBS Summary'!$B:$B, $B20, 'WBS Summary'!$AH:$AH, $C20,'WBS Summary'!$AJ:$AJ, $H20)</f>
        <v>0</v>
      </c>
      <c r="FV20" s="134">
        <f>SUMIFS('WBS Summary'!IG:IG,'WBS Summary'!$B:$B, $B20, 'WBS Summary'!$AH:$AH, $C20,'WBS Summary'!$AJ:$AJ, $H20)</f>
        <v>0</v>
      </c>
      <c r="FW20" s="134">
        <f>SUMIFS('WBS Summary'!IH:IH,'WBS Summary'!$B:$B, $B20, 'WBS Summary'!$AH:$AH, $C20,'WBS Summary'!$AJ:$AJ, $H20)</f>
        <v>0</v>
      </c>
      <c r="FX20" s="134">
        <f>SUMIFS('WBS Summary'!II:II,'WBS Summary'!$B:$B, $B20, 'WBS Summary'!$AH:$AH, $C20,'WBS Summary'!$AJ:$AJ, $H20)</f>
        <v>0</v>
      </c>
      <c r="FY20" s="134">
        <f>SUMIFS('WBS Summary'!IJ:IJ,'WBS Summary'!$B:$B, $B20, 'WBS Summary'!$AH:$AH, $C20,'WBS Summary'!$AJ:$AJ, $H20)</f>
        <v>0</v>
      </c>
      <c r="FZ20" s="134">
        <f>SUMIFS('WBS Summary'!IK:IK,'WBS Summary'!$B:$B, $B20, 'WBS Summary'!$AH:$AH, $C20,'WBS Summary'!$AJ:$AJ, $H20)</f>
        <v>0</v>
      </c>
      <c r="GA20" s="134">
        <f>SUMIFS('WBS Summary'!IL:IL,'WBS Summary'!$B:$B, $B20, 'WBS Summary'!$AH:$AH, $C20,'WBS Summary'!$AJ:$AJ, $H20)</f>
        <v>0</v>
      </c>
      <c r="GB20" s="134">
        <f>SUMIFS('WBS Summary'!IM:IM,'WBS Summary'!$B:$B, $B20, 'WBS Summary'!$AH:$AH, $C20,'WBS Summary'!$AJ:$AJ, $H20)</f>
        <v>0</v>
      </c>
      <c r="GC20" s="134">
        <f>SUMIFS('WBS Summary'!IN:IN,'WBS Summary'!$B:$B, $B20, 'WBS Summary'!$AH:$AH, $C20,'WBS Summary'!$AJ:$AJ, $H20)</f>
        <v>0</v>
      </c>
      <c r="GD20" s="134">
        <f>SUMIFS('WBS Summary'!IO:IO,'WBS Summary'!$B:$B, $B20, 'WBS Summary'!$AH:$AH, $C20,'WBS Summary'!$AJ:$AJ, $H20)</f>
        <v>0</v>
      </c>
      <c r="GE20" s="134">
        <f>SUMIFS('WBS Summary'!IP:IP,'WBS Summary'!$B:$B, $B20, 'WBS Summary'!$AH:$AH, $C20,'WBS Summary'!$AJ:$AJ, $H20)</f>
        <v>0</v>
      </c>
      <c r="GF20" s="134">
        <f>SUMIFS('WBS Summary'!IQ:IQ,'WBS Summary'!$B:$B, $B20, 'WBS Summary'!$AH:$AH, $C20,'WBS Summary'!$AJ:$AJ, $H20)</f>
        <v>0</v>
      </c>
      <c r="GG20" s="134">
        <f>SUMIFS('WBS Summary'!IR:IR,'WBS Summary'!$B:$B, $B20, 'WBS Summary'!$AH:$AH, $C20,'WBS Summary'!$AJ:$AJ, $H20)</f>
        <v>0</v>
      </c>
      <c r="GH20" s="134">
        <f>SUMIFS('WBS Summary'!IS:IS,'WBS Summary'!$B:$B, $B20, 'WBS Summary'!$AH:$AH, $C20,'WBS Summary'!$AJ:$AJ, $H20)</f>
        <v>0</v>
      </c>
      <c r="GI20" s="134">
        <f>SUMIFS('WBS Summary'!IT:IT,'WBS Summary'!$B:$B, $B20, 'WBS Summary'!$AH:$AH, $C20,'WBS Summary'!$AJ:$AJ, $H20)</f>
        <v>0</v>
      </c>
      <c r="GJ20" s="134">
        <f>SUMIFS('WBS Summary'!IU:IU,'WBS Summary'!$B:$B, $B20, 'WBS Summary'!$AH:$AH, $C20,'WBS Summary'!$AJ:$AJ, $H20)</f>
        <v>0</v>
      </c>
      <c r="GK20" s="134">
        <f>SUMIFS('WBS Summary'!IV:IV,'WBS Summary'!$B:$B, $B20, 'WBS Summary'!$AH:$AH, $C20,'WBS Summary'!$AJ:$AJ, $H20)</f>
        <v>0</v>
      </c>
      <c r="GL20" s="134">
        <f>SUMIFS('WBS Summary'!IW:IW,'WBS Summary'!$B:$B, $B20, 'WBS Summary'!$AH:$AH, $C20,'WBS Summary'!$AJ:$AJ, $H20)</f>
        <v>0</v>
      </c>
      <c r="GM20" s="134">
        <f>SUMIFS('WBS Summary'!IX:IX,'WBS Summary'!$B:$B, $B20, 'WBS Summary'!$AH:$AH, $C20,'WBS Summary'!$AJ:$AJ, $H20)</f>
        <v>0</v>
      </c>
      <c r="GN20" s="134">
        <f>SUMIFS('WBS Summary'!IY:IY,'WBS Summary'!$B:$B, $B20, 'WBS Summary'!$AH:$AH, $C20,'WBS Summary'!$AJ:$AJ, $H20)</f>
        <v>0</v>
      </c>
      <c r="GO20" s="134">
        <f>SUMIFS('WBS Summary'!IZ:IZ,'WBS Summary'!$B:$B, $B20, 'WBS Summary'!$AH:$AH, $C20,'WBS Summary'!$AJ:$AJ, $H20)</f>
        <v>0</v>
      </c>
      <c r="GP20" s="134">
        <f>SUMIFS('WBS Summary'!JA:JA,'WBS Summary'!$B:$B, $B20, 'WBS Summary'!$AH:$AH, $C20,'WBS Summary'!$AJ:$AJ, $H20)</f>
        <v>0</v>
      </c>
      <c r="GQ20" s="134">
        <f>SUMIFS('WBS Summary'!JB:JB,'WBS Summary'!$B:$B, $B20, 'WBS Summary'!$AH:$AH, $C20,'WBS Summary'!$AJ:$AJ, $H20)</f>
        <v>0</v>
      </c>
      <c r="GR20" s="134">
        <f>SUMIFS('WBS Summary'!JC:JC,'WBS Summary'!$B:$B, $B20, 'WBS Summary'!$AH:$AH, $C20,'WBS Summary'!$AJ:$AJ, $H20)</f>
        <v>0</v>
      </c>
      <c r="GS20" s="134">
        <f>SUMIFS('WBS Summary'!JD:JD,'WBS Summary'!$B:$B, $B20, 'WBS Summary'!$AH:$AH, $C20,'WBS Summary'!$AJ:$AJ, $H20)</f>
        <v>0</v>
      </c>
      <c r="GT20" s="134">
        <f>SUMIFS('WBS Summary'!JE:JE,'WBS Summary'!$B:$B, $B20, 'WBS Summary'!$AH:$AH, $C20,'WBS Summary'!$AJ:$AJ, $H20)</f>
        <v>0</v>
      </c>
      <c r="GU20" s="134">
        <f>SUMIFS('WBS Summary'!JF:JF,'WBS Summary'!$B:$B, $B20, 'WBS Summary'!$AH:$AH, $C20,'WBS Summary'!$AJ:$AJ, $H20)</f>
        <v>0</v>
      </c>
      <c r="GV20" s="134">
        <f>SUMIFS('WBS Summary'!JG:JG,'WBS Summary'!$B:$B, $B20, 'WBS Summary'!$AH:$AH, $C20,'WBS Summary'!$AJ:$AJ, $H20)</f>
        <v>0</v>
      </c>
      <c r="GW20" s="134">
        <f>SUMIFS('WBS Summary'!JH:JH,'WBS Summary'!$B:$B, $B20, 'WBS Summary'!$AH:$AH, $C20,'WBS Summary'!$AJ:$AJ, $H20)</f>
        <v>0</v>
      </c>
      <c r="GX20" s="134">
        <f>SUMIFS('WBS Summary'!JI:JI,'WBS Summary'!$B:$B, $B20, 'WBS Summary'!$AH:$AH, $C20,'WBS Summary'!$AJ:$AJ, $H20)</f>
        <v>0</v>
      </c>
      <c r="GY20" s="134">
        <f>SUMIFS('WBS Summary'!JJ:JJ,'WBS Summary'!$B:$B, $B20, 'WBS Summary'!$AH:$AH, $C20,'WBS Summary'!$AJ:$AJ, $H20)</f>
        <v>0</v>
      </c>
      <c r="GZ20" s="134">
        <f>SUMIFS('WBS Summary'!JK:JK,'WBS Summary'!$B:$B, $B20, 'WBS Summary'!$AH:$AH, $C20,'WBS Summary'!$AJ:$AJ, $H20)</f>
        <v>0</v>
      </c>
      <c r="HA20" s="134">
        <f>SUMIFS('WBS Summary'!JL:JL,'WBS Summary'!$B:$B, $B20, 'WBS Summary'!$AH:$AH, $C20,'WBS Summary'!$AJ:$AJ, $H20)</f>
        <v>0</v>
      </c>
      <c r="HB20" s="134">
        <f>SUMIFS('WBS Summary'!JM:JM,'WBS Summary'!$B:$B, $B20, 'WBS Summary'!$AH:$AH, $C20,'WBS Summary'!$AJ:$AJ, $H20)</f>
        <v>0</v>
      </c>
      <c r="HC20"/>
    </row>
    <row r="21" spans="1:211" s="194" customFormat="1" outlineLevel="2">
      <c r="A21" s="220"/>
      <c r="B21" s="220"/>
      <c r="C21" s="225"/>
      <c r="D21" s="225"/>
      <c r="E21" s="225"/>
      <c r="I21"/>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c r="DG21" s="133"/>
      <c r="DH21" s="133"/>
      <c r="DI21" s="133"/>
      <c r="DJ21" s="133"/>
      <c r="DK21" s="133"/>
      <c r="DL21" s="133"/>
      <c r="DM21" s="133"/>
      <c r="DN21" s="133"/>
      <c r="DO21" s="133"/>
      <c r="DP21" s="133"/>
      <c r="DQ21" s="133"/>
      <c r="DR21" s="133"/>
      <c r="DS21" s="133"/>
      <c r="DT21" s="133"/>
      <c r="DU21" s="133"/>
      <c r="DV21" s="133"/>
      <c r="DW21" s="133"/>
      <c r="DX21" s="133"/>
      <c r="DY21" s="133"/>
      <c r="DZ21" s="133"/>
      <c r="EA21" s="133"/>
      <c r="EB21" s="133"/>
      <c r="EC21" s="133"/>
      <c r="ED21" s="133"/>
      <c r="EE21" s="133"/>
      <c r="EF21" s="133"/>
      <c r="EG21" s="133"/>
      <c r="EH21" s="133"/>
      <c r="EI21" s="133"/>
      <c r="EJ21" s="133"/>
      <c r="EK21" s="133"/>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133"/>
      <c r="FQ21" s="133"/>
      <c r="FR21" s="133"/>
      <c r="FS21" s="133"/>
      <c r="FT21" s="133"/>
      <c r="FU21" s="133"/>
    </row>
    <row r="22" spans="1:211" outlineLevel="1">
      <c r="A22" s="220" t="s">
        <v>189</v>
      </c>
      <c r="B22" s="283"/>
    </row>
    <row r="23" spans="1:211" outlineLevel="2">
      <c r="J23" s="221" t="s">
        <v>156</v>
      </c>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222" t="s">
        <v>157</v>
      </c>
      <c r="DH23" s="133"/>
      <c r="DI23" s="133"/>
      <c r="DJ23" s="133"/>
      <c r="DK23" s="133"/>
      <c r="DL23" s="133"/>
      <c r="DM23" s="133"/>
      <c r="DN23" s="133"/>
      <c r="DO23" s="133"/>
      <c r="DP23" s="133"/>
      <c r="DQ23" s="133"/>
      <c r="DR23" s="133"/>
      <c r="DS23" s="133"/>
      <c r="DT23" s="133"/>
      <c r="DU23" s="133"/>
      <c r="DV23" s="133"/>
      <c r="DW23" s="133"/>
      <c r="DX23" s="133"/>
      <c r="DY23" s="133"/>
      <c r="DZ23" s="133"/>
      <c r="EA23" s="133"/>
      <c r="EB23" s="133"/>
      <c r="EC23" s="133"/>
      <c r="ED23" s="133"/>
      <c r="EE23" s="133"/>
      <c r="EF23" s="133"/>
      <c r="EG23" s="133"/>
      <c r="EH23" s="133"/>
      <c r="EI23" s="133"/>
      <c r="EJ23" s="133"/>
      <c r="EK23" s="133"/>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133"/>
      <c r="FQ23" s="133"/>
      <c r="FR23" s="133"/>
      <c r="FS23" s="133"/>
      <c r="FT23" s="133"/>
      <c r="FU23" s="133"/>
      <c r="FV23" s="133"/>
      <c r="FW23" s="133"/>
      <c r="FX23" s="133"/>
      <c r="FY23" s="133"/>
      <c r="FZ23" s="133"/>
      <c r="GA23" s="133"/>
      <c r="GB23" s="133"/>
      <c r="GC23" s="133"/>
      <c r="GD23" s="133"/>
      <c r="GE23" s="133"/>
      <c r="GF23" s="133"/>
      <c r="GG23" s="133"/>
      <c r="GH23" s="133"/>
      <c r="GI23" s="133"/>
      <c r="GJ23" s="133"/>
      <c r="GK23" s="133"/>
      <c r="GL23" s="133"/>
      <c r="GM23" s="133"/>
      <c r="GN23" s="133"/>
      <c r="GO23" s="133"/>
      <c r="GP23" s="133"/>
      <c r="GQ23" s="133"/>
      <c r="GR23" s="133"/>
      <c r="GS23" s="133"/>
      <c r="GT23" s="133"/>
      <c r="GU23" s="133"/>
      <c r="GV23" s="133"/>
      <c r="GW23" s="133"/>
      <c r="GX23" s="133"/>
      <c r="GY23" s="133"/>
      <c r="GZ23" s="133"/>
      <c r="HA23" s="133"/>
      <c r="HB23" s="133"/>
      <c r="HC23" s="133"/>
    </row>
    <row r="24" spans="1:211" s="194" customFormat="1" ht="45" outlineLevel="2">
      <c r="B24" s="195" t="s">
        <v>160</v>
      </c>
      <c r="C24" s="195" t="s">
        <v>167</v>
      </c>
      <c r="D24" s="195" t="s">
        <v>346</v>
      </c>
      <c r="E24" s="195" t="s">
        <v>347</v>
      </c>
      <c r="F24" s="195" t="s">
        <v>341</v>
      </c>
      <c r="G24" s="195" t="s">
        <v>342</v>
      </c>
      <c r="H24" s="195" t="s">
        <v>400</v>
      </c>
      <c r="I24"/>
      <c r="J24" s="195">
        <f>Model_First_Year</f>
        <v>2014</v>
      </c>
      <c r="K24" s="232">
        <f t="shared" ref="K24:AP24" si="23">J24+1</f>
        <v>2015</v>
      </c>
      <c r="L24" s="232">
        <f t="shared" si="23"/>
        <v>2016</v>
      </c>
      <c r="M24" s="232">
        <f t="shared" si="23"/>
        <v>2017</v>
      </c>
      <c r="N24" s="232">
        <f t="shared" si="23"/>
        <v>2018</v>
      </c>
      <c r="O24" s="232">
        <f t="shared" si="23"/>
        <v>2019</v>
      </c>
      <c r="P24" s="232">
        <f t="shared" si="23"/>
        <v>2020</v>
      </c>
      <c r="Q24" s="232">
        <f t="shared" si="23"/>
        <v>2021</v>
      </c>
      <c r="R24" s="232">
        <f t="shared" si="23"/>
        <v>2022</v>
      </c>
      <c r="S24" s="232">
        <f t="shared" si="23"/>
        <v>2023</v>
      </c>
      <c r="T24" s="232">
        <f t="shared" si="23"/>
        <v>2024</v>
      </c>
      <c r="U24" s="232">
        <f t="shared" si="23"/>
        <v>2025</v>
      </c>
      <c r="V24" s="232">
        <f t="shared" si="23"/>
        <v>2026</v>
      </c>
      <c r="W24" s="232">
        <f t="shared" si="23"/>
        <v>2027</v>
      </c>
      <c r="X24" s="232">
        <f t="shared" si="23"/>
        <v>2028</v>
      </c>
      <c r="Y24" s="232">
        <f t="shared" si="23"/>
        <v>2029</v>
      </c>
      <c r="Z24" s="232">
        <f t="shared" si="23"/>
        <v>2030</v>
      </c>
      <c r="AA24" s="232">
        <f t="shared" si="23"/>
        <v>2031</v>
      </c>
      <c r="AB24" s="232">
        <f t="shared" si="23"/>
        <v>2032</v>
      </c>
      <c r="AC24" s="232">
        <f t="shared" si="23"/>
        <v>2033</v>
      </c>
      <c r="AD24" s="232">
        <f t="shared" si="23"/>
        <v>2034</v>
      </c>
      <c r="AE24" s="232">
        <f t="shared" si="23"/>
        <v>2035</v>
      </c>
      <c r="AF24" s="232">
        <f t="shared" si="23"/>
        <v>2036</v>
      </c>
      <c r="AG24" s="232">
        <f t="shared" si="23"/>
        <v>2037</v>
      </c>
      <c r="AH24" s="232">
        <f t="shared" si="23"/>
        <v>2038</v>
      </c>
      <c r="AI24" s="232">
        <f t="shared" si="23"/>
        <v>2039</v>
      </c>
      <c r="AJ24" s="232">
        <f t="shared" si="23"/>
        <v>2040</v>
      </c>
      <c r="AK24" s="232">
        <f t="shared" si="23"/>
        <v>2041</v>
      </c>
      <c r="AL24" s="232">
        <f t="shared" si="23"/>
        <v>2042</v>
      </c>
      <c r="AM24" s="232">
        <f t="shared" si="23"/>
        <v>2043</v>
      </c>
      <c r="AN24" s="232">
        <f t="shared" si="23"/>
        <v>2044</v>
      </c>
      <c r="AO24" s="232">
        <f t="shared" si="23"/>
        <v>2045</v>
      </c>
      <c r="AP24" s="232">
        <f t="shared" si="23"/>
        <v>2046</v>
      </c>
      <c r="AQ24" s="232">
        <f t="shared" ref="AQ24:BV24" si="24">AP24+1</f>
        <v>2047</v>
      </c>
      <c r="AR24" s="232">
        <f t="shared" si="24"/>
        <v>2048</v>
      </c>
      <c r="AS24" s="232">
        <f t="shared" si="24"/>
        <v>2049</v>
      </c>
      <c r="AT24" s="232">
        <f t="shared" si="24"/>
        <v>2050</v>
      </c>
      <c r="AU24" s="232">
        <f t="shared" si="24"/>
        <v>2051</v>
      </c>
      <c r="AV24" s="232">
        <f t="shared" si="24"/>
        <v>2052</v>
      </c>
      <c r="AW24" s="232">
        <f t="shared" si="24"/>
        <v>2053</v>
      </c>
      <c r="AX24" s="232">
        <f t="shared" si="24"/>
        <v>2054</v>
      </c>
      <c r="AY24" s="232">
        <f t="shared" si="24"/>
        <v>2055</v>
      </c>
      <c r="AZ24" s="232">
        <f t="shared" si="24"/>
        <v>2056</v>
      </c>
      <c r="BA24" s="232">
        <f t="shared" si="24"/>
        <v>2057</v>
      </c>
      <c r="BB24" s="232">
        <f t="shared" si="24"/>
        <v>2058</v>
      </c>
      <c r="BC24" s="232">
        <f t="shared" si="24"/>
        <v>2059</v>
      </c>
      <c r="BD24" s="232">
        <f t="shared" si="24"/>
        <v>2060</v>
      </c>
      <c r="BE24" s="232">
        <f t="shared" si="24"/>
        <v>2061</v>
      </c>
      <c r="BF24" s="232">
        <f t="shared" si="24"/>
        <v>2062</v>
      </c>
      <c r="BG24" s="232">
        <f t="shared" si="24"/>
        <v>2063</v>
      </c>
      <c r="BH24" s="232">
        <f t="shared" si="24"/>
        <v>2064</v>
      </c>
      <c r="BI24" s="232">
        <f t="shared" si="24"/>
        <v>2065</v>
      </c>
      <c r="BJ24" s="232">
        <f t="shared" si="24"/>
        <v>2066</v>
      </c>
      <c r="BK24" s="232">
        <f t="shared" si="24"/>
        <v>2067</v>
      </c>
      <c r="BL24" s="232">
        <f t="shared" si="24"/>
        <v>2068</v>
      </c>
      <c r="BM24" s="232">
        <f t="shared" si="24"/>
        <v>2069</v>
      </c>
      <c r="BN24" s="232">
        <f t="shared" si="24"/>
        <v>2070</v>
      </c>
      <c r="BO24" s="232">
        <f t="shared" si="24"/>
        <v>2071</v>
      </c>
      <c r="BP24" s="232">
        <f t="shared" si="24"/>
        <v>2072</v>
      </c>
      <c r="BQ24" s="232">
        <f t="shared" si="24"/>
        <v>2073</v>
      </c>
      <c r="BR24" s="232">
        <f t="shared" si="24"/>
        <v>2074</v>
      </c>
      <c r="BS24" s="232">
        <f t="shared" si="24"/>
        <v>2075</v>
      </c>
      <c r="BT24" s="232">
        <f t="shared" si="24"/>
        <v>2076</v>
      </c>
      <c r="BU24" s="232">
        <f t="shared" si="24"/>
        <v>2077</v>
      </c>
      <c r="BV24" s="232">
        <f t="shared" si="24"/>
        <v>2078</v>
      </c>
      <c r="BW24" s="232">
        <f t="shared" ref="BW24:DE24" si="25">BV24+1</f>
        <v>2079</v>
      </c>
      <c r="BX24" s="232">
        <f t="shared" si="25"/>
        <v>2080</v>
      </c>
      <c r="BY24" s="232">
        <f t="shared" si="25"/>
        <v>2081</v>
      </c>
      <c r="BZ24" s="232">
        <f t="shared" si="25"/>
        <v>2082</v>
      </c>
      <c r="CA24" s="232">
        <f t="shared" si="25"/>
        <v>2083</v>
      </c>
      <c r="CB24" s="232">
        <f t="shared" si="25"/>
        <v>2084</v>
      </c>
      <c r="CC24" s="232">
        <f t="shared" si="25"/>
        <v>2085</v>
      </c>
      <c r="CD24" s="232">
        <f t="shared" si="25"/>
        <v>2086</v>
      </c>
      <c r="CE24" s="232">
        <f t="shared" si="25"/>
        <v>2087</v>
      </c>
      <c r="CF24" s="232">
        <f t="shared" si="25"/>
        <v>2088</v>
      </c>
      <c r="CG24" s="232">
        <f t="shared" si="25"/>
        <v>2089</v>
      </c>
      <c r="CH24" s="232">
        <f t="shared" si="25"/>
        <v>2090</v>
      </c>
      <c r="CI24" s="232">
        <f t="shared" si="25"/>
        <v>2091</v>
      </c>
      <c r="CJ24" s="232">
        <f t="shared" si="25"/>
        <v>2092</v>
      </c>
      <c r="CK24" s="232">
        <f t="shared" si="25"/>
        <v>2093</v>
      </c>
      <c r="CL24" s="232">
        <f t="shared" si="25"/>
        <v>2094</v>
      </c>
      <c r="CM24" s="232">
        <f t="shared" si="25"/>
        <v>2095</v>
      </c>
      <c r="CN24" s="232">
        <f t="shared" si="25"/>
        <v>2096</v>
      </c>
      <c r="CO24" s="232">
        <f t="shared" si="25"/>
        <v>2097</v>
      </c>
      <c r="CP24" s="232">
        <f t="shared" si="25"/>
        <v>2098</v>
      </c>
      <c r="CQ24" s="232">
        <f t="shared" si="25"/>
        <v>2099</v>
      </c>
      <c r="CR24" s="232">
        <f t="shared" si="25"/>
        <v>2100</v>
      </c>
      <c r="CS24" s="232">
        <f t="shared" si="25"/>
        <v>2101</v>
      </c>
      <c r="CT24" s="232">
        <f t="shared" si="25"/>
        <v>2102</v>
      </c>
      <c r="CU24" s="232">
        <f t="shared" si="25"/>
        <v>2103</v>
      </c>
      <c r="CV24" s="232">
        <f t="shared" si="25"/>
        <v>2104</v>
      </c>
      <c r="CW24" s="232">
        <f t="shared" si="25"/>
        <v>2105</v>
      </c>
      <c r="CX24" s="232">
        <f t="shared" si="25"/>
        <v>2106</v>
      </c>
      <c r="CY24" s="232">
        <f t="shared" si="25"/>
        <v>2107</v>
      </c>
      <c r="CZ24" s="232">
        <f t="shared" si="25"/>
        <v>2108</v>
      </c>
      <c r="DA24" s="232">
        <f t="shared" si="25"/>
        <v>2109</v>
      </c>
      <c r="DB24" s="232">
        <f t="shared" si="25"/>
        <v>2110</v>
      </c>
      <c r="DC24" s="232">
        <f t="shared" si="25"/>
        <v>2111</v>
      </c>
      <c r="DD24" s="232">
        <f t="shared" si="25"/>
        <v>2112</v>
      </c>
      <c r="DE24" s="232">
        <f t="shared" si="25"/>
        <v>2113</v>
      </c>
      <c r="DF24" s="133"/>
      <c r="DG24" s="132">
        <f t="shared" ref="DG24:EL24" si="26">J24</f>
        <v>2014</v>
      </c>
      <c r="DH24" s="132">
        <f t="shared" si="26"/>
        <v>2015</v>
      </c>
      <c r="DI24" s="132">
        <f t="shared" si="26"/>
        <v>2016</v>
      </c>
      <c r="DJ24" s="132">
        <f t="shared" si="26"/>
        <v>2017</v>
      </c>
      <c r="DK24" s="132">
        <f t="shared" si="26"/>
        <v>2018</v>
      </c>
      <c r="DL24" s="132">
        <f t="shared" si="26"/>
        <v>2019</v>
      </c>
      <c r="DM24" s="132">
        <f t="shared" si="26"/>
        <v>2020</v>
      </c>
      <c r="DN24" s="132">
        <f t="shared" si="26"/>
        <v>2021</v>
      </c>
      <c r="DO24" s="132">
        <f t="shared" si="26"/>
        <v>2022</v>
      </c>
      <c r="DP24" s="132">
        <f t="shared" si="26"/>
        <v>2023</v>
      </c>
      <c r="DQ24" s="132">
        <f t="shared" si="26"/>
        <v>2024</v>
      </c>
      <c r="DR24" s="132">
        <f t="shared" si="26"/>
        <v>2025</v>
      </c>
      <c r="DS24" s="132">
        <f t="shared" si="26"/>
        <v>2026</v>
      </c>
      <c r="DT24" s="132">
        <f t="shared" si="26"/>
        <v>2027</v>
      </c>
      <c r="DU24" s="132">
        <f t="shared" si="26"/>
        <v>2028</v>
      </c>
      <c r="DV24" s="132">
        <f t="shared" si="26"/>
        <v>2029</v>
      </c>
      <c r="DW24" s="132">
        <f t="shared" si="26"/>
        <v>2030</v>
      </c>
      <c r="DX24" s="132">
        <f t="shared" si="26"/>
        <v>2031</v>
      </c>
      <c r="DY24" s="132">
        <f t="shared" si="26"/>
        <v>2032</v>
      </c>
      <c r="DZ24" s="132">
        <f t="shared" si="26"/>
        <v>2033</v>
      </c>
      <c r="EA24" s="132">
        <f t="shared" si="26"/>
        <v>2034</v>
      </c>
      <c r="EB24" s="132">
        <f t="shared" si="26"/>
        <v>2035</v>
      </c>
      <c r="EC24" s="132">
        <f t="shared" si="26"/>
        <v>2036</v>
      </c>
      <c r="ED24" s="132">
        <f t="shared" si="26"/>
        <v>2037</v>
      </c>
      <c r="EE24" s="132">
        <f t="shared" si="26"/>
        <v>2038</v>
      </c>
      <c r="EF24" s="132">
        <f t="shared" si="26"/>
        <v>2039</v>
      </c>
      <c r="EG24" s="132">
        <f t="shared" si="26"/>
        <v>2040</v>
      </c>
      <c r="EH24" s="132">
        <f t="shared" si="26"/>
        <v>2041</v>
      </c>
      <c r="EI24" s="132">
        <f t="shared" si="26"/>
        <v>2042</v>
      </c>
      <c r="EJ24" s="132">
        <f t="shared" si="26"/>
        <v>2043</v>
      </c>
      <c r="EK24" s="132">
        <f t="shared" si="26"/>
        <v>2044</v>
      </c>
      <c r="EL24" s="132">
        <f t="shared" si="26"/>
        <v>2045</v>
      </c>
      <c r="EM24" s="132">
        <f t="shared" ref="EM24:FR24" si="27">AP24</f>
        <v>2046</v>
      </c>
      <c r="EN24" s="132">
        <f t="shared" si="27"/>
        <v>2047</v>
      </c>
      <c r="EO24" s="132">
        <f t="shared" si="27"/>
        <v>2048</v>
      </c>
      <c r="EP24" s="132">
        <f t="shared" si="27"/>
        <v>2049</v>
      </c>
      <c r="EQ24" s="132">
        <f t="shared" si="27"/>
        <v>2050</v>
      </c>
      <c r="ER24" s="132">
        <f t="shared" si="27"/>
        <v>2051</v>
      </c>
      <c r="ES24" s="132">
        <f t="shared" si="27"/>
        <v>2052</v>
      </c>
      <c r="ET24" s="132">
        <f t="shared" si="27"/>
        <v>2053</v>
      </c>
      <c r="EU24" s="132">
        <f t="shared" si="27"/>
        <v>2054</v>
      </c>
      <c r="EV24" s="132">
        <f t="shared" si="27"/>
        <v>2055</v>
      </c>
      <c r="EW24" s="132">
        <f t="shared" si="27"/>
        <v>2056</v>
      </c>
      <c r="EX24" s="132">
        <f t="shared" si="27"/>
        <v>2057</v>
      </c>
      <c r="EY24" s="132">
        <f t="shared" si="27"/>
        <v>2058</v>
      </c>
      <c r="EZ24" s="132">
        <f t="shared" si="27"/>
        <v>2059</v>
      </c>
      <c r="FA24" s="132">
        <f t="shared" si="27"/>
        <v>2060</v>
      </c>
      <c r="FB24" s="132">
        <f t="shared" si="27"/>
        <v>2061</v>
      </c>
      <c r="FC24" s="132">
        <f t="shared" si="27"/>
        <v>2062</v>
      </c>
      <c r="FD24" s="132">
        <f t="shared" si="27"/>
        <v>2063</v>
      </c>
      <c r="FE24" s="132">
        <f t="shared" si="27"/>
        <v>2064</v>
      </c>
      <c r="FF24" s="132">
        <f t="shared" si="27"/>
        <v>2065</v>
      </c>
      <c r="FG24" s="132">
        <f t="shared" si="27"/>
        <v>2066</v>
      </c>
      <c r="FH24" s="132">
        <f t="shared" si="27"/>
        <v>2067</v>
      </c>
      <c r="FI24" s="132">
        <f t="shared" si="27"/>
        <v>2068</v>
      </c>
      <c r="FJ24" s="132">
        <f t="shared" si="27"/>
        <v>2069</v>
      </c>
      <c r="FK24" s="132">
        <f t="shared" si="27"/>
        <v>2070</v>
      </c>
      <c r="FL24" s="132">
        <f t="shared" si="27"/>
        <v>2071</v>
      </c>
      <c r="FM24" s="132">
        <f t="shared" si="27"/>
        <v>2072</v>
      </c>
      <c r="FN24" s="132">
        <f t="shared" si="27"/>
        <v>2073</v>
      </c>
      <c r="FO24" s="132">
        <f t="shared" si="27"/>
        <v>2074</v>
      </c>
      <c r="FP24" s="132">
        <f t="shared" si="27"/>
        <v>2075</v>
      </c>
      <c r="FQ24" s="132">
        <f t="shared" si="27"/>
        <v>2076</v>
      </c>
      <c r="FR24" s="132">
        <f t="shared" si="27"/>
        <v>2077</v>
      </c>
      <c r="FS24" s="132">
        <f t="shared" ref="FS24:GX24" si="28">BV24</f>
        <v>2078</v>
      </c>
      <c r="FT24" s="132">
        <f t="shared" si="28"/>
        <v>2079</v>
      </c>
      <c r="FU24" s="132">
        <f t="shared" si="28"/>
        <v>2080</v>
      </c>
      <c r="FV24" s="132">
        <f t="shared" si="28"/>
        <v>2081</v>
      </c>
      <c r="FW24" s="132">
        <f t="shared" si="28"/>
        <v>2082</v>
      </c>
      <c r="FX24" s="132">
        <f t="shared" si="28"/>
        <v>2083</v>
      </c>
      <c r="FY24" s="132">
        <f t="shared" si="28"/>
        <v>2084</v>
      </c>
      <c r="FZ24" s="132">
        <f t="shared" si="28"/>
        <v>2085</v>
      </c>
      <c r="GA24" s="132">
        <f t="shared" si="28"/>
        <v>2086</v>
      </c>
      <c r="GB24" s="132">
        <f t="shared" si="28"/>
        <v>2087</v>
      </c>
      <c r="GC24" s="132">
        <f t="shared" si="28"/>
        <v>2088</v>
      </c>
      <c r="GD24" s="132">
        <f t="shared" si="28"/>
        <v>2089</v>
      </c>
      <c r="GE24" s="132">
        <f t="shared" si="28"/>
        <v>2090</v>
      </c>
      <c r="GF24" s="132">
        <f t="shared" si="28"/>
        <v>2091</v>
      </c>
      <c r="GG24" s="132">
        <f t="shared" si="28"/>
        <v>2092</v>
      </c>
      <c r="GH24" s="132">
        <f t="shared" si="28"/>
        <v>2093</v>
      </c>
      <c r="GI24" s="132">
        <f t="shared" si="28"/>
        <v>2094</v>
      </c>
      <c r="GJ24" s="132">
        <f t="shared" si="28"/>
        <v>2095</v>
      </c>
      <c r="GK24" s="132">
        <f t="shared" si="28"/>
        <v>2096</v>
      </c>
      <c r="GL24" s="132">
        <f t="shared" si="28"/>
        <v>2097</v>
      </c>
      <c r="GM24" s="132">
        <f t="shared" si="28"/>
        <v>2098</v>
      </c>
      <c r="GN24" s="132">
        <f t="shared" si="28"/>
        <v>2099</v>
      </c>
      <c r="GO24" s="132">
        <f t="shared" si="28"/>
        <v>2100</v>
      </c>
      <c r="GP24" s="132">
        <f t="shared" si="28"/>
        <v>2101</v>
      </c>
      <c r="GQ24" s="132">
        <f t="shared" si="28"/>
        <v>2102</v>
      </c>
      <c r="GR24" s="132">
        <f t="shared" si="28"/>
        <v>2103</v>
      </c>
      <c r="GS24" s="132">
        <f t="shared" si="28"/>
        <v>2104</v>
      </c>
      <c r="GT24" s="132">
        <f t="shared" si="28"/>
        <v>2105</v>
      </c>
      <c r="GU24" s="132">
        <f t="shared" si="28"/>
        <v>2106</v>
      </c>
      <c r="GV24" s="132">
        <f t="shared" si="28"/>
        <v>2107</v>
      </c>
      <c r="GW24" s="132">
        <f t="shared" si="28"/>
        <v>2108</v>
      </c>
      <c r="GX24" s="132">
        <f t="shared" si="28"/>
        <v>2109</v>
      </c>
      <c r="GY24" s="132">
        <f>DB24</f>
        <v>2110</v>
      </c>
      <c r="GZ24" s="132">
        <f>DC24</f>
        <v>2111</v>
      </c>
      <c r="HA24" s="132">
        <f>DD24</f>
        <v>2112</v>
      </c>
      <c r="HB24" s="132">
        <f>DE24</f>
        <v>2113</v>
      </c>
    </row>
    <row r="25" spans="1:211" s="194" customFormat="1" outlineLevel="2">
      <c r="A25" s="220"/>
      <c r="B25" s="284"/>
      <c r="C25" s="223" t="s">
        <v>162</v>
      </c>
      <c r="D25" s="350"/>
      <c r="E25" s="350"/>
      <c r="F25" s="224">
        <f t="shared" ref="F25:F37" si="29">SUM(J25:DF25)</f>
        <v>0</v>
      </c>
      <c r="G25" s="224">
        <f t="shared" ref="G25:G37" si="30">SUM(DG25:FV25)</f>
        <v>0</v>
      </c>
      <c r="H25" s="233"/>
      <c r="I25"/>
      <c r="J25" s="134">
        <f t="shared" ref="J25:AO25" si="31">SUM(J26,J32)</f>
        <v>0</v>
      </c>
      <c r="K25" s="134">
        <f t="shared" si="31"/>
        <v>0</v>
      </c>
      <c r="L25" s="134">
        <f t="shared" si="31"/>
        <v>0</v>
      </c>
      <c r="M25" s="134">
        <f t="shared" si="31"/>
        <v>0</v>
      </c>
      <c r="N25" s="134">
        <f t="shared" si="31"/>
        <v>0</v>
      </c>
      <c r="O25" s="134">
        <f t="shared" si="31"/>
        <v>0</v>
      </c>
      <c r="P25" s="134">
        <f t="shared" si="31"/>
        <v>0</v>
      </c>
      <c r="Q25" s="134">
        <f t="shared" si="31"/>
        <v>0</v>
      </c>
      <c r="R25" s="134">
        <f t="shared" si="31"/>
        <v>0</v>
      </c>
      <c r="S25" s="134">
        <f t="shared" si="31"/>
        <v>0</v>
      </c>
      <c r="T25" s="134">
        <f t="shared" si="31"/>
        <v>0</v>
      </c>
      <c r="U25" s="134">
        <f t="shared" si="31"/>
        <v>0</v>
      </c>
      <c r="V25" s="134">
        <f t="shared" si="31"/>
        <v>0</v>
      </c>
      <c r="W25" s="134">
        <f t="shared" si="31"/>
        <v>0</v>
      </c>
      <c r="X25" s="134">
        <f t="shared" si="31"/>
        <v>0</v>
      </c>
      <c r="Y25" s="134">
        <f t="shared" si="31"/>
        <v>0</v>
      </c>
      <c r="Z25" s="134">
        <f t="shared" si="31"/>
        <v>0</v>
      </c>
      <c r="AA25" s="134">
        <f t="shared" si="31"/>
        <v>0</v>
      </c>
      <c r="AB25" s="134">
        <f t="shared" si="31"/>
        <v>0</v>
      </c>
      <c r="AC25" s="134">
        <f t="shared" si="31"/>
        <v>0</v>
      </c>
      <c r="AD25" s="134">
        <f t="shared" si="31"/>
        <v>0</v>
      </c>
      <c r="AE25" s="134">
        <f t="shared" si="31"/>
        <v>0</v>
      </c>
      <c r="AF25" s="134">
        <f t="shared" si="31"/>
        <v>0</v>
      </c>
      <c r="AG25" s="134">
        <f t="shared" si="31"/>
        <v>0</v>
      </c>
      <c r="AH25" s="134">
        <f t="shared" si="31"/>
        <v>0</v>
      </c>
      <c r="AI25" s="134">
        <f t="shared" si="31"/>
        <v>0</v>
      </c>
      <c r="AJ25" s="134">
        <f t="shared" si="31"/>
        <v>0</v>
      </c>
      <c r="AK25" s="134">
        <f t="shared" si="31"/>
        <v>0</v>
      </c>
      <c r="AL25" s="134">
        <f t="shared" si="31"/>
        <v>0</v>
      </c>
      <c r="AM25" s="134">
        <f t="shared" si="31"/>
        <v>0</v>
      </c>
      <c r="AN25" s="134">
        <f t="shared" si="31"/>
        <v>0</v>
      </c>
      <c r="AO25" s="134">
        <f t="shared" si="31"/>
        <v>0</v>
      </c>
      <c r="AP25" s="134">
        <f t="shared" ref="AP25:BU25" si="32">SUM(AP26,AP32)</f>
        <v>0</v>
      </c>
      <c r="AQ25" s="134">
        <f t="shared" si="32"/>
        <v>0</v>
      </c>
      <c r="AR25" s="134">
        <f t="shared" si="32"/>
        <v>0</v>
      </c>
      <c r="AS25" s="134">
        <f t="shared" si="32"/>
        <v>0</v>
      </c>
      <c r="AT25" s="134">
        <f t="shared" si="32"/>
        <v>0</v>
      </c>
      <c r="AU25" s="134">
        <f t="shared" si="32"/>
        <v>0</v>
      </c>
      <c r="AV25" s="134">
        <f t="shared" si="32"/>
        <v>0</v>
      </c>
      <c r="AW25" s="134">
        <f t="shared" si="32"/>
        <v>0</v>
      </c>
      <c r="AX25" s="134">
        <f t="shared" si="32"/>
        <v>0</v>
      </c>
      <c r="AY25" s="134">
        <f t="shared" si="32"/>
        <v>0</v>
      </c>
      <c r="AZ25" s="134">
        <f t="shared" si="32"/>
        <v>0</v>
      </c>
      <c r="BA25" s="134">
        <f t="shared" si="32"/>
        <v>0</v>
      </c>
      <c r="BB25" s="134">
        <f t="shared" si="32"/>
        <v>0</v>
      </c>
      <c r="BC25" s="134">
        <f t="shared" si="32"/>
        <v>0</v>
      </c>
      <c r="BD25" s="134">
        <f t="shared" si="32"/>
        <v>0</v>
      </c>
      <c r="BE25" s="134">
        <f t="shared" si="32"/>
        <v>0</v>
      </c>
      <c r="BF25" s="134">
        <f t="shared" si="32"/>
        <v>0</v>
      </c>
      <c r="BG25" s="134">
        <f t="shared" si="32"/>
        <v>0</v>
      </c>
      <c r="BH25" s="134">
        <f t="shared" si="32"/>
        <v>0</v>
      </c>
      <c r="BI25" s="134">
        <f t="shared" si="32"/>
        <v>0</v>
      </c>
      <c r="BJ25" s="134">
        <f t="shared" si="32"/>
        <v>0</v>
      </c>
      <c r="BK25" s="134">
        <f t="shared" si="32"/>
        <v>0</v>
      </c>
      <c r="BL25" s="134">
        <f t="shared" si="32"/>
        <v>0</v>
      </c>
      <c r="BM25" s="134">
        <f t="shared" si="32"/>
        <v>0</v>
      </c>
      <c r="BN25" s="134">
        <f t="shared" si="32"/>
        <v>0</v>
      </c>
      <c r="BO25" s="134">
        <f t="shared" si="32"/>
        <v>0</v>
      </c>
      <c r="BP25" s="134">
        <f t="shared" si="32"/>
        <v>0</v>
      </c>
      <c r="BQ25" s="134">
        <f t="shared" si="32"/>
        <v>0</v>
      </c>
      <c r="BR25" s="134">
        <f t="shared" si="32"/>
        <v>0</v>
      </c>
      <c r="BS25" s="134">
        <f t="shared" si="32"/>
        <v>0</v>
      </c>
      <c r="BT25" s="134">
        <f t="shared" si="32"/>
        <v>0</v>
      </c>
      <c r="BU25" s="134">
        <f t="shared" si="32"/>
        <v>0</v>
      </c>
      <c r="BV25" s="134">
        <f t="shared" ref="BV25:DA25" si="33">SUM(BV26,BV32)</f>
        <v>0</v>
      </c>
      <c r="BW25" s="134">
        <f t="shared" si="33"/>
        <v>0</v>
      </c>
      <c r="BX25" s="134">
        <f t="shared" si="33"/>
        <v>0</v>
      </c>
      <c r="BY25" s="134">
        <f t="shared" si="33"/>
        <v>0</v>
      </c>
      <c r="BZ25" s="134">
        <f t="shared" si="33"/>
        <v>0</v>
      </c>
      <c r="CA25" s="134">
        <f t="shared" si="33"/>
        <v>0</v>
      </c>
      <c r="CB25" s="134">
        <f t="shared" si="33"/>
        <v>0</v>
      </c>
      <c r="CC25" s="134">
        <f t="shared" si="33"/>
        <v>0</v>
      </c>
      <c r="CD25" s="134">
        <f t="shared" si="33"/>
        <v>0</v>
      </c>
      <c r="CE25" s="134">
        <f t="shared" si="33"/>
        <v>0</v>
      </c>
      <c r="CF25" s="134">
        <f t="shared" si="33"/>
        <v>0</v>
      </c>
      <c r="CG25" s="134">
        <f t="shared" si="33"/>
        <v>0</v>
      </c>
      <c r="CH25" s="134">
        <f t="shared" si="33"/>
        <v>0</v>
      </c>
      <c r="CI25" s="134">
        <f t="shared" si="33"/>
        <v>0</v>
      </c>
      <c r="CJ25" s="134">
        <f t="shared" si="33"/>
        <v>0</v>
      </c>
      <c r="CK25" s="134">
        <f t="shared" si="33"/>
        <v>0</v>
      </c>
      <c r="CL25" s="134">
        <f t="shared" si="33"/>
        <v>0</v>
      </c>
      <c r="CM25" s="134">
        <f t="shared" si="33"/>
        <v>0</v>
      </c>
      <c r="CN25" s="134">
        <f t="shared" si="33"/>
        <v>0</v>
      </c>
      <c r="CO25" s="134">
        <f t="shared" si="33"/>
        <v>0</v>
      </c>
      <c r="CP25" s="134">
        <f t="shared" si="33"/>
        <v>0</v>
      </c>
      <c r="CQ25" s="134">
        <f t="shared" si="33"/>
        <v>0</v>
      </c>
      <c r="CR25" s="134">
        <f t="shared" si="33"/>
        <v>0</v>
      </c>
      <c r="CS25" s="134">
        <f t="shared" si="33"/>
        <v>0</v>
      </c>
      <c r="CT25" s="134">
        <f t="shared" si="33"/>
        <v>0</v>
      </c>
      <c r="CU25" s="134">
        <f t="shared" si="33"/>
        <v>0</v>
      </c>
      <c r="CV25" s="134">
        <f t="shared" si="33"/>
        <v>0</v>
      </c>
      <c r="CW25" s="134">
        <f t="shared" si="33"/>
        <v>0</v>
      </c>
      <c r="CX25" s="134">
        <f t="shared" si="33"/>
        <v>0</v>
      </c>
      <c r="CY25" s="134">
        <f t="shared" si="33"/>
        <v>0</v>
      </c>
      <c r="CZ25" s="134">
        <f t="shared" si="33"/>
        <v>0</v>
      </c>
      <c r="DA25" s="134">
        <f t="shared" si="33"/>
        <v>0</v>
      </c>
      <c r="DB25" s="134">
        <f>SUM(DB26,DB32)</f>
        <v>0</v>
      </c>
      <c r="DC25" s="134">
        <f>SUM(DC26,DC32)</f>
        <v>0</v>
      </c>
      <c r="DD25" s="134">
        <f>SUM(DD26,DD32)</f>
        <v>0</v>
      </c>
      <c r="DE25" s="134">
        <f>SUM(DE26,DE32)</f>
        <v>0</v>
      </c>
      <c r="DF25"/>
      <c r="DG25" s="134">
        <f t="shared" ref="DG25:EL25" si="34">SUM(DG26,DG32)</f>
        <v>0</v>
      </c>
      <c r="DH25" s="134">
        <f t="shared" si="34"/>
        <v>0</v>
      </c>
      <c r="DI25" s="134">
        <f t="shared" si="34"/>
        <v>0</v>
      </c>
      <c r="DJ25" s="134">
        <f t="shared" si="34"/>
        <v>0</v>
      </c>
      <c r="DK25" s="134">
        <f t="shared" si="34"/>
        <v>0</v>
      </c>
      <c r="DL25" s="134">
        <f t="shared" si="34"/>
        <v>0</v>
      </c>
      <c r="DM25" s="134">
        <f t="shared" si="34"/>
        <v>0</v>
      </c>
      <c r="DN25" s="134">
        <f t="shared" si="34"/>
        <v>0</v>
      </c>
      <c r="DO25" s="134">
        <f t="shared" si="34"/>
        <v>0</v>
      </c>
      <c r="DP25" s="134">
        <f t="shared" si="34"/>
        <v>0</v>
      </c>
      <c r="DQ25" s="134">
        <f t="shared" si="34"/>
        <v>0</v>
      </c>
      <c r="DR25" s="134">
        <f t="shared" si="34"/>
        <v>0</v>
      </c>
      <c r="DS25" s="134">
        <f t="shared" si="34"/>
        <v>0</v>
      </c>
      <c r="DT25" s="134">
        <f t="shared" si="34"/>
        <v>0</v>
      </c>
      <c r="DU25" s="134">
        <f t="shared" si="34"/>
        <v>0</v>
      </c>
      <c r="DV25" s="134">
        <f t="shared" si="34"/>
        <v>0</v>
      </c>
      <c r="DW25" s="134">
        <f t="shared" si="34"/>
        <v>0</v>
      </c>
      <c r="DX25" s="134">
        <f t="shared" si="34"/>
        <v>0</v>
      </c>
      <c r="DY25" s="134">
        <f t="shared" si="34"/>
        <v>0</v>
      </c>
      <c r="DZ25" s="134">
        <f t="shared" si="34"/>
        <v>0</v>
      </c>
      <c r="EA25" s="134">
        <f t="shared" si="34"/>
        <v>0</v>
      </c>
      <c r="EB25" s="134">
        <f t="shared" si="34"/>
        <v>0</v>
      </c>
      <c r="EC25" s="134">
        <f t="shared" si="34"/>
        <v>0</v>
      </c>
      <c r="ED25" s="134">
        <f t="shared" si="34"/>
        <v>0</v>
      </c>
      <c r="EE25" s="134">
        <f t="shared" si="34"/>
        <v>0</v>
      </c>
      <c r="EF25" s="134">
        <f t="shared" si="34"/>
        <v>0</v>
      </c>
      <c r="EG25" s="134">
        <f t="shared" si="34"/>
        <v>0</v>
      </c>
      <c r="EH25" s="134">
        <f t="shared" si="34"/>
        <v>0</v>
      </c>
      <c r="EI25" s="134">
        <f t="shared" si="34"/>
        <v>0</v>
      </c>
      <c r="EJ25" s="134">
        <f t="shared" si="34"/>
        <v>0</v>
      </c>
      <c r="EK25" s="134">
        <f t="shared" si="34"/>
        <v>0</v>
      </c>
      <c r="EL25" s="134">
        <f t="shared" si="34"/>
        <v>0</v>
      </c>
      <c r="EM25" s="134">
        <f t="shared" ref="EM25:FR25" si="35">SUM(EM26,EM32)</f>
        <v>0</v>
      </c>
      <c r="EN25" s="134">
        <f t="shared" si="35"/>
        <v>0</v>
      </c>
      <c r="EO25" s="134">
        <f t="shared" si="35"/>
        <v>0</v>
      </c>
      <c r="EP25" s="134">
        <f t="shared" si="35"/>
        <v>0</v>
      </c>
      <c r="EQ25" s="134">
        <f t="shared" si="35"/>
        <v>0</v>
      </c>
      <c r="ER25" s="134">
        <f t="shared" si="35"/>
        <v>0</v>
      </c>
      <c r="ES25" s="134">
        <f t="shared" si="35"/>
        <v>0</v>
      </c>
      <c r="ET25" s="134">
        <f t="shared" si="35"/>
        <v>0</v>
      </c>
      <c r="EU25" s="134">
        <f t="shared" si="35"/>
        <v>0</v>
      </c>
      <c r="EV25" s="134">
        <f t="shared" si="35"/>
        <v>0</v>
      </c>
      <c r="EW25" s="134">
        <f t="shared" si="35"/>
        <v>0</v>
      </c>
      <c r="EX25" s="134">
        <f t="shared" si="35"/>
        <v>0</v>
      </c>
      <c r="EY25" s="134">
        <f t="shared" si="35"/>
        <v>0</v>
      </c>
      <c r="EZ25" s="134">
        <f t="shared" si="35"/>
        <v>0</v>
      </c>
      <c r="FA25" s="134">
        <f t="shared" si="35"/>
        <v>0</v>
      </c>
      <c r="FB25" s="134">
        <f t="shared" si="35"/>
        <v>0</v>
      </c>
      <c r="FC25" s="134">
        <f t="shared" si="35"/>
        <v>0</v>
      </c>
      <c r="FD25" s="134">
        <f t="shared" si="35"/>
        <v>0</v>
      </c>
      <c r="FE25" s="134">
        <f t="shared" si="35"/>
        <v>0</v>
      </c>
      <c r="FF25" s="134">
        <f t="shared" si="35"/>
        <v>0</v>
      </c>
      <c r="FG25" s="134">
        <f t="shared" si="35"/>
        <v>0</v>
      </c>
      <c r="FH25" s="134">
        <f t="shared" si="35"/>
        <v>0</v>
      </c>
      <c r="FI25" s="134">
        <f t="shared" si="35"/>
        <v>0</v>
      </c>
      <c r="FJ25" s="134">
        <f t="shared" si="35"/>
        <v>0</v>
      </c>
      <c r="FK25" s="134">
        <f t="shared" si="35"/>
        <v>0</v>
      </c>
      <c r="FL25" s="134">
        <f t="shared" si="35"/>
        <v>0</v>
      </c>
      <c r="FM25" s="134">
        <f t="shared" si="35"/>
        <v>0</v>
      </c>
      <c r="FN25" s="134">
        <f t="shared" si="35"/>
        <v>0</v>
      </c>
      <c r="FO25" s="134">
        <f t="shared" si="35"/>
        <v>0</v>
      </c>
      <c r="FP25" s="134">
        <f t="shared" si="35"/>
        <v>0</v>
      </c>
      <c r="FQ25" s="134">
        <f t="shared" si="35"/>
        <v>0</v>
      </c>
      <c r="FR25" s="134">
        <f t="shared" si="35"/>
        <v>0</v>
      </c>
      <c r="FS25" s="134">
        <f>SUM(FS26,FS32)</f>
        <v>0</v>
      </c>
      <c r="FT25" s="134">
        <f>SUM(FT26,FT32)</f>
        <v>0</v>
      </c>
      <c r="FU25" s="134">
        <f>SUM(FU26,FU32)</f>
        <v>0</v>
      </c>
    </row>
    <row r="26" spans="1:211" s="194" customFormat="1" outlineLevel="2">
      <c r="A26" s="220"/>
      <c r="B26" s="284"/>
      <c r="C26" s="226" t="s">
        <v>339</v>
      </c>
      <c r="D26" s="351"/>
      <c r="E26" s="351"/>
      <c r="F26" s="224">
        <f t="shared" si="29"/>
        <v>0</v>
      </c>
      <c r="G26" s="224">
        <f t="shared" si="30"/>
        <v>0</v>
      </c>
      <c r="H26" s="233"/>
      <c r="I26"/>
      <c r="J26" s="134">
        <f t="shared" ref="J26:AO26" si="36">SUM(J27:J31)</f>
        <v>0</v>
      </c>
      <c r="K26" s="134">
        <f t="shared" si="36"/>
        <v>0</v>
      </c>
      <c r="L26" s="134">
        <f t="shared" si="36"/>
        <v>0</v>
      </c>
      <c r="M26" s="134">
        <f t="shared" si="36"/>
        <v>0</v>
      </c>
      <c r="N26" s="134">
        <f t="shared" si="36"/>
        <v>0</v>
      </c>
      <c r="O26" s="134">
        <f t="shared" si="36"/>
        <v>0</v>
      </c>
      <c r="P26" s="134">
        <f t="shared" si="36"/>
        <v>0</v>
      </c>
      <c r="Q26" s="134">
        <f t="shared" si="36"/>
        <v>0</v>
      </c>
      <c r="R26" s="134">
        <f t="shared" si="36"/>
        <v>0</v>
      </c>
      <c r="S26" s="134">
        <f t="shared" si="36"/>
        <v>0</v>
      </c>
      <c r="T26" s="134">
        <f t="shared" si="36"/>
        <v>0</v>
      </c>
      <c r="U26" s="134">
        <f t="shared" si="36"/>
        <v>0</v>
      </c>
      <c r="V26" s="134">
        <f t="shared" si="36"/>
        <v>0</v>
      </c>
      <c r="W26" s="134">
        <f t="shared" si="36"/>
        <v>0</v>
      </c>
      <c r="X26" s="134">
        <f t="shared" si="36"/>
        <v>0</v>
      </c>
      <c r="Y26" s="134">
        <f t="shared" si="36"/>
        <v>0</v>
      </c>
      <c r="Z26" s="134">
        <f t="shared" si="36"/>
        <v>0</v>
      </c>
      <c r="AA26" s="134">
        <f t="shared" si="36"/>
        <v>0</v>
      </c>
      <c r="AB26" s="134">
        <f t="shared" si="36"/>
        <v>0</v>
      </c>
      <c r="AC26" s="134">
        <f t="shared" si="36"/>
        <v>0</v>
      </c>
      <c r="AD26" s="134">
        <f t="shared" si="36"/>
        <v>0</v>
      </c>
      <c r="AE26" s="134">
        <f t="shared" si="36"/>
        <v>0</v>
      </c>
      <c r="AF26" s="134">
        <f t="shared" si="36"/>
        <v>0</v>
      </c>
      <c r="AG26" s="134">
        <f t="shared" si="36"/>
        <v>0</v>
      </c>
      <c r="AH26" s="134">
        <f t="shared" si="36"/>
        <v>0</v>
      </c>
      <c r="AI26" s="134">
        <f t="shared" si="36"/>
        <v>0</v>
      </c>
      <c r="AJ26" s="134">
        <f t="shared" si="36"/>
        <v>0</v>
      </c>
      <c r="AK26" s="134">
        <f t="shared" si="36"/>
        <v>0</v>
      </c>
      <c r="AL26" s="134">
        <f t="shared" si="36"/>
        <v>0</v>
      </c>
      <c r="AM26" s="134">
        <f t="shared" si="36"/>
        <v>0</v>
      </c>
      <c r="AN26" s="134">
        <f t="shared" si="36"/>
        <v>0</v>
      </c>
      <c r="AO26" s="134">
        <f t="shared" si="36"/>
        <v>0</v>
      </c>
      <c r="AP26" s="134">
        <f t="shared" ref="AP26:BU26" si="37">SUM(AP27:AP31)</f>
        <v>0</v>
      </c>
      <c r="AQ26" s="134">
        <f t="shared" si="37"/>
        <v>0</v>
      </c>
      <c r="AR26" s="134">
        <f t="shared" si="37"/>
        <v>0</v>
      </c>
      <c r="AS26" s="134">
        <f t="shared" si="37"/>
        <v>0</v>
      </c>
      <c r="AT26" s="134">
        <f t="shared" si="37"/>
        <v>0</v>
      </c>
      <c r="AU26" s="134">
        <f t="shared" si="37"/>
        <v>0</v>
      </c>
      <c r="AV26" s="134">
        <f t="shared" si="37"/>
        <v>0</v>
      </c>
      <c r="AW26" s="134">
        <f t="shared" si="37"/>
        <v>0</v>
      </c>
      <c r="AX26" s="134">
        <f t="shared" si="37"/>
        <v>0</v>
      </c>
      <c r="AY26" s="134">
        <f t="shared" si="37"/>
        <v>0</v>
      </c>
      <c r="AZ26" s="134">
        <f t="shared" si="37"/>
        <v>0</v>
      </c>
      <c r="BA26" s="134">
        <f t="shared" si="37"/>
        <v>0</v>
      </c>
      <c r="BB26" s="134">
        <f t="shared" si="37"/>
        <v>0</v>
      </c>
      <c r="BC26" s="134">
        <f t="shared" si="37"/>
        <v>0</v>
      </c>
      <c r="BD26" s="134">
        <f t="shared" si="37"/>
        <v>0</v>
      </c>
      <c r="BE26" s="134">
        <f t="shared" si="37"/>
        <v>0</v>
      </c>
      <c r="BF26" s="134">
        <f t="shared" si="37"/>
        <v>0</v>
      </c>
      <c r="BG26" s="134">
        <f t="shared" si="37"/>
        <v>0</v>
      </c>
      <c r="BH26" s="134">
        <f t="shared" si="37"/>
        <v>0</v>
      </c>
      <c r="BI26" s="134">
        <f t="shared" si="37"/>
        <v>0</v>
      </c>
      <c r="BJ26" s="134">
        <f t="shared" si="37"/>
        <v>0</v>
      </c>
      <c r="BK26" s="134">
        <f t="shared" si="37"/>
        <v>0</v>
      </c>
      <c r="BL26" s="134">
        <f t="shared" si="37"/>
        <v>0</v>
      </c>
      <c r="BM26" s="134">
        <f t="shared" si="37"/>
        <v>0</v>
      </c>
      <c r="BN26" s="134">
        <f t="shared" si="37"/>
        <v>0</v>
      </c>
      <c r="BO26" s="134">
        <f t="shared" si="37"/>
        <v>0</v>
      </c>
      <c r="BP26" s="134">
        <f t="shared" si="37"/>
        <v>0</v>
      </c>
      <c r="BQ26" s="134">
        <f t="shared" si="37"/>
        <v>0</v>
      </c>
      <c r="BR26" s="134">
        <f t="shared" si="37"/>
        <v>0</v>
      </c>
      <c r="BS26" s="134">
        <f t="shared" si="37"/>
        <v>0</v>
      </c>
      <c r="BT26" s="134">
        <f t="shared" si="37"/>
        <v>0</v>
      </c>
      <c r="BU26" s="134">
        <f t="shared" si="37"/>
        <v>0</v>
      </c>
      <c r="BV26" s="134">
        <f t="shared" ref="BV26:DA26" si="38">SUM(BV27:BV31)</f>
        <v>0</v>
      </c>
      <c r="BW26" s="134">
        <f t="shared" si="38"/>
        <v>0</v>
      </c>
      <c r="BX26" s="134">
        <f t="shared" si="38"/>
        <v>0</v>
      </c>
      <c r="BY26" s="134">
        <f t="shared" si="38"/>
        <v>0</v>
      </c>
      <c r="BZ26" s="134">
        <f t="shared" si="38"/>
        <v>0</v>
      </c>
      <c r="CA26" s="134">
        <f t="shared" si="38"/>
        <v>0</v>
      </c>
      <c r="CB26" s="134">
        <f t="shared" si="38"/>
        <v>0</v>
      </c>
      <c r="CC26" s="134">
        <f t="shared" si="38"/>
        <v>0</v>
      </c>
      <c r="CD26" s="134">
        <f t="shared" si="38"/>
        <v>0</v>
      </c>
      <c r="CE26" s="134">
        <f t="shared" si="38"/>
        <v>0</v>
      </c>
      <c r="CF26" s="134">
        <f t="shared" si="38"/>
        <v>0</v>
      </c>
      <c r="CG26" s="134">
        <f t="shared" si="38"/>
        <v>0</v>
      </c>
      <c r="CH26" s="134">
        <f t="shared" si="38"/>
        <v>0</v>
      </c>
      <c r="CI26" s="134">
        <f t="shared" si="38"/>
        <v>0</v>
      </c>
      <c r="CJ26" s="134">
        <f t="shared" si="38"/>
        <v>0</v>
      </c>
      <c r="CK26" s="134">
        <f t="shared" si="38"/>
        <v>0</v>
      </c>
      <c r="CL26" s="134">
        <f t="shared" si="38"/>
        <v>0</v>
      </c>
      <c r="CM26" s="134">
        <f t="shared" si="38"/>
        <v>0</v>
      </c>
      <c r="CN26" s="134">
        <f t="shared" si="38"/>
        <v>0</v>
      </c>
      <c r="CO26" s="134">
        <f t="shared" si="38"/>
        <v>0</v>
      </c>
      <c r="CP26" s="134">
        <f t="shared" si="38"/>
        <v>0</v>
      </c>
      <c r="CQ26" s="134">
        <f t="shared" si="38"/>
        <v>0</v>
      </c>
      <c r="CR26" s="134">
        <f t="shared" si="38"/>
        <v>0</v>
      </c>
      <c r="CS26" s="134">
        <f t="shared" si="38"/>
        <v>0</v>
      </c>
      <c r="CT26" s="134">
        <f t="shared" si="38"/>
        <v>0</v>
      </c>
      <c r="CU26" s="134">
        <f t="shared" si="38"/>
        <v>0</v>
      </c>
      <c r="CV26" s="134">
        <f t="shared" si="38"/>
        <v>0</v>
      </c>
      <c r="CW26" s="134">
        <f t="shared" si="38"/>
        <v>0</v>
      </c>
      <c r="CX26" s="134">
        <f t="shared" si="38"/>
        <v>0</v>
      </c>
      <c r="CY26" s="134">
        <f t="shared" si="38"/>
        <v>0</v>
      </c>
      <c r="CZ26" s="134">
        <f t="shared" si="38"/>
        <v>0</v>
      </c>
      <c r="DA26" s="134">
        <f t="shared" si="38"/>
        <v>0</v>
      </c>
      <c r="DB26" s="134">
        <f>SUM(DB27:DB31)</f>
        <v>0</v>
      </c>
      <c r="DC26" s="134">
        <f>SUM(DC27:DC31)</f>
        <v>0</v>
      </c>
      <c r="DD26" s="134">
        <f>SUM(DD27:DD31)</f>
        <v>0</v>
      </c>
      <c r="DE26" s="134">
        <f>SUM(DE27:DE31)</f>
        <v>0</v>
      </c>
      <c r="DF26"/>
      <c r="DG26" s="134">
        <f t="shared" ref="DG26:EL26" si="39">SUM(DG27:DG31)</f>
        <v>0</v>
      </c>
      <c r="DH26" s="134">
        <f t="shared" si="39"/>
        <v>0</v>
      </c>
      <c r="DI26" s="134">
        <f t="shared" si="39"/>
        <v>0</v>
      </c>
      <c r="DJ26" s="134">
        <f t="shared" si="39"/>
        <v>0</v>
      </c>
      <c r="DK26" s="134">
        <f t="shared" si="39"/>
        <v>0</v>
      </c>
      <c r="DL26" s="134">
        <f t="shared" si="39"/>
        <v>0</v>
      </c>
      <c r="DM26" s="134">
        <f t="shared" si="39"/>
        <v>0</v>
      </c>
      <c r="DN26" s="134">
        <f t="shared" si="39"/>
        <v>0</v>
      </c>
      <c r="DO26" s="134">
        <f t="shared" si="39"/>
        <v>0</v>
      </c>
      <c r="DP26" s="134">
        <f t="shared" si="39"/>
        <v>0</v>
      </c>
      <c r="DQ26" s="134">
        <f t="shared" si="39"/>
        <v>0</v>
      </c>
      <c r="DR26" s="134">
        <f t="shared" si="39"/>
        <v>0</v>
      </c>
      <c r="DS26" s="134">
        <f t="shared" si="39"/>
        <v>0</v>
      </c>
      <c r="DT26" s="134">
        <f t="shared" si="39"/>
        <v>0</v>
      </c>
      <c r="DU26" s="134">
        <f t="shared" si="39"/>
        <v>0</v>
      </c>
      <c r="DV26" s="134">
        <f t="shared" si="39"/>
        <v>0</v>
      </c>
      <c r="DW26" s="134">
        <f t="shared" si="39"/>
        <v>0</v>
      </c>
      <c r="DX26" s="134">
        <f t="shared" si="39"/>
        <v>0</v>
      </c>
      <c r="DY26" s="134">
        <f t="shared" si="39"/>
        <v>0</v>
      </c>
      <c r="DZ26" s="134">
        <f t="shared" si="39"/>
        <v>0</v>
      </c>
      <c r="EA26" s="134">
        <f t="shared" si="39"/>
        <v>0</v>
      </c>
      <c r="EB26" s="134">
        <f t="shared" si="39"/>
        <v>0</v>
      </c>
      <c r="EC26" s="134">
        <f t="shared" si="39"/>
        <v>0</v>
      </c>
      <c r="ED26" s="134">
        <f t="shared" si="39"/>
        <v>0</v>
      </c>
      <c r="EE26" s="134">
        <f t="shared" si="39"/>
        <v>0</v>
      </c>
      <c r="EF26" s="134">
        <f t="shared" si="39"/>
        <v>0</v>
      </c>
      <c r="EG26" s="134">
        <f t="shared" si="39"/>
        <v>0</v>
      </c>
      <c r="EH26" s="134">
        <f t="shared" si="39"/>
        <v>0</v>
      </c>
      <c r="EI26" s="134">
        <f t="shared" si="39"/>
        <v>0</v>
      </c>
      <c r="EJ26" s="134">
        <f t="shared" si="39"/>
        <v>0</v>
      </c>
      <c r="EK26" s="134">
        <f t="shared" si="39"/>
        <v>0</v>
      </c>
      <c r="EL26" s="134">
        <f t="shared" si="39"/>
        <v>0</v>
      </c>
      <c r="EM26" s="134">
        <f t="shared" ref="EM26:FR26" si="40">SUM(EM27:EM31)</f>
        <v>0</v>
      </c>
      <c r="EN26" s="134">
        <f t="shared" si="40"/>
        <v>0</v>
      </c>
      <c r="EO26" s="134">
        <f t="shared" si="40"/>
        <v>0</v>
      </c>
      <c r="EP26" s="134">
        <f t="shared" si="40"/>
        <v>0</v>
      </c>
      <c r="EQ26" s="134">
        <f t="shared" si="40"/>
        <v>0</v>
      </c>
      <c r="ER26" s="134">
        <f t="shared" si="40"/>
        <v>0</v>
      </c>
      <c r="ES26" s="134">
        <f t="shared" si="40"/>
        <v>0</v>
      </c>
      <c r="ET26" s="134">
        <f t="shared" si="40"/>
        <v>0</v>
      </c>
      <c r="EU26" s="134">
        <f t="shared" si="40"/>
        <v>0</v>
      </c>
      <c r="EV26" s="134">
        <f t="shared" si="40"/>
        <v>0</v>
      </c>
      <c r="EW26" s="134">
        <f t="shared" si="40"/>
        <v>0</v>
      </c>
      <c r="EX26" s="134">
        <f t="shared" si="40"/>
        <v>0</v>
      </c>
      <c r="EY26" s="134">
        <f t="shared" si="40"/>
        <v>0</v>
      </c>
      <c r="EZ26" s="134">
        <f t="shared" si="40"/>
        <v>0</v>
      </c>
      <c r="FA26" s="134">
        <f t="shared" si="40"/>
        <v>0</v>
      </c>
      <c r="FB26" s="134">
        <f t="shared" si="40"/>
        <v>0</v>
      </c>
      <c r="FC26" s="134">
        <f t="shared" si="40"/>
        <v>0</v>
      </c>
      <c r="FD26" s="134">
        <f t="shared" si="40"/>
        <v>0</v>
      </c>
      <c r="FE26" s="134">
        <f t="shared" si="40"/>
        <v>0</v>
      </c>
      <c r="FF26" s="134">
        <f t="shared" si="40"/>
        <v>0</v>
      </c>
      <c r="FG26" s="134">
        <f t="shared" si="40"/>
        <v>0</v>
      </c>
      <c r="FH26" s="134">
        <f t="shared" si="40"/>
        <v>0</v>
      </c>
      <c r="FI26" s="134">
        <f t="shared" si="40"/>
        <v>0</v>
      </c>
      <c r="FJ26" s="134">
        <f t="shared" si="40"/>
        <v>0</v>
      </c>
      <c r="FK26" s="134">
        <f t="shared" si="40"/>
        <v>0</v>
      </c>
      <c r="FL26" s="134">
        <f t="shared" si="40"/>
        <v>0</v>
      </c>
      <c r="FM26" s="134">
        <f t="shared" si="40"/>
        <v>0</v>
      </c>
      <c r="FN26" s="134">
        <f t="shared" si="40"/>
        <v>0</v>
      </c>
      <c r="FO26" s="134">
        <f t="shared" si="40"/>
        <v>0</v>
      </c>
      <c r="FP26" s="134">
        <f t="shared" si="40"/>
        <v>0</v>
      </c>
      <c r="FQ26" s="134">
        <f t="shared" si="40"/>
        <v>0</v>
      </c>
      <c r="FR26" s="134">
        <f t="shared" si="40"/>
        <v>0</v>
      </c>
      <c r="FS26" s="134">
        <f>SUM(FS27:FS31)</f>
        <v>0</v>
      </c>
      <c r="FT26" s="134">
        <f>SUM(FT27:FT31)</f>
        <v>0</v>
      </c>
      <c r="FU26" s="134">
        <f>SUM(FU27:FU31)</f>
        <v>0</v>
      </c>
    </row>
    <row r="27" spans="1:211" s="194" customFormat="1" outlineLevel="2">
      <c r="A27" s="220"/>
      <c r="B27" s="284" t="s">
        <v>189</v>
      </c>
      <c r="C27" s="227" t="s">
        <v>101</v>
      </c>
      <c r="D27" s="352"/>
      <c r="E27" s="352"/>
      <c r="F27" s="224">
        <f t="shared" si="29"/>
        <v>0</v>
      </c>
      <c r="G27" s="224">
        <f t="shared" si="30"/>
        <v>0</v>
      </c>
      <c r="H27" s="233" t="s">
        <v>344</v>
      </c>
      <c r="I27"/>
      <c r="J27" s="134">
        <f>SUMIFS('WBS Summary'!BD:BD,'WBS Summary'!$B:$B, $B27, 'WBS Summary'!$AH:$AH, $C27,'WBS Summary'!$AJ:$AJ, $H27)</f>
        <v>0</v>
      </c>
      <c r="K27" s="134">
        <f>SUMIFS('WBS Summary'!BE:BE,'WBS Summary'!$B:$B, $B27, 'WBS Summary'!$AH:$AH, $C27,'WBS Summary'!$AJ:$AJ, $H27)</f>
        <v>0</v>
      </c>
      <c r="L27" s="134">
        <f>SUMIFS('WBS Summary'!BF:BF,'WBS Summary'!$B:$B, $B27, 'WBS Summary'!$AH:$AH, $C27,'WBS Summary'!$AJ:$AJ, $H27)</f>
        <v>0</v>
      </c>
      <c r="M27" s="134">
        <f>SUMIFS('WBS Summary'!BG:BG,'WBS Summary'!$B:$B, $B27, 'WBS Summary'!$AH:$AH, $C27,'WBS Summary'!$AJ:$AJ, $H27)</f>
        <v>0</v>
      </c>
      <c r="N27" s="134">
        <f>SUMIFS('WBS Summary'!BH:BH,'WBS Summary'!$B:$B, $B27, 'WBS Summary'!$AH:$AH, $C27,'WBS Summary'!$AJ:$AJ, $H27)</f>
        <v>0</v>
      </c>
      <c r="O27" s="134">
        <f>SUMIFS('WBS Summary'!BI:BI,'WBS Summary'!$B:$B, $B27, 'WBS Summary'!$AH:$AH, $C27,'WBS Summary'!$AJ:$AJ, $H27)</f>
        <v>0</v>
      </c>
      <c r="P27" s="134">
        <f>SUMIFS('WBS Summary'!BJ:BJ,'WBS Summary'!$B:$B, $B27, 'WBS Summary'!$AH:$AH, $C27,'WBS Summary'!$AJ:$AJ, $H27)</f>
        <v>0</v>
      </c>
      <c r="Q27" s="134">
        <f>SUMIFS('WBS Summary'!BK:BK,'WBS Summary'!$B:$B, $B27, 'WBS Summary'!$AH:$AH, $C27,'WBS Summary'!$AJ:$AJ, $H27)</f>
        <v>0</v>
      </c>
      <c r="R27" s="134">
        <f>SUMIFS('WBS Summary'!BL:BL,'WBS Summary'!$B:$B, $B27, 'WBS Summary'!$AH:$AH, $C27,'WBS Summary'!$AJ:$AJ, $H27)</f>
        <v>0</v>
      </c>
      <c r="S27" s="134">
        <f>SUMIFS('WBS Summary'!BM:BM,'WBS Summary'!$B:$B, $B27, 'WBS Summary'!$AH:$AH, $C27,'WBS Summary'!$AJ:$AJ, $H27)</f>
        <v>0</v>
      </c>
      <c r="T27" s="134">
        <f>SUMIFS('WBS Summary'!BN:BN,'WBS Summary'!$B:$B, $B27, 'WBS Summary'!$AH:$AH, $C27,'WBS Summary'!$AJ:$AJ, $H27)</f>
        <v>0</v>
      </c>
      <c r="U27" s="134">
        <f>SUMIFS('WBS Summary'!BO:BO,'WBS Summary'!$B:$B, $B27, 'WBS Summary'!$AH:$AH, $C27,'WBS Summary'!$AJ:$AJ, $H27)</f>
        <v>0</v>
      </c>
      <c r="V27" s="134">
        <f>SUMIFS('WBS Summary'!BP:BP,'WBS Summary'!$B:$B, $B27, 'WBS Summary'!$AH:$AH, $C27,'WBS Summary'!$AJ:$AJ, $H27)</f>
        <v>0</v>
      </c>
      <c r="W27" s="134">
        <f>SUMIFS('WBS Summary'!BQ:BQ,'WBS Summary'!$B:$B, $B27, 'WBS Summary'!$AH:$AH, $C27,'WBS Summary'!$AJ:$AJ, $H27)</f>
        <v>0</v>
      </c>
      <c r="X27" s="134">
        <f>SUMIFS('WBS Summary'!BR:BR,'WBS Summary'!$B:$B, $B27, 'WBS Summary'!$AH:$AH, $C27,'WBS Summary'!$AJ:$AJ, $H27)</f>
        <v>0</v>
      </c>
      <c r="Y27" s="134">
        <f>SUMIFS('WBS Summary'!BS:BS,'WBS Summary'!$B:$B, $B27, 'WBS Summary'!$AH:$AH, $C27,'WBS Summary'!$AJ:$AJ, $H27)</f>
        <v>0</v>
      </c>
      <c r="Z27" s="134">
        <f>SUMIFS('WBS Summary'!BT:BT,'WBS Summary'!$B:$B, $B27, 'WBS Summary'!$AH:$AH, $C27,'WBS Summary'!$AJ:$AJ, $H27)</f>
        <v>0</v>
      </c>
      <c r="AA27" s="134">
        <f>SUMIFS('WBS Summary'!BU:BU,'WBS Summary'!$B:$B, $B27, 'WBS Summary'!$AH:$AH, $C27,'WBS Summary'!$AJ:$AJ, $H27)</f>
        <v>0</v>
      </c>
      <c r="AB27" s="134">
        <f>SUMIFS('WBS Summary'!BV:BV,'WBS Summary'!$B:$B, $B27, 'WBS Summary'!$AH:$AH, $C27,'WBS Summary'!$AJ:$AJ, $H27)</f>
        <v>0</v>
      </c>
      <c r="AC27" s="134">
        <f>SUMIFS('WBS Summary'!BW:BW,'WBS Summary'!$B:$B, $B27, 'WBS Summary'!$AH:$AH, $C27,'WBS Summary'!$AJ:$AJ, $H27)</f>
        <v>0</v>
      </c>
      <c r="AD27" s="134">
        <f>SUMIFS('WBS Summary'!BX:BX,'WBS Summary'!$B:$B, $B27, 'WBS Summary'!$AH:$AH, $C27,'WBS Summary'!$AJ:$AJ, $H27)</f>
        <v>0</v>
      </c>
      <c r="AE27" s="134">
        <f>SUMIFS('WBS Summary'!BY:BY,'WBS Summary'!$B:$B, $B27, 'WBS Summary'!$AH:$AH, $C27,'WBS Summary'!$AJ:$AJ, $H27)</f>
        <v>0</v>
      </c>
      <c r="AF27" s="134">
        <f>SUMIFS('WBS Summary'!BZ:BZ,'WBS Summary'!$B:$B, $B27, 'WBS Summary'!$AH:$AH, $C27,'WBS Summary'!$AJ:$AJ, $H27)</f>
        <v>0</v>
      </c>
      <c r="AG27" s="134">
        <f>SUMIFS('WBS Summary'!CA:CA,'WBS Summary'!$B:$B, $B27, 'WBS Summary'!$AH:$AH, $C27,'WBS Summary'!$AJ:$AJ, $H27)</f>
        <v>0</v>
      </c>
      <c r="AH27" s="134">
        <f>SUMIFS('WBS Summary'!CB:CB,'WBS Summary'!$B:$B, $B27, 'WBS Summary'!$AH:$AH, $C27,'WBS Summary'!$AJ:$AJ, $H27)</f>
        <v>0</v>
      </c>
      <c r="AI27" s="134">
        <f>SUMIFS('WBS Summary'!CC:CC,'WBS Summary'!$B:$B, $B27, 'WBS Summary'!$AH:$AH, $C27,'WBS Summary'!$AJ:$AJ, $H27)</f>
        <v>0</v>
      </c>
      <c r="AJ27" s="134">
        <f>SUMIFS('WBS Summary'!CD:CD,'WBS Summary'!$B:$B, $B27, 'WBS Summary'!$AH:$AH, $C27,'WBS Summary'!$AJ:$AJ, $H27)</f>
        <v>0</v>
      </c>
      <c r="AK27" s="134">
        <f>SUMIFS('WBS Summary'!CE:CE,'WBS Summary'!$B:$B, $B27, 'WBS Summary'!$AH:$AH, $C27,'WBS Summary'!$AJ:$AJ, $H27)</f>
        <v>0</v>
      </c>
      <c r="AL27" s="134">
        <f>SUMIFS('WBS Summary'!CF:CF,'WBS Summary'!$B:$B, $B27, 'WBS Summary'!$AH:$AH, $C27,'WBS Summary'!$AJ:$AJ, $H27)</f>
        <v>0</v>
      </c>
      <c r="AM27" s="134">
        <f>SUMIFS('WBS Summary'!CG:CG,'WBS Summary'!$B:$B, $B27, 'WBS Summary'!$AH:$AH, $C27,'WBS Summary'!$AJ:$AJ, $H27)</f>
        <v>0</v>
      </c>
      <c r="AN27" s="134">
        <f>SUMIFS('WBS Summary'!CH:CH,'WBS Summary'!$B:$B, $B27, 'WBS Summary'!$AH:$AH, $C27,'WBS Summary'!$AJ:$AJ, $H27)</f>
        <v>0</v>
      </c>
      <c r="AO27" s="134">
        <f>SUMIFS('WBS Summary'!CI:CI,'WBS Summary'!$B:$B, $B27, 'WBS Summary'!$AH:$AH, $C27,'WBS Summary'!$AJ:$AJ, $H27)</f>
        <v>0</v>
      </c>
      <c r="AP27" s="134">
        <f>SUMIFS('WBS Summary'!CJ:CJ,'WBS Summary'!$B:$B, $B27, 'WBS Summary'!$AH:$AH, $C27,'WBS Summary'!$AJ:$AJ, $H27)</f>
        <v>0</v>
      </c>
      <c r="AQ27" s="134">
        <f>SUMIFS('WBS Summary'!CK:CK,'WBS Summary'!$B:$B, $B27, 'WBS Summary'!$AH:$AH, $C27,'WBS Summary'!$AJ:$AJ, $H27)</f>
        <v>0</v>
      </c>
      <c r="AR27" s="134">
        <f>SUMIFS('WBS Summary'!CL:CL,'WBS Summary'!$B:$B, $B27, 'WBS Summary'!$AH:$AH, $C27,'WBS Summary'!$AJ:$AJ, $H27)</f>
        <v>0</v>
      </c>
      <c r="AS27" s="134">
        <f>SUMIFS('WBS Summary'!CM:CM,'WBS Summary'!$B:$B, $B27, 'WBS Summary'!$AH:$AH, $C27,'WBS Summary'!$AJ:$AJ, $H27)</f>
        <v>0</v>
      </c>
      <c r="AT27" s="134">
        <f>SUMIFS('WBS Summary'!CN:CN,'WBS Summary'!$B:$B, $B27, 'WBS Summary'!$AH:$AH, $C27,'WBS Summary'!$AJ:$AJ, $H27)</f>
        <v>0</v>
      </c>
      <c r="AU27" s="134">
        <f>SUMIFS('WBS Summary'!CO:CO,'WBS Summary'!$B:$B, $B27, 'WBS Summary'!$AH:$AH, $C27,'WBS Summary'!$AJ:$AJ, $H27)</f>
        <v>0</v>
      </c>
      <c r="AV27" s="134">
        <f>SUMIFS('WBS Summary'!CP:CP,'WBS Summary'!$B:$B, $B27, 'WBS Summary'!$AH:$AH, $C27,'WBS Summary'!$AJ:$AJ, $H27)</f>
        <v>0</v>
      </c>
      <c r="AW27" s="134">
        <f>SUMIFS('WBS Summary'!CQ:CQ,'WBS Summary'!$B:$B, $B27, 'WBS Summary'!$AH:$AH, $C27,'WBS Summary'!$AJ:$AJ, $H27)</f>
        <v>0</v>
      </c>
      <c r="AX27" s="134">
        <f>SUMIFS('WBS Summary'!CR:CR,'WBS Summary'!$B:$B, $B27, 'WBS Summary'!$AH:$AH, $C27,'WBS Summary'!$AJ:$AJ, $H27)</f>
        <v>0</v>
      </c>
      <c r="AY27" s="134">
        <f>SUMIFS('WBS Summary'!CS:CS,'WBS Summary'!$B:$B, $B27, 'WBS Summary'!$AH:$AH, $C27,'WBS Summary'!$AJ:$AJ, $H27)</f>
        <v>0</v>
      </c>
      <c r="AZ27" s="134">
        <f>SUMIFS('WBS Summary'!CT:CT,'WBS Summary'!$B:$B, $B27, 'WBS Summary'!$AH:$AH, $C27,'WBS Summary'!$AJ:$AJ, $H27)</f>
        <v>0</v>
      </c>
      <c r="BA27" s="134">
        <f>SUMIFS('WBS Summary'!CU:CU,'WBS Summary'!$B:$B, $B27, 'WBS Summary'!$AH:$AH, $C27,'WBS Summary'!$AJ:$AJ, $H27)</f>
        <v>0</v>
      </c>
      <c r="BB27" s="134">
        <f>SUMIFS('WBS Summary'!CV:CV,'WBS Summary'!$B:$B, $B27, 'WBS Summary'!$AH:$AH, $C27,'WBS Summary'!$AJ:$AJ, $H27)</f>
        <v>0</v>
      </c>
      <c r="BC27" s="134">
        <f>SUMIFS('WBS Summary'!CW:CW,'WBS Summary'!$B:$B, $B27, 'WBS Summary'!$AH:$AH, $C27,'WBS Summary'!$AJ:$AJ, $H27)</f>
        <v>0</v>
      </c>
      <c r="BD27" s="134">
        <f>SUMIFS('WBS Summary'!CX:CX,'WBS Summary'!$B:$B, $B27, 'WBS Summary'!$AH:$AH, $C27,'WBS Summary'!$AJ:$AJ, $H27)</f>
        <v>0</v>
      </c>
      <c r="BE27" s="134">
        <f>SUMIFS('WBS Summary'!CY:CY,'WBS Summary'!$B:$B, $B27, 'WBS Summary'!$AH:$AH, $C27,'WBS Summary'!$AJ:$AJ, $H27)</f>
        <v>0</v>
      </c>
      <c r="BF27" s="134">
        <f>SUMIFS('WBS Summary'!CZ:CZ,'WBS Summary'!$B:$B, $B27, 'WBS Summary'!$AH:$AH, $C27,'WBS Summary'!$AJ:$AJ, $H27)</f>
        <v>0</v>
      </c>
      <c r="BG27" s="134">
        <f>SUMIFS('WBS Summary'!DA:DA,'WBS Summary'!$B:$B, $B27, 'WBS Summary'!$AH:$AH, $C27,'WBS Summary'!$AJ:$AJ, $H27)</f>
        <v>0</v>
      </c>
      <c r="BH27" s="134">
        <f>SUMIFS('WBS Summary'!DB:DB,'WBS Summary'!$B:$B, $B27, 'WBS Summary'!$AH:$AH, $C27,'WBS Summary'!$AJ:$AJ, $H27)</f>
        <v>0</v>
      </c>
      <c r="BI27" s="134">
        <f>SUMIFS('WBS Summary'!DC:DC,'WBS Summary'!$B:$B, $B27, 'WBS Summary'!$AH:$AH, $C27,'WBS Summary'!$AJ:$AJ, $H27)</f>
        <v>0</v>
      </c>
      <c r="BJ27" s="134">
        <f>SUMIFS('WBS Summary'!DD:DD,'WBS Summary'!$B:$B, $B27, 'WBS Summary'!$AH:$AH, $C27,'WBS Summary'!$AJ:$AJ, $H27)</f>
        <v>0</v>
      </c>
      <c r="BK27" s="134">
        <f>SUMIFS('WBS Summary'!DE:DE,'WBS Summary'!$B:$B, $B27, 'WBS Summary'!$AH:$AH, $C27,'WBS Summary'!$AJ:$AJ, $H27)</f>
        <v>0</v>
      </c>
      <c r="BL27" s="134">
        <f>SUMIFS('WBS Summary'!DF:DF,'WBS Summary'!$B:$B, $B27, 'WBS Summary'!$AH:$AH, $C27,'WBS Summary'!$AJ:$AJ, $H27)</f>
        <v>0</v>
      </c>
      <c r="BM27" s="134">
        <f>SUMIFS('WBS Summary'!DG:DG,'WBS Summary'!$B:$B, $B27, 'WBS Summary'!$AH:$AH, $C27,'WBS Summary'!$AJ:$AJ, $H27)</f>
        <v>0</v>
      </c>
      <c r="BN27" s="134">
        <f>SUMIFS('WBS Summary'!DH:DH,'WBS Summary'!$B:$B, $B27, 'WBS Summary'!$AH:$AH, $C27,'WBS Summary'!$AJ:$AJ, $H27)</f>
        <v>0</v>
      </c>
      <c r="BO27" s="134">
        <f>SUMIFS('WBS Summary'!DI:DI,'WBS Summary'!$B:$B, $B27, 'WBS Summary'!$AH:$AH, $C27,'WBS Summary'!$AJ:$AJ, $H27)</f>
        <v>0</v>
      </c>
      <c r="BP27" s="134">
        <f>SUMIFS('WBS Summary'!DJ:DJ,'WBS Summary'!$B:$B, $B27, 'WBS Summary'!$AH:$AH, $C27,'WBS Summary'!$AJ:$AJ, $H27)</f>
        <v>0</v>
      </c>
      <c r="BQ27" s="134">
        <f>SUMIFS('WBS Summary'!DK:DK,'WBS Summary'!$B:$B, $B27, 'WBS Summary'!$AH:$AH, $C27,'WBS Summary'!$AJ:$AJ, $H27)</f>
        <v>0</v>
      </c>
      <c r="BR27" s="134">
        <f>SUMIFS('WBS Summary'!DL:DL,'WBS Summary'!$B:$B, $B27, 'WBS Summary'!$AH:$AH, $C27,'WBS Summary'!$AJ:$AJ, $H27)</f>
        <v>0</v>
      </c>
      <c r="BS27" s="134">
        <f>SUMIFS('WBS Summary'!DM:DM,'WBS Summary'!$B:$B, $B27, 'WBS Summary'!$AH:$AH, $C27,'WBS Summary'!$AJ:$AJ, $H27)</f>
        <v>0</v>
      </c>
      <c r="BT27" s="134">
        <f>SUMIFS('WBS Summary'!DN:DN,'WBS Summary'!$B:$B, $B27, 'WBS Summary'!$AH:$AH, $C27,'WBS Summary'!$AJ:$AJ, $H27)</f>
        <v>0</v>
      </c>
      <c r="BU27" s="134">
        <f>SUMIFS('WBS Summary'!DO:DO,'WBS Summary'!$B:$B, $B27, 'WBS Summary'!$AH:$AH, $C27,'WBS Summary'!$AJ:$AJ, $H27)</f>
        <v>0</v>
      </c>
      <c r="BV27" s="134">
        <f>SUMIFS('WBS Summary'!DP:DP,'WBS Summary'!$B:$B, $B27, 'WBS Summary'!$AH:$AH, $C27,'WBS Summary'!$AJ:$AJ, $H27)</f>
        <v>0</v>
      </c>
      <c r="BW27" s="134">
        <f>SUMIFS('WBS Summary'!DQ:DQ,'WBS Summary'!$B:$B, $B27, 'WBS Summary'!$AH:$AH, $C27,'WBS Summary'!$AJ:$AJ, $H27)</f>
        <v>0</v>
      </c>
      <c r="BX27" s="134">
        <f>SUMIFS('WBS Summary'!DR:DR,'WBS Summary'!$B:$B, $B27, 'WBS Summary'!$AH:$AH, $C27,'WBS Summary'!$AJ:$AJ, $H27)</f>
        <v>0</v>
      </c>
      <c r="BY27" s="134">
        <f>SUMIFS('WBS Summary'!DS:DS,'WBS Summary'!$B:$B, $B27, 'WBS Summary'!$AH:$AH, $C27,'WBS Summary'!$AJ:$AJ, $H27)</f>
        <v>0</v>
      </c>
      <c r="BZ27" s="134">
        <f>SUMIFS('WBS Summary'!DT:DT,'WBS Summary'!$B:$B, $B27, 'WBS Summary'!$AH:$AH, $C27,'WBS Summary'!$AJ:$AJ, $H27)</f>
        <v>0</v>
      </c>
      <c r="CA27" s="134">
        <f>SUMIFS('WBS Summary'!DU:DU,'WBS Summary'!$B:$B, $B27, 'WBS Summary'!$AH:$AH, $C27,'WBS Summary'!$AJ:$AJ, $H27)</f>
        <v>0</v>
      </c>
      <c r="CB27" s="134">
        <f>SUMIFS('WBS Summary'!DV:DV,'WBS Summary'!$B:$B, $B27, 'WBS Summary'!$AH:$AH, $C27,'WBS Summary'!$AJ:$AJ, $H27)</f>
        <v>0</v>
      </c>
      <c r="CC27" s="134">
        <f>SUMIFS('WBS Summary'!DW:DW,'WBS Summary'!$B:$B, $B27, 'WBS Summary'!$AH:$AH, $C27,'WBS Summary'!$AJ:$AJ, $H27)</f>
        <v>0</v>
      </c>
      <c r="CD27" s="134">
        <f>SUMIFS('WBS Summary'!DX:DX,'WBS Summary'!$B:$B, $B27, 'WBS Summary'!$AH:$AH, $C27,'WBS Summary'!$AJ:$AJ, $H27)</f>
        <v>0</v>
      </c>
      <c r="CE27" s="134">
        <f>SUMIFS('WBS Summary'!DY:DY,'WBS Summary'!$B:$B, $B27, 'WBS Summary'!$AH:$AH, $C27,'WBS Summary'!$AJ:$AJ, $H27)</f>
        <v>0</v>
      </c>
      <c r="CF27" s="134">
        <f>SUMIFS('WBS Summary'!DZ:DZ,'WBS Summary'!$B:$B, $B27, 'WBS Summary'!$AH:$AH, $C27,'WBS Summary'!$AJ:$AJ, $H27)</f>
        <v>0</v>
      </c>
      <c r="CG27" s="134">
        <f>SUMIFS('WBS Summary'!EA:EA,'WBS Summary'!$B:$B, $B27, 'WBS Summary'!$AH:$AH, $C27,'WBS Summary'!$AJ:$AJ, $H27)</f>
        <v>0</v>
      </c>
      <c r="CH27" s="134">
        <f>SUMIFS('WBS Summary'!EB:EB,'WBS Summary'!$B:$B, $B27, 'WBS Summary'!$AH:$AH, $C27,'WBS Summary'!$AJ:$AJ, $H27)</f>
        <v>0</v>
      </c>
      <c r="CI27" s="134">
        <f>SUMIFS('WBS Summary'!EC:EC,'WBS Summary'!$B:$B, $B27, 'WBS Summary'!$AH:$AH, $C27,'WBS Summary'!$AJ:$AJ, $H27)</f>
        <v>0</v>
      </c>
      <c r="CJ27" s="134">
        <f>SUMIFS('WBS Summary'!ED:ED,'WBS Summary'!$B:$B, $B27, 'WBS Summary'!$AH:$AH, $C27,'WBS Summary'!$AJ:$AJ, $H27)</f>
        <v>0</v>
      </c>
      <c r="CK27" s="134">
        <f>SUMIFS('WBS Summary'!EE:EE,'WBS Summary'!$B:$B, $B27, 'WBS Summary'!$AH:$AH, $C27,'WBS Summary'!$AJ:$AJ, $H27)</f>
        <v>0</v>
      </c>
      <c r="CL27" s="134">
        <f>SUMIFS('WBS Summary'!EF:EF,'WBS Summary'!$B:$B, $B27, 'WBS Summary'!$AH:$AH, $C27,'WBS Summary'!$AJ:$AJ, $H27)</f>
        <v>0</v>
      </c>
      <c r="CM27" s="134">
        <f>SUMIFS('WBS Summary'!EG:EG,'WBS Summary'!$B:$B, $B27, 'WBS Summary'!$AH:$AH, $C27,'WBS Summary'!$AJ:$AJ, $H27)</f>
        <v>0</v>
      </c>
      <c r="CN27" s="134">
        <f>SUMIFS('WBS Summary'!EH:EH,'WBS Summary'!$B:$B, $B27, 'WBS Summary'!$AH:$AH, $C27,'WBS Summary'!$AJ:$AJ, $H27)</f>
        <v>0</v>
      </c>
      <c r="CO27" s="134">
        <f>SUMIFS('WBS Summary'!EI:EI,'WBS Summary'!$B:$B, $B27, 'WBS Summary'!$AH:$AH, $C27,'WBS Summary'!$AJ:$AJ, $H27)</f>
        <v>0</v>
      </c>
      <c r="CP27" s="134">
        <f>SUMIFS('WBS Summary'!EJ:EJ,'WBS Summary'!$B:$B, $B27, 'WBS Summary'!$AH:$AH, $C27,'WBS Summary'!$AJ:$AJ, $H27)</f>
        <v>0</v>
      </c>
      <c r="CQ27" s="134">
        <f>SUMIFS('WBS Summary'!EK:EK,'WBS Summary'!$B:$B, $B27, 'WBS Summary'!$AH:$AH, $C27,'WBS Summary'!$AJ:$AJ, $H27)</f>
        <v>0</v>
      </c>
      <c r="CR27" s="134">
        <f>SUMIFS('WBS Summary'!EL:EL,'WBS Summary'!$B:$B, $B27, 'WBS Summary'!$AH:$AH, $C27,'WBS Summary'!$AJ:$AJ, $H27)</f>
        <v>0</v>
      </c>
      <c r="CS27" s="134">
        <f>SUMIFS('WBS Summary'!EM:EM,'WBS Summary'!$B:$B, $B27, 'WBS Summary'!$AH:$AH, $C27,'WBS Summary'!$AJ:$AJ, $H27)</f>
        <v>0</v>
      </c>
      <c r="CT27" s="134">
        <f>SUMIFS('WBS Summary'!EN:EN,'WBS Summary'!$B:$B, $B27, 'WBS Summary'!$AH:$AH, $C27,'WBS Summary'!$AJ:$AJ, $H27)</f>
        <v>0</v>
      </c>
      <c r="CU27" s="134">
        <f>SUMIFS('WBS Summary'!EO:EO,'WBS Summary'!$B:$B, $B27, 'WBS Summary'!$AH:$AH, $C27,'WBS Summary'!$AJ:$AJ, $H27)</f>
        <v>0</v>
      </c>
      <c r="CV27" s="134">
        <f>SUMIFS('WBS Summary'!EP:EP,'WBS Summary'!$B:$B, $B27, 'WBS Summary'!$AH:$AH, $C27,'WBS Summary'!$AJ:$AJ, $H27)</f>
        <v>0</v>
      </c>
      <c r="CW27" s="134">
        <f>SUMIFS('WBS Summary'!EQ:EQ,'WBS Summary'!$B:$B, $B27, 'WBS Summary'!$AH:$AH, $C27,'WBS Summary'!$AJ:$AJ, $H27)</f>
        <v>0</v>
      </c>
      <c r="CX27" s="134">
        <f>SUMIFS('WBS Summary'!ER:ER,'WBS Summary'!$B:$B, $B27, 'WBS Summary'!$AH:$AH, $C27,'WBS Summary'!$AJ:$AJ, $H27)</f>
        <v>0</v>
      </c>
      <c r="CY27" s="134">
        <f>SUMIFS('WBS Summary'!ES:ES,'WBS Summary'!$B:$B, $B27, 'WBS Summary'!$AH:$AH, $C27,'WBS Summary'!$AJ:$AJ, $H27)</f>
        <v>0</v>
      </c>
      <c r="CZ27" s="134">
        <f>SUMIFS('WBS Summary'!ET:ET,'WBS Summary'!$B:$B, $B27, 'WBS Summary'!$AH:$AH, $C27,'WBS Summary'!$AJ:$AJ, $H27)</f>
        <v>0</v>
      </c>
      <c r="DA27" s="134">
        <f>SUMIFS('WBS Summary'!EU:EU,'WBS Summary'!$B:$B, $B27, 'WBS Summary'!$AH:$AH, $C27,'WBS Summary'!$AJ:$AJ, $H27)</f>
        <v>0</v>
      </c>
      <c r="DB27" s="134">
        <f>SUMIFS('WBS Summary'!EV:EV,'WBS Summary'!$B:$B, $B27, 'WBS Summary'!$AH:$AH, $C27,'WBS Summary'!$AJ:$AJ, $H27)</f>
        <v>0</v>
      </c>
      <c r="DC27" s="134">
        <f>SUMIFS('WBS Summary'!EW:EW,'WBS Summary'!$B:$B, $B27, 'WBS Summary'!$AH:$AH, $C27,'WBS Summary'!$AJ:$AJ, $H27)</f>
        <v>0</v>
      </c>
      <c r="DD27" s="134">
        <f>SUMIFS('WBS Summary'!EX:EX,'WBS Summary'!$B:$B, $B27, 'WBS Summary'!$AH:$AH, $C27,'WBS Summary'!$AJ:$AJ, $H27)</f>
        <v>0</v>
      </c>
      <c r="DE27" s="134">
        <f>SUMIFS('WBS Summary'!EY:EY,'WBS Summary'!$B:$B, $B27, 'WBS Summary'!$AH:$AH, $C27,'WBS Summary'!$AJ:$AJ, $H27)</f>
        <v>0</v>
      </c>
      <c r="DF27"/>
      <c r="DG27" s="134">
        <f>SUMIFS('WBS Summary'!FR:FR,'WBS Summary'!$B:$B, $B27, 'WBS Summary'!$AH:$AH, $C27,'WBS Summary'!$AJ:$AJ, $H27)</f>
        <v>0</v>
      </c>
      <c r="DH27" s="134">
        <f>SUMIFS('WBS Summary'!FS:FS,'WBS Summary'!$B:$B, $B27, 'WBS Summary'!$AH:$AH, $C27,'WBS Summary'!$AJ:$AJ, $H27)</f>
        <v>0</v>
      </c>
      <c r="DI27" s="134">
        <f>SUMIFS('WBS Summary'!FT:FT,'WBS Summary'!$B:$B, $B27, 'WBS Summary'!$AH:$AH, $C27,'WBS Summary'!$AJ:$AJ, $H27)</f>
        <v>0</v>
      </c>
      <c r="DJ27" s="134">
        <f>SUMIFS('WBS Summary'!FU:FU,'WBS Summary'!$B:$B, $B27, 'WBS Summary'!$AH:$AH, $C27,'WBS Summary'!$AJ:$AJ, $H27)</f>
        <v>0</v>
      </c>
      <c r="DK27" s="134">
        <f>SUMIFS('WBS Summary'!FV:FV,'WBS Summary'!$B:$B, $B27, 'WBS Summary'!$AH:$AH, $C27,'WBS Summary'!$AJ:$AJ, $H27)</f>
        <v>0</v>
      </c>
      <c r="DL27" s="134">
        <f>SUMIFS('WBS Summary'!FW:FW,'WBS Summary'!$B:$B, $B27, 'WBS Summary'!$AH:$AH, $C27,'WBS Summary'!$AJ:$AJ, $H27)</f>
        <v>0</v>
      </c>
      <c r="DM27" s="134">
        <f>SUMIFS('WBS Summary'!FX:FX,'WBS Summary'!$B:$B, $B27, 'WBS Summary'!$AH:$AH, $C27,'WBS Summary'!$AJ:$AJ, $H27)</f>
        <v>0</v>
      </c>
      <c r="DN27" s="134">
        <f>SUMIFS('WBS Summary'!FY:FY,'WBS Summary'!$B:$B, $B27, 'WBS Summary'!$AH:$AH, $C27,'WBS Summary'!$AJ:$AJ, $H27)</f>
        <v>0</v>
      </c>
      <c r="DO27" s="134">
        <f>SUMIFS('WBS Summary'!FZ:FZ,'WBS Summary'!$B:$B, $B27, 'WBS Summary'!$AH:$AH, $C27,'WBS Summary'!$AJ:$AJ, $H27)</f>
        <v>0</v>
      </c>
      <c r="DP27" s="134">
        <f>SUMIFS('WBS Summary'!GA:GA,'WBS Summary'!$B:$B, $B27, 'WBS Summary'!$AH:$AH, $C27,'WBS Summary'!$AJ:$AJ, $H27)</f>
        <v>0</v>
      </c>
      <c r="DQ27" s="134">
        <f>SUMIFS('WBS Summary'!GB:GB,'WBS Summary'!$B:$B, $B27, 'WBS Summary'!$AH:$AH, $C27,'WBS Summary'!$AJ:$AJ, $H27)</f>
        <v>0</v>
      </c>
      <c r="DR27" s="134">
        <f>SUMIFS('WBS Summary'!GC:GC,'WBS Summary'!$B:$B, $B27, 'WBS Summary'!$AH:$AH, $C27,'WBS Summary'!$AJ:$AJ, $H27)</f>
        <v>0</v>
      </c>
      <c r="DS27" s="134">
        <f>SUMIFS('WBS Summary'!GD:GD,'WBS Summary'!$B:$B, $B27, 'WBS Summary'!$AH:$AH, $C27,'WBS Summary'!$AJ:$AJ, $H27)</f>
        <v>0</v>
      </c>
      <c r="DT27" s="134">
        <f>SUMIFS('WBS Summary'!GE:GE,'WBS Summary'!$B:$B, $B27, 'WBS Summary'!$AH:$AH, $C27,'WBS Summary'!$AJ:$AJ, $H27)</f>
        <v>0</v>
      </c>
      <c r="DU27" s="134">
        <f>SUMIFS('WBS Summary'!GF:GF,'WBS Summary'!$B:$B, $B27, 'WBS Summary'!$AH:$AH, $C27,'WBS Summary'!$AJ:$AJ, $H27)</f>
        <v>0</v>
      </c>
      <c r="DV27" s="134">
        <f>SUMIFS('WBS Summary'!GG:GG,'WBS Summary'!$B:$B, $B27, 'WBS Summary'!$AH:$AH, $C27,'WBS Summary'!$AJ:$AJ, $H27)</f>
        <v>0</v>
      </c>
      <c r="DW27" s="134">
        <f>SUMIFS('WBS Summary'!GH:GH,'WBS Summary'!$B:$B, $B27, 'WBS Summary'!$AH:$AH, $C27,'WBS Summary'!$AJ:$AJ, $H27)</f>
        <v>0</v>
      </c>
      <c r="DX27" s="134">
        <f>SUMIFS('WBS Summary'!GI:GI,'WBS Summary'!$B:$B, $B27, 'WBS Summary'!$AH:$AH, $C27,'WBS Summary'!$AJ:$AJ, $H27)</f>
        <v>0</v>
      </c>
      <c r="DY27" s="134">
        <f>SUMIFS('WBS Summary'!GJ:GJ,'WBS Summary'!$B:$B, $B27, 'WBS Summary'!$AH:$AH, $C27,'WBS Summary'!$AJ:$AJ, $H27)</f>
        <v>0</v>
      </c>
      <c r="DZ27" s="134">
        <f>SUMIFS('WBS Summary'!GK:GK,'WBS Summary'!$B:$B, $B27, 'WBS Summary'!$AH:$AH, $C27,'WBS Summary'!$AJ:$AJ, $H27)</f>
        <v>0</v>
      </c>
      <c r="EA27" s="134">
        <f>SUMIFS('WBS Summary'!GL:GL,'WBS Summary'!$B:$B, $B27, 'WBS Summary'!$AH:$AH, $C27,'WBS Summary'!$AJ:$AJ, $H27)</f>
        <v>0</v>
      </c>
      <c r="EB27" s="134">
        <f>SUMIFS('WBS Summary'!GM:GM,'WBS Summary'!$B:$B, $B27, 'WBS Summary'!$AH:$AH, $C27,'WBS Summary'!$AJ:$AJ, $H27)</f>
        <v>0</v>
      </c>
      <c r="EC27" s="134">
        <f>SUMIFS('WBS Summary'!GN:GN,'WBS Summary'!$B:$B, $B27, 'WBS Summary'!$AH:$AH, $C27,'WBS Summary'!$AJ:$AJ, $H27)</f>
        <v>0</v>
      </c>
      <c r="ED27" s="134">
        <f>SUMIFS('WBS Summary'!GO:GO,'WBS Summary'!$B:$B, $B27, 'WBS Summary'!$AH:$AH, $C27,'WBS Summary'!$AJ:$AJ, $H27)</f>
        <v>0</v>
      </c>
      <c r="EE27" s="134">
        <f>SUMIFS('WBS Summary'!GP:GP,'WBS Summary'!$B:$B, $B27, 'WBS Summary'!$AH:$AH, $C27,'WBS Summary'!$AJ:$AJ, $H27)</f>
        <v>0</v>
      </c>
      <c r="EF27" s="134">
        <f>SUMIFS('WBS Summary'!GQ:GQ,'WBS Summary'!$B:$B, $B27, 'WBS Summary'!$AH:$AH, $C27,'WBS Summary'!$AJ:$AJ, $H27)</f>
        <v>0</v>
      </c>
      <c r="EG27" s="134">
        <f>SUMIFS('WBS Summary'!GR:GR,'WBS Summary'!$B:$B, $B27, 'WBS Summary'!$AH:$AH, $C27,'WBS Summary'!$AJ:$AJ, $H27)</f>
        <v>0</v>
      </c>
      <c r="EH27" s="134">
        <f>SUMIFS('WBS Summary'!GS:GS,'WBS Summary'!$B:$B, $B27, 'WBS Summary'!$AH:$AH, $C27,'WBS Summary'!$AJ:$AJ, $H27)</f>
        <v>0</v>
      </c>
      <c r="EI27" s="134">
        <f>SUMIFS('WBS Summary'!GT:GT,'WBS Summary'!$B:$B, $B27, 'WBS Summary'!$AH:$AH, $C27,'WBS Summary'!$AJ:$AJ, $H27)</f>
        <v>0</v>
      </c>
      <c r="EJ27" s="134">
        <f>SUMIFS('WBS Summary'!GU:GU,'WBS Summary'!$B:$B, $B27, 'WBS Summary'!$AH:$AH, $C27,'WBS Summary'!$AJ:$AJ, $H27)</f>
        <v>0</v>
      </c>
      <c r="EK27" s="134">
        <f>SUMIFS('WBS Summary'!GV:GV,'WBS Summary'!$B:$B, $B27, 'WBS Summary'!$AH:$AH, $C27,'WBS Summary'!$AJ:$AJ, $H27)</f>
        <v>0</v>
      </c>
      <c r="EL27" s="134">
        <f>SUMIFS('WBS Summary'!GW:GW,'WBS Summary'!$B:$B, $B27, 'WBS Summary'!$AH:$AH, $C27,'WBS Summary'!$AJ:$AJ, $H27)</f>
        <v>0</v>
      </c>
      <c r="EM27" s="134">
        <f>SUMIFS('WBS Summary'!GX:GX,'WBS Summary'!$B:$B, $B27, 'WBS Summary'!$AH:$AH, $C27,'WBS Summary'!$AJ:$AJ, $H27)</f>
        <v>0</v>
      </c>
      <c r="EN27" s="134">
        <f>SUMIFS('WBS Summary'!GY:GY,'WBS Summary'!$B:$B, $B27, 'WBS Summary'!$AH:$AH, $C27,'WBS Summary'!$AJ:$AJ, $H27)</f>
        <v>0</v>
      </c>
      <c r="EO27" s="134">
        <f>SUMIFS('WBS Summary'!GZ:GZ,'WBS Summary'!$B:$B, $B27, 'WBS Summary'!$AH:$AH, $C27,'WBS Summary'!$AJ:$AJ, $H27)</f>
        <v>0</v>
      </c>
      <c r="EP27" s="134">
        <f>SUMIFS('WBS Summary'!HA:HA,'WBS Summary'!$B:$B, $B27, 'WBS Summary'!$AH:$AH, $C27,'WBS Summary'!$AJ:$AJ, $H27)</f>
        <v>0</v>
      </c>
      <c r="EQ27" s="134">
        <f>SUMIFS('WBS Summary'!HB:HB,'WBS Summary'!$B:$B, $B27, 'WBS Summary'!$AH:$AH, $C27,'WBS Summary'!$AJ:$AJ, $H27)</f>
        <v>0</v>
      </c>
      <c r="ER27" s="134">
        <f>SUMIFS('WBS Summary'!HC:HC,'WBS Summary'!$B:$B, $B27, 'WBS Summary'!$AH:$AH, $C27,'WBS Summary'!$AJ:$AJ, $H27)</f>
        <v>0</v>
      </c>
      <c r="ES27" s="134">
        <f>SUMIFS('WBS Summary'!HD:HD,'WBS Summary'!$B:$B, $B27, 'WBS Summary'!$AH:$AH, $C27,'WBS Summary'!$AJ:$AJ, $H27)</f>
        <v>0</v>
      </c>
      <c r="ET27" s="134">
        <f>SUMIFS('WBS Summary'!HE:HE,'WBS Summary'!$B:$B, $B27, 'WBS Summary'!$AH:$AH, $C27,'WBS Summary'!$AJ:$AJ, $H27)</f>
        <v>0</v>
      </c>
      <c r="EU27" s="134">
        <f>SUMIFS('WBS Summary'!HF:HF,'WBS Summary'!$B:$B, $B27, 'WBS Summary'!$AH:$AH, $C27,'WBS Summary'!$AJ:$AJ, $H27)</f>
        <v>0</v>
      </c>
      <c r="EV27" s="134">
        <f>SUMIFS('WBS Summary'!HG:HG,'WBS Summary'!$B:$B, $B27, 'WBS Summary'!$AH:$AH, $C27,'WBS Summary'!$AJ:$AJ, $H27)</f>
        <v>0</v>
      </c>
      <c r="EW27" s="134">
        <f>SUMIFS('WBS Summary'!HH:HH,'WBS Summary'!$B:$B, $B27, 'WBS Summary'!$AH:$AH, $C27,'WBS Summary'!$AJ:$AJ, $H27)</f>
        <v>0</v>
      </c>
      <c r="EX27" s="134">
        <f>SUMIFS('WBS Summary'!HI:HI,'WBS Summary'!$B:$B, $B27, 'WBS Summary'!$AH:$AH, $C27,'WBS Summary'!$AJ:$AJ, $H27)</f>
        <v>0</v>
      </c>
      <c r="EY27" s="134">
        <f>SUMIFS('WBS Summary'!HJ:HJ,'WBS Summary'!$B:$B, $B27, 'WBS Summary'!$AH:$AH, $C27,'WBS Summary'!$AJ:$AJ, $H27)</f>
        <v>0</v>
      </c>
      <c r="EZ27" s="134">
        <f>SUMIFS('WBS Summary'!HK:HK,'WBS Summary'!$B:$B, $B27, 'WBS Summary'!$AH:$AH, $C27,'WBS Summary'!$AJ:$AJ, $H27)</f>
        <v>0</v>
      </c>
      <c r="FA27" s="134">
        <f>SUMIFS('WBS Summary'!HL:HL,'WBS Summary'!$B:$B, $B27, 'WBS Summary'!$AH:$AH, $C27,'WBS Summary'!$AJ:$AJ, $H27)</f>
        <v>0</v>
      </c>
      <c r="FB27" s="134">
        <f>SUMIFS('WBS Summary'!HM:HM,'WBS Summary'!$B:$B, $B27, 'WBS Summary'!$AH:$AH, $C27,'WBS Summary'!$AJ:$AJ, $H27)</f>
        <v>0</v>
      </c>
      <c r="FC27" s="134">
        <f>SUMIFS('WBS Summary'!HN:HN,'WBS Summary'!$B:$B, $B27, 'WBS Summary'!$AH:$AH, $C27,'WBS Summary'!$AJ:$AJ, $H27)</f>
        <v>0</v>
      </c>
      <c r="FD27" s="134">
        <f>SUMIFS('WBS Summary'!HO:HO,'WBS Summary'!$B:$B, $B27, 'WBS Summary'!$AH:$AH, $C27,'WBS Summary'!$AJ:$AJ, $H27)</f>
        <v>0</v>
      </c>
      <c r="FE27" s="134">
        <f>SUMIFS('WBS Summary'!HP:HP,'WBS Summary'!$B:$B, $B27, 'WBS Summary'!$AH:$AH, $C27,'WBS Summary'!$AJ:$AJ, $H27)</f>
        <v>0</v>
      </c>
      <c r="FF27" s="134">
        <f>SUMIFS('WBS Summary'!HQ:HQ,'WBS Summary'!$B:$B, $B27, 'WBS Summary'!$AH:$AH, $C27,'WBS Summary'!$AJ:$AJ, $H27)</f>
        <v>0</v>
      </c>
      <c r="FG27" s="134">
        <f>SUMIFS('WBS Summary'!HR:HR,'WBS Summary'!$B:$B, $B27, 'WBS Summary'!$AH:$AH, $C27,'WBS Summary'!$AJ:$AJ, $H27)</f>
        <v>0</v>
      </c>
      <c r="FH27" s="134">
        <f>SUMIFS('WBS Summary'!HS:HS,'WBS Summary'!$B:$B, $B27, 'WBS Summary'!$AH:$AH, $C27,'WBS Summary'!$AJ:$AJ, $H27)</f>
        <v>0</v>
      </c>
      <c r="FI27" s="134">
        <f>SUMIFS('WBS Summary'!HT:HT,'WBS Summary'!$B:$B, $B27, 'WBS Summary'!$AH:$AH, $C27,'WBS Summary'!$AJ:$AJ, $H27)</f>
        <v>0</v>
      </c>
      <c r="FJ27" s="134">
        <f>SUMIFS('WBS Summary'!HU:HU,'WBS Summary'!$B:$B, $B27, 'WBS Summary'!$AH:$AH, $C27,'WBS Summary'!$AJ:$AJ, $H27)</f>
        <v>0</v>
      </c>
      <c r="FK27" s="134">
        <f>SUMIFS('WBS Summary'!HV:HV,'WBS Summary'!$B:$B, $B27, 'WBS Summary'!$AH:$AH, $C27,'WBS Summary'!$AJ:$AJ, $H27)</f>
        <v>0</v>
      </c>
      <c r="FL27" s="134">
        <f>SUMIFS('WBS Summary'!HW:HW,'WBS Summary'!$B:$B, $B27, 'WBS Summary'!$AH:$AH, $C27,'WBS Summary'!$AJ:$AJ, $H27)</f>
        <v>0</v>
      </c>
      <c r="FM27" s="134">
        <f>SUMIFS('WBS Summary'!HX:HX,'WBS Summary'!$B:$B, $B27, 'WBS Summary'!$AH:$AH, $C27,'WBS Summary'!$AJ:$AJ, $H27)</f>
        <v>0</v>
      </c>
      <c r="FN27" s="134">
        <f>SUMIFS('WBS Summary'!HY:HY,'WBS Summary'!$B:$B, $B27, 'WBS Summary'!$AH:$AH, $C27,'WBS Summary'!$AJ:$AJ, $H27)</f>
        <v>0</v>
      </c>
      <c r="FO27" s="134">
        <f>SUMIFS('WBS Summary'!HZ:HZ,'WBS Summary'!$B:$B, $B27, 'WBS Summary'!$AH:$AH, $C27,'WBS Summary'!$AJ:$AJ, $H27)</f>
        <v>0</v>
      </c>
      <c r="FP27" s="134">
        <f>SUMIFS('WBS Summary'!IA:IA,'WBS Summary'!$B:$B, $B27, 'WBS Summary'!$AH:$AH, $C27,'WBS Summary'!$AJ:$AJ, $H27)</f>
        <v>0</v>
      </c>
      <c r="FQ27" s="134">
        <f>SUMIFS('WBS Summary'!IB:IB,'WBS Summary'!$B:$B, $B27, 'WBS Summary'!$AH:$AH, $C27,'WBS Summary'!$AJ:$AJ, $H27)</f>
        <v>0</v>
      </c>
      <c r="FR27" s="134">
        <f>SUMIFS('WBS Summary'!IC:IC,'WBS Summary'!$B:$B, $B27, 'WBS Summary'!$AH:$AH, $C27,'WBS Summary'!$AJ:$AJ, $H27)</f>
        <v>0</v>
      </c>
      <c r="FS27" s="134">
        <f>SUMIFS('WBS Summary'!ID:ID,'WBS Summary'!$B:$B, $B27, 'WBS Summary'!$AH:$AH, $C27,'WBS Summary'!$AJ:$AJ, $H27)</f>
        <v>0</v>
      </c>
      <c r="FT27" s="134">
        <f>SUMIFS('WBS Summary'!IE:IE,'WBS Summary'!$B:$B, $B27, 'WBS Summary'!$AH:$AH, $C27,'WBS Summary'!$AJ:$AJ, $H27)</f>
        <v>0</v>
      </c>
      <c r="FU27" s="134">
        <f>SUMIFS('WBS Summary'!IF:IF,'WBS Summary'!$B:$B, $B27, 'WBS Summary'!$AH:$AH, $C27,'WBS Summary'!$AJ:$AJ, $H27)</f>
        <v>0</v>
      </c>
      <c r="FV27" s="134">
        <f>SUMIFS('WBS Summary'!IG:IG,'WBS Summary'!$B:$B, $B27, 'WBS Summary'!$AH:$AH, $C27,'WBS Summary'!$AJ:$AJ, $H27)</f>
        <v>0</v>
      </c>
      <c r="FW27" s="134">
        <f>SUMIFS('WBS Summary'!IH:IH,'WBS Summary'!$B:$B, $B27, 'WBS Summary'!$AH:$AH, $C27,'WBS Summary'!$AJ:$AJ, $H27)</f>
        <v>0</v>
      </c>
      <c r="FX27" s="134">
        <f>SUMIFS('WBS Summary'!II:II,'WBS Summary'!$B:$B, $B27, 'WBS Summary'!$AH:$AH, $C27,'WBS Summary'!$AJ:$AJ, $H27)</f>
        <v>0</v>
      </c>
      <c r="FY27" s="134">
        <f>SUMIFS('WBS Summary'!IJ:IJ,'WBS Summary'!$B:$B, $B27, 'WBS Summary'!$AH:$AH, $C27,'WBS Summary'!$AJ:$AJ, $H27)</f>
        <v>0</v>
      </c>
      <c r="FZ27" s="134">
        <f>SUMIFS('WBS Summary'!IK:IK,'WBS Summary'!$B:$B, $B27, 'WBS Summary'!$AH:$AH, $C27,'WBS Summary'!$AJ:$AJ, $H27)</f>
        <v>0</v>
      </c>
      <c r="GA27" s="134">
        <f>SUMIFS('WBS Summary'!IL:IL,'WBS Summary'!$B:$B, $B27, 'WBS Summary'!$AH:$AH, $C27,'WBS Summary'!$AJ:$AJ, $H27)</f>
        <v>0</v>
      </c>
      <c r="GB27" s="134">
        <f>SUMIFS('WBS Summary'!IM:IM,'WBS Summary'!$B:$B, $B27, 'WBS Summary'!$AH:$AH, $C27,'WBS Summary'!$AJ:$AJ, $H27)</f>
        <v>0</v>
      </c>
      <c r="GC27" s="134">
        <f>SUMIFS('WBS Summary'!IN:IN,'WBS Summary'!$B:$B, $B27, 'WBS Summary'!$AH:$AH, $C27,'WBS Summary'!$AJ:$AJ, $H27)</f>
        <v>0</v>
      </c>
      <c r="GD27" s="134">
        <f>SUMIFS('WBS Summary'!IO:IO,'WBS Summary'!$B:$B, $B27, 'WBS Summary'!$AH:$AH, $C27,'WBS Summary'!$AJ:$AJ, $H27)</f>
        <v>0</v>
      </c>
      <c r="GE27" s="134">
        <f>SUMIFS('WBS Summary'!IP:IP,'WBS Summary'!$B:$B, $B27, 'WBS Summary'!$AH:$AH, $C27,'WBS Summary'!$AJ:$AJ, $H27)</f>
        <v>0</v>
      </c>
      <c r="GF27" s="134">
        <f>SUMIFS('WBS Summary'!IQ:IQ,'WBS Summary'!$B:$B, $B27, 'WBS Summary'!$AH:$AH, $C27,'WBS Summary'!$AJ:$AJ, $H27)</f>
        <v>0</v>
      </c>
      <c r="GG27" s="134">
        <f>SUMIFS('WBS Summary'!IR:IR,'WBS Summary'!$B:$B, $B27, 'WBS Summary'!$AH:$AH, $C27,'WBS Summary'!$AJ:$AJ, $H27)</f>
        <v>0</v>
      </c>
      <c r="GH27" s="134">
        <f>SUMIFS('WBS Summary'!IS:IS,'WBS Summary'!$B:$B, $B27, 'WBS Summary'!$AH:$AH, $C27,'WBS Summary'!$AJ:$AJ, $H27)</f>
        <v>0</v>
      </c>
      <c r="GI27" s="134">
        <f>SUMIFS('WBS Summary'!IT:IT,'WBS Summary'!$B:$B, $B27, 'WBS Summary'!$AH:$AH, $C27,'WBS Summary'!$AJ:$AJ, $H27)</f>
        <v>0</v>
      </c>
      <c r="GJ27" s="134">
        <f>SUMIFS('WBS Summary'!IU:IU,'WBS Summary'!$B:$B, $B27, 'WBS Summary'!$AH:$AH, $C27,'WBS Summary'!$AJ:$AJ, $H27)</f>
        <v>0</v>
      </c>
      <c r="GK27" s="134">
        <f>SUMIFS('WBS Summary'!IV:IV,'WBS Summary'!$B:$B, $B27, 'WBS Summary'!$AH:$AH, $C27,'WBS Summary'!$AJ:$AJ, $H27)</f>
        <v>0</v>
      </c>
      <c r="GL27" s="134">
        <f>SUMIFS('WBS Summary'!IW:IW,'WBS Summary'!$B:$B, $B27, 'WBS Summary'!$AH:$AH, $C27,'WBS Summary'!$AJ:$AJ, $H27)</f>
        <v>0</v>
      </c>
      <c r="GM27" s="134">
        <f>SUMIFS('WBS Summary'!IX:IX,'WBS Summary'!$B:$B, $B27, 'WBS Summary'!$AH:$AH, $C27,'WBS Summary'!$AJ:$AJ, $H27)</f>
        <v>0</v>
      </c>
      <c r="GN27" s="134">
        <f>SUMIFS('WBS Summary'!IY:IY,'WBS Summary'!$B:$B, $B27, 'WBS Summary'!$AH:$AH, $C27,'WBS Summary'!$AJ:$AJ, $H27)</f>
        <v>0</v>
      </c>
      <c r="GO27" s="134">
        <f>SUMIFS('WBS Summary'!IZ:IZ,'WBS Summary'!$B:$B, $B27, 'WBS Summary'!$AH:$AH, $C27,'WBS Summary'!$AJ:$AJ, $H27)</f>
        <v>0</v>
      </c>
      <c r="GP27" s="134">
        <f>SUMIFS('WBS Summary'!JA:JA,'WBS Summary'!$B:$B, $B27, 'WBS Summary'!$AH:$AH, $C27,'WBS Summary'!$AJ:$AJ, $H27)</f>
        <v>0</v>
      </c>
      <c r="GQ27" s="134">
        <f>SUMIFS('WBS Summary'!JB:JB,'WBS Summary'!$B:$B, $B27, 'WBS Summary'!$AH:$AH, $C27,'WBS Summary'!$AJ:$AJ, $H27)</f>
        <v>0</v>
      </c>
      <c r="GR27" s="134">
        <f>SUMIFS('WBS Summary'!JC:JC,'WBS Summary'!$B:$B, $B27, 'WBS Summary'!$AH:$AH, $C27,'WBS Summary'!$AJ:$AJ, $H27)</f>
        <v>0</v>
      </c>
      <c r="GS27" s="134">
        <f>SUMIFS('WBS Summary'!JD:JD,'WBS Summary'!$B:$B, $B27, 'WBS Summary'!$AH:$AH, $C27,'WBS Summary'!$AJ:$AJ, $H27)</f>
        <v>0</v>
      </c>
      <c r="GT27" s="134">
        <f>SUMIFS('WBS Summary'!JE:JE,'WBS Summary'!$B:$B, $B27, 'WBS Summary'!$AH:$AH, $C27,'WBS Summary'!$AJ:$AJ, $H27)</f>
        <v>0</v>
      </c>
      <c r="GU27" s="134">
        <f>SUMIFS('WBS Summary'!JF:JF,'WBS Summary'!$B:$B, $B27, 'WBS Summary'!$AH:$AH, $C27,'WBS Summary'!$AJ:$AJ, $H27)</f>
        <v>0</v>
      </c>
      <c r="GV27" s="134">
        <f>SUMIFS('WBS Summary'!JG:JG,'WBS Summary'!$B:$B, $B27, 'WBS Summary'!$AH:$AH, $C27,'WBS Summary'!$AJ:$AJ, $H27)</f>
        <v>0</v>
      </c>
      <c r="GW27" s="134">
        <f>SUMIFS('WBS Summary'!JH:JH,'WBS Summary'!$B:$B, $B27, 'WBS Summary'!$AH:$AH, $C27,'WBS Summary'!$AJ:$AJ, $H27)</f>
        <v>0</v>
      </c>
      <c r="GX27" s="134">
        <f>SUMIFS('WBS Summary'!JI:JI,'WBS Summary'!$B:$B, $B27, 'WBS Summary'!$AH:$AH, $C27,'WBS Summary'!$AJ:$AJ, $H27)</f>
        <v>0</v>
      </c>
      <c r="GY27" s="134">
        <f>SUMIFS('WBS Summary'!JJ:JJ,'WBS Summary'!$B:$B, $B27, 'WBS Summary'!$AH:$AH, $C27,'WBS Summary'!$AJ:$AJ, $H27)</f>
        <v>0</v>
      </c>
      <c r="GZ27" s="134">
        <f>SUMIFS('WBS Summary'!JK:JK,'WBS Summary'!$B:$B, $B27, 'WBS Summary'!$AH:$AH, $C27,'WBS Summary'!$AJ:$AJ, $H27)</f>
        <v>0</v>
      </c>
      <c r="HA27" s="134">
        <f>SUMIFS('WBS Summary'!JL:JL,'WBS Summary'!$B:$B, $B27, 'WBS Summary'!$AH:$AH, $C27,'WBS Summary'!$AJ:$AJ, $H27)</f>
        <v>0</v>
      </c>
      <c r="HB27" s="134">
        <f>SUMIFS('WBS Summary'!JM:JM,'WBS Summary'!$B:$B, $B27, 'WBS Summary'!$AH:$AH, $C27,'WBS Summary'!$AJ:$AJ, $H27)</f>
        <v>0</v>
      </c>
      <c r="HC27"/>
    </row>
    <row r="28" spans="1:211" s="194" customFormat="1" outlineLevel="2">
      <c r="A28" s="220"/>
      <c r="B28" s="284" t="s">
        <v>189</v>
      </c>
      <c r="C28" s="227" t="s">
        <v>70</v>
      </c>
      <c r="D28" s="352"/>
      <c r="E28" s="352"/>
      <c r="F28" s="224">
        <f t="shared" si="29"/>
        <v>0</v>
      </c>
      <c r="G28" s="224">
        <f t="shared" si="30"/>
        <v>0</v>
      </c>
      <c r="H28" s="233" t="s">
        <v>344</v>
      </c>
      <c r="I28"/>
      <c r="J28" s="134">
        <f>SUMIFS('WBS Summary'!BD:BD,'WBS Summary'!$B:$B, $B28, 'WBS Summary'!$AH:$AH, $C28,'WBS Summary'!$AJ:$AJ, $H28)</f>
        <v>0</v>
      </c>
      <c r="K28" s="134">
        <f>SUMIFS('WBS Summary'!BE:BE,'WBS Summary'!$B:$B, $B28, 'WBS Summary'!$AH:$AH, $C28,'WBS Summary'!$AJ:$AJ, $H28)</f>
        <v>0</v>
      </c>
      <c r="L28" s="134">
        <f>SUMIFS('WBS Summary'!BF:BF,'WBS Summary'!$B:$B, $B28, 'WBS Summary'!$AH:$AH, $C28,'WBS Summary'!$AJ:$AJ, $H28)</f>
        <v>0</v>
      </c>
      <c r="M28" s="134">
        <f>SUMIFS('WBS Summary'!BG:BG,'WBS Summary'!$B:$B, $B28, 'WBS Summary'!$AH:$AH, $C28,'WBS Summary'!$AJ:$AJ, $H28)</f>
        <v>0</v>
      </c>
      <c r="N28" s="134">
        <f>SUMIFS('WBS Summary'!BH:BH,'WBS Summary'!$B:$B, $B28, 'WBS Summary'!$AH:$AH, $C28,'WBS Summary'!$AJ:$AJ, $H28)</f>
        <v>0</v>
      </c>
      <c r="O28" s="134">
        <f>SUMIFS('WBS Summary'!BI:BI,'WBS Summary'!$B:$B, $B28, 'WBS Summary'!$AH:$AH, $C28,'WBS Summary'!$AJ:$AJ, $H28)</f>
        <v>0</v>
      </c>
      <c r="P28" s="134">
        <f>SUMIFS('WBS Summary'!BJ:BJ,'WBS Summary'!$B:$B, $B28, 'WBS Summary'!$AH:$AH, $C28,'WBS Summary'!$AJ:$AJ, $H28)</f>
        <v>0</v>
      </c>
      <c r="Q28" s="134">
        <f>SUMIFS('WBS Summary'!BK:BK,'WBS Summary'!$B:$B, $B28, 'WBS Summary'!$AH:$AH, $C28,'WBS Summary'!$AJ:$AJ, $H28)</f>
        <v>0</v>
      </c>
      <c r="R28" s="134">
        <f>SUMIFS('WBS Summary'!BL:BL,'WBS Summary'!$B:$B, $B28, 'WBS Summary'!$AH:$AH, $C28,'WBS Summary'!$AJ:$AJ, $H28)</f>
        <v>0</v>
      </c>
      <c r="S28" s="134">
        <f>SUMIFS('WBS Summary'!BM:BM,'WBS Summary'!$B:$B, $B28, 'WBS Summary'!$AH:$AH, $C28,'WBS Summary'!$AJ:$AJ, $H28)</f>
        <v>0</v>
      </c>
      <c r="T28" s="134">
        <f>SUMIFS('WBS Summary'!BN:BN,'WBS Summary'!$B:$B, $B28, 'WBS Summary'!$AH:$AH, $C28,'WBS Summary'!$AJ:$AJ, $H28)</f>
        <v>0</v>
      </c>
      <c r="U28" s="134">
        <f>SUMIFS('WBS Summary'!BO:BO,'WBS Summary'!$B:$B, $B28, 'WBS Summary'!$AH:$AH, $C28,'WBS Summary'!$AJ:$AJ, $H28)</f>
        <v>0</v>
      </c>
      <c r="V28" s="134">
        <f>SUMIFS('WBS Summary'!BP:BP,'WBS Summary'!$B:$B, $B28, 'WBS Summary'!$AH:$AH, $C28,'WBS Summary'!$AJ:$AJ, $H28)</f>
        <v>0</v>
      </c>
      <c r="W28" s="134">
        <f>SUMIFS('WBS Summary'!BQ:BQ,'WBS Summary'!$B:$B, $B28, 'WBS Summary'!$AH:$AH, $C28,'WBS Summary'!$AJ:$AJ, $H28)</f>
        <v>0</v>
      </c>
      <c r="X28" s="134">
        <f>SUMIFS('WBS Summary'!BR:BR,'WBS Summary'!$B:$B, $B28, 'WBS Summary'!$AH:$AH, $C28,'WBS Summary'!$AJ:$AJ, $H28)</f>
        <v>0</v>
      </c>
      <c r="Y28" s="134">
        <f>SUMIFS('WBS Summary'!BS:BS,'WBS Summary'!$B:$B, $B28, 'WBS Summary'!$AH:$AH, $C28,'WBS Summary'!$AJ:$AJ, $H28)</f>
        <v>0</v>
      </c>
      <c r="Z28" s="134">
        <f>SUMIFS('WBS Summary'!BT:BT,'WBS Summary'!$B:$B, $B28, 'WBS Summary'!$AH:$AH, $C28,'WBS Summary'!$AJ:$AJ, $H28)</f>
        <v>0</v>
      </c>
      <c r="AA28" s="134">
        <f>SUMIFS('WBS Summary'!BU:BU,'WBS Summary'!$B:$B, $B28, 'WBS Summary'!$AH:$AH, $C28,'WBS Summary'!$AJ:$AJ, $H28)</f>
        <v>0</v>
      </c>
      <c r="AB28" s="134">
        <f>SUMIFS('WBS Summary'!BV:BV,'WBS Summary'!$B:$B, $B28, 'WBS Summary'!$AH:$AH, $C28,'WBS Summary'!$AJ:$AJ, $H28)</f>
        <v>0</v>
      </c>
      <c r="AC28" s="134">
        <f>SUMIFS('WBS Summary'!BW:BW,'WBS Summary'!$B:$B, $B28, 'WBS Summary'!$AH:$AH, $C28,'WBS Summary'!$AJ:$AJ, $H28)</f>
        <v>0</v>
      </c>
      <c r="AD28" s="134">
        <f>SUMIFS('WBS Summary'!BX:BX,'WBS Summary'!$B:$B, $B28, 'WBS Summary'!$AH:$AH, $C28,'WBS Summary'!$AJ:$AJ, $H28)</f>
        <v>0</v>
      </c>
      <c r="AE28" s="134">
        <f>SUMIFS('WBS Summary'!BY:BY,'WBS Summary'!$B:$B, $B28, 'WBS Summary'!$AH:$AH, $C28,'WBS Summary'!$AJ:$AJ, $H28)</f>
        <v>0</v>
      </c>
      <c r="AF28" s="134">
        <f>SUMIFS('WBS Summary'!BZ:BZ,'WBS Summary'!$B:$B, $B28, 'WBS Summary'!$AH:$AH, $C28,'WBS Summary'!$AJ:$AJ, $H28)</f>
        <v>0</v>
      </c>
      <c r="AG28" s="134">
        <f>SUMIFS('WBS Summary'!CA:CA,'WBS Summary'!$B:$B, $B28, 'WBS Summary'!$AH:$AH, $C28,'WBS Summary'!$AJ:$AJ, $H28)</f>
        <v>0</v>
      </c>
      <c r="AH28" s="134">
        <f>SUMIFS('WBS Summary'!CB:CB,'WBS Summary'!$B:$B, $B28, 'WBS Summary'!$AH:$AH, $C28,'WBS Summary'!$AJ:$AJ, $H28)</f>
        <v>0</v>
      </c>
      <c r="AI28" s="134">
        <f>SUMIFS('WBS Summary'!CC:CC,'WBS Summary'!$B:$B, $B28, 'WBS Summary'!$AH:$AH, $C28,'WBS Summary'!$AJ:$AJ, $H28)</f>
        <v>0</v>
      </c>
      <c r="AJ28" s="134">
        <f>SUMIFS('WBS Summary'!CD:CD,'WBS Summary'!$B:$B, $B28, 'WBS Summary'!$AH:$AH, $C28,'WBS Summary'!$AJ:$AJ, $H28)</f>
        <v>0</v>
      </c>
      <c r="AK28" s="134">
        <f>SUMIFS('WBS Summary'!CE:CE,'WBS Summary'!$B:$B, $B28, 'WBS Summary'!$AH:$AH, $C28,'WBS Summary'!$AJ:$AJ, $H28)</f>
        <v>0</v>
      </c>
      <c r="AL28" s="134">
        <f>SUMIFS('WBS Summary'!CF:CF,'WBS Summary'!$B:$B, $B28, 'WBS Summary'!$AH:$AH, $C28,'WBS Summary'!$AJ:$AJ, $H28)</f>
        <v>0</v>
      </c>
      <c r="AM28" s="134">
        <f>SUMIFS('WBS Summary'!CG:CG,'WBS Summary'!$B:$B, $B28, 'WBS Summary'!$AH:$AH, $C28,'WBS Summary'!$AJ:$AJ, $H28)</f>
        <v>0</v>
      </c>
      <c r="AN28" s="134">
        <f>SUMIFS('WBS Summary'!CH:CH,'WBS Summary'!$B:$B, $B28, 'WBS Summary'!$AH:$AH, $C28,'WBS Summary'!$AJ:$AJ, $H28)</f>
        <v>0</v>
      </c>
      <c r="AO28" s="134">
        <f>SUMIFS('WBS Summary'!CI:CI,'WBS Summary'!$B:$B, $B28, 'WBS Summary'!$AH:$AH, $C28,'WBS Summary'!$AJ:$AJ, $H28)</f>
        <v>0</v>
      </c>
      <c r="AP28" s="134">
        <f>SUMIFS('WBS Summary'!CJ:CJ,'WBS Summary'!$B:$B, $B28, 'WBS Summary'!$AH:$AH, $C28,'WBS Summary'!$AJ:$AJ, $H28)</f>
        <v>0</v>
      </c>
      <c r="AQ28" s="134">
        <f>SUMIFS('WBS Summary'!CK:CK,'WBS Summary'!$B:$B, $B28, 'WBS Summary'!$AH:$AH, $C28,'WBS Summary'!$AJ:$AJ, $H28)</f>
        <v>0</v>
      </c>
      <c r="AR28" s="134">
        <f>SUMIFS('WBS Summary'!CL:CL,'WBS Summary'!$B:$B, $B28, 'WBS Summary'!$AH:$AH, $C28,'WBS Summary'!$AJ:$AJ, $H28)</f>
        <v>0</v>
      </c>
      <c r="AS28" s="134">
        <f>SUMIFS('WBS Summary'!CM:CM,'WBS Summary'!$B:$B, $B28, 'WBS Summary'!$AH:$AH, $C28,'WBS Summary'!$AJ:$AJ, $H28)</f>
        <v>0</v>
      </c>
      <c r="AT28" s="134">
        <f>SUMIFS('WBS Summary'!CN:CN,'WBS Summary'!$B:$B, $B28, 'WBS Summary'!$AH:$AH, $C28,'WBS Summary'!$AJ:$AJ, $H28)</f>
        <v>0</v>
      </c>
      <c r="AU28" s="134">
        <f>SUMIFS('WBS Summary'!CO:CO,'WBS Summary'!$B:$B, $B28, 'WBS Summary'!$AH:$AH, $C28,'WBS Summary'!$AJ:$AJ, $H28)</f>
        <v>0</v>
      </c>
      <c r="AV28" s="134">
        <f>SUMIFS('WBS Summary'!CP:CP,'WBS Summary'!$B:$B, $B28, 'WBS Summary'!$AH:$AH, $C28,'WBS Summary'!$AJ:$AJ, $H28)</f>
        <v>0</v>
      </c>
      <c r="AW28" s="134">
        <f>SUMIFS('WBS Summary'!CQ:CQ,'WBS Summary'!$B:$B, $B28, 'WBS Summary'!$AH:$AH, $C28,'WBS Summary'!$AJ:$AJ, $H28)</f>
        <v>0</v>
      </c>
      <c r="AX28" s="134">
        <f>SUMIFS('WBS Summary'!CR:CR,'WBS Summary'!$B:$B, $B28, 'WBS Summary'!$AH:$AH, $C28,'WBS Summary'!$AJ:$AJ, $H28)</f>
        <v>0</v>
      </c>
      <c r="AY28" s="134">
        <f>SUMIFS('WBS Summary'!CS:CS,'WBS Summary'!$B:$B, $B28, 'WBS Summary'!$AH:$AH, $C28,'WBS Summary'!$AJ:$AJ, $H28)</f>
        <v>0</v>
      </c>
      <c r="AZ28" s="134">
        <f>SUMIFS('WBS Summary'!CT:CT,'WBS Summary'!$B:$B, $B28, 'WBS Summary'!$AH:$AH, $C28,'WBS Summary'!$AJ:$AJ, $H28)</f>
        <v>0</v>
      </c>
      <c r="BA28" s="134">
        <f>SUMIFS('WBS Summary'!CU:CU,'WBS Summary'!$B:$B, $B28, 'WBS Summary'!$AH:$AH, $C28,'WBS Summary'!$AJ:$AJ, $H28)</f>
        <v>0</v>
      </c>
      <c r="BB28" s="134">
        <f>SUMIFS('WBS Summary'!CV:CV,'WBS Summary'!$B:$B, $B28, 'WBS Summary'!$AH:$AH, $C28,'WBS Summary'!$AJ:$AJ, $H28)</f>
        <v>0</v>
      </c>
      <c r="BC28" s="134">
        <f>SUMIFS('WBS Summary'!CW:CW,'WBS Summary'!$B:$B, $B28, 'WBS Summary'!$AH:$AH, $C28,'WBS Summary'!$AJ:$AJ, $H28)</f>
        <v>0</v>
      </c>
      <c r="BD28" s="134">
        <f>SUMIFS('WBS Summary'!CX:CX,'WBS Summary'!$B:$B, $B28, 'WBS Summary'!$AH:$AH, $C28,'WBS Summary'!$AJ:$AJ, $H28)</f>
        <v>0</v>
      </c>
      <c r="BE28" s="134">
        <f>SUMIFS('WBS Summary'!CY:CY,'WBS Summary'!$B:$B, $B28, 'WBS Summary'!$AH:$AH, $C28,'WBS Summary'!$AJ:$AJ, $H28)</f>
        <v>0</v>
      </c>
      <c r="BF28" s="134">
        <f>SUMIFS('WBS Summary'!CZ:CZ,'WBS Summary'!$B:$B, $B28, 'WBS Summary'!$AH:$AH, $C28,'WBS Summary'!$AJ:$AJ, $H28)</f>
        <v>0</v>
      </c>
      <c r="BG28" s="134">
        <f>SUMIFS('WBS Summary'!DA:DA,'WBS Summary'!$B:$B, $B28, 'WBS Summary'!$AH:$AH, $C28,'WBS Summary'!$AJ:$AJ, $H28)</f>
        <v>0</v>
      </c>
      <c r="BH28" s="134">
        <f>SUMIFS('WBS Summary'!DB:DB,'WBS Summary'!$B:$B, $B28, 'WBS Summary'!$AH:$AH, $C28,'WBS Summary'!$AJ:$AJ, $H28)</f>
        <v>0</v>
      </c>
      <c r="BI28" s="134">
        <f>SUMIFS('WBS Summary'!DC:DC,'WBS Summary'!$B:$B, $B28, 'WBS Summary'!$AH:$AH, $C28,'WBS Summary'!$AJ:$AJ, $H28)</f>
        <v>0</v>
      </c>
      <c r="BJ28" s="134">
        <f>SUMIFS('WBS Summary'!DD:DD,'WBS Summary'!$B:$B, $B28, 'WBS Summary'!$AH:$AH, $C28,'WBS Summary'!$AJ:$AJ, $H28)</f>
        <v>0</v>
      </c>
      <c r="BK28" s="134">
        <f>SUMIFS('WBS Summary'!DE:DE,'WBS Summary'!$B:$B, $B28, 'WBS Summary'!$AH:$AH, $C28,'WBS Summary'!$AJ:$AJ, $H28)</f>
        <v>0</v>
      </c>
      <c r="BL28" s="134">
        <f>SUMIFS('WBS Summary'!DF:DF,'WBS Summary'!$B:$B, $B28, 'WBS Summary'!$AH:$AH, $C28,'WBS Summary'!$AJ:$AJ, $H28)</f>
        <v>0</v>
      </c>
      <c r="BM28" s="134">
        <f>SUMIFS('WBS Summary'!DG:DG,'WBS Summary'!$B:$B, $B28, 'WBS Summary'!$AH:$AH, $C28,'WBS Summary'!$AJ:$AJ, $H28)</f>
        <v>0</v>
      </c>
      <c r="BN28" s="134">
        <f>SUMIFS('WBS Summary'!DH:DH,'WBS Summary'!$B:$B, $B28, 'WBS Summary'!$AH:$AH, $C28,'WBS Summary'!$AJ:$AJ, $H28)</f>
        <v>0</v>
      </c>
      <c r="BO28" s="134">
        <f>SUMIFS('WBS Summary'!DI:DI,'WBS Summary'!$B:$B, $B28, 'WBS Summary'!$AH:$AH, $C28,'WBS Summary'!$AJ:$AJ, $H28)</f>
        <v>0</v>
      </c>
      <c r="BP28" s="134">
        <f>SUMIFS('WBS Summary'!DJ:DJ,'WBS Summary'!$B:$B, $B28, 'WBS Summary'!$AH:$AH, $C28,'WBS Summary'!$AJ:$AJ, $H28)</f>
        <v>0</v>
      </c>
      <c r="BQ28" s="134">
        <f>SUMIFS('WBS Summary'!DK:DK,'WBS Summary'!$B:$B, $B28, 'WBS Summary'!$AH:$AH, $C28,'WBS Summary'!$AJ:$AJ, $H28)</f>
        <v>0</v>
      </c>
      <c r="BR28" s="134">
        <f>SUMIFS('WBS Summary'!DL:DL,'WBS Summary'!$B:$B, $B28, 'WBS Summary'!$AH:$AH, $C28,'WBS Summary'!$AJ:$AJ, $H28)</f>
        <v>0</v>
      </c>
      <c r="BS28" s="134">
        <f>SUMIFS('WBS Summary'!DM:DM,'WBS Summary'!$B:$B, $B28, 'WBS Summary'!$AH:$AH, $C28,'WBS Summary'!$AJ:$AJ, $H28)</f>
        <v>0</v>
      </c>
      <c r="BT28" s="134">
        <f>SUMIFS('WBS Summary'!DN:DN,'WBS Summary'!$B:$B, $B28, 'WBS Summary'!$AH:$AH, $C28,'WBS Summary'!$AJ:$AJ, $H28)</f>
        <v>0</v>
      </c>
      <c r="BU28" s="134">
        <f>SUMIFS('WBS Summary'!DO:DO,'WBS Summary'!$B:$B, $B28, 'WBS Summary'!$AH:$AH, $C28,'WBS Summary'!$AJ:$AJ, $H28)</f>
        <v>0</v>
      </c>
      <c r="BV28" s="134">
        <f>SUMIFS('WBS Summary'!DP:DP,'WBS Summary'!$B:$B, $B28, 'WBS Summary'!$AH:$AH, $C28,'WBS Summary'!$AJ:$AJ, $H28)</f>
        <v>0</v>
      </c>
      <c r="BW28" s="134">
        <f>SUMIFS('WBS Summary'!DQ:DQ,'WBS Summary'!$B:$B, $B28, 'WBS Summary'!$AH:$AH, $C28,'WBS Summary'!$AJ:$AJ, $H28)</f>
        <v>0</v>
      </c>
      <c r="BX28" s="134">
        <f>SUMIFS('WBS Summary'!DR:DR,'WBS Summary'!$B:$B, $B28, 'WBS Summary'!$AH:$AH, $C28,'WBS Summary'!$AJ:$AJ, $H28)</f>
        <v>0</v>
      </c>
      <c r="BY28" s="134">
        <f>SUMIFS('WBS Summary'!DS:DS,'WBS Summary'!$B:$B, $B28, 'WBS Summary'!$AH:$AH, $C28,'WBS Summary'!$AJ:$AJ, $H28)</f>
        <v>0</v>
      </c>
      <c r="BZ28" s="134">
        <f>SUMIFS('WBS Summary'!DT:DT,'WBS Summary'!$B:$B, $B28, 'WBS Summary'!$AH:$AH, $C28,'WBS Summary'!$AJ:$AJ, $H28)</f>
        <v>0</v>
      </c>
      <c r="CA28" s="134">
        <f>SUMIFS('WBS Summary'!DU:DU,'WBS Summary'!$B:$B, $B28, 'WBS Summary'!$AH:$AH, $C28,'WBS Summary'!$AJ:$AJ, $H28)</f>
        <v>0</v>
      </c>
      <c r="CB28" s="134">
        <f>SUMIFS('WBS Summary'!DV:DV,'WBS Summary'!$B:$B, $B28, 'WBS Summary'!$AH:$AH, $C28,'WBS Summary'!$AJ:$AJ, $H28)</f>
        <v>0</v>
      </c>
      <c r="CC28" s="134">
        <f>SUMIFS('WBS Summary'!DW:DW,'WBS Summary'!$B:$B, $B28, 'WBS Summary'!$AH:$AH, $C28,'WBS Summary'!$AJ:$AJ, $H28)</f>
        <v>0</v>
      </c>
      <c r="CD28" s="134">
        <f>SUMIFS('WBS Summary'!DX:DX,'WBS Summary'!$B:$B, $B28, 'WBS Summary'!$AH:$AH, $C28,'WBS Summary'!$AJ:$AJ, $H28)</f>
        <v>0</v>
      </c>
      <c r="CE28" s="134">
        <f>SUMIFS('WBS Summary'!DY:DY,'WBS Summary'!$B:$B, $B28, 'WBS Summary'!$AH:$AH, $C28,'WBS Summary'!$AJ:$AJ, $H28)</f>
        <v>0</v>
      </c>
      <c r="CF28" s="134">
        <f>SUMIFS('WBS Summary'!DZ:DZ,'WBS Summary'!$B:$B, $B28, 'WBS Summary'!$AH:$AH, $C28,'WBS Summary'!$AJ:$AJ, $H28)</f>
        <v>0</v>
      </c>
      <c r="CG28" s="134">
        <f>SUMIFS('WBS Summary'!EA:EA,'WBS Summary'!$B:$B, $B28, 'WBS Summary'!$AH:$AH, $C28,'WBS Summary'!$AJ:$AJ, $H28)</f>
        <v>0</v>
      </c>
      <c r="CH28" s="134">
        <f>SUMIFS('WBS Summary'!EB:EB,'WBS Summary'!$B:$B, $B28, 'WBS Summary'!$AH:$AH, $C28,'WBS Summary'!$AJ:$AJ, $H28)</f>
        <v>0</v>
      </c>
      <c r="CI28" s="134">
        <f>SUMIFS('WBS Summary'!EC:EC,'WBS Summary'!$B:$B, $B28, 'WBS Summary'!$AH:$AH, $C28,'WBS Summary'!$AJ:$AJ, $H28)</f>
        <v>0</v>
      </c>
      <c r="CJ28" s="134">
        <f>SUMIFS('WBS Summary'!ED:ED,'WBS Summary'!$B:$B, $B28, 'WBS Summary'!$AH:$AH, $C28,'WBS Summary'!$AJ:$AJ, $H28)</f>
        <v>0</v>
      </c>
      <c r="CK28" s="134">
        <f>SUMIFS('WBS Summary'!EE:EE,'WBS Summary'!$B:$B, $B28, 'WBS Summary'!$AH:$AH, $C28,'WBS Summary'!$AJ:$AJ, $H28)</f>
        <v>0</v>
      </c>
      <c r="CL28" s="134">
        <f>SUMIFS('WBS Summary'!EF:EF,'WBS Summary'!$B:$B, $B28, 'WBS Summary'!$AH:$AH, $C28,'WBS Summary'!$AJ:$AJ, $H28)</f>
        <v>0</v>
      </c>
      <c r="CM28" s="134">
        <f>SUMIFS('WBS Summary'!EG:EG,'WBS Summary'!$B:$B, $B28, 'WBS Summary'!$AH:$AH, $C28,'WBS Summary'!$AJ:$AJ, $H28)</f>
        <v>0</v>
      </c>
      <c r="CN28" s="134">
        <f>SUMIFS('WBS Summary'!EH:EH,'WBS Summary'!$B:$B, $B28, 'WBS Summary'!$AH:$AH, $C28,'WBS Summary'!$AJ:$AJ, $H28)</f>
        <v>0</v>
      </c>
      <c r="CO28" s="134">
        <f>SUMIFS('WBS Summary'!EI:EI,'WBS Summary'!$B:$B, $B28, 'WBS Summary'!$AH:$AH, $C28,'WBS Summary'!$AJ:$AJ, $H28)</f>
        <v>0</v>
      </c>
      <c r="CP28" s="134">
        <f>SUMIFS('WBS Summary'!EJ:EJ,'WBS Summary'!$B:$B, $B28, 'WBS Summary'!$AH:$AH, $C28,'WBS Summary'!$AJ:$AJ, $H28)</f>
        <v>0</v>
      </c>
      <c r="CQ28" s="134">
        <f>SUMIFS('WBS Summary'!EK:EK,'WBS Summary'!$B:$B, $B28, 'WBS Summary'!$AH:$AH, $C28,'WBS Summary'!$AJ:$AJ, $H28)</f>
        <v>0</v>
      </c>
      <c r="CR28" s="134">
        <f>SUMIFS('WBS Summary'!EL:EL,'WBS Summary'!$B:$B, $B28, 'WBS Summary'!$AH:$AH, $C28,'WBS Summary'!$AJ:$AJ, $H28)</f>
        <v>0</v>
      </c>
      <c r="CS28" s="134">
        <f>SUMIFS('WBS Summary'!EM:EM,'WBS Summary'!$B:$B, $B28, 'WBS Summary'!$AH:$AH, $C28,'WBS Summary'!$AJ:$AJ, $H28)</f>
        <v>0</v>
      </c>
      <c r="CT28" s="134">
        <f>SUMIFS('WBS Summary'!EN:EN,'WBS Summary'!$B:$B, $B28, 'WBS Summary'!$AH:$AH, $C28,'WBS Summary'!$AJ:$AJ, $H28)</f>
        <v>0</v>
      </c>
      <c r="CU28" s="134">
        <f>SUMIFS('WBS Summary'!EO:EO,'WBS Summary'!$B:$B, $B28, 'WBS Summary'!$AH:$AH, $C28,'WBS Summary'!$AJ:$AJ, $H28)</f>
        <v>0</v>
      </c>
      <c r="CV28" s="134">
        <f>SUMIFS('WBS Summary'!EP:EP,'WBS Summary'!$B:$B, $B28, 'WBS Summary'!$AH:$AH, $C28,'WBS Summary'!$AJ:$AJ, $H28)</f>
        <v>0</v>
      </c>
      <c r="CW28" s="134">
        <f>SUMIFS('WBS Summary'!EQ:EQ,'WBS Summary'!$B:$B, $B28, 'WBS Summary'!$AH:$AH, $C28,'WBS Summary'!$AJ:$AJ, $H28)</f>
        <v>0</v>
      </c>
      <c r="CX28" s="134">
        <f>SUMIFS('WBS Summary'!ER:ER,'WBS Summary'!$B:$B, $B28, 'WBS Summary'!$AH:$AH, $C28,'WBS Summary'!$AJ:$AJ, $H28)</f>
        <v>0</v>
      </c>
      <c r="CY28" s="134">
        <f>SUMIFS('WBS Summary'!ES:ES,'WBS Summary'!$B:$B, $B28, 'WBS Summary'!$AH:$AH, $C28,'WBS Summary'!$AJ:$AJ, $H28)</f>
        <v>0</v>
      </c>
      <c r="CZ28" s="134">
        <f>SUMIFS('WBS Summary'!ET:ET,'WBS Summary'!$B:$B, $B28, 'WBS Summary'!$AH:$AH, $C28,'WBS Summary'!$AJ:$AJ, $H28)</f>
        <v>0</v>
      </c>
      <c r="DA28" s="134">
        <f>SUMIFS('WBS Summary'!EU:EU,'WBS Summary'!$B:$B, $B28, 'WBS Summary'!$AH:$AH, $C28,'WBS Summary'!$AJ:$AJ, $H28)</f>
        <v>0</v>
      </c>
      <c r="DB28" s="134">
        <f>SUMIFS('WBS Summary'!EV:EV,'WBS Summary'!$B:$B, $B28, 'WBS Summary'!$AH:$AH, $C28,'WBS Summary'!$AJ:$AJ, $H28)</f>
        <v>0</v>
      </c>
      <c r="DC28" s="134">
        <f>SUMIFS('WBS Summary'!EW:EW,'WBS Summary'!$B:$B, $B28, 'WBS Summary'!$AH:$AH, $C28,'WBS Summary'!$AJ:$AJ, $H28)</f>
        <v>0</v>
      </c>
      <c r="DD28" s="134">
        <f>SUMIFS('WBS Summary'!EX:EX,'WBS Summary'!$B:$B, $B28, 'WBS Summary'!$AH:$AH, $C28,'WBS Summary'!$AJ:$AJ, $H28)</f>
        <v>0</v>
      </c>
      <c r="DE28" s="134">
        <f>SUMIFS('WBS Summary'!EY:EY,'WBS Summary'!$B:$B, $B28, 'WBS Summary'!$AH:$AH, $C28,'WBS Summary'!$AJ:$AJ, $H28)</f>
        <v>0</v>
      </c>
      <c r="DF28"/>
      <c r="DG28" s="134">
        <f>SUMIFS('WBS Summary'!FR:FR,'WBS Summary'!$B:$B, $B28, 'WBS Summary'!$AH:$AH, $C28,'WBS Summary'!$AJ:$AJ, $H28)</f>
        <v>0</v>
      </c>
      <c r="DH28" s="134">
        <f>SUMIFS('WBS Summary'!FS:FS,'WBS Summary'!$B:$B, $B28, 'WBS Summary'!$AH:$AH, $C28,'WBS Summary'!$AJ:$AJ, $H28)</f>
        <v>0</v>
      </c>
      <c r="DI28" s="134">
        <f>SUMIFS('WBS Summary'!FT:FT,'WBS Summary'!$B:$B, $B28, 'WBS Summary'!$AH:$AH, $C28,'WBS Summary'!$AJ:$AJ, $H28)</f>
        <v>0</v>
      </c>
      <c r="DJ28" s="134">
        <f>SUMIFS('WBS Summary'!FU:FU,'WBS Summary'!$B:$B, $B28, 'WBS Summary'!$AH:$AH, $C28,'WBS Summary'!$AJ:$AJ, $H28)</f>
        <v>0</v>
      </c>
      <c r="DK28" s="134">
        <f>SUMIFS('WBS Summary'!FV:FV,'WBS Summary'!$B:$B, $B28, 'WBS Summary'!$AH:$AH, $C28,'WBS Summary'!$AJ:$AJ, $H28)</f>
        <v>0</v>
      </c>
      <c r="DL28" s="134">
        <f>SUMIFS('WBS Summary'!FW:FW,'WBS Summary'!$B:$B, $B28, 'WBS Summary'!$AH:$AH, $C28,'WBS Summary'!$AJ:$AJ, $H28)</f>
        <v>0</v>
      </c>
      <c r="DM28" s="134">
        <f>SUMIFS('WBS Summary'!FX:FX,'WBS Summary'!$B:$B, $B28, 'WBS Summary'!$AH:$AH, $C28,'WBS Summary'!$AJ:$AJ, $H28)</f>
        <v>0</v>
      </c>
      <c r="DN28" s="134">
        <f>SUMIFS('WBS Summary'!FY:FY,'WBS Summary'!$B:$B, $B28, 'WBS Summary'!$AH:$AH, $C28,'WBS Summary'!$AJ:$AJ, $H28)</f>
        <v>0</v>
      </c>
      <c r="DO28" s="134">
        <f>SUMIFS('WBS Summary'!FZ:FZ,'WBS Summary'!$B:$B, $B28, 'WBS Summary'!$AH:$AH, $C28,'WBS Summary'!$AJ:$AJ, $H28)</f>
        <v>0</v>
      </c>
      <c r="DP28" s="134">
        <f>SUMIFS('WBS Summary'!GA:GA,'WBS Summary'!$B:$B, $B28, 'WBS Summary'!$AH:$AH, $C28,'WBS Summary'!$AJ:$AJ, $H28)</f>
        <v>0</v>
      </c>
      <c r="DQ28" s="134">
        <f>SUMIFS('WBS Summary'!GB:GB,'WBS Summary'!$B:$B, $B28, 'WBS Summary'!$AH:$AH, $C28,'WBS Summary'!$AJ:$AJ, $H28)</f>
        <v>0</v>
      </c>
      <c r="DR28" s="134">
        <f>SUMIFS('WBS Summary'!GC:GC,'WBS Summary'!$B:$B, $B28, 'WBS Summary'!$AH:$AH, $C28,'WBS Summary'!$AJ:$AJ, $H28)</f>
        <v>0</v>
      </c>
      <c r="DS28" s="134">
        <f>SUMIFS('WBS Summary'!GD:GD,'WBS Summary'!$B:$B, $B28, 'WBS Summary'!$AH:$AH, $C28,'WBS Summary'!$AJ:$AJ, $H28)</f>
        <v>0</v>
      </c>
      <c r="DT28" s="134">
        <f>SUMIFS('WBS Summary'!GE:GE,'WBS Summary'!$B:$B, $B28, 'WBS Summary'!$AH:$AH, $C28,'WBS Summary'!$AJ:$AJ, $H28)</f>
        <v>0</v>
      </c>
      <c r="DU28" s="134">
        <f>SUMIFS('WBS Summary'!GF:GF,'WBS Summary'!$B:$B, $B28, 'WBS Summary'!$AH:$AH, $C28,'WBS Summary'!$AJ:$AJ, $H28)</f>
        <v>0</v>
      </c>
      <c r="DV28" s="134">
        <f>SUMIFS('WBS Summary'!GG:GG,'WBS Summary'!$B:$B, $B28, 'WBS Summary'!$AH:$AH, $C28,'WBS Summary'!$AJ:$AJ, $H28)</f>
        <v>0</v>
      </c>
      <c r="DW28" s="134">
        <f>SUMIFS('WBS Summary'!GH:GH,'WBS Summary'!$B:$B, $B28, 'WBS Summary'!$AH:$AH, $C28,'WBS Summary'!$AJ:$AJ, $H28)</f>
        <v>0</v>
      </c>
      <c r="DX28" s="134">
        <f>SUMIFS('WBS Summary'!GI:GI,'WBS Summary'!$B:$B, $B28, 'WBS Summary'!$AH:$AH, $C28,'WBS Summary'!$AJ:$AJ, $H28)</f>
        <v>0</v>
      </c>
      <c r="DY28" s="134">
        <f>SUMIFS('WBS Summary'!GJ:GJ,'WBS Summary'!$B:$B, $B28, 'WBS Summary'!$AH:$AH, $C28,'WBS Summary'!$AJ:$AJ, $H28)</f>
        <v>0</v>
      </c>
      <c r="DZ28" s="134">
        <f>SUMIFS('WBS Summary'!GK:GK,'WBS Summary'!$B:$B, $B28, 'WBS Summary'!$AH:$AH, $C28,'WBS Summary'!$AJ:$AJ, $H28)</f>
        <v>0</v>
      </c>
      <c r="EA28" s="134">
        <f>SUMIFS('WBS Summary'!GL:GL,'WBS Summary'!$B:$B, $B28, 'WBS Summary'!$AH:$AH, $C28,'WBS Summary'!$AJ:$AJ, $H28)</f>
        <v>0</v>
      </c>
      <c r="EB28" s="134">
        <f>SUMIFS('WBS Summary'!GM:GM,'WBS Summary'!$B:$B, $B28, 'WBS Summary'!$AH:$AH, $C28,'WBS Summary'!$AJ:$AJ, $H28)</f>
        <v>0</v>
      </c>
      <c r="EC28" s="134">
        <f>SUMIFS('WBS Summary'!GN:GN,'WBS Summary'!$B:$B, $B28, 'WBS Summary'!$AH:$AH, $C28,'WBS Summary'!$AJ:$AJ, $H28)</f>
        <v>0</v>
      </c>
      <c r="ED28" s="134">
        <f>SUMIFS('WBS Summary'!GO:GO,'WBS Summary'!$B:$B, $B28, 'WBS Summary'!$AH:$AH, $C28,'WBS Summary'!$AJ:$AJ, $H28)</f>
        <v>0</v>
      </c>
      <c r="EE28" s="134">
        <f>SUMIFS('WBS Summary'!GP:GP,'WBS Summary'!$B:$B, $B28, 'WBS Summary'!$AH:$AH, $C28,'WBS Summary'!$AJ:$AJ, $H28)</f>
        <v>0</v>
      </c>
      <c r="EF28" s="134">
        <f>SUMIFS('WBS Summary'!GQ:GQ,'WBS Summary'!$B:$B, $B28, 'WBS Summary'!$AH:$AH, $C28,'WBS Summary'!$AJ:$AJ, $H28)</f>
        <v>0</v>
      </c>
      <c r="EG28" s="134">
        <f>SUMIFS('WBS Summary'!GR:GR,'WBS Summary'!$B:$B, $B28, 'WBS Summary'!$AH:$AH, $C28,'WBS Summary'!$AJ:$AJ, $H28)</f>
        <v>0</v>
      </c>
      <c r="EH28" s="134">
        <f>SUMIFS('WBS Summary'!GS:GS,'WBS Summary'!$B:$B, $B28, 'WBS Summary'!$AH:$AH, $C28,'WBS Summary'!$AJ:$AJ, $H28)</f>
        <v>0</v>
      </c>
      <c r="EI28" s="134">
        <f>SUMIFS('WBS Summary'!GT:GT,'WBS Summary'!$B:$B, $B28, 'WBS Summary'!$AH:$AH, $C28,'WBS Summary'!$AJ:$AJ, $H28)</f>
        <v>0</v>
      </c>
      <c r="EJ28" s="134">
        <f>SUMIFS('WBS Summary'!GU:GU,'WBS Summary'!$B:$B, $B28, 'WBS Summary'!$AH:$AH, $C28,'WBS Summary'!$AJ:$AJ, $H28)</f>
        <v>0</v>
      </c>
      <c r="EK28" s="134">
        <f>SUMIFS('WBS Summary'!GV:GV,'WBS Summary'!$B:$B, $B28, 'WBS Summary'!$AH:$AH, $C28,'WBS Summary'!$AJ:$AJ, $H28)</f>
        <v>0</v>
      </c>
      <c r="EL28" s="134">
        <f>SUMIFS('WBS Summary'!GW:GW,'WBS Summary'!$B:$B, $B28, 'WBS Summary'!$AH:$AH, $C28,'WBS Summary'!$AJ:$AJ, $H28)</f>
        <v>0</v>
      </c>
      <c r="EM28" s="134">
        <f>SUMIFS('WBS Summary'!GX:GX,'WBS Summary'!$B:$B, $B28, 'WBS Summary'!$AH:$AH, $C28,'WBS Summary'!$AJ:$AJ, $H28)</f>
        <v>0</v>
      </c>
      <c r="EN28" s="134">
        <f>SUMIFS('WBS Summary'!GY:GY,'WBS Summary'!$B:$B, $B28, 'WBS Summary'!$AH:$AH, $C28,'WBS Summary'!$AJ:$AJ, $H28)</f>
        <v>0</v>
      </c>
      <c r="EO28" s="134">
        <f>SUMIFS('WBS Summary'!GZ:GZ,'WBS Summary'!$B:$B, $B28, 'WBS Summary'!$AH:$AH, $C28,'WBS Summary'!$AJ:$AJ, $H28)</f>
        <v>0</v>
      </c>
      <c r="EP28" s="134">
        <f>SUMIFS('WBS Summary'!HA:HA,'WBS Summary'!$B:$B, $B28, 'WBS Summary'!$AH:$AH, $C28,'WBS Summary'!$AJ:$AJ, $H28)</f>
        <v>0</v>
      </c>
      <c r="EQ28" s="134">
        <f>SUMIFS('WBS Summary'!HB:HB,'WBS Summary'!$B:$B, $B28, 'WBS Summary'!$AH:$AH, $C28,'WBS Summary'!$AJ:$AJ, $H28)</f>
        <v>0</v>
      </c>
      <c r="ER28" s="134">
        <f>SUMIFS('WBS Summary'!HC:HC,'WBS Summary'!$B:$B, $B28, 'WBS Summary'!$AH:$AH, $C28,'WBS Summary'!$AJ:$AJ, $H28)</f>
        <v>0</v>
      </c>
      <c r="ES28" s="134">
        <f>SUMIFS('WBS Summary'!HD:HD,'WBS Summary'!$B:$B, $B28, 'WBS Summary'!$AH:$AH, $C28,'WBS Summary'!$AJ:$AJ, $H28)</f>
        <v>0</v>
      </c>
      <c r="ET28" s="134">
        <f>SUMIFS('WBS Summary'!HE:HE,'WBS Summary'!$B:$B, $B28, 'WBS Summary'!$AH:$AH, $C28,'WBS Summary'!$AJ:$AJ, $H28)</f>
        <v>0</v>
      </c>
      <c r="EU28" s="134">
        <f>SUMIFS('WBS Summary'!HF:HF,'WBS Summary'!$B:$B, $B28, 'WBS Summary'!$AH:$AH, $C28,'WBS Summary'!$AJ:$AJ, $H28)</f>
        <v>0</v>
      </c>
      <c r="EV28" s="134">
        <f>SUMIFS('WBS Summary'!HG:HG,'WBS Summary'!$B:$B, $B28, 'WBS Summary'!$AH:$AH, $C28,'WBS Summary'!$AJ:$AJ, $H28)</f>
        <v>0</v>
      </c>
      <c r="EW28" s="134">
        <f>SUMIFS('WBS Summary'!HH:HH,'WBS Summary'!$B:$B, $B28, 'WBS Summary'!$AH:$AH, $C28,'WBS Summary'!$AJ:$AJ, $H28)</f>
        <v>0</v>
      </c>
      <c r="EX28" s="134">
        <f>SUMIFS('WBS Summary'!HI:HI,'WBS Summary'!$B:$B, $B28, 'WBS Summary'!$AH:$AH, $C28,'WBS Summary'!$AJ:$AJ, $H28)</f>
        <v>0</v>
      </c>
      <c r="EY28" s="134">
        <f>SUMIFS('WBS Summary'!HJ:HJ,'WBS Summary'!$B:$B, $B28, 'WBS Summary'!$AH:$AH, $C28,'WBS Summary'!$AJ:$AJ, $H28)</f>
        <v>0</v>
      </c>
      <c r="EZ28" s="134">
        <f>SUMIFS('WBS Summary'!HK:HK,'WBS Summary'!$B:$B, $B28, 'WBS Summary'!$AH:$AH, $C28,'WBS Summary'!$AJ:$AJ, $H28)</f>
        <v>0</v>
      </c>
      <c r="FA28" s="134">
        <f>SUMIFS('WBS Summary'!HL:HL,'WBS Summary'!$B:$B, $B28, 'WBS Summary'!$AH:$AH, $C28,'WBS Summary'!$AJ:$AJ, $H28)</f>
        <v>0</v>
      </c>
      <c r="FB28" s="134">
        <f>SUMIFS('WBS Summary'!HM:HM,'WBS Summary'!$B:$B, $B28, 'WBS Summary'!$AH:$AH, $C28,'WBS Summary'!$AJ:$AJ, $H28)</f>
        <v>0</v>
      </c>
      <c r="FC28" s="134">
        <f>SUMIFS('WBS Summary'!HN:HN,'WBS Summary'!$B:$B, $B28, 'WBS Summary'!$AH:$AH, $C28,'WBS Summary'!$AJ:$AJ, $H28)</f>
        <v>0</v>
      </c>
      <c r="FD28" s="134">
        <f>SUMIFS('WBS Summary'!HO:HO,'WBS Summary'!$B:$B, $B28, 'WBS Summary'!$AH:$AH, $C28,'WBS Summary'!$AJ:$AJ, $H28)</f>
        <v>0</v>
      </c>
      <c r="FE28" s="134">
        <f>SUMIFS('WBS Summary'!HP:HP,'WBS Summary'!$B:$B, $B28, 'WBS Summary'!$AH:$AH, $C28,'WBS Summary'!$AJ:$AJ, $H28)</f>
        <v>0</v>
      </c>
      <c r="FF28" s="134">
        <f>SUMIFS('WBS Summary'!HQ:HQ,'WBS Summary'!$B:$B, $B28, 'WBS Summary'!$AH:$AH, $C28,'WBS Summary'!$AJ:$AJ, $H28)</f>
        <v>0</v>
      </c>
      <c r="FG28" s="134">
        <f>SUMIFS('WBS Summary'!HR:HR,'WBS Summary'!$B:$B, $B28, 'WBS Summary'!$AH:$AH, $C28,'WBS Summary'!$AJ:$AJ, $H28)</f>
        <v>0</v>
      </c>
      <c r="FH28" s="134">
        <f>SUMIFS('WBS Summary'!HS:HS,'WBS Summary'!$B:$B, $B28, 'WBS Summary'!$AH:$AH, $C28,'WBS Summary'!$AJ:$AJ, $H28)</f>
        <v>0</v>
      </c>
      <c r="FI28" s="134">
        <f>SUMIFS('WBS Summary'!HT:HT,'WBS Summary'!$B:$B, $B28, 'WBS Summary'!$AH:$AH, $C28,'WBS Summary'!$AJ:$AJ, $H28)</f>
        <v>0</v>
      </c>
      <c r="FJ28" s="134">
        <f>SUMIFS('WBS Summary'!HU:HU,'WBS Summary'!$B:$B, $B28, 'WBS Summary'!$AH:$AH, $C28,'WBS Summary'!$AJ:$AJ, $H28)</f>
        <v>0</v>
      </c>
      <c r="FK28" s="134">
        <f>SUMIFS('WBS Summary'!HV:HV,'WBS Summary'!$B:$B, $B28, 'WBS Summary'!$AH:$AH, $C28,'WBS Summary'!$AJ:$AJ, $H28)</f>
        <v>0</v>
      </c>
      <c r="FL28" s="134">
        <f>SUMIFS('WBS Summary'!HW:HW,'WBS Summary'!$B:$B, $B28, 'WBS Summary'!$AH:$AH, $C28,'WBS Summary'!$AJ:$AJ, $H28)</f>
        <v>0</v>
      </c>
      <c r="FM28" s="134">
        <f>SUMIFS('WBS Summary'!HX:HX,'WBS Summary'!$B:$B, $B28, 'WBS Summary'!$AH:$AH, $C28,'WBS Summary'!$AJ:$AJ, $H28)</f>
        <v>0</v>
      </c>
      <c r="FN28" s="134">
        <f>SUMIFS('WBS Summary'!HY:HY,'WBS Summary'!$B:$B, $B28, 'WBS Summary'!$AH:$AH, $C28,'WBS Summary'!$AJ:$AJ, $H28)</f>
        <v>0</v>
      </c>
      <c r="FO28" s="134">
        <f>SUMIFS('WBS Summary'!HZ:HZ,'WBS Summary'!$B:$B, $B28, 'WBS Summary'!$AH:$AH, $C28,'WBS Summary'!$AJ:$AJ, $H28)</f>
        <v>0</v>
      </c>
      <c r="FP28" s="134">
        <f>SUMIFS('WBS Summary'!IA:IA,'WBS Summary'!$B:$B, $B28, 'WBS Summary'!$AH:$AH, $C28,'WBS Summary'!$AJ:$AJ, $H28)</f>
        <v>0</v>
      </c>
      <c r="FQ28" s="134">
        <f>SUMIFS('WBS Summary'!IB:IB,'WBS Summary'!$B:$B, $B28, 'WBS Summary'!$AH:$AH, $C28,'WBS Summary'!$AJ:$AJ, $H28)</f>
        <v>0</v>
      </c>
      <c r="FR28" s="134">
        <f>SUMIFS('WBS Summary'!IC:IC,'WBS Summary'!$B:$B, $B28, 'WBS Summary'!$AH:$AH, $C28,'WBS Summary'!$AJ:$AJ, $H28)</f>
        <v>0</v>
      </c>
      <c r="FS28" s="134">
        <f>SUMIFS('WBS Summary'!ID:ID,'WBS Summary'!$B:$B, $B28, 'WBS Summary'!$AH:$AH, $C28,'WBS Summary'!$AJ:$AJ, $H28)</f>
        <v>0</v>
      </c>
      <c r="FT28" s="134">
        <f>SUMIFS('WBS Summary'!IE:IE,'WBS Summary'!$B:$B, $B28, 'WBS Summary'!$AH:$AH, $C28,'WBS Summary'!$AJ:$AJ, $H28)</f>
        <v>0</v>
      </c>
      <c r="FU28" s="134">
        <f>SUMIFS('WBS Summary'!IF:IF,'WBS Summary'!$B:$B, $B28, 'WBS Summary'!$AH:$AH, $C28,'WBS Summary'!$AJ:$AJ, $H28)</f>
        <v>0</v>
      </c>
      <c r="FV28" s="134">
        <f>SUMIFS('WBS Summary'!IG:IG,'WBS Summary'!$B:$B, $B28, 'WBS Summary'!$AH:$AH, $C28,'WBS Summary'!$AJ:$AJ, $H28)</f>
        <v>0</v>
      </c>
      <c r="FW28" s="134">
        <f>SUMIFS('WBS Summary'!IH:IH,'WBS Summary'!$B:$B, $B28, 'WBS Summary'!$AH:$AH, $C28,'WBS Summary'!$AJ:$AJ, $H28)</f>
        <v>0</v>
      </c>
      <c r="FX28" s="134">
        <f>SUMIFS('WBS Summary'!II:II,'WBS Summary'!$B:$B, $B28, 'WBS Summary'!$AH:$AH, $C28,'WBS Summary'!$AJ:$AJ, $H28)</f>
        <v>0</v>
      </c>
      <c r="FY28" s="134">
        <f>SUMIFS('WBS Summary'!IJ:IJ,'WBS Summary'!$B:$B, $B28, 'WBS Summary'!$AH:$AH, $C28,'WBS Summary'!$AJ:$AJ, $H28)</f>
        <v>0</v>
      </c>
      <c r="FZ28" s="134">
        <f>SUMIFS('WBS Summary'!IK:IK,'WBS Summary'!$B:$B, $B28, 'WBS Summary'!$AH:$AH, $C28,'WBS Summary'!$AJ:$AJ, $H28)</f>
        <v>0</v>
      </c>
      <c r="GA28" s="134">
        <f>SUMIFS('WBS Summary'!IL:IL,'WBS Summary'!$B:$B, $B28, 'WBS Summary'!$AH:$AH, $C28,'WBS Summary'!$AJ:$AJ, $H28)</f>
        <v>0</v>
      </c>
      <c r="GB28" s="134">
        <f>SUMIFS('WBS Summary'!IM:IM,'WBS Summary'!$B:$B, $B28, 'WBS Summary'!$AH:$AH, $C28,'WBS Summary'!$AJ:$AJ, $H28)</f>
        <v>0</v>
      </c>
      <c r="GC28" s="134">
        <f>SUMIFS('WBS Summary'!IN:IN,'WBS Summary'!$B:$B, $B28, 'WBS Summary'!$AH:$AH, $C28,'WBS Summary'!$AJ:$AJ, $H28)</f>
        <v>0</v>
      </c>
      <c r="GD28" s="134">
        <f>SUMIFS('WBS Summary'!IO:IO,'WBS Summary'!$B:$B, $B28, 'WBS Summary'!$AH:$AH, $C28,'WBS Summary'!$AJ:$AJ, $H28)</f>
        <v>0</v>
      </c>
      <c r="GE28" s="134">
        <f>SUMIFS('WBS Summary'!IP:IP,'WBS Summary'!$B:$B, $B28, 'WBS Summary'!$AH:$AH, $C28,'WBS Summary'!$AJ:$AJ, $H28)</f>
        <v>0</v>
      </c>
      <c r="GF28" s="134">
        <f>SUMIFS('WBS Summary'!IQ:IQ,'WBS Summary'!$B:$B, $B28, 'WBS Summary'!$AH:$AH, $C28,'WBS Summary'!$AJ:$AJ, $H28)</f>
        <v>0</v>
      </c>
      <c r="GG28" s="134">
        <f>SUMIFS('WBS Summary'!IR:IR,'WBS Summary'!$B:$B, $B28, 'WBS Summary'!$AH:$AH, $C28,'WBS Summary'!$AJ:$AJ, $H28)</f>
        <v>0</v>
      </c>
      <c r="GH28" s="134">
        <f>SUMIFS('WBS Summary'!IS:IS,'WBS Summary'!$B:$B, $B28, 'WBS Summary'!$AH:$AH, $C28,'WBS Summary'!$AJ:$AJ, $H28)</f>
        <v>0</v>
      </c>
      <c r="GI28" s="134">
        <f>SUMIFS('WBS Summary'!IT:IT,'WBS Summary'!$B:$B, $B28, 'WBS Summary'!$AH:$AH, $C28,'WBS Summary'!$AJ:$AJ, $H28)</f>
        <v>0</v>
      </c>
      <c r="GJ28" s="134">
        <f>SUMIFS('WBS Summary'!IU:IU,'WBS Summary'!$B:$B, $B28, 'WBS Summary'!$AH:$AH, $C28,'WBS Summary'!$AJ:$AJ, $H28)</f>
        <v>0</v>
      </c>
      <c r="GK28" s="134">
        <f>SUMIFS('WBS Summary'!IV:IV,'WBS Summary'!$B:$B, $B28, 'WBS Summary'!$AH:$AH, $C28,'WBS Summary'!$AJ:$AJ, $H28)</f>
        <v>0</v>
      </c>
      <c r="GL28" s="134">
        <f>SUMIFS('WBS Summary'!IW:IW,'WBS Summary'!$B:$B, $B28, 'WBS Summary'!$AH:$AH, $C28,'WBS Summary'!$AJ:$AJ, $H28)</f>
        <v>0</v>
      </c>
      <c r="GM28" s="134">
        <f>SUMIFS('WBS Summary'!IX:IX,'WBS Summary'!$B:$B, $B28, 'WBS Summary'!$AH:$AH, $C28,'WBS Summary'!$AJ:$AJ, $H28)</f>
        <v>0</v>
      </c>
      <c r="GN28" s="134">
        <f>SUMIFS('WBS Summary'!IY:IY,'WBS Summary'!$B:$B, $B28, 'WBS Summary'!$AH:$AH, $C28,'WBS Summary'!$AJ:$AJ, $H28)</f>
        <v>0</v>
      </c>
      <c r="GO28" s="134">
        <f>SUMIFS('WBS Summary'!IZ:IZ,'WBS Summary'!$B:$B, $B28, 'WBS Summary'!$AH:$AH, $C28,'WBS Summary'!$AJ:$AJ, $H28)</f>
        <v>0</v>
      </c>
      <c r="GP28" s="134">
        <f>SUMIFS('WBS Summary'!JA:JA,'WBS Summary'!$B:$B, $B28, 'WBS Summary'!$AH:$AH, $C28,'WBS Summary'!$AJ:$AJ, $H28)</f>
        <v>0</v>
      </c>
      <c r="GQ28" s="134">
        <f>SUMIFS('WBS Summary'!JB:JB,'WBS Summary'!$B:$B, $B28, 'WBS Summary'!$AH:$AH, $C28,'WBS Summary'!$AJ:$AJ, $H28)</f>
        <v>0</v>
      </c>
      <c r="GR28" s="134">
        <f>SUMIFS('WBS Summary'!JC:JC,'WBS Summary'!$B:$B, $B28, 'WBS Summary'!$AH:$AH, $C28,'WBS Summary'!$AJ:$AJ, $H28)</f>
        <v>0</v>
      </c>
      <c r="GS28" s="134">
        <f>SUMIFS('WBS Summary'!JD:JD,'WBS Summary'!$B:$B, $B28, 'WBS Summary'!$AH:$AH, $C28,'WBS Summary'!$AJ:$AJ, $H28)</f>
        <v>0</v>
      </c>
      <c r="GT28" s="134">
        <f>SUMIFS('WBS Summary'!JE:JE,'WBS Summary'!$B:$B, $B28, 'WBS Summary'!$AH:$AH, $C28,'WBS Summary'!$AJ:$AJ, $H28)</f>
        <v>0</v>
      </c>
      <c r="GU28" s="134">
        <f>SUMIFS('WBS Summary'!JF:JF,'WBS Summary'!$B:$B, $B28, 'WBS Summary'!$AH:$AH, $C28,'WBS Summary'!$AJ:$AJ, $H28)</f>
        <v>0</v>
      </c>
      <c r="GV28" s="134">
        <f>SUMIFS('WBS Summary'!JG:JG,'WBS Summary'!$B:$B, $B28, 'WBS Summary'!$AH:$AH, $C28,'WBS Summary'!$AJ:$AJ, $H28)</f>
        <v>0</v>
      </c>
      <c r="GW28" s="134">
        <f>SUMIFS('WBS Summary'!JH:JH,'WBS Summary'!$B:$B, $B28, 'WBS Summary'!$AH:$AH, $C28,'WBS Summary'!$AJ:$AJ, $H28)</f>
        <v>0</v>
      </c>
      <c r="GX28" s="134">
        <f>SUMIFS('WBS Summary'!JI:JI,'WBS Summary'!$B:$B, $B28, 'WBS Summary'!$AH:$AH, $C28,'WBS Summary'!$AJ:$AJ, $H28)</f>
        <v>0</v>
      </c>
      <c r="GY28" s="134">
        <f>SUMIFS('WBS Summary'!JJ:JJ,'WBS Summary'!$B:$B, $B28, 'WBS Summary'!$AH:$AH, $C28,'WBS Summary'!$AJ:$AJ, $H28)</f>
        <v>0</v>
      </c>
      <c r="GZ28" s="134">
        <f>SUMIFS('WBS Summary'!JK:JK,'WBS Summary'!$B:$B, $B28, 'WBS Summary'!$AH:$AH, $C28,'WBS Summary'!$AJ:$AJ, $H28)</f>
        <v>0</v>
      </c>
      <c r="HA28" s="134">
        <f>SUMIFS('WBS Summary'!JL:JL,'WBS Summary'!$B:$B, $B28, 'WBS Summary'!$AH:$AH, $C28,'WBS Summary'!$AJ:$AJ, $H28)</f>
        <v>0</v>
      </c>
      <c r="HB28" s="134">
        <f>SUMIFS('WBS Summary'!JM:JM,'WBS Summary'!$B:$B, $B28, 'WBS Summary'!$AH:$AH, $C28,'WBS Summary'!$AJ:$AJ, $H28)</f>
        <v>0</v>
      </c>
      <c r="HC28"/>
    </row>
    <row r="29" spans="1:211" s="194" customFormat="1" outlineLevel="2">
      <c r="A29" s="220"/>
      <c r="B29" s="284" t="s">
        <v>189</v>
      </c>
      <c r="C29" s="227" t="s">
        <v>73</v>
      </c>
      <c r="D29" s="352"/>
      <c r="E29" s="352"/>
      <c r="F29" s="224">
        <f t="shared" si="29"/>
        <v>0</v>
      </c>
      <c r="G29" s="224">
        <f t="shared" si="30"/>
        <v>0</v>
      </c>
      <c r="H29" s="233" t="s">
        <v>344</v>
      </c>
      <c r="I29"/>
      <c r="J29" s="134">
        <f>SUMIFS('WBS Summary'!BD:BD,'WBS Summary'!$B:$B, $B29, 'WBS Summary'!$AH:$AH, $C29,'WBS Summary'!$AJ:$AJ, $H29)</f>
        <v>0</v>
      </c>
      <c r="K29" s="134">
        <f>SUMIFS('WBS Summary'!BE:BE,'WBS Summary'!$B:$B, $B29, 'WBS Summary'!$AH:$AH, $C29,'WBS Summary'!$AJ:$AJ, $H29)</f>
        <v>0</v>
      </c>
      <c r="L29" s="134">
        <f>SUMIFS('WBS Summary'!BF:BF,'WBS Summary'!$B:$B, $B29, 'WBS Summary'!$AH:$AH, $C29,'WBS Summary'!$AJ:$AJ, $H29)</f>
        <v>0</v>
      </c>
      <c r="M29" s="134">
        <f>SUMIFS('WBS Summary'!BG:BG,'WBS Summary'!$B:$B, $B29, 'WBS Summary'!$AH:$AH, $C29,'WBS Summary'!$AJ:$AJ, $H29)</f>
        <v>0</v>
      </c>
      <c r="N29" s="134">
        <f>SUMIFS('WBS Summary'!BH:BH,'WBS Summary'!$B:$B, $B29, 'WBS Summary'!$AH:$AH, $C29,'WBS Summary'!$AJ:$AJ, $H29)</f>
        <v>0</v>
      </c>
      <c r="O29" s="134">
        <f>SUMIFS('WBS Summary'!BI:BI,'WBS Summary'!$B:$B, $B29, 'WBS Summary'!$AH:$AH, $C29,'WBS Summary'!$AJ:$AJ, $H29)</f>
        <v>0</v>
      </c>
      <c r="P29" s="134">
        <f>SUMIFS('WBS Summary'!BJ:BJ,'WBS Summary'!$B:$B, $B29, 'WBS Summary'!$AH:$AH, $C29,'WBS Summary'!$AJ:$AJ, $H29)</f>
        <v>0</v>
      </c>
      <c r="Q29" s="134">
        <f>SUMIFS('WBS Summary'!BK:BK,'WBS Summary'!$B:$B, $B29, 'WBS Summary'!$AH:$AH, $C29,'WBS Summary'!$AJ:$AJ, $H29)</f>
        <v>0</v>
      </c>
      <c r="R29" s="134">
        <f>SUMIFS('WBS Summary'!BL:BL,'WBS Summary'!$B:$B, $B29, 'WBS Summary'!$AH:$AH, $C29,'WBS Summary'!$AJ:$AJ, $H29)</f>
        <v>0</v>
      </c>
      <c r="S29" s="134">
        <f>SUMIFS('WBS Summary'!BM:BM,'WBS Summary'!$B:$B, $B29, 'WBS Summary'!$AH:$AH, $C29,'WBS Summary'!$AJ:$AJ, $H29)</f>
        <v>0</v>
      </c>
      <c r="T29" s="134">
        <f>SUMIFS('WBS Summary'!BN:BN,'WBS Summary'!$B:$B, $B29, 'WBS Summary'!$AH:$AH, $C29,'WBS Summary'!$AJ:$AJ, $H29)</f>
        <v>0</v>
      </c>
      <c r="U29" s="134">
        <f>SUMIFS('WBS Summary'!BO:BO,'WBS Summary'!$B:$B, $B29, 'WBS Summary'!$AH:$AH, $C29,'WBS Summary'!$AJ:$AJ, $H29)</f>
        <v>0</v>
      </c>
      <c r="V29" s="134">
        <f>SUMIFS('WBS Summary'!BP:BP,'WBS Summary'!$B:$B, $B29, 'WBS Summary'!$AH:$AH, $C29,'WBS Summary'!$AJ:$AJ, $H29)</f>
        <v>0</v>
      </c>
      <c r="W29" s="134">
        <f>SUMIFS('WBS Summary'!BQ:BQ,'WBS Summary'!$B:$B, $B29, 'WBS Summary'!$AH:$AH, $C29,'WBS Summary'!$AJ:$AJ, $H29)</f>
        <v>0</v>
      </c>
      <c r="X29" s="134">
        <f>SUMIFS('WBS Summary'!BR:BR,'WBS Summary'!$B:$B, $B29, 'WBS Summary'!$AH:$AH, $C29,'WBS Summary'!$AJ:$AJ, $H29)</f>
        <v>0</v>
      </c>
      <c r="Y29" s="134">
        <f>SUMIFS('WBS Summary'!BS:BS,'WBS Summary'!$B:$B, $B29, 'WBS Summary'!$AH:$AH, $C29,'WBS Summary'!$AJ:$AJ, $H29)</f>
        <v>0</v>
      </c>
      <c r="Z29" s="134">
        <f>SUMIFS('WBS Summary'!BT:BT,'WBS Summary'!$B:$B, $B29, 'WBS Summary'!$AH:$AH, $C29,'WBS Summary'!$AJ:$AJ, $H29)</f>
        <v>0</v>
      </c>
      <c r="AA29" s="134">
        <f>SUMIFS('WBS Summary'!BU:BU,'WBS Summary'!$B:$B, $B29, 'WBS Summary'!$AH:$AH, $C29,'WBS Summary'!$AJ:$AJ, $H29)</f>
        <v>0</v>
      </c>
      <c r="AB29" s="134">
        <f>SUMIFS('WBS Summary'!BV:BV,'WBS Summary'!$B:$B, $B29, 'WBS Summary'!$AH:$AH, $C29,'WBS Summary'!$AJ:$AJ, $H29)</f>
        <v>0</v>
      </c>
      <c r="AC29" s="134">
        <f>SUMIFS('WBS Summary'!BW:BW,'WBS Summary'!$B:$B, $B29, 'WBS Summary'!$AH:$AH, $C29,'WBS Summary'!$AJ:$AJ, $H29)</f>
        <v>0</v>
      </c>
      <c r="AD29" s="134">
        <f>SUMIFS('WBS Summary'!BX:BX,'WBS Summary'!$B:$B, $B29, 'WBS Summary'!$AH:$AH, $C29,'WBS Summary'!$AJ:$AJ, $H29)</f>
        <v>0</v>
      </c>
      <c r="AE29" s="134">
        <f>SUMIFS('WBS Summary'!BY:BY,'WBS Summary'!$B:$B, $B29, 'WBS Summary'!$AH:$AH, $C29,'WBS Summary'!$AJ:$AJ, $H29)</f>
        <v>0</v>
      </c>
      <c r="AF29" s="134">
        <f>SUMIFS('WBS Summary'!BZ:BZ,'WBS Summary'!$B:$B, $B29, 'WBS Summary'!$AH:$AH, $C29,'WBS Summary'!$AJ:$AJ, $H29)</f>
        <v>0</v>
      </c>
      <c r="AG29" s="134">
        <f>SUMIFS('WBS Summary'!CA:CA,'WBS Summary'!$B:$B, $B29, 'WBS Summary'!$AH:$AH, $C29,'WBS Summary'!$AJ:$AJ, $H29)</f>
        <v>0</v>
      </c>
      <c r="AH29" s="134">
        <f>SUMIFS('WBS Summary'!CB:CB,'WBS Summary'!$B:$B, $B29, 'WBS Summary'!$AH:$AH, $C29,'WBS Summary'!$AJ:$AJ, $H29)</f>
        <v>0</v>
      </c>
      <c r="AI29" s="134">
        <f>SUMIFS('WBS Summary'!CC:CC,'WBS Summary'!$B:$B, $B29, 'WBS Summary'!$AH:$AH, $C29,'WBS Summary'!$AJ:$AJ, $H29)</f>
        <v>0</v>
      </c>
      <c r="AJ29" s="134">
        <f>SUMIFS('WBS Summary'!CD:CD,'WBS Summary'!$B:$B, $B29, 'WBS Summary'!$AH:$AH, $C29,'WBS Summary'!$AJ:$AJ, $H29)</f>
        <v>0</v>
      </c>
      <c r="AK29" s="134">
        <f>SUMIFS('WBS Summary'!CE:CE,'WBS Summary'!$B:$B, $B29, 'WBS Summary'!$AH:$AH, $C29,'WBS Summary'!$AJ:$AJ, $H29)</f>
        <v>0</v>
      </c>
      <c r="AL29" s="134">
        <f>SUMIFS('WBS Summary'!CF:CF,'WBS Summary'!$B:$B, $B29, 'WBS Summary'!$AH:$AH, $C29,'WBS Summary'!$AJ:$AJ, $H29)</f>
        <v>0</v>
      </c>
      <c r="AM29" s="134">
        <f>SUMIFS('WBS Summary'!CG:CG,'WBS Summary'!$B:$B, $B29, 'WBS Summary'!$AH:$AH, $C29,'WBS Summary'!$AJ:$AJ, $H29)</f>
        <v>0</v>
      </c>
      <c r="AN29" s="134">
        <f>SUMIFS('WBS Summary'!CH:CH,'WBS Summary'!$B:$B, $B29, 'WBS Summary'!$AH:$AH, $C29,'WBS Summary'!$AJ:$AJ, $H29)</f>
        <v>0</v>
      </c>
      <c r="AO29" s="134">
        <f>SUMIFS('WBS Summary'!CI:CI,'WBS Summary'!$B:$B, $B29, 'WBS Summary'!$AH:$AH, $C29,'WBS Summary'!$AJ:$AJ, $H29)</f>
        <v>0</v>
      </c>
      <c r="AP29" s="134">
        <f>SUMIFS('WBS Summary'!CJ:CJ,'WBS Summary'!$B:$B, $B29, 'WBS Summary'!$AH:$AH, $C29,'WBS Summary'!$AJ:$AJ, $H29)</f>
        <v>0</v>
      </c>
      <c r="AQ29" s="134">
        <f>SUMIFS('WBS Summary'!CK:CK,'WBS Summary'!$B:$B, $B29, 'WBS Summary'!$AH:$AH, $C29,'WBS Summary'!$AJ:$AJ, $H29)</f>
        <v>0</v>
      </c>
      <c r="AR29" s="134">
        <f>SUMIFS('WBS Summary'!CL:CL,'WBS Summary'!$B:$B, $B29, 'WBS Summary'!$AH:$AH, $C29,'WBS Summary'!$AJ:$AJ, $H29)</f>
        <v>0</v>
      </c>
      <c r="AS29" s="134">
        <f>SUMIFS('WBS Summary'!CM:CM,'WBS Summary'!$B:$B, $B29, 'WBS Summary'!$AH:$AH, $C29,'WBS Summary'!$AJ:$AJ, $H29)</f>
        <v>0</v>
      </c>
      <c r="AT29" s="134">
        <f>SUMIFS('WBS Summary'!CN:CN,'WBS Summary'!$B:$B, $B29, 'WBS Summary'!$AH:$AH, $C29,'WBS Summary'!$AJ:$AJ, $H29)</f>
        <v>0</v>
      </c>
      <c r="AU29" s="134">
        <f>SUMIFS('WBS Summary'!CO:CO,'WBS Summary'!$B:$B, $B29, 'WBS Summary'!$AH:$AH, $C29,'WBS Summary'!$AJ:$AJ, $H29)</f>
        <v>0</v>
      </c>
      <c r="AV29" s="134">
        <f>SUMIFS('WBS Summary'!CP:CP,'WBS Summary'!$B:$B, $B29, 'WBS Summary'!$AH:$AH, $C29,'WBS Summary'!$AJ:$AJ, $H29)</f>
        <v>0</v>
      </c>
      <c r="AW29" s="134">
        <f>SUMIFS('WBS Summary'!CQ:CQ,'WBS Summary'!$B:$B, $B29, 'WBS Summary'!$AH:$AH, $C29,'WBS Summary'!$AJ:$AJ, $H29)</f>
        <v>0</v>
      </c>
      <c r="AX29" s="134">
        <f>SUMIFS('WBS Summary'!CR:CR,'WBS Summary'!$B:$B, $B29, 'WBS Summary'!$AH:$AH, $C29,'WBS Summary'!$AJ:$AJ, $H29)</f>
        <v>0</v>
      </c>
      <c r="AY29" s="134">
        <f>SUMIFS('WBS Summary'!CS:CS,'WBS Summary'!$B:$B, $B29, 'WBS Summary'!$AH:$AH, $C29,'WBS Summary'!$AJ:$AJ, $H29)</f>
        <v>0</v>
      </c>
      <c r="AZ29" s="134">
        <f>SUMIFS('WBS Summary'!CT:CT,'WBS Summary'!$B:$B, $B29, 'WBS Summary'!$AH:$AH, $C29,'WBS Summary'!$AJ:$AJ, $H29)</f>
        <v>0</v>
      </c>
      <c r="BA29" s="134">
        <f>SUMIFS('WBS Summary'!CU:CU,'WBS Summary'!$B:$B, $B29, 'WBS Summary'!$AH:$AH, $C29,'WBS Summary'!$AJ:$AJ, $H29)</f>
        <v>0</v>
      </c>
      <c r="BB29" s="134">
        <f>SUMIFS('WBS Summary'!CV:CV,'WBS Summary'!$B:$B, $B29, 'WBS Summary'!$AH:$AH, $C29,'WBS Summary'!$AJ:$AJ, $H29)</f>
        <v>0</v>
      </c>
      <c r="BC29" s="134">
        <f>SUMIFS('WBS Summary'!CW:CW,'WBS Summary'!$B:$B, $B29, 'WBS Summary'!$AH:$AH, $C29,'WBS Summary'!$AJ:$AJ, $H29)</f>
        <v>0</v>
      </c>
      <c r="BD29" s="134">
        <f>SUMIFS('WBS Summary'!CX:CX,'WBS Summary'!$B:$B, $B29, 'WBS Summary'!$AH:$AH, $C29,'WBS Summary'!$AJ:$AJ, $H29)</f>
        <v>0</v>
      </c>
      <c r="BE29" s="134">
        <f>SUMIFS('WBS Summary'!CY:CY,'WBS Summary'!$B:$B, $B29, 'WBS Summary'!$AH:$AH, $C29,'WBS Summary'!$AJ:$AJ, $H29)</f>
        <v>0</v>
      </c>
      <c r="BF29" s="134">
        <f>SUMIFS('WBS Summary'!CZ:CZ,'WBS Summary'!$B:$B, $B29, 'WBS Summary'!$AH:$AH, $C29,'WBS Summary'!$AJ:$AJ, $H29)</f>
        <v>0</v>
      </c>
      <c r="BG29" s="134">
        <f>SUMIFS('WBS Summary'!DA:DA,'WBS Summary'!$B:$B, $B29, 'WBS Summary'!$AH:$AH, $C29,'WBS Summary'!$AJ:$AJ, $H29)</f>
        <v>0</v>
      </c>
      <c r="BH29" s="134">
        <f>SUMIFS('WBS Summary'!DB:DB,'WBS Summary'!$B:$B, $B29, 'WBS Summary'!$AH:$AH, $C29,'WBS Summary'!$AJ:$AJ, $H29)</f>
        <v>0</v>
      </c>
      <c r="BI29" s="134">
        <f>SUMIFS('WBS Summary'!DC:DC,'WBS Summary'!$B:$B, $B29, 'WBS Summary'!$AH:$AH, $C29,'WBS Summary'!$AJ:$AJ, $H29)</f>
        <v>0</v>
      </c>
      <c r="BJ29" s="134">
        <f>SUMIFS('WBS Summary'!DD:DD,'WBS Summary'!$B:$B, $B29, 'WBS Summary'!$AH:$AH, $C29,'WBS Summary'!$AJ:$AJ, $H29)</f>
        <v>0</v>
      </c>
      <c r="BK29" s="134">
        <f>SUMIFS('WBS Summary'!DE:DE,'WBS Summary'!$B:$B, $B29, 'WBS Summary'!$AH:$AH, $C29,'WBS Summary'!$AJ:$AJ, $H29)</f>
        <v>0</v>
      </c>
      <c r="BL29" s="134">
        <f>SUMIFS('WBS Summary'!DF:DF,'WBS Summary'!$B:$B, $B29, 'WBS Summary'!$AH:$AH, $C29,'WBS Summary'!$AJ:$AJ, $H29)</f>
        <v>0</v>
      </c>
      <c r="BM29" s="134">
        <f>SUMIFS('WBS Summary'!DG:DG,'WBS Summary'!$B:$B, $B29, 'WBS Summary'!$AH:$AH, $C29,'WBS Summary'!$AJ:$AJ, $H29)</f>
        <v>0</v>
      </c>
      <c r="BN29" s="134">
        <f>SUMIFS('WBS Summary'!DH:DH,'WBS Summary'!$B:$B, $B29, 'WBS Summary'!$AH:$AH, $C29,'WBS Summary'!$AJ:$AJ, $H29)</f>
        <v>0</v>
      </c>
      <c r="BO29" s="134">
        <f>SUMIFS('WBS Summary'!DI:DI,'WBS Summary'!$B:$B, $B29, 'WBS Summary'!$AH:$AH, $C29,'WBS Summary'!$AJ:$AJ, $H29)</f>
        <v>0</v>
      </c>
      <c r="BP29" s="134">
        <f>SUMIFS('WBS Summary'!DJ:DJ,'WBS Summary'!$B:$B, $B29, 'WBS Summary'!$AH:$AH, $C29,'WBS Summary'!$AJ:$AJ, $H29)</f>
        <v>0</v>
      </c>
      <c r="BQ29" s="134">
        <f>SUMIFS('WBS Summary'!DK:DK,'WBS Summary'!$B:$B, $B29, 'WBS Summary'!$AH:$AH, $C29,'WBS Summary'!$AJ:$AJ, $H29)</f>
        <v>0</v>
      </c>
      <c r="BR29" s="134">
        <f>SUMIFS('WBS Summary'!DL:DL,'WBS Summary'!$B:$B, $B29, 'WBS Summary'!$AH:$AH, $C29,'WBS Summary'!$AJ:$AJ, $H29)</f>
        <v>0</v>
      </c>
      <c r="BS29" s="134">
        <f>SUMIFS('WBS Summary'!DM:DM,'WBS Summary'!$B:$B, $B29, 'WBS Summary'!$AH:$AH, $C29,'WBS Summary'!$AJ:$AJ, $H29)</f>
        <v>0</v>
      </c>
      <c r="BT29" s="134">
        <f>SUMIFS('WBS Summary'!DN:DN,'WBS Summary'!$B:$B, $B29, 'WBS Summary'!$AH:$AH, $C29,'WBS Summary'!$AJ:$AJ, $H29)</f>
        <v>0</v>
      </c>
      <c r="BU29" s="134">
        <f>SUMIFS('WBS Summary'!DO:DO,'WBS Summary'!$B:$B, $B29, 'WBS Summary'!$AH:$AH, $C29,'WBS Summary'!$AJ:$AJ, $H29)</f>
        <v>0</v>
      </c>
      <c r="BV29" s="134">
        <f>SUMIFS('WBS Summary'!DP:DP,'WBS Summary'!$B:$B, $B29, 'WBS Summary'!$AH:$AH, $C29,'WBS Summary'!$AJ:$AJ, $H29)</f>
        <v>0</v>
      </c>
      <c r="BW29" s="134">
        <f>SUMIFS('WBS Summary'!DQ:DQ,'WBS Summary'!$B:$B, $B29, 'WBS Summary'!$AH:$AH, $C29,'WBS Summary'!$AJ:$AJ, $H29)</f>
        <v>0</v>
      </c>
      <c r="BX29" s="134">
        <f>SUMIFS('WBS Summary'!DR:DR,'WBS Summary'!$B:$B, $B29, 'WBS Summary'!$AH:$AH, $C29,'WBS Summary'!$AJ:$AJ, $H29)</f>
        <v>0</v>
      </c>
      <c r="BY29" s="134">
        <f>SUMIFS('WBS Summary'!DS:DS,'WBS Summary'!$B:$B, $B29, 'WBS Summary'!$AH:$AH, $C29,'WBS Summary'!$AJ:$AJ, $H29)</f>
        <v>0</v>
      </c>
      <c r="BZ29" s="134">
        <f>SUMIFS('WBS Summary'!DT:DT,'WBS Summary'!$B:$B, $B29, 'WBS Summary'!$AH:$AH, $C29,'WBS Summary'!$AJ:$AJ, $H29)</f>
        <v>0</v>
      </c>
      <c r="CA29" s="134">
        <f>SUMIFS('WBS Summary'!DU:DU,'WBS Summary'!$B:$B, $B29, 'WBS Summary'!$AH:$AH, $C29,'WBS Summary'!$AJ:$AJ, $H29)</f>
        <v>0</v>
      </c>
      <c r="CB29" s="134">
        <f>SUMIFS('WBS Summary'!DV:DV,'WBS Summary'!$B:$B, $B29, 'WBS Summary'!$AH:$AH, $C29,'WBS Summary'!$AJ:$AJ, $H29)</f>
        <v>0</v>
      </c>
      <c r="CC29" s="134">
        <f>SUMIFS('WBS Summary'!DW:DW,'WBS Summary'!$B:$B, $B29, 'WBS Summary'!$AH:$AH, $C29,'WBS Summary'!$AJ:$AJ, $H29)</f>
        <v>0</v>
      </c>
      <c r="CD29" s="134">
        <f>SUMIFS('WBS Summary'!DX:DX,'WBS Summary'!$B:$B, $B29, 'WBS Summary'!$AH:$AH, $C29,'WBS Summary'!$AJ:$AJ, $H29)</f>
        <v>0</v>
      </c>
      <c r="CE29" s="134">
        <f>SUMIFS('WBS Summary'!DY:DY,'WBS Summary'!$B:$B, $B29, 'WBS Summary'!$AH:$AH, $C29,'WBS Summary'!$AJ:$AJ, $H29)</f>
        <v>0</v>
      </c>
      <c r="CF29" s="134">
        <f>SUMIFS('WBS Summary'!DZ:DZ,'WBS Summary'!$B:$B, $B29, 'WBS Summary'!$AH:$AH, $C29,'WBS Summary'!$AJ:$AJ, $H29)</f>
        <v>0</v>
      </c>
      <c r="CG29" s="134">
        <f>SUMIFS('WBS Summary'!EA:EA,'WBS Summary'!$B:$B, $B29, 'WBS Summary'!$AH:$AH, $C29,'WBS Summary'!$AJ:$AJ, $H29)</f>
        <v>0</v>
      </c>
      <c r="CH29" s="134">
        <f>SUMIFS('WBS Summary'!EB:EB,'WBS Summary'!$B:$B, $B29, 'WBS Summary'!$AH:$AH, $C29,'WBS Summary'!$AJ:$AJ, $H29)</f>
        <v>0</v>
      </c>
      <c r="CI29" s="134">
        <f>SUMIFS('WBS Summary'!EC:EC,'WBS Summary'!$B:$B, $B29, 'WBS Summary'!$AH:$AH, $C29,'WBS Summary'!$AJ:$AJ, $H29)</f>
        <v>0</v>
      </c>
      <c r="CJ29" s="134">
        <f>SUMIFS('WBS Summary'!ED:ED,'WBS Summary'!$B:$B, $B29, 'WBS Summary'!$AH:$AH, $C29,'WBS Summary'!$AJ:$AJ, $H29)</f>
        <v>0</v>
      </c>
      <c r="CK29" s="134">
        <f>SUMIFS('WBS Summary'!EE:EE,'WBS Summary'!$B:$B, $B29, 'WBS Summary'!$AH:$AH, $C29,'WBS Summary'!$AJ:$AJ, $H29)</f>
        <v>0</v>
      </c>
      <c r="CL29" s="134">
        <f>SUMIFS('WBS Summary'!EF:EF,'WBS Summary'!$B:$B, $B29, 'WBS Summary'!$AH:$AH, $C29,'WBS Summary'!$AJ:$AJ, $H29)</f>
        <v>0</v>
      </c>
      <c r="CM29" s="134">
        <f>SUMIFS('WBS Summary'!EG:EG,'WBS Summary'!$B:$B, $B29, 'WBS Summary'!$AH:$AH, $C29,'WBS Summary'!$AJ:$AJ, $H29)</f>
        <v>0</v>
      </c>
      <c r="CN29" s="134">
        <f>SUMIFS('WBS Summary'!EH:EH,'WBS Summary'!$B:$B, $B29, 'WBS Summary'!$AH:$AH, $C29,'WBS Summary'!$AJ:$AJ, $H29)</f>
        <v>0</v>
      </c>
      <c r="CO29" s="134">
        <f>SUMIFS('WBS Summary'!EI:EI,'WBS Summary'!$B:$B, $B29, 'WBS Summary'!$AH:$AH, $C29,'WBS Summary'!$AJ:$AJ, $H29)</f>
        <v>0</v>
      </c>
      <c r="CP29" s="134">
        <f>SUMIFS('WBS Summary'!EJ:EJ,'WBS Summary'!$B:$B, $B29, 'WBS Summary'!$AH:$AH, $C29,'WBS Summary'!$AJ:$AJ, $H29)</f>
        <v>0</v>
      </c>
      <c r="CQ29" s="134">
        <f>SUMIFS('WBS Summary'!EK:EK,'WBS Summary'!$B:$B, $B29, 'WBS Summary'!$AH:$AH, $C29,'WBS Summary'!$AJ:$AJ, $H29)</f>
        <v>0</v>
      </c>
      <c r="CR29" s="134">
        <f>SUMIFS('WBS Summary'!EL:EL,'WBS Summary'!$B:$B, $B29, 'WBS Summary'!$AH:$AH, $C29,'WBS Summary'!$AJ:$AJ, $H29)</f>
        <v>0</v>
      </c>
      <c r="CS29" s="134">
        <f>SUMIFS('WBS Summary'!EM:EM,'WBS Summary'!$B:$B, $B29, 'WBS Summary'!$AH:$AH, $C29,'WBS Summary'!$AJ:$AJ, $H29)</f>
        <v>0</v>
      </c>
      <c r="CT29" s="134">
        <f>SUMIFS('WBS Summary'!EN:EN,'WBS Summary'!$B:$B, $B29, 'WBS Summary'!$AH:$AH, $C29,'WBS Summary'!$AJ:$AJ, $H29)</f>
        <v>0</v>
      </c>
      <c r="CU29" s="134">
        <f>SUMIFS('WBS Summary'!EO:EO,'WBS Summary'!$B:$B, $B29, 'WBS Summary'!$AH:$AH, $C29,'WBS Summary'!$AJ:$AJ, $H29)</f>
        <v>0</v>
      </c>
      <c r="CV29" s="134">
        <f>SUMIFS('WBS Summary'!EP:EP,'WBS Summary'!$B:$B, $B29, 'WBS Summary'!$AH:$AH, $C29,'WBS Summary'!$AJ:$AJ, $H29)</f>
        <v>0</v>
      </c>
      <c r="CW29" s="134">
        <f>SUMIFS('WBS Summary'!EQ:EQ,'WBS Summary'!$B:$B, $B29, 'WBS Summary'!$AH:$AH, $C29,'WBS Summary'!$AJ:$AJ, $H29)</f>
        <v>0</v>
      </c>
      <c r="CX29" s="134">
        <f>SUMIFS('WBS Summary'!ER:ER,'WBS Summary'!$B:$B, $B29, 'WBS Summary'!$AH:$AH, $C29,'WBS Summary'!$AJ:$AJ, $H29)</f>
        <v>0</v>
      </c>
      <c r="CY29" s="134">
        <f>SUMIFS('WBS Summary'!ES:ES,'WBS Summary'!$B:$B, $B29, 'WBS Summary'!$AH:$AH, $C29,'WBS Summary'!$AJ:$AJ, $H29)</f>
        <v>0</v>
      </c>
      <c r="CZ29" s="134">
        <f>SUMIFS('WBS Summary'!ET:ET,'WBS Summary'!$B:$B, $B29, 'WBS Summary'!$AH:$AH, $C29,'WBS Summary'!$AJ:$AJ, $H29)</f>
        <v>0</v>
      </c>
      <c r="DA29" s="134">
        <f>SUMIFS('WBS Summary'!EU:EU,'WBS Summary'!$B:$B, $B29, 'WBS Summary'!$AH:$AH, $C29,'WBS Summary'!$AJ:$AJ, $H29)</f>
        <v>0</v>
      </c>
      <c r="DB29" s="134">
        <f>SUMIFS('WBS Summary'!EV:EV,'WBS Summary'!$B:$B, $B29, 'WBS Summary'!$AH:$AH, $C29,'WBS Summary'!$AJ:$AJ, $H29)</f>
        <v>0</v>
      </c>
      <c r="DC29" s="134">
        <f>SUMIFS('WBS Summary'!EW:EW,'WBS Summary'!$B:$B, $B29, 'WBS Summary'!$AH:$AH, $C29,'WBS Summary'!$AJ:$AJ, $H29)</f>
        <v>0</v>
      </c>
      <c r="DD29" s="134">
        <f>SUMIFS('WBS Summary'!EX:EX,'WBS Summary'!$B:$B, $B29, 'WBS Summary'!$AH:$AH, $C29,'WBS Summary'!$AJ:$AJ, $H29)</f>
        <v>0</v>
      </c>
      <c r="DE29" s="134">
        <f>SUMIFS('WBS Summary'!EY:EY,'WBS Summary'!$B:$B, $B29, 'WBS Summary'!$AH:$AH, $C29,'WBS Summary'!$AJ:$AJ, $H29)</f>
        <v>0</v>
      </c>
      <c r="DF29"/>
      <c r="DG29" s="134">
        <f>SUMIFS('WBS Summary'!FR:FR,'WBS Summary'!$B:$B, $B29, 'WBS Summary'!$AH:$AH, $C29,'WBS Summary'!$AJ:$AJ, $H29)</f>
        <v>0</v>
      </c>
      <c r="DH29" s="134">
        <f>SUMIFS('WBS Summary'!FS:FS,'WBS Summary'!$B:$B, $B29, 'WBS Summary'!$AH:$AH, $C29,'WBS Summary'!$AJ:$AJ, $H29)</f>
        <v>0</v>
      </c>
      <c r="DI29" s="134">
        <f>SUMIFS('WBS Summary'!FT:FT,'WBS Summary'!$B:$B, $B29, 'WBS Summary'!$AH:$AH, $C29,'WBS Summary'!$AJ:$AJ, $H29)</f>
        <v>0</v>
      </c>
      <c r="DJ29" s="134">
        <f>SUMIFS('WBS Summary'!FU:FU,'WBS Summary'!$B:$B, $B29, 'WBS Summary'!$AH:$AH, $C29,'WBS Summary'!$AJ:$AJ, $H29)</f>
        <v>0</v>
      </c>
      <c r="DK29" s="134">
        <f>SUMIFS('WBS Summary'!FV:FV,'WBS Summary'!$B:$B, $B29, 'WBS Summary'!$AH:$AH, $C29,'WBS Summary'!$AJ:$AJ, $H29)</f>
        <v>0</v>
      </c>
      <c r="DL29" s="134">
        <f>SUMIFS('WBS Summary'!FW:FW,'WBS Summary'!$B:$B, $B29, 'WBS Summary'!$AH:$AH, $C29,'WBS Summary'!$AJ:$AJ, $H29)</f>
        <v>0</v>
      </c>
      <c r="DM29" s="134">
        <f>SUMIFS('WBS Summary'!FX:FX,'WBS Summary'!$B:$B, $B29, 'WBS Summary'!$AH:$AH, $C29,'WBS Summary'!$AJ:$AJ, $H29)</f>
        <v>0</v>
      </c>
      <c r="DN29" s="134">
        <f>SUMIFS('WBS Summary'!FY:FY,'WBS Summary'!$B:$B, $B29, 'WBS Summary'!$AH:$AH, $C29,'WBS Summary'!$AJ:$AJ, $H29)</f>
        <v>0</v>
      </c>
      <c r="DO29" s="134">
        <f>SUMIFS('WBS Summary'!FZ:FZ,'WBS Summary'!$B:$B, $B29, 'WBS Summary'!$AH:$AH, $C29,'WBS Summary'!$AJ:$AJ, $H29)</f>
        <v>0</v>
      </c>
      <c r="DP29" s="134">
        <f>SUMIFS('WBS Summary'!GA:GA,'WBS Summary'!$B:$B, $B29, 'WBS Summary'!$AH:$AH, $C29,'WBS Summary'!$AJ:$AJ, $H29)</f>
        <v>0</v>
      </c>
      <c r="DQ29" s="134">
        <f>SUMIFS('WBS Summary'!GB:GB,'WBS Summary'!$B:$B, $B29, 'WBS Summary'!$AH:$AH, $C29,'WBS Summary'!$AJ:$AJ, $H29)</f>
        <v>0</v>
      </c>
      <c r="DR29" s="134">
        <f>SUMIFS('WBS Summary'!GC:GC,'WBS Summary'!$B:$B, $B29, 'WBS Summary'!$AH:$AH, $C29,'WBS Summary'!$AJ:$AJ, $H29)</f>
        <v>0</v>
      </c>
      <c r="DS29" s="134">
        <f>SUMIFS('WBS Summary'!GD:GD,'WBS Summary'!$B:$B, $B29, 'WBS Summary'!$AH:$AH, $C29,'WBS Summary'!$AJ:$AJ, $H29)</f>
        <v>0</v>
      </c>
      <c r="DT29" s="134">
        <f>SUMIFS('WBS Summary'!GE:GE,'WBS Summary'!$B:$B, $B29, 'WBS Summary'!$AH:$AH, $C29,'WBS Summary'!$AJ:$AJ, $H29)</f>
        <v>0</v>
      </c>
      <c r="DU29" s="134">
        <f>SUMIFS('WBS Summary'!GF:GF,'WBS Summary'!$B:$B, $B29, 'WBS Summary'!$AH:$AH, $C29,'WBS Summary'!$AJ:$AJ, $H29)</f>
        <v>0</v>
      </c>
      <c r="DV29" s="134">
        <f>SUMIFS('WBS Summary'!GG:GG,'WBS Summary'!$B:$B, $B29, 'WBS Summary'!$AH:$AH, $C29,'WBS Summary'!$AJ:$AJ, $H29)</f>
        <v>0</v>
      </c>
      <c r="DW29" s="134">
        <f>SUMIFS('WBS Summary'!GH:GH,'WBS Summary'!$B:$B, $B29, 'WBS Summary'!$AH:$AH, $C29,'WBS Summary'!$AJ:$AJ, $H29)</f>
        <v>0</v>
      </c>
      <c r="DX29" s="134">
        <f>SUMIFS('WBS Summary'!GI:GI,'WBS Summary'!$B:$B, $B29, 'WBS Summary'!$AH:$AH, $C29,'WBS Summary'!$AJ:$AJ, $H29)</f>
        <v>0</v>
      </c>
      <c r="DY29" s="134">
        <f>SUMIFS('WBS Summary'!GJ:GJ,'WBS Summary'!$B:$B, $B29, 'WBS Summary'!$AH:$AH, $C29,'WBS Summary'!$AJ:$AJ, $H29)</f>
        <v>0</v>
      </c>
      <c r="DZ29" s="134">
        <f>SUMIFS('WBS Summary'!GK:GK,'WBS Summary'!$B:$B, $B29, 'WBS Summary'!$AH:$AH, $C29,'WBS Summary'!$AJ:$AJ, $H29)</f>
        <v>0</v>
      </c>
      <c r="EA29" s="134">
        <f>SUMIFS('WBS Summary'!GL:GL,'WBS Summary'!$B:$B, $B29, 'WBS Summary'!$AH:$AH, $C29,'WBS Summary'!$AJ:$AJ, $H29)</f>
        <v>0</v>
      </c>
      <c r="EB29" s="134">
        <f>SUMIFS('WBS Summary'!GM:GM,'WBS Summary'!$B:$B, $B29, 'WBS Summary'!$AH:$AH, $C29,'WBS Summary'!$AJ:$AJ, $H29)</f>
        <v>0</v>
      </c>
      <c r="EC29" s="134">
        <f>SUMIFS('WBS Summary'!GN:GN,'WBS Summary'!$B:$B, $B29, 'WBS Summary'!$AH:$AH, $C29,'WBS Summary'!$AJ:$AJ, $H29)</f>
        <v>0</v>
      </c>
      <c r="ED29" s="134">
        <f>SUMIFS('WBS Summary'!GO:GO,'WBS Summary'!$B:$B, $B29, 'WBS Summary'!$AH:$AH, $C29,'WBS Summary'!$AJ:$AJ, $H29)</f>
        <v>0</v>
      </c>
      <c r="EE29" s="134">
        <f>SUMIFS('WBS Summary'!GP:GP,'WBS Summary'!$B:$B, $B29, 'WBS Summary'!$AH:$AH, $C29,'WBS Summary'!$AJ:$AJ, $H29)</f>
        <v>0</v>
      </c>
      <c r="EF29" s="134">
        <f>SUMIFS('WBS Summary'!GQ:GQ,'WBS Summary'!$B:$B, $B29, 'WBS Summary'!$AH:$AH, $C29,'WBS Summary'!$AJ:$AJ, $H29)</f>
        <v>0</v>
      </c>
      <c r="EG29" s="134">
        <f>SUMIFS('WBS Summary'!GR:GR,'WBS Summary'!$B:$B, $B29, 'WBS Summary'!$AH:$AH, $C29,'WBS Summary'!$AJ:$AJ, $H29)</f>
        <v>0</v>
      </c>
      <c r="EH29" s="134">
        <f>SUMIFS('WBS Summary'!GS:GS,'WBS Summary'!$B:$B, $B29, 'WBS Summary'!$AH:$AH, $C29,'WBS Summary'!$AJ:$AJ, $H29)</f>
        <v>0</v>
      </c>
      <c r="EI29" s="134">
        <f>SUMIFS('WBS Summary'!GT:GT,'WBS Summary'!$B:$B, $B29, 'WBS Summary'!$AH:$AH, $C29,'WBS Summary'!$AJ:$AJ, $H29)</f>
        <v>0</v>
      </c>
      <c r="EJ29" s="134">
        <f>SUMIFS('WBS Summary'!GU:GU,'WBS Summary'!$B:$B, $B29, 'WBS Summary'!$AH:$AH, $C29,'WBS Summary'!$AJ:$AJ, $H29)</f>
        <v>0</v>
      </c>
      <c r="EK29" s="134">
        <f>SUMIFS('WBS Summary'!GV:GV,'WBS Summary'!$B:$B, $B29, 'WBS Summary'!$AH:$AH, $C29,'WBS Summary'!$AJ:$AJ, $H29)</f>
        <v>0</v>
      </c>
      <c r="EL29" s="134">
        <f>SUMIFS('WBS Summary'!GW:GW,'WBS Summary'!$B:$B, $B29, 'WBS Summary'!$AH:$AH, $C29,'WBS Summary'!$AJ:$AJ, $H29)</f>
        <v>0</v>
      </c>
      <c r="EM29" s="134">
        <f>SUMIFS('WBS Summary'!GX:GX,'WBS Summary'!$B:$B, $B29, 'WBS Summary'!$AH:$AH, $C29,'WBS Summary'!$AJ:$AJ, $H29)</f>
        <v>0</v>
      </c>
      <c r="EN29" s="134">
        <f>SUMIFS('WBS Summary'!GY:GY,'WBS Summary'!$B:$B, $B29, 'WBS Summary'!$AH:$AH, $C29,'WBS Summary'!$AJ:$AJ, $H29)</f>
        <v>0</v>
      </c>
      <c r="EO29" s="134">
        <f>SUMIFS('WBS Summary'!GZ:GZ,'WBS Summary'!$B:$B, $B29, 'WBS Summary'!$AH:$AH, $C29,'WBS Summary'!$AJ:$AJ, $H29)</f>
        <v>0</v>
      </c>
      <c r="EP29" s="134">
        <f>SUMIFS('WBS Summary'!HA:HA,'WBS Summary'!$B:$B, $B29, 'WBS Summary'!$AH:$AH, $C29,'WBS Summary'!$AJ:$AJ, $H29)</f>
        <v>0</v>
      </c>
      <c r="EQ29" s="134">
        <f>SUMIFS('WBS Summary'!HB:HB,'WBS Summary'!$B:$B, $B29, 'WBS Summary'!$AH:$AH, $C29,'WBS Summary'!$AJ:$AJ, $H29)</f>
        <v>0</v>
      </c>
      <c r="ER29" s="134">
        <f>SUMIFS('WBS Summary'!HC:HC,'WBS Summary'!$B:$B, $B29, 'WBS Summary'!$AH:$AH, $C29,'WBS Summary'!$AJ:$AJ, $H29)</f>
        <v>0</v>
      </c>
      <c r="ES29" s="134">
        <f>SUMIFS('WBS Summary'!HD:HD,'WBS Summary'!$B:$B, $B29, 'WBS Summary'!$AH:$AH, $C29,'WBS Summary'!$AJ:$AJ, $H29)</f>
        <v>0</v>
      </c>
      <c r="ET29" s="134">
        <f>SUMIFS('WBS Summary'!HE:HE,'WBS Summary'!$B:$B, $B29, 'WBS Summary'!$AH:$AH, $C29,'WBS Summary'!$AJ:$AJ, $H29)</f>
        <v>0</v>
      </c>
      <c r="EU29" s="134">
        <f>SUMIFS('WBS Summary'!HF:HF,'WBS Summary'!$B:$B, $B29, 'WBS Summary'!$AH:$AH, $C29,'WBS Summary'!$AJ:$AJ, $H29)</f>
        <v>0</v>
      </c>
      <c r="EV29" s="134">
        <f>SUMIFS('WBS Summary'!HG:HG,'WBS Summary'!$B:$B, $B29, 'WBS Summary'!$AH:$AH, $C29,'WBS Summary'!$AJ:$AJ, $H29)</f>
        <v>0</v>
      </c>
      <c r="EW29" s="134">
        <f>SUMIFS('WBS Summary'!HH:HH,'WBS Summary'!$B:$B, $B29, 'WBS Summary'!$AH:$AH, $C29,'WBS Summary'!$AJ:$AJ, $H29)</f>
        <v>0</v>
      </c>
      <c r="EX29" s="134">
        <f>SUMIFS('WBS Summary'!HI:HI,'WBS Summary'!$B:$B, $B29, 'WBS Summary'!$AH:$AH, $C29,'WBS Summary'!$AJ:$AJ, $H29)</f>
        <v>0</v>
      </c>
      <c r="EY29" s="134">
        <f>SUMIFS('WBS Summary'!HJ:HJ,'WBS Summary'!$B:$B, $B29, 'WBS Summary'!$AH:$AH, $C29,'WBS Summary'!$AJ:$AJ, $H29)</f>
        <v>0</v>
      </c>
      <c r="EZ29" s="134">
        <f>SUMIFS('WBS Summary'!HK:HK,'WBS Summary'!$B:$B, $B29, 'WBS Summary'!$AH:$AH, $C29,'WBS Summary'!$AJ:$AJ, $H29)</f>
        <v>0</v>
      </c>
      <c r="FA29" s="134">
        <f>SUMIFS('WBS Summary'!HL:HL,'WBS Summary'!$B:$B, $B29, 'WBS Summary'!$AH:$AH, $C29,'WBS Summary'!$AJ:$AJ, $H29)</f>
        <v>0</v>
      </c>
      <c r="FB29" s="134">
        <f>SUMIFS('WBS Summary'!HM:HM,'WBS Summary'!$B:$B, $B29, 'WBS Summary'!$AH:$AH, $C29,'WBS Summary'!$AJ:$AJ, $H29)</f>
        <v>0</v>
      </c>
      <c r="FC29" s="134">
        <f>SUMIFS('WBS Summary'!HN:HN,'WBS Summary'!$B:$B, $B29, 'WBS Summary'!$AH:$AH, $C29,'WBS Summary'!$AJ:$AJ, $H29)</f>
        <v>0</v>
      </c>
      <c r="FD29" s="134">
        <f>SUMIFS('WBS Summary'!HO:HO,'WBS Summary'!$B:$B, $B29, 'WBS Summary'!$AH:$AH, $C29,'WBS Summary'!$AJ:$AJ, $H29)</f>
        <v>0</v>
      </c>
      <c r="FE29" s="134">
        <f>SUMIFS('WBS Summary'!HP:HP,'WBS Summary'!$B:$B, $B29, 'WBS Summary'!$AH:$AH, $C29,'WBS Summary'!$AJ:$AJ, $H29)</f>
        <v>0</v>
      </c>
      <c r="FF29" s="134">
        <f>SUMIFS('WBS Summary'!HQ:HQ,'WBS Summary'!$B:$B, $B29, 'WBS Summary'!$AH:$AH, $C29,'WBS Summary'!$AJ:$AJ, $H29)</f>
        <v>0</v>
      </c>
      <c r="FG29" s="134">
        <f>SUMIFS('WBS Summary'!HR:HR,'WBS Summary'!$B:$B, $B29, 'WBS Summary'!$AH:$AH, $C29,'WBS Summary'!$AJ:$AJ, $H29)</f>
        <v>0</v>
      </c>
      <c r="FH29" s="134">
        <f>SUMIFS('WBS Summary'!HS:HS,'WBS Summary'!$B:$B, $B29, 'WBS Summary'!$AH:$AH, $C29,'WBS Summary'!$AJ:$AJ, $H29)</f>
        <v>0</v>
      </c>
      <c r="FI29" s="134">
        <f>SUMIFS('WBS Summary'!HT:HT,'WBS Summary'!$B:$B, $B29, 'WBS Summary'!$AH:$AH, $C29,'WBS Summary'!$AJ:$AJ, $H29)</f>
        <v>0</v>
      </c>
      <c r="FJ29" s="134">
        <f>SUMIFS('WBS Summary'!HU:HU,'WBS Summary'!$B:$B, $B29, 'WBS Summary'!$AH:$AH, $C29,'WBS Summary'!$AJ:$AJ, $H29)</f>
        <v>0</v>
      </c>
      <c r="FK29" s="134">
        <f>SUMIFS('WBS Summary'!HV:HV,'WBS Summary'!$B:$B, $B29, 'WBS Summary'!$AH:$AH, $C29,'WBS Summary'!$AJ:$AJ, $H29)</f>
        <v>0</v>
      </c>
      <c r="FL29" s="134">
        <f>SUMIFS('WBS Summary'!HW:HW,'WBS Summary'!$B:$B, $B29, 'WBS Summary'!$AH:$AH, $C29,'WBS Summary'!$AJ:$AJ, $H29)</f>
        <v>0</v>
      </c>
      <c r="FM29" s="134">
        <f>SUMIFS('WBS Summary'!HX:HX,'WBS Summary'!$B:$B, $B29, 'WBS Summary'!$AH:$AH, $C29,'WBS Summary'!$AJ:$AJ, $H29)</f>
        <v>0</v>
      </c>
      <c r="FN29" s="134">
        <f>SUMIFS('WBS Summary'!HY:HY,'WBS Summary'!$B:$B, $B29, 'WBS Summary'!$AH:$AH, $C29,'WBS Summary'!$AJ:$AJ, $H29)</f>
        <v>0</v>
      </c>
      <c r="FO29" s="134">
        <f>SUMIFS('WBS Summary'!HZ:HZ,'WBS Summary'!$B:$B, $B29, 'WBS Summary'!$AH:$AH, $C29,'WBS Summary'!$AJ:$AJ, $H29)</f>
        <v>0</v>
      </c>
      <c r="FP29" s="134">
        <f>SUMIFS('WBS Summary'!IA:IA,'WBS Summary'!$B:$B, $B29, 'WBS Summary'!$AH:$AH, $C29,'WBS Summary'!$AJ:$AJ, $H29)</f>
        <v>0</v>
      </c>
      <c r="FQ29" s="134">
        <f>SUMIFS('WBS Summary'!IB:IB,'WBS Summary'!$B:$B, $B29, 'WBS Summary'!$AH:$AH, $C29,'WBS Summary'!$AJ:$AJ, $H29)</f>
        <v>0</v>
      </c>
      <c r="FR29" s="134">
        <f>SUMIFS('WBS Summary'!IC:IC,'WBS Summary'!$B:$B, $B29, 'WBS Summary'!$AH:$AH, $C29,'WBS Summary'!$AJ:$AJ, $H29)</f>
        <v>0</v>
      </c>
      <c r="FS29" s="134">
        <f>SUMIFS('WBS Summary'!ID:ID,'WBS Summary'!$B:$B, $B29, 'WBS Summary'!$AH:$AH, $C29,'WBS Summary'!$AJ:$AJ, $H29)</f>
        <v>0</v>
      </c>
      <c r="FT29" s="134">
        <f>SUMIFS('WBS Summary'!IE:IE,'WBS Summary'!$B:$B, $B29, 'WBS Summary'!$AH:$AH, $C29,'WBS Summary'!$AJ:$AJ, $H29)</f>
        <v>0</v>
      </c>
      <c r="FU29" s="134">
        <f>SUMIFS('WBS Summary'!IF:IF,'WBS Summary'!$B:$B, $B29, 'WBS Summary'!$AH:$AH, $C29,'WBS Summary'!$AJ:$AJ, $H29)</f>
        <v>0</v>
      </c>
      <c r="FV29" s="134">
        <f>SUMIFS('WBS Summary'!IG:IG,'WBS Summary'!$B:$B, $B29, 'WBS Summary'!$AH:$AH, $C29,'WBS Summary'!$AJ:$AJ, $H29)</f>
        <v>0</v>
      </c>
      <c r="FW29" s="134">
        <f>SUMIFS('WBS Summary'!IH:IH,'WBS Summary'!$B:$B, $B29, 'WBS Summary'!$AH:$AH, $C29,'WBS Summary'!$AJ:$AJ, $H29)</f>
        <v>0</v>
      </c>
      <c r="FX29" s="134">
        <f>SUMIFS('WBS Summary'!II:II,'WBS Summary'!$B:$B, $B29, 'WBS Summary'!$AH:$AH, $C29,'WBS Summary'!$AJ:$AJ, $H29)</f>
        <v>0</v>
      </c>
      <c r="FY29" s="134">
        <f>SUMIFS('WBS Summary'!IJ:IJ,'WBS Summary'!$B:$B, $B29, 'WBS Summary'!$AH:$AH, $C29,'WBS Summary'!$AJ:$AJ, $H29)</f>
        <v>0</v>
      </c>
      <c r="FZ29" s="134">
        <f>SUMIFS('WBS Summary'!IK:IK,'WBS Summary'!$B:$B, $B29, 'WBS Summary'!$AH:$AH, $C29,'WBS Summary'!$AJ:$AJ, $H29)</f>
        <v>0</v>
      </c>
      <c r="GA29" s="134">
        <f>SUMIFS('WBS Summary'!IL:IL,'WBS Summary'!$B:$B, $B29, 'WBS Summary'!$AH:$AH, $C29,'WBS Summary'!$AJ:$AJ, $H29)</f>
        <v>0</v>
      </c>
      <c r="GB29" s="134">
        <f>SUMIFS('WBS Summary'!IM:IM,'WBS Summary'!$B:$B, $B29, 'WBS Summary'!$AH:$AH, $C29,'WBS Summary'!$AJ:$AJ, $H29)</f>
        <v>0</v>
      </c>
      <c r="GC29" s="134">
        <f>SUMIFS('WBS Summary'!IN:IN,'WBS Summary'!$B:$B, $B29, 'WBS Summary'!$AH:$AH, $C29,'WBS Summary'!$AJ:$AJ, $H29)</f>
        <v>0</v>
      </c>
      <c r="GD29" s="134">
        <f>SUMIFS('WBS Summary'!IO:IO,'WBS Summary'!$B:$B, $B29, 'WBS Summary'!$AH:$AH, $C29,'WBS Summary'!$AJ:$AJ, $H29)</f>
        <v>0</v>
      </c>
      <c r="GE29" s="134">
        <f>SUMIFS('WBS Summary'!IP:IP,'WBS Summary'!$B:$B, $B29, 'WBS Summary'!$AH:$AH, $C29,'WBS Summary'!$AJ:$AJ, $H29)</f>
        <v>0</v>
      </c>
      <c r="GF29" s="134">
        <f>SUMIFS('WBS Summary'!IQ:IQ,'WBS Summary'!$B:$B, $B29, 'WBS Summary'!$AH:$AH, $C29,'WBS Summary'!$AJ:$AJ, $H29)</f>
        <v>0</v>
      </c>
      <c r="GG29" s="134">
        <f>SUMIFS('WBS Summary'!IR:IR,'WBS Summary'!$B:$B, $B29, 'WBS Summary'!$AH:$AH, $C29,'WBS Summary'!$AJ:$AJ, $H29)</f>
        <v>0</v>
      </c>
      <c r="GH29" s="134">
        <f>SUMIFS('WBS Summary'!IS:IS,'WBS Summary'!$B:$B, $B29, 'WBS Summary'!$AH:$AH, $C29,'WBS Summary'!$AJ:$AJ, $H29)</f>
        <v>0</v>
      </c>
      <c r="GI29" s="134">
        <f>SUMIFS('WBS Summary'!IT:IT,'WBS Summary'!$B:$B, $B29, 'WBS Summary'!$AH:$AH, $C29,'WBS Summary'!$AJ:$AJ, $H29)</f>
        <v>0</v>
      </c>
      <c r="GJ29" s="134">
        <f>SUMIFS('WBS Summary'!IU:IU,'WBS Summary'!$B:$B, $B29, 'WBS Summary'!$AH:$AH, $C29,'WBS Summary'!$AJ:$AJ, $H29)</f>
        <v>0</v>
      </c>
      <c r="GK29" s="134">
        <f>SUMIFS('WBS Summary'!IV:IV,'WBS Summary'!$B:$B, $B29, 'WBS Summary'!$AH:$AH, $C29,'WBS Summary'!$AJ:$AJ, $H29)</f>
        <v>0</v>
      </c>
      <c r="GL29" s="134">
        <f>SUMIFS('WBS Summary'!IW:IW,'WBS Summary'!$B:$B, $B29, 'WBS Summary'!$AH:$AH, $C29,'WBS Summary'!$AJ:$AJ, $H29)</f>
        <v>0</v>
      </c>
      <c r="GM29" s="134">
        <f>SUMIFS('WBS Summary'!IX:IX,'WBS Summary'!$B:$B, $B29, 'WBS Summary'!$AH:$AH, $C29,'WBS Summary'!$AJ:$AJ, $H29)</f>
        <v>0</v>
      </c>
      <c r="GN29" s="134">
        <f>SUMIFS('WBS Summary'!IY:IY,'WBS Summary'!$B:$B, $B29, 'WBS Summary'!$AH:$AH, $C29,'WBS Summary'!$AJ:$AJ, $H29)</f>
        <v>0</v>
      </c>
      <c r="GO29" s="134">
        <f>SUMIFS('WBS Summary'!IZ:IZ,'WBS Summary'!$B:$B, $B29, 'WBS Summary'!$AH:$AH, $C29,'WBS Summary'!$AJ:$AJ, $H29)</f>
        <v>0</v>
      </c>
      <c r="GP29" s="134">
        <f>SUMIFS('WBS Summary'!JA:JA,'WBS Summary'!$B:$B, $B29, 'WBS Summary'!$AH:$AH, $C29,'WBS Summary'!$AJ:$AJ, $H29)</f>
        <v>0</v>
      </c>
      <c r="GQ29" s="134">
        <f>SUMIFS('WBS Summary'!JB:JB,'WBS Summary'!$B:$B, $B29, 'WBS Summary'!$AH:$AH, $C29,'WBS Summary'!$AJ:$AJ, $H29)</f>
        <v>0</v>
      </c>
      <c r="GR29" s="134">
        <f>SUMIFS('WBS Summary'!JC:JC,'WBS Summary'!$B:$B, $B29, 'WBS Summary'!$AH:$AH, $C29,'WBS Summary'!$AJ:$AJ, $H29)</f>
        <v>0</v>
      </c>
      <c r="GS29" s="134">
        <f>SUMIFS('WBS Summary'!JD:JD,'WBS Summary'!$B:$B, $B29, 'WBS Summary'!$AH:$AH, $C29,'WBS Summary'!$AJ:$AJ, $H29)</f>
        <v>0</v>
      </c>
      <c r="GT29" s="134">
        <f>SUMIFS('WBS Summary'!JE:JE,'WBS Summary'!$B:$B, $B29, 'WBS Summary'!$AH:$AH, $C29,'WBS Summary'!$AJ:$AJ, $H29)</f>
        <v>0</v>
      </c>
      <c r="GU29" s="134">
        <f>SUMIFS('WBS Summary'!JF:JF,'WBS Summary'!$B:$B, $B29, 'WBS Summary'!$AH:$AH, $C29,'WBS Summary'!$AJ:$AJ, $H29)</f>
        <v>0</v>
      </c>
      <c r="GV29" s="134">
        <f>SUMIFS('WBS Summary'!JG:JG,'WBS Summary'!$B:$B, $B29, 'WBS Summary'!$AH:$AH, $C29,'WBS Summary'!$AJ:$AJ, $H29)</f>
        <v>0</v>
      </c>
      <c r="GW29" s="134">
        <f>SUMIFS('WBS Summary'!JH:JH,'WBS Summary'!$B:$B, $B29, 'WBS Summary'!$AH:$AH, $C29,'WBS Summary'!$AJ:$AJ, $H29)</f>
        <v>0</v>
      </c>
      <c r="GX29" s="134">
        <f>SUMIFS('WBS Summary'!JI:JI,'WBS Summary'!$B:$B, $B29, 'WBS Summary'!$AH:$AH, $C29,'WBS Summary'!$AJ:$AJ, $H29)</f>
        <v>0</v>
      </c>
      <c r="GY29" s="134">
        <f>SUMIFS('WBS Summary'!JJ:JJ,'WBS Summary'!$B:$B, $B29, 'WBS Summary'!$AH:$AH, $C29,'WBS Summary'!$AJ:$AJ, $H29)</f>
        <v>0</v>
      </c>
      <c r="GZ29" s="134">
        <f>SUMIFS('WBS Summary'!JK:JK,'WBS Summary'!$B:$B, $B29, 'WBS Summary'!$AH:$AH, $C29,'WBS Summary'!$AJ:$AJ, $H29)</f>
        <v>0</v>
      </c>
      <c r="HA29" s="134">
        <f>SUMIFS('WBS Summary'!JL:JL,'WBS Summary'!$B:$B, $B29, 'WBS Summary'!$AH:$AH, $C29,'WBS Summary'!$AJ:$AJ, $H29)</f>
        <v>0</v>
      </c>
      <c r="HB29" s="134">
        <f>SUMIFS('WBS Summary'!JM:JM,'WBS Summary'!$B:$B, $B29, 'WBS Summary'!$AH:$AH, $C29,'WBS Summary'!$AJ:$AJ, $H29)</f>
        <v>0</v>
      </c>
      <c r="HC29"/>
    </row>
    <row r="30" spans="1:211" s="194" customFormat="1" outlineLevel="2">
      <c r="A30" s="220"/>
      <c r="B30" s="284" t="s">
        <v>189</v>
      </c>
      <c r="C30" s="227" t="s">
        <v>71</v>
      </c>
      <c r="D30" s="352"/>
      <c r="E30" s="352"/>
      <c r="F30" s="224">
        <f t="shared" si="29"/>
        <v>0</v>
      </c>
      <c r="G30" s="224">
        <f t="shared" si="30"/>
        <v>0</v>
      </c>
      <c r="H30" s="233" t="s">
        <v>344</v>
      </c>
      <c r="I30"/>
      <c r="J30" s="134">
        <f>SUMIFS('WBS Summary'!BD:BD,'WBS Summary'!$B:$B, $B30, 'WBS Summary'!$AH:$AH, $C30,'WBS Summary'!$AJ:$AJ, $H30)</f>
        <v>0</v>
      </c>
      <c r="K30" s="134">
        <f>SUMIFS('WBS Summary'!BE:BE,'WBS Summary'!$B:$B, $B30, 'WBS Summary'!$AH:$AH, $C30,'WBS Summary'!$AJ:$AJ, $H30)</f>
        <v>0</v>
      </c>
      <c r="L30" s="134">
        <f>SUMIFS('WBS Summary'!BF:BF,'WBS Summary'!$B:$B, $B30, 'WBS Summary'!$AH:$AH, $C30,'WBS Summary'!$AJ:$AJ, $H30)</f>
        <v>0</v>
      </c>
      <c r="M30" s="134">
        <f>SUMIFS('WBS Summary'!BG:BG,'WBS Summary'!$B:$B, $B30, 'WBS Summary'!$AH:$AH, $C30,'WBS Summary'!$AJ:$AJ, $H30)</f>
        <v>0</v>
      </c>
      <c r="N30" s="134">
        <f>SUMIFS('WBS Summary'!BH:BH,'WBS Summary'!$B:$B, $B30, 'WBS Summary'!$AH:$AH, $C30,'WBS Summary'!$AJ:$AJ, $H30)</f>
        <v>0</v>
      </c>
      <c r="O30" s="134">
        <f>SUMIFS('WBS Summary'!BI:BI,'WBS Summary'!$B:$B, $B30, 'WBS Summary'!$AH:$AH, $C30,'WBS Summary'!$AJ:$AJ, $H30)</f>
        <v>0</v>
      </c>
      <c r="P30" s="134">
        <f>SUMIFS('WBS Summary'!BJ:BJ,'WBS Summary'!$B:$B, $B30, 'WBS Summary'!$AH:$AH, $C30,'WBS Summary'!$AJ:$AJ, $H30)</f>
        <v>0</v>
      </c>
      <c r="Q30" s="134">
        <f>SUMIFS('WBS Summary'!BK:BK,'WBS Summary'!$B:$B, $B30, 'WBS Summary'!$AH:$AH, $C30,'WBS Summary'!$AJ:$AJ, $H30)</f>
        <v>0</v>
      </c>
      <c r="R30" s="134">
        <f>SUMIFS('WBS Summary'!BL:BL,'WBS Summary'!$B:$B, $B30, 'WBS Summary'!$AH:$AH, $C30,'WBS Summary'!$AJ:$AJ, $H30)</f>
        <v>0</v>
      </c>
      <c r="S30" s="134">
        <f>SUMIFS('WBS Summary'!BM:BM,'WBS Summary'!$B:$B, $B30, 'WBS Summary'!$AH:$AH, $C30,'WBS Summary'!$AJ:$AJ, $H30)</f>
        <v>0</v>
      </c>
      <c r="T30" s="134">
        <f>SUMIFS('WBS Summary'!BN:BN,'WBS Summary'!$B:$B, $B30, 'WBS Summary'!$AH:$AH, $C30,'WBS Summary'!$AJ:$AJ, $H30)</f>
        <v>0</v>
      </c>
      <c r="U30" s="134">
        <f>SUMIFS('WBS Summary'!BO:BO,'WBS Summary'!$B:$B, $B30, 'WBS Summary'!$AH:$AH, $C30,'WBS Summary'!$AJ:$AJ, $H30)</f>
        <v>0</v>
      </c>
      <c r="V30" s="134">
        <f>SUMIFS('WBS Summary'!BP:BP,'WBS Summary'!$B:$B, $B30, 'WBS Summary'!$AH:$AH, $C30,'WBS Summary'!$AJ:$AJ, $H30)</f>
        <v>0</v>
      </c>
      <c r="W30" s="134">
        <f>SUMIFS('WBS Summary'!BQ:BQ,'WBS Summary'!$B:$B, $B30, 'WBS Summary'!$AH:$AH, $C30,'WBS Summary'!$AJ:$AJ, $H30)</f>
        <v>0</v>
      </c>
      <c r="X30" s="134">
        <f>SUMIFS('WBS Summary'!BR:BR,'WBS Summary'!$B:$B, $B30, 'WBS Summary'!$AH:$AH, $C30,'WBS Summary'!$AJ:$AJ, $H30)</f>
        <v>0</v>
      </c>
      <c r="Y30" s="134">
        <f>SUMIFS('WBS Summary'!BS:BS,'WBS Summary'!$B:$B, $B30, 'WBS Summary'!$AH:$AH, $C30,'WBS Summary'!$AJ:$AJ, $H30)</f>
        <v>0</v>
      </c>
      <c r="Z30" s="134">
        <f>SUMIFS('WBS Summary'!BT:BT,'WBS Summary'!$B:$B, $B30, 'WBS Summary'!$AH:$AH, $C30,'WBS Summary'!$AJ:$AJ, $H30)</f>
        <v>0</v>
      </c>
      <c r="AA30" s="134">
        <f>SUMIFS('WBS Summary'!BU:BU,'WBS Summary'!$B:$B, $B30, 'WBS Summary'!$AH:$AH, $C30,'WBS Summary'!$AJ:$AJ, $H30)</f>
        <v>0</v>
      </c>
      <c r="AB30" s="134">
        <f>SUMIFS('WBS Summary'!BV:BV,'WBS Summary'!$B:$B, $B30, 'WBS Summary'!$AH:$AH, $C30,'WBS Summary'!$AJ:$AJ, $H30)</f>
        <v>0</v>
      </c>
      <c r="AC30" s="134">
        <f>SUMIFS('WBS Summary'!BW:BW,'WBS Summary'!$B:$B, $B30, 'WBS Summary'!$AH:$AH, $C30,'WBS Summary'!$AJ:$AJ, $H30)</f>
        <v>0</v>
      </c>
      <c r="AD30" s="134">
        <f>SUMIFS('WBS Summary'!BX:BX,'WBS Summary'!$B:$B, $B30, 'WBS Summary'!$AH:$AH, $C30,'WBS Summary'!$AJ:$AJ, $H30)</f>
        <v>0</v>
      </c>
      <c r="AE30" s="134">
        <f>SUMIFS('WBS Summary'!BY:BY,'WBS Summary'!$B:$B, $B30, 'WBS Summary'!$AH:$AH, $C30,'WBS Summary'!$AJ:$AJ, $H30)</f>
        <v>0</v>
      </c>
      <c r="AF30" s="134">
        <f>SUMIFS('WBS Summary'!BZ:BZ,'WBS Summary'!$B:$B, $B30, 'WBS Summary'!$AH:$AH, $C30,'WBS Summary'!$AJ:$AJ, $H30)</f>
        <v>0</v>
      </c>
      <c r="AG30" s="134">
        <f>SUMIFS('WBS Summary'!CA:CA,'WBS Summary'!$B:$B, $B30, 'WBS Summary'!$AH:$AH, $C30,'WBS Summary'!$AJ:$AJ, $H30)</f>
        <v>0</v>
      </c>
      <c r="AH30" s="134">
        <f>SUMIFS('WBS Summary'!CB:CB,'WBS Summary'!$B:$B, $B30, 'WBS Summary'!$AH:$AH, $C30,'WBS Summary'!$AJ:$AJ, $H30)</f>
        <v>0</v>
      </c>
      <c r="AI30" s="134">
        <f>SUMIFS('WBS Summary'!CC:CC,'WBS Summary'!$B:$B, $B30, 'WBS Summary'!$AH:$AH, $C30,'WBS Summary'!$AJ:$AJ, $H30)</f>
        <v>0</v>
      </c>
      <c r="AJ30" s="134">
        <f>SUMIFS('WBS Summary'!CD:CD,'WBS Summary'!$B:$B, $B30, 'WBS Summary'!$AH:$AH, $C30,'WBS Summary'!$AJ:$AJ, $H30)</f>
        <v>0</v>
      </c>
      <c r="AK30" s="134">
        <f>SUMIFS('WBS Summary'!CE:CE,'WBS Summary'!$B:$B, $B30, 'WBS Summary'!$AH:$AH, $C30,'WBS Summary'!$AJ:$AJ, $H30)</f>
        <v>0</v>
      </c>
      <c r="AL30" s="134">
        <f>SUMIFS('WBS Summary'!CF:CF,'WBS Summary'!$B:$B, $B30, 'WBS Summary'!$AH:$AH, $C30,'WBS Summary'!$AJ:$AJ, $H30)</f>
        <v>0</v>
      </c>
      <c r="AM30" s="134">
        <f>SUMIFS('WBS Summary'!CG:CG,'WBS Summary'!$B:$B, $B30, 'WBS Summary'!$AH:$AH, $C30,'WBS Summary'!$AJ:$AJ, $H30)</f>
        <v>0</v>
      </c>
      <c r="AN30" s="134">
        <f>SUMIFS('WBS Summary'!CH:CH,'WBS Summary'!$B:$B, $B30, 'WBS Summary'!$AH:$AH, $C30,'WBS Summary'!$AJ:$AJ, $H30)</f>
        <v>0</v>
      </c>
      <c r="AO30" s="134">
        <f>SUMIFS('WBS Summary'!CI:CI,'WBS Summary'!$B:$B, $B30, 'WBS Summary'!$AH:$AH, $C30,'WBS Summary'!$AJ:$AJ, $H30)</f>
        <v>0</v>
      </c>
      <c r="AP30" s="134">
        <f>SUMIFS('WBS Summary'!CJ:CJ,'WBS Summary'!$B:$B, $B30, 'WBS Summary'!$AH:$AH, $C30,'WBS Summary'!$AJ:$AJ, $H30)</f>
        <v>0</v>
      </c>
      <c r="AQ30" s="134">
        <f>SUMIFS('WBS Summary'!CK:CK,'WBS Summary'!$B:$B, $B30, 'WBS Summary'!$AH:$AH, $C30,'WBS Summary'!$AJ:$AJ, $H30)</f>
        <v>0</v>
      </c>
      <c r="AR30" s="134">
        <f>SUMIFS('WBS Summary'!CL:CL,'WBS Summary'!$B:$B, $B30, 'WBS Summary'!$AH:$AH, $C30,'WBS Summary'!$AJ:$AJ, $H30)</f>
        <v>0</v>
      </c>
      <c r="AS30" s="134">
        <f>SUMIFS('WBS Summary'!CM:CM,'WBS Summary'!$B:$B, $B30, 'WBS Summary'!$AH:$AH, $C30,'WBS Summary'!$AJ:$AJ, $H30)</f>
        <v>0</v>
      </c>
      <c r="AT30" s="134">
        <f>SUMIFS('WBS Summary'!CN:CN,'WBS Summary'!$B:$B, $B30, 'WBS Summary'!$AH:$AH, $C30,'WBS Summary'!$AJ:$AJ, $H30)</f>
        <v>0</v>
      </c>
      <c r="AU30" s="134">
        <f>SUMIFS('WBS Summary'!CO:CO,'WBS Summary'!$B:$B, $B30, 'WBS Summary'!$AH:$AH, $C30,'WBS Summary'!$AJ:$AJ, $H30)</f>
        <v>0</v>
      </c>
      <c r="AV30" s="134">
        <f>SUMIFS('WBS Summary'!CP:CP,'WBS Summary'!$B:$B, $B30, 'WBS Summary'!$AH:$AH, $C30,'WBS Summary'!$AJ:$AJ, $H30)</f>
        <v>0</v>
      </c>
      <c r="AW30" s="134">
        <f>SUMIFS('WBS Summary'!CQ:CQ,'WBS Summary'!$B:$B, $B30, 'WBS Summary'!$AH:$AH, $C30,'WBS Summary'!$AJ:$AJ, $H30)</f>
        <v>0</v>
      </c>
      <c r="AX30" s="134">
        <f>SUMIFS('WBS Summary'!CR:CR,'WBS Summary'!$B:$B, $B30, 'WBS Summary'!$AH:$AH, $C30,'WBS Summary'!$AJ:$AJ, $H30)</f>
        <v>0</v>
      </c>
      <c r="AY30" s="134">
        <f>SUMIFS('WBS Summary'!CS:CS,'WBS Summary'!$B:$B, $B30, 'WBS Summary'!$AH:$AH, $C30,'WBS Summary'!$AJ:$AJ, $H30)</f>
        <v>0</v>
      </c>
      <c r="AZ30" s="134">
        <f>SUMIFS('WBS Summary'!CT:CT,'WBS Summary'!$B:$B, $B30, 'WBS Summary'!$AH:$AH, $C30,'WBS Summary'!$AJ:$AJ, $H30)</f>
        <v>0</v>
      </c>
      <c r="BA30" s="134">
        <f>SUMIFS('WBS Summary'!CU:CU,'WBS Summary'!$B:$B, $B30, 'WBS Summary'!$AH:$AH, $C30,'WBS Summary'!$AJ:$AJ, $H30)</f>
        <v>0</v>
      </c>
      <c r="BB30" s="134">
        <f>SUMIFS('WBS Summary'!CV:CV,'WBS Summary'!$B:$B, $B30, 'WBS Summary'!$AH:$AH, $C30,'WBS Summary'!$AJ:$AJ, $H30)</f>
        <v>0</v>
      </c>
      <c r="BC30" s="134">
        <f>SUMIFS('WBS Summary'!CW:CW,'WBS Summary'!$B:$B, $B30, 'WBS Summary'!$AH:$AH, $C30,'WBS Summary'!$AJ:$AJ, $H30)</f>
        <v>0</v>
      </c>
      <c r="BD30" s="134">
        <f>SUMIFS('WBS Summary'!CX:CX,'WBS Summary'!$B:$B, $B30, 'WBS Summary'!$AH:$AH, $C30,'WBS Summary'!$AJ:$AJ, $H30)</f>
        <v>0</v>
      </c>
      <c r="BE30" s="134">
        <f>SUMIFS('WBS Summary'!CY:CY,'WBS Summary'!$B:$B, $B30, 'WBS Summary'!$AH:$AH, $C30,'WBS Summary'!$AJ:$AJ, $H30)</f>
        <v>0</v>
      </c>
      <c r="BF30" s="134">
        <f>SUMIFS('WBS Summary'!CZ:CZ,'WBS Summary'!$B:$B, $B30, 'WBS Summary'!$AH:$AH, $C30,'WBS Summary'!$AJ:$AJ, $H30)</f>
        <v>0</v>
      </c>
      <c r="BG30" s="134">
        <f>SUMIFS('WBS Summary'!DA:DA,'WBS Summary'!$B:$B, $B30, 'WBS Summary'!$AH:$AH, $C30,'WBS Summary'!$AJ:$AJ, $H30)</f>
        <v>0</v>
      </c>
      <c r="BH30" s="134">
        <f>SUMIFS('WBS Summary'!DB:DB,'WBS Summary'!$B:$B, $B30, 'WBS Summary'!$AH:$AH, $C30,'WBS Summary'!$AJ:$AJ, $H30)</f>
        <v>0</v>
      </c>
      <c r="BI30" s="134">
        <f>SUMIFS('WBS Summary'!DC:DC,'WBS Summary'!$B:$B, $B30, 'WBS Summary'!$AH:$AH, $C30,'WBS Summary'!$AJ:$AJ, $H30)</f>
        <v>0</v>
      </c>
      <c r="BJ30" s="134">
        <f>SUMIFS('WBS Summary'!DD:DD,'WBS Summary'!$B:$B, $B30, 'WBS Summary'!$AH:$AH, $C30,'WBS Summary'!$AJ:$AJ, $H30)</f>
        <v>0</v>
      </c>
      <c r="BK30" s="134">
        <f>SUMIFS('WBS Summary'!DE:DE,'WBS Summary'!$B:$B, $B30, 'WBS Summary'!$AH:$AH, $C30,'WBS Summary'!$AJ:$AJ, $H30)</f>
        <v>0</v>
      </c>
      <c r="BL30" s="134">
        <f>SUMIFS('WBS Summary'!DF:DF,'WBS Summary'!$B:$B, $B30, 'WBS Summary'!$AH:$AH, $C30,'WBS Summary'!$AJ:$AJ, $H30)</f>
        <v>0</v>
      </c>
      <c r="BM30" s="134">
        <f>SUMIFS('WBS Summary'!DG:DG,'WBS Summary'!$B:$B, $B30, 'WBS Summary'!$AH:$AH, $C30,'WBS Summary'!$AJ:$AJ, $H30)</f>
        <v>0</v>
      </c>
      <c r="BN30" s="134">
        <f>SUMIFS('WBS Summary'!DH:DH,'WBS Summary'!$B:$B, $B30, 'WBS Summary'!$AH:$AH, $C30,'WBS Summary'!$AJ:$AJ, $H30)</f>
        <v>0</v>
      </c>
      <c r="BO30" s="134">
        <f>SUMIFS('WBS Summary'!DI:DI,'WBS Summary'!$B:$B, $B30, 'WBS Summary'!$AH:$AH, $C30,'WBS Summary'!$AJ:$AJ, $H30)</f>
        <v>0</v>
      </c>
      <c r="BP30" s="134">
        <f>SUMIFS('WBS Summary'!DJ:DJ,'WBS Summary'!$B:$B, $B30, 'WBS Summary'!$AH:$AH, $C30,'WBS Summary'!$AJ:$AJ, $H30)</f>
        <v>0</v>
      </c>
      <c r="BQ30" s="134">
        <f>SUMIFS('WBS Summary'!DK:DK,'WBS Summary'!$B:$B, $B30, 'WBS Summary'!$AH:$AH, $C30,'WBS Summary'!$AJ:$AJ, $H30)</f>
        <v>0</v>
      </c>
      <c r="BR30" s="134">
        <f>SUMIFS('WBS Summary'!DL:DL,'WBS Summary'!$B:$B, $B30, 'WBS Summary'!$AH:$AH, $C30,'WBS Summary'!$AJ:$AJ, $H30)</f>
        <v>0</v>
      </c>
      <c r="BS30" s="134">
        <f>SUMIFS('WBS Summary'!DM:DM,'WBS Summary'!$B:$B, $B30, 'WBS Summary'!$AH:$AH, $C30,'WBS Summary'!$AJ:$AJ, $H30)</f>
        <v>0</v>
      </c>
      <c r="BT30" s="134">
        <f>SUMIFS('WBS Summary'!DN:DN,'WBS Summary'!$B:$B, $B30, 'WBS Summary'!$AH:$AH, $C30,'WBS Summary'!$AJ:$AJ, $H30)</f>
        <v>0</v>
      </c>
      <c r="BU30" s="134">
        <f>SUMIFS('WBS Summary'!DO:DO,'WBS Summary'!$B:$B, $B30, 'WBS Summary'!$AH:$AH, $C30,'WBS Summary'!$AJ:$AJ, $H30)</f>
        <v>0</v>
      </c>
      <c r="BV30" s="134">
        <f>SUMIFS('WBS Summary'!DP:DP,'WBS Summary'!$B:$B, $B30, 'WBS Summary'!$AH:$AH, $C30,'WBS Summary'!$AJ:$AJ, $H30)</f>
        <v>0</v>
      </c>
      <c r="BW30" s="134">
        <f>SUMIFS('WBS Summary'!DQ:DQ,'WBS Summary'!$B:$B, $B30, 'WBS Summary'!$AH:$AH, $C30,'WBS Summary'!$AJ:$AJ, $H30)</f>
        <v>0</v>
      </c>
      <c r="BX30" s="134">
        <f>SUMIFS('WBS Summary'!DR:DR,'WBS Summary'!$B:$B, $B30, 'WBS Summary'!$AH:$AH, $C30,'WBS Summary'!$AJ:$AJ, $H30)</f>
        <v>0</v>
      </c>
      <c r="BY30" s="134">
        <f>SUMIFS('WBS Summary'!DS:DS,'WBS Summary'!$B:$B, $B30, 'WBS Summary'!$AH:$AH, $C30,'WBS Summary'!$AJ:$AJ, $H30)</f>
        <v>0</v>
      </c>
      <c r="BZ30" s="134">
        <f>SUMIFS('WBS Summary'!DT:DT,'WBS Summary'!$B:$B, $B30, 'WBS Summary'!$AH:$AH, $C30,'WBS Summary'!$AJ:$AJ, $H30)</f>
        <v>0</v>
      </c>
      <c r="CA30" s="134">
        <f>SUMIFS('WBS Summary'!DU:DU,'WBS Summary'!$B:$B, $B30, 'WBS Summary'!$AH:$AH, $C30,'WBS Summary'!$AJ:$AJ, $H30)</f>
        <v>0</v>
      </c>
      <c r="CB30" s="134">
        <f>SUMIFS('WBS Summary'!DV:DV,'WBS Summary'!$B:$B, $B30, 'WBS Summary'!$AH:$AH, $C30,'WBS Summary'!$AJ:$AJ, $H30)</f>
        <v>0</v>
      </c>
      <c r="CC30" s="134">
        <f>SUMIFS('WBS Summary'!DW:DW,'WBS Summary'!$B:$B, $B30, 'WBS Summary'!$AH:$AH, $C30,'WBS Summary'!$AJ:$AJ, $H30)</f>
        <v>0</v>
      </c>
      <c r="CD30" s="134">
        <f>SUMIFS('WBS Summary'!DX:DX,'WBS Summary'!$B:$B, $B30, 'WBS Summary'!$AH:$AH, $C30,'WBS Summary'!$AJ:$AJ, $H30)</f>
        <v>0</v>
      </c>
      <c r="CE30" s="134">
        <f>SUMIFS('WBS Summary'!DY:DY,'WBS Summary'!$B:$B, $B30, 'WBS Summary'!$AH:$AH, $C30,'WBS Summary'!$AJ:$AJ, $H30)</f>
        <v>0</v>
      </c>
      <c r="CF30" s="134">
        <f>SUMIFS('WBS Summary'!DZ:DZ,'WBS Summary'!$B:$B, $B30, 'WBS Summary'!$AH:$AH, $C30,'WBS Summary'!$AJ:$AJ, $H30)</f>
        <v>0</v>
      </c>
      <c r="CG30" s="134">
        <f>SUMIFS('WBS Summary'!EA:EA,'WBS Summary'!$B:$B, $B30, 'WBS Summary'!$AH:$AH, $C30,'WBS Summary'!$AJ:$AJ, $H30)</f>
        <v>0</v>
      </c>
      <c r="CH30" s="134">
        <f>SUMIFS('WBS Summary'!EB:EB,'WBS Summary'!$B:$B, $B30, 'WBS Summary'!$AH:$AH, $C30,'WBS Summary'!$AJ:$AJ, $H30)</f>
        <v>0</v>
      </c>
      <c r="CI30" s="134">
        <f>SUMIFS('WBS Summary'!EC:EC,'WBS Summary'!$B:$B, $B30, 'WBS Summary'!$AH:$AH, $C30,'WBS Summary'!$AJ:$AJ, $H30)</f>
        <v>0</v>
      </c>
      <c r="CJ30" s="134">
        <f>SUMIFS('WBS Summary'!ED:ED,'WBS Summary'!$B:$B, $B30, 'WBS Summary'!$AH:$AH, $C30,'WBS Summary'!$AJ:$AJ, $H30)</f>
        <v>0</v>
      </c>
      <c r="CK30" s="134">
        <f>SUMIFS('WBS Summary'!EE:EE,'WBS Summary'!$B:$B, $B30, 'WBS Summary'!$AH:$AH, $C30,'WBS Summary'!$AJ:$AJ, $H30)</f>
        <v>0</v>
      </c>
      <c r="CL30" s="134">
        <f>SUMIFS('WBS Summary'!EF:EF,'WBS Summary'!$B:$B, $B30, 'WBS Summary'!$AH:$AH, $C30,'WBS Summary'!$AJ:$AJ, $H30)</f>
        <v>0</v>
      </c>
      <c r="CM30" s="134">
        <f>SUMIFS('WBS Summary'!EG:EG,'WBS Summary'!$B:$B, $B30, 'WBS Summary'!$AH:$AH, $C30,'WBS Summary'!$AJ:$AJ, $H30)</f>
        <v>0</v>
      </c>
      <c r="CN30" s="134">
        <f>SUMIFS('WBS Summary'!EH:EH,'WBS Summary'!$B:$B, $B30, 'WBS Summary'!$AH:$AH, $C30,'WBS Summary'!$AJ:$AJ, $H30)</f>
        <v>0</v>
      </c>
      <c r="CO30" s="134">
        <f>SUMIFS('WBS Summary'!EI:EI,'WBS Summary'!$B:$B, $B30, 'WBS Summary'!$AH:$AH, $C30,'WBS Summary'!$AJ:$AJ, $H30)</f>
        <v>0</v>
      </c>
      <c r="CP30" s="134">
        <f>SUMIFS('WBS Summary'!EJ:EJ,'WBS Summary'!$B:$B, $B30, 'WBS Summary'!$AH:$AH, $C30,'WBS Summary'!$AJ:$AJ, $H30)</f>
        <v>0</v>
      </c>
      <c r="CQ30" s="134">
        <f>SUMIFS('WBS Summary'!EK:EK,'WBS Summary'!$B:$B, $B30, 'WBS Summary'!$AH:$AH, $C30,'WBS Summary'!$AJ:$AJ, $H30)</f>
        <v>0</v>
      </c>
      <c r="CR30" s="134">
        <f>SUMIFS('WBS Summary'!EL:EL,'WBS Summary'!$B:$B, $B30, 'WBS Summary'!$AH:$AH, $C30,'WBS Summary'!$AJ:$AJ, $H30)</f>
        <v>0</v>
      </c>
      <c r="CS30" s="134">
        <f>SUMIFS('WBS Summary'!EM:EM,'WBS Summary'!$B:$B, $B30, 'WBS Summary'!$AH:$AH, $C30,'WBS Summary'!$AJ:$AJ, $H30)</f>
        <v>0</v>
      </c>
      <c r="CT30" s="134">
        <f>SUMIFS('WBS Summary'!EN:EN,'WBS Summary'!$B:$B, $B30, 'WBS Summary'!$AH:$AH, $C30,'WBS Summary'!$AJ:$AJ, $H30)</f>
        <v>0</v>
      </c>
      <c r="CU30" s="134">
        <f>SUMIFS('WBS Summary'!EO:EO,'WBS Summary'!$B:$B, $B30, 'WBS Summary'!$AH:$AH, $C30,'WBS Summary'!$AJ:$AJ, $H30)</f>
        <v>0</v>
      </c>
      <c r="CV30" s="134">
        <f>SUMIFS('WBS Summary'!EP:EP,'WBS Summary'!$B:$B, $B30, 'WBS Summary'!$AH:$AH, $C30,'WBS Summary'!$AJ:$AJ, $H30)</f>
        <v>0</v>
      </c>
      <c r="CW30" s="134">
        <f>SUMIFS('WBS Summary'!EQ:EQ,'WBS Summary'!$B:$B, $B30, 'WBS Summary'!$AH:$AH, $C30,'WBS Summary'!$AJ:$AJ, $H30)</f>
        <v>0</v>
      </c>
      <c r="CX30" s="134">
        <f>SUMIFS('WBS Summary'!ER:ER,'WBS Summary'!$B:$B, $B30, 'WBS Summary'!$AH:$AH, $C30,'WBS Summary'!$AJ:$AJ, $H30)</f>
        <v>0</v>
      </c>
      <c r="CY30" s="134">
        <f>SUMIFS('WBS Summary'!ES:ES,'WBS Summary'!$B:$B, $B30, 'WBS Summary'!$AH:$AH, $C30,'WBS Summary'!$AJ:$AJ, $H30)</f>
        <v>0</v>
      </c>
      <c r="CZ30" s="134">
        <f>SUMIFS('WBS Summary'!ET:ET,'WBS Summary'!$B:$B, $B30, 'WBS Summary'!$AH:$AH, $C30,'WBS Summary'!$AJ:$AJ, $H30)</f>
        <v>0</v>
      </c>
      <c r="DA30" s="134">
        <f>SUMIFS('WBS Summary'!EU:EU,'WBS Summary'!$B:$B, $B30, 'WBS Summary'!$AH:$AH, $C30,'WBS Summary'!$AJ:$AJ, $H30)</f>
        <v>0</v>
      </c>
      <c r="DB30" s="134">
        <f>SUMIFS('WBS Summary'!EV:EV,'WBS Summary'!$B:$B, $B30, 'WBS Summary'!$AH:$AH, $C30,'WBS Summary'!$AJ:$AJ, $H30)</f>
        <v>0</v>
      </c>
      <c r="DC30" s="134">
        <f>SUMIFS('WBS Summary'!EW:EW,'WBS Summary'!$B:$B, $B30, 'WBS Summary'!$AH:$AH, $C30,'WBS Summary'!$AJ:$AJ, $H30)</f>
        <v>0</v>
      </c>
      <c r="DD30" s="134">
        <f>SUMIFS('WBS Summary'!EX:EX,'WBS Summary'!$B:$B, $B30, 'WBS Summary'!$AH:$AH, $C30,'WBS Summary'!$AJ:$AJ, $H30)</f>
        <v>0</v>
      </c>
      <c r="DE30" s="134">
        <f>SUMIFS('WBS Summary'!EY:EY,'WBS Summary'!$B:$B, $B30, 'WBS Summary'!$AH:$AH, $C30,'WBS Summary'!$AJ:$AJ, $H30)</f>
        <v>0</v>
      </c>
      <c r="DF30"/>
      <c r="DG30" s="134">
        <f>SUMIFS('WBS Summary'!FR:FR,'WBS Summary'!$B:$B, $B30, 'WBS Summary'!$AH:$AH, $C30,'WBS Summary'!$AJ:$AJ, $H30)</f>
        <v>0</v>
      </c>
      <c r="DH30" s="134">
        <f>SUMIFS('WBS Summary'!FS:FS,'WBS Summary'!$B:$B, $B30, 'WBS Summary'!$AH:$AH, $C30,'WBS Summary'!$AJ:$AJ, $H30)</f>
        <v>0</v>
      </c>
      <c r="DI30" s="134">
        <f>SUMIFS('WBS Summary'!FT:FT,'WBS Summary'!$B:$B, $B30, 'WBS Summary'!$AH:$AH, $C30,'WBS Summary'!$AJ:$AJ, $H30)</f>
        <v>0</v>
      </c>
      <c r="DJ30" s="134">
        <f>SUMIFS('WBS Summary'!FU:FU,'WBS Summary'!$B:$B, $B30, 'WBS Summary'!$AH:$AH, $C30,'WBS Summary'!$AJ:$AJ, $H30)</f>
        <v>0</v>
      </c>
      <c r="DK30" s="134">
        <f>SUMIFS('WBS Summary'!FV:FV,'WBS Summary'!$B:$B, $B30, 'WBS Summary'!$AH:$AH, $C30,'WBS Summary'!$AJ:$AJ, $H30)</f>
        <v>0</v>
      </c>
      <c r="DL30" s="134">
        <f>SUMIFS('WBS Summary'!FW:FW,'WBS Summary'!$B:$B, $B30, 'WBS Summary'!$AH:$AH, $C30,'WBS Summary'!$AJ:$AJ, $H30)</f>
        <v>0</v>
      </c>
      <c r="DM30" s="134">
        <f>SUMIFS('WBS Summary'!FX:FX,'WBS Summary'!$B:$B, $B30, 'WBS Summary'!$AH:$AH, $C30,'WBS Summary'!$AJ:$AJ, $H30)</f>
        <v>0</v>
      </c>
      <c r="DN30" s="134">
        <f>SUMIFS('WBS Summary'!FY:FY,'WBS Summary'!$B:$B, $B30, 'WBS Summary'!$AH:$AH, $C30,'WBS Summary'!$AJ:$AJ, $H30)</f>
        <v>0</v>
      </c>
      <c r="DO30" s="134">
        <f>SUMIFS('WBS Summary'!FZ:FZ,'WBS Summary'!$B:$B, $B30, 'WBS Summary'!$AH:$AH, $C30,'WBS Summary'!$AJ:$AJ, $H30)</f>
        <v>0</v>
      </c>
      <c r="DP30" s="134">
        <f>SUMIFS('WBS Summary'!GA:GA,'WBS Summary'!$B:$B, $B30, 'WBS Summary'!$AH:$AH, $C30,'WBS Summary'!$AJ:$AJ, $H30)</f>
        <v>0</v>
      </c>
      <c r="DQ30" s="134">
        <f>SUMIFS('WBS Summary'!GB:GB,'WBS Summary'!$B:$B, $B30, 'WBS Summary'!$AH:$AH, $C30,'WBS Summary'!$AJ:$AJ, $H30)</f>
        <v>0</v>
      </c>
      <c r="DR30" s="134">
        <f>SUMIFS('WBS Summary'!GC:GC,'WBS Summary'!$B:$B, $B30, 'WBS Summary'!$AH:$AH, $C30,'WBS Summary'!$AJ:$AJ, $H30)</f>
        <v>0</v>
      </c>
      <c r="DS30" s="134">
        <f>SUMIFS('WBS Summary'!GD:GD,'WBS Summary'!$B:$B, $B30, 'WBS Summary'!$AH:$AH, $C30,'WBS Summary'!$AJ:$AJ, $H30)</f>
        <v>0</v>
      </c>
      <c r="DT30" s="134">
        <f>SUMIFS('WBS Summary'!GE:GE,'WBS Summary'!$B:$B, $B30, 'WBS Summary'!$AH:$AH, $C30,'WBS Summary'!$AJ:$AJ, $H30)</f>
        <v>0</v>
      </c>
      <c r="DU30" s="134">
        <f>SUMIFS('WBS Summary'!GF:GF,'WBS Summary'!$B:$B, $B30, 'WBS Summary'!$AH:$AH, $C30,'WBS Summary'!$AJ:$AJ, $H30)</f>
        <v>0</v>
      </c>
      <c r="DV30" s="134">
        <f>SUMIFS('WBS Summary'!GG:GG,'WBS Summary'!$B:$B, $B30, 'WBS Summary'!$AH:$AH, $C30,'WBS Summary'!$AJ:$AJ, $H30)</f>
        <v>0</v>
      </c>
      <c r="DW30" s="134">
        <f>SUMIFS('WBS Summary'!GH:GH,'WBS Summary'!$B:$B, $B30, 'WBS Summary'!$AH:$AH, $C30,'WBS Summary'!$AJ:$AJ, $H30)</f>
        <v>0</v>
      </c>
      <c r="DX30" s="134">
        <f>SUMIFS('WBS Summary'!GI:GI,'WBS Summary'!$B:$B, $B30, 'WBS Summary'!$AH:$AH, $C30,'WBS Summary'!$AJ:$AJ, $H30)</f>
        <v>0</v>
      </c>
      <c r="DY30" s="134">
        <f>SUMIFS('WBS Summary'!GJ:GJ,'WBS Summary'!$B:$B, $B30, 'WBS Summary'!$AH:$AH, $C30,'WBS Summary'!$AJ:$AJ, $H30)</f>
        <v>0</v>
      </c>
      <c r="DZ30" s="134">
        <f>SUMIFS('WBS Summary'!GK:GK,'WBS Summary'!$B:$B, $B30, 'WBS Summary'!$AH:$AH, $C30,'WBS Summary'!$AJ:$AJ, $H30)</f>
        <v>0</v>
      </c>
      <c r="EA30" s="134">
        <f>SUMIFS('WBS Summary'!GL:GL,'WBS Summary'!$B:$B, $B30, 'WBS Summary'!$AH:$AH, $C30,'WBS Summary'!$AJ:$AJ, $H30)</f>
        <v>0</v>
      </c>
      <c r="EB30" s="134">
        <f>SUMIFS('WBS Summary'!GM:GM,'WBS Summary'!$B:$B, $B30, 'WBS Summary'!$AH:$AH, $C30,'WBS Summary'!$AJ:$AJ, $H30)</f>
        <v>0</v>
      </c>
      <c r="EC30" s="134">
        <f>SUMIFS('WBS Summary'!GN:GN,'WBS Summary'!$B:$B, $B30, 'WBS Summary'!$AH:$AH, $C30,'WBS Summary'!$AJ:$AJ, $H30)</f>
        <v>0</v>
      </c>
      <c r="ED30" s="134">
        <f>SUMIFS('WBS Summary'!GO:GO,'WBS Summary'!$B:$B, $B30, 'WBS Summary'!$AH:$AH, $C30,'WBS Summary'!$AJ:$AJ, $H30)</f>
        <v>0</v>
      </c>
      <c r="EE30" s="134">
        <f>SUMIFS('WBS Summary'!GP:GP,'WBS Summary'!$B:$B, $B30, 'WBS Summary'!$AH:$AH, $C30,'WBS Summary'!$AJ:$AJ, $H30)</f>
        <v>0</v>
      </c>
      <c r="EF30" s="134">
        <f>SUMIFS('WBS Summary'!GQ:GQ,'WBS Summary'!$B:$B, $B30, 'WBS Summary'!$AH:$AH, $C30,'WBS Summary'!$AJ:$AJ, $H30)</f>
        <v>0</v>
      </c>
      <c r="EG30" s="134">
        <f>SUMIFS('WBS Summary'!GR:GR,'WBS Summary'!$B:$B, $B30, 'WBS Summary'!$AH:$AH, $C30,'WBS Summary'!$AJ:$AJ, $H30)</f>
        <v>0</v>
      </c>
      <c r="EH30" s="134">
        <f>SUMIFS('WBS Summary'!GS:GS,'WBS Summary'!$B:$B, $B30, 'WBS Summary'!$AH:$AH, $C30,'WBS Summary'!$AJ:$AJ, $H30)</f>
        <v>0</v>
      </c>
      <c r="EI30" s="134">
        <f>SUMIFS('WBS Summary'!GT:GT,'WBS Summary'!$B:$B, $B30, 'WBS Summary'!$AH:$AH, $C30,'WBS Summary'!$AJ:$AJ, $H30)</f>
        <v>0</v>
      </c>
      <c r="EJ30" s="134">
        <f>SUMIFS('WBS Summary'!GU:GU,'WBS Summary'!$B:$B, $B30, 'WBS Summary'!$AH:$AH, $C30,'WBS Summary'!$AJ:$AJ, $H30)</f>
        <v>0</v>
      </c>
      <c r="EK30" s="134">
        <f>SUMIFS('WBS Summary'!GV:GV,'WBS Summary'!$B:$B, $B30, 'WBS Summary'!$AH:$AH, $C30,'WBS Summary'!$AJ:$AJ, $H30)</f>
        <v>0</v>
      </c>
      <c r="EL30" s="134">
        <f>SUMIFS('WBS Summary'!GW:GW,'WBS Summary'!$B:$B, $B30, 'WBS Summary'!$AH:$AH, $C30,'WBS Summary'!$AJ:$AJ, $H30)</f>
        <v>0</v>
      </c>
      <c r="EM30" s="134">
        <f>SUMIFS('WBS Summary'!GX:GX,'WBS Summary'!$B:$B, $B30, 'WBS Summary'!$AH:$AH, $C30,'WBS Summary'!$AJ:$AJ, $H30)</f>
        <v>0</v>
      </c>
      <c r="EN30" s="134">
        <f>SUMIFS('WBS Summary'!GY:GY,'WBS Summary'!$B:$B, $B30, 'WBS Summary'!$AH:$AH, $C30,'WBS Summary'!$AJ:$AJ, $H30)</f>
        <v>0</v>
      </c>
      <c r="EO30" s="134">
        <f>SUMIFS('WBS Summary'!GZ:GZ,'WBS Summary'!$B:$B, $B30, 'WBS Summary'!$AH:$AH, $C30,'WBS Summary'!$AJ:$AJ, $H30)</f>
        <v>0</v>
      </c>
      <c r="EP30" s="134">
        <f>SUMIFS('WBS Summary'!HA:HA,'WBS Summary'!$B:$B, $B30, 'WBS Summary'!$AH:$AH, $C30,'WBS Summary'!$AJ:$AJ, $H30)</f>
        <v>0</v>
      </c>
      <c r="EQ30" s="134">
        <f>SUMIFS('WBS Summary'!HB:HB,'WBS Summary'!$B:$B, $B30, 'WBS Summary'!$AH:$AH, $C30,'WBS Summary'!$AJ:$AJ, $H30)</f>
        <v>0</v>
      </c>
      <c r="ER30" s="134">
        <f>SUMIFS('WBS Summary'!HC:HC,'WBS Summary'!$B:$B, $B30, 'WBS Summary'!$AH:$AH, $C30,'WBS Summary'!$AJ:$AJ, $H30)</f>
        <v>0</v>
      </c>
      <c r="ES30" s="134">
        <f>SUMIFS('WBS Summary'!HD:HD,'WBS Summary'!$B:$B, $B30, 'WBS Summary'!$AH:$AH, $C30,'WBS Summary'!$AJ:$AJ, $H30)</f>
        <v>0</v>
      </c>
      <c r="ET30" s="134">
        <f>SUMIFS('WBS Summary'!HE:HE,'WBS Summary'!$B:$B, $B30, 'WBS Summary'!$AH:$AH, $C30,'WBS Summary'!$AJ:$AJ, $H30)</f>
        <v>0</v>
      </c>
      <c r="EU30" s="134">
        <f>SUMIFS('WBS Summary'!HF:HF,'WBS Summary'!$B:$B, $B30, 'WBS Summary'!$AH:$AH, $C30,'WBS Summary'!$AJ:$AJ, $H30)</f>
        <v>0</v>
      </c>
      <c r="EV30" s="134">
        <f>SUMIFS('WBS Summary'!HG:HG,'WBS Summary'!$B:$B, $B30, 'WBS Summary'!$AH:$AH, $C30,'WBS Summary'!$AJ:$AJ, $H30)</f>
        <v>0</v>
      </c>
      <c r="EW30" s="134">
        <f>SUMIFS('WBS Summary'!HH:HH,'WBS Summary'!$B:$B, $B30, 'WBS Summary'!$AH:$AH, $C30,'WBS Summary'!$AJ:$AJ, $H30)</f>
        <v>0</v>
      </c>
      <c r="EX30" s="134">
        <f>SUMIFS('WBS Summary'!HI:HI,'WBS Summary'!$B:$B, $B30, 'WBS Summary'!$AH:$AH, $C30,'WBS Summary'!$AJ:$AJ, $H30)</f>
        <v>0</v>
      </c>
      <c r="EY30" s="134">
        <f>SUMIFS('WBS Summary'!HJ:HJ,'WBS Summary'!$B:$B, $B30, 'WBS Summary'!$AH:$AH, $C30,'WBS Summary'!$AJ:$AJ, $H30)</f>
        <v>0</v>
      </c>
      <c r="EZ30" s="134">
        <f>SUMIFS('WBS Summary'!HK:HK,'WBS Summary'!$B:$B, $B30, 'WBS Summary'!$AH:$AH, $C30,'WBS Summary'!$AJ:$AJ, $H30)</f>
        <v>0</v>
      </c>
      <c r="FA30" s="134">
        <f>SUMIFS('WBS Summary'!HL:HL,'WBS Summary'!$B:$B, $B30, 'WBS Summary'!$AH:$AH, $C30,'WBS Summary'!$AJ:$AJ, $H30)</f>
        <v>0</v>
      </c>
      <c r="FB30" s="134">
        <f>SUMIFS('WBS Summary'!HM:HM,'WBS Summary'!$B:$B, $B30, 'WBS Summary'!$AH:$AH, $C30,'WBS Summary'!$AJ:$AJ, $H30)</f>
        <v>0</v>
      </c>
      <c r="FC30" s="134">
        <f>SUMIFS('WBS Summary'!HN:HN,'WBS Summary'!$B:$B, $B30, 'WBS Summary'!$AH:$AH, $C30,'WBS Summary'!$AJ:$AJ, $H30)</f>
        <v>0</v>
      </c>
      <c r="FD30" s="134">
        <f>SUMIFS('WBS Summary'!HO:HO,'WBS Summary'!$B:$B, $B30, 'WBS Summary'!$AH:$AH, $C30,'WBS Summary'!$AJ:$AJ, $H30)</f>
        <v>0</v>
      </c>
      <c r="FE30" s="134">
        <f>SUMIFS('WBS Summary'!HP:HP,'WBS Summary'!$B:$B, $B30, 'WBS Summary'!$AH:$AH, $C30,'WBS Summary'!$AJ:$AJ, $H30)</f>
        <v>0</v>
      </c>
      <c r="FF30" s="134">
        <f>SUMIFS('WBS Summary'!HQ:HQ,'WBS Summary'!$B:$B, $B30, 'WBS Summary'!$AH:$AH, $C30,'WBS Summary'!$AJ:$AJ, $H30)</f>
        <v>0</v>
      </c>
      <c r="FG30" s="134">
        <f>SUMIFS('WBS Summary'!HR:HR,'WBS Summary'!$B:$B, $B30, 'WBS Summary'!$AH:$AH, $C30,'WBS Summary'!$AJ:$AJ, $H30)</f>
        <v>0</v>
      </c>
      <c r="FH30" s="134">
        <f>SUMIFS('WBS Summary'!HS:HS,'WBS Summary'!$B:$B, $B30, 'WBS Summary'!$AH:$AH, $C30,'WBS Summary'!$AJ:$AJ, $H30)</f>
        <v>0</v>
      </c>
      <c r="FI30" s="134">
        <f>SUMIFS('WBS Summary'!HT:HT,'WBS Summary'!$B:$B, $B30, 'WBS Summary'!$AH:$AH, $C30,'WBS Summary'!$AJ:$AJ, $H30)</f>
        <v>0</v>
      </c>
      <c r="FJ30" s="134">
        <f>SUMIFS('WBS Summary'!HU:HU,'WBS Summary'!$B:$B, $B30, 'WBS Summary'!$AH:$AH, $C30,'WBS Summary'!$AJ:$AJ, $H30)</f>
        <v>0</v>
      </c>
      <c r="FK30" s="134">
        <f>SUMIFS('WBS Summary'!HV:HV,'WBS Summary'!$B:$B, $B30, 'WBS Summary'!$AH:$AH, $C30,'WBS Summary'!$AJ:$AJ, $H30)</f>
        <v>0</v>
      </c>
      <c r="FL30" s="134">
        <f>SUMIFS('WBS Summary'!HW:HW,'WBS Summary'!$B:$B, $B30, 'WBS Summary'!$AH:$AH, $C30,'WBS Summary'!$AJ:$AJ, $H30)</f>
        <v>0</v>
      </c>
      <c r="FM30" s="134">
        <f>SUMIFS('WBS Summary'!HX:HX,'WBS Summary'!$B:$B, $B30, 'WBS Summary'!$AH:$AH, $C30,'WBS Summary'!$AJ:$AJ, $H30)</f>
        <v>0</v>
      </c>
      <c r="FN30" s="134">
        <f>SUMIFS('WBS Summary'!HY:HY,'WBS Summary'!$B:$B, $B30, 'WBS Summary'!$AH:$AH, $C30,'WBS Summary'!$AJ:$AJ, $H30)</f>
        <v>0</v>
      </c>
      <c r="FO30" s="134">
        <f>SUMIFS('WBS Summary'!HZ:HZ,'WBS Summary'!$B:$B, $B30, 'WBS Summary'!$AH:$AH, $C30,'WBS Summary'!$AJ:$AJ, $H30)</f>
        <v>0</v>
      </c>
      <c r="FP30" s="134">
        <f>SUMIFS('WBS Summary'!IA:IA,'WBS Summary'!$B:$B, $B30, 'WBS Summary'!$AH:$AH, $C30,'WBS Summary'!$AJ:$AJ, $H30)</f>
        <v>0</v>
      </c>
      <c r="FQ30" s="134">
        <f>SUMIFS('WBS Summary'!IB:IB,'WBS Summary'!$B:$B, $B30, 'WBS Summary'!$AH:$AH, $C30,'WBS Summary'!$AJ:$AJ, $H30)</f>
        <v>0</v>
      </c>
      <c r="FR30" s="134">
        <f>SUMIFS('WBS Summary'!IC:IC,'WBS Summary'!$B:$B, $B30, 'WBS Summary'!$AH:$AH, $C30,'WBS Summary'!$AJ:$AJ, $H30)</f>
        <v>0</v>
      </c>
      <c r="FS30" s="134">
        <f>SUMIFS('WBS Summary'!ID:ID,'WBS Summary'!$B:$B, $B30, 'WBS Summary'!$AH:$AH, $C30,'WBS Summary'!$AJ:$AJ, $H30)</f>
        <v>0</v>
      </c>
      <c r="FT30" s="134">
        <f>SUMIFS('WBS Summary'!IE:IE,'WBS Summary'!$B:$B, $B30, 'WBS Summary'!$AH:$AH, $C30,'WBS Summary'!$AJ:$AJ, $H30)</f>
        <v>0</v>
      </c>
      <c r="FU30" s="134">
        <f>SUMIFS('WBS Summary'!IF:IF,'WBS Summary'!$B:$B, $B30, 'WBS Summary'!$AH:$AH, $C30,'WBS Summary'!$AJ:$AJ, $H30)</f>
        <v>0</v>
      </c>
      <c r="FV30" s="134">
        <f>SUMIFS('WBS Summary'!IG:IG,'WBS Summary'!$B:$B, $B30, 'WBS Summary'!$AH:$AH, $C30,'WBS Summary'!$AJ:$AJ, $H30)</f>
        <v>0</v>
      </c>
      <c r="FW30" s="134">
        <f>SUMIFS('WBS Summary'!IH:IH,'WBS Summary'!$B:$B, $B30, 'WBS Summary'!$AH:$AH, $C30,'WBS Summary'!$AJ:$AJ, $H30)</f>
        <v>0</v>
      </c>
      <c r="FX30" s="134">
        <f>SUMIFS('WBS Summary'!II:II,'WBS Summary'!$B:$B, $B30, 'WBS Summary'!$AH:$AH, $C30,'WBS Summary'!$AJ:$AJ, $H30)</f>
        <v>0</v>
      </c>
      <c r="FY30" s="134">
        <f>SUMIFS('WBS Summary'!IJ:IJ,'WBS Summary'!$B:$B, $B30, 'WBS Summary'!$AH:$AH, $C30,'WBS Summary'!$AJ:$AJ, $H30)</f>
        <v>0</v>
      </c>
      <c r="FZ30" s="134">
        <f>SUMIFS('WBS Summary'!IK:IK,'WBS Summary'!$B:$B, $B30, 'WBS Summary'!$AH:$AH, $C30,'WBS Summary'!$AJ:$AJ, $H30)</f>
        <v>0</v>
      </c>
      <c r="GA30" s="134">
        <f>SUMIFS('WBS Summary'!IL:IL,'WBS Summary'!$B:$B, $B30, 'WBS Summary'!$AH:$AH, $C30,'WBS Summary'!$AJ:$AJ, $H30)</f>
        <v>0</v>
      </c>
      <c r="GB30" s="134">
        <f>SUMIFS('WBS Summary'!IM:IM,'WBS Summary'!$B:$B, $B30, 'WBS Summary'!$AH:$AH, $C30,'WBS Summary'!$AJ:$AJ, $H30)</f>
        <v>0</v>
      </c>
      <c r="GC30" s="134">
        <f>SUMIFS('WBS Summary'!IN:IN,'WBS Summary'!$B:$B, $B30, 'WBS Summary'!$AH:$AH, $C30,'WBS Summary'!$AJ:$AJ, $H30)</f>
        <v>0</v>
      </c>
      <c r="GD30" s="134">
        <f>SUMIFS('WBS Summary'!IO:IO,'WBS Summary'!$B:$B, $B30, 'WBS Summary'!$AH:$AH, $C30,'WBS Summary'!$AJ:$AJ, $H30)</f>
        <v>0</v>
      </c>
      <c r="GE30" s="134">
        <f>SUMIFS('WBS Summary'!IP:IP,'WBS Summary'!$B:$B, $B30, 'WBS Summary'!$AH:$AH, $C30,'WBS Summary'!$AJ:$AJ, $H30)</f>
        <v>0</v>
      </c>
      <c r="GF30" s="134">
        <f>SUMIFS('WBS Summary'!IQ:IQ,'WBS Summary'!$B:$B, $B30, 'WBS Summary'!$AH:$AH, $C30,'WBS Summary'!$AJ:$AJ, $H30)</f>
        <v>0</v>
      </c>
      <c r="GG30" s="134">
        <f>SUMIFS('WBS Summary'!IR:IR,'WBS Summary'!$B:$B, $B30, 'WBS Summary'!$AH:$AH, $C30,'WBS Summary'!$AJ:$AJ, $H30)</f>
        <v>0</v>
      </c>
      <c r="GH30" s="134">
        <f>SUMIFS('WBS Summary'!IS:IS,'WBS Summary'!$B:$B, $B30, 'WBS Summary'!$AH:$AH, $C30,'WBS Summary'!$AJ:$AJ, $H30)</f>
        <v>0</v>
      </c>
      <c r="GI30" s="134">
        <f>SUMIFS('WBS Summary'!IT:IT,'WBS Summary'!$B:$B, $B30, 'WBS Summary'!$AH:$AH, $C30,'WBS Summary'!$AJ:$AJ, $H30)</f>
        <v>0</v>
      </c>
      <c r="GJ30" s="134">
        <f>SUMIFS('WBS Summary'!IU:IU,'WBS Summary'!$B:$B, $B30, 'WBS Summary'!$AH:$AH, $C30,'WBS Summary'!$AJ:$AJ, $H30)</f>
        <v>0</v>
      </c>
      <c r="GK30" s="134">
        <f>SUMIFS('WBS Summary'!IV:IV,'WBS Summary'!$B:$B, $B30, 'WBS Summary'!$AH:$AH, $C30,'WBS Summary'!$AJ:$AJ, $H30)</f>
        <v>0</v>
      </c>
      <c r="GL30" s="134">
        <f>SUMIFS('WBS Summary'!IW:IW,'WBS Summary'!$B:$B, $B30, 'WBS Summary'!$AH:$AH, $C30,'WBS Summary'!$AJ:$AJ, $H30)</f>
        <v>0</v>
      </c>
      <c r="GM30" s="134">
        <f>SUMIFS('WBS Summary'!IX:IX,'WBS Summary'!$B:$B, $B30, 'WBS Summary'!$AH:$AH, $C30,'WBS Summary'!$AJ:$AJ, $H30)</f>
        <v>0</v>
      </c>
      <c r="GN30" s="134">
        <f>SUMIFS('WBS Summary'!IY:IY,'WBS Summary'!$B:$B, $B30, 'WBS Summary'!$AH:$AH, $C30,'WBS Summary'!$AJ:$AJ, $H30)</f>
        <v>0</v>
      </c>
      <c r="GO30" s="134">
        <f>SUMIFS('WBS Summary'!IZ:IZ,'WBS Summary'!$B:$B, $B30, 'WBS Summary'!$AH:$AH, $C30,'WBS Summary'!$AJ:$AJ, $H30)</f>
        <v>0</v>
      </c>
      <c r="GP30" s="134">
        <f>SUMIFS('WBS Summary'!JA:JA,'WBS Summary'!$B:$B, $B30, 'WBS Summary'!$AH:$AH, $C30,'WBS Summary'!$AJ:$AJ, $H30)</f>
        <v>0</v>
      </c>
      <c r="GQ30" s="134">
        <f>SUMIFS('WBS Summary'!JB:JB,'WBS Summary'!$B:$B, $B30, 'WBS Summary'!$AH:$AH, $C30,'WBS Summary'!$AJ:$AJ, $H30)</f>
        <v>0</v>
      </c>
      <c r="GR30" s="134">
        <f>SUMIFS('WBS Summary'!JC:JC,'WBS Summary'!$B:$B, $B30, 'WBS Summary'!$AH:$AH, $C30,'WBS Summary'!$AJ:$AJ, $H30)</f>
        <v>0</v>
      </c>
      <c r="GS30" s="134">
        <f>SUMIFS('WBS Summary'!JD:JD,'WBS Summary'!$B:$B, $B30, 'WBS Summary'!$AH:$AH, $C30,'WBS Summary'!$AJ:$AJ, $H30)</f>
        <v>0</v>
      </c>
      <c r="GT30" s="134">
        <f>SUMIFS('WBS Summary'!JE:JE,'WBS Summary'!$B:$B, $B30, 'WBS Summary'!$AH:$AH, $C30,'WBS Summary'!$AJ:$AJ, $H30)</f>
        <v>0</v>
      </c>
      <c r="GU30" s="134">
        <f>SUMIFS('WBS Summary'!JF:JF,'WBS Summary'!$B:$B, $B30, 'WBS Summary'!$AH:$AH, $C30,'WBS Summary'!$AJ:$AJ, $H30)</f>
        <v>0</v>
      </c>
      <c r="GV30" s="134">
        <f>SUMIFS('WBS Summary'!JG:JG,'WBS Summary'!$B:$B, $B30, 'WBS Summary'!$AH:$AH, $C30,'WBS Summary'!$AJ:$AJ, $H30)</f>
        <v>0</v>
      </c>
      <c r="GW30" s="134">
        <f>SUMIFS('WBS Summary'!JH:JH,'WBS Summary'!$B:$B, $B30, 'WBS Summary'!$AH:$AH, $C30,'WBS Summary'!$AJ:$AJ, $H30)</f>
        <v>0</v>
      </c>
      <c r="GX30" s="134">
        <f>SUMIFS('WBS Summary'!JI:JI,'WBS Summary'!$B:$B, $B30, 'WBS Summary'!$AH:$AH, $C30,'WBS Summary'!$AJ:$AJ, $H30)</f>
        <v>0</v>
      </c>
      <c r="GY30" s="134">
        <f>SUMIFS('WBS Summary'!JJ:JJ,'WBS Summary'!$B:$B, $B30, 'WBS Summary'!$AH:$AH, $C30,'WBS Summary'!$AJ:$AJ, $H30)</f>
        <v>0</v>
      </c>
      <c r="GZ30" s="134">
        <f>SUMIFS('WBS Summary'!JK:JK,'WBS Summary'!$B:$B, $B30, 'WBS Summary'!$AH:$AH, $C30,'WBS Summary'!$AJ:$AJ, $H30)</f>
        <v>0</v>
      </c>
      <c r="HA30" s="134">
        <f>SUMIFS('WBS Summary'!JL:JL,'WBS Summary'!$B:$B, $B30, 'WBS Summary'!$AH:$AH, $C30,'WBS Summary'!$AJ:$AJ, $H30)</f>
        <v>0</v>
      </c>
      <c r="HB30" s="134">
        <f>SUMIFS('WBS Summary'!JM:JM,'WBS Summary'!$B:$B, $B30, 'WBS Summary'!$AH:$AH, $C30,'WBS Summary'!$AJ:$AJ, $H30)</f>
        <v>0</v>
      </c>
      <c r="HC30"/>
    </row>
    <row r="31" spans="1:211" s="194" customFormat="1" outlineLevel="2">
      <c r="A31" s="220"/>
      <c r="B31" s="284" t="s">
        <v>189</v>
      </c>
      <c r="C31" s="227" t="s">
        <v>107</v>
      </c>
      <c r="D31" s="352"/>
      <c r="E31" s="352"/>
      <c r="F31" s="224">
        <f t="shared" si="29"/>
        <v>0</v>
      </c>
      <c r="G31" s="224">
        <f t="shared" si="30"/>
        <v>0</v>
      </c>
      <c r="H31" s="233" t="s">
        <v>344</v>
      </c>
      <c r="I31"/>
      <c r="J31" s="134">
        <f>SUMIFS('WBS Summary'!BD:BD,'WBS Summary'!$B:$B, $B31, 'WBS Summary'!$AH:$AH, $C31,'WBS Summary'!$AJ:$AJ, $H31)</f>
        <v>0</v>
      </c>
      <c r="K31" s="134">
        <f>SUMIFS('WBS Summary'!BE:BE,'WBS Summary'!$B:$B, $B31, 'WBS Summary'!$AH:$AH, $C31,'WBS Summary'!$AJ:$AJ, $H31)</f>
        <v>0</v>
      </c>
      <c r="L31" s="134">
        <f>SUMIFS('WBS Summary'!BF:BF,'WBS Summary'!$B:$B, $B31, 'WBS Summary'!$AH:$AH, $C31,'WBS Summary'!$AJ:$AJ, $H31)</f>
        <v>0</v>
      </c>
      <c r="M31" s="134">
        <f>SUMIFS('WBS Summary'!BG:BG,'WBS Summary'!$B:$B, $B31, 'WBS Summary'!$AH:$AH, $C31,'WBS Summary'!$AJ:$AJ, $H31)</f>
        <v>0</v>
      </c>
      <c r="N31" s="134">
        <f>SUMIFS('WBS Summary'!BH:BH,'WBS Summary'!$B:$B, $B31, 'WBS Summary'!$AH:$AH, $C31,'WBS Summary'!$AJ:$AJ, $H31)</f>
        <v>0</v>
      </c>
      <c r="O31" s="134">
        <f>SUMIFS('WBS Summary'!BI:BI,'WBS Summary'!$B:$B, $B31, 'WBS Summary'!$AH:$AH, $C31,'WBS Summary'!$AJ:$AJ, $H31)</f>
        <v>0</v>
      </c>
      <c r="P31" s="134">
        <f>SUMIFS('WBS Summary'!BJ:BJ,'WBS Summary'!$B:$B, $B31, 'WBS Summary'!$AH:$AH, $C31,'WBS Summary'!$AJ:$AJ, $H31)</f>
        <v>0</v>
      </c>
      <c r="Q31" s="134">
        <f>SUMIFS('WBS Summary'!BK:BK,'WBS Summary'!$B:$B, $B31, 'WBS Summary'!$AH:$AH, $C31,'WBS Summary'!$AJ:$AJ, $H31)</f>
        <v>0</v>
      </c>
      <c r="R31" s="134">
        <f>SUMIFS('WBS Summary'!BL:BL,'WBS Summary'!$B:$B, $B31, 'WBS Summary'!$AH:$AH, $C31,'WBS Summary'!$AJ:$AJ, $H31)</f>
        <v>0</v>
      </c>
      <c r="S31" s="134">
        <f>SUMIFS('WBS Summary'!BM:BM,'WBS Summary'!$B:$B, $B31, 'WBS Summary'!$AH:$AH, $C31,'WBS Summary'!$AJ:$AJ, $H31)</f>
        <v>0</v>
      </c>
      <c r="T31" s="134">
        <f>SUMIFS('WBS Summary'!BN:BN,'WBS Summary'!$B:$B, $B31, 'WBS Summary'!$AH:$AH, $C31,'WBS Summary'!$AJ:$AJ, $H31)</f>
        <v>0</v>
      </c>
      <c r="U31" s="134">
        <f>SUMIFS('WBS Summary'!BO:BO,'WBS Summary'!$B:$B, $B31, 'WBS Summary'!$AH:$AH, $C31,'WBS Summary'!$AJ:$AJ, $H31)</f>
        <v>0</v>
      </c>
      <c r="V31" s="134">
        <f>SUMIFS('WBS Summary'!BP:BP,'WBS Summary'!$B:$B, $B31, 'WBS Summary'!$AH:$AH, $C31,'WBS Summary'!$AJ:$AJ, $H31)</f>
        <v>0</v>
      </c>
      <c r="W31" s="134">
        <f>SUMIFS('WBS Summary'!BQ:BQ,'WBS Summary'!$B:$B, $B31, 'WBS Summary'!$AH:$AH, $C31,'WBS Summary'!$AJ:$AJ, $H31)</f>
        <v>0</v>
      </c>
      <c r="X31" s="134">
        <f>SUMIFS('WBS Summary'!BR:BR,'WBS Summary'!$B:$B, $B31, 'WBS Summary'!$AH:$AH, $C31,'WBS Summary'!$AJ:$AJ, $H31)</f>
        <v>0</v>
      </c>
      <c r="Y31" s="134">
        <f>SUMIFS('WBS Summary'!BS:BS,'WBS Summary'!$B:$B, $B31, 'WBS Summary'!$AH:$AH, $C31,'WBS Summary'!$AJ:$AJ, $H31)</f>
        <v>0</v>
      </c>
      <c r="Z31" s="134">
        <f>SUMIFS('WBS Summary'!BT:BT,'WBS Summary'!$B:$B, $B31, 'WBS Summary'!$AH:$AH, $C31,'WBS Summary'!$AJ:$AJ, $H31)</f>
        <v>0</v>
      </c>
      <c r="AA31" s="134">
        <f>SUMIFS('WBS Summary'!BU:BU,'WBS Summary'!$B:$B, $B31, 'WBS Summary'!$AH:$AH, $C31,'WBS Summary'!$AJ:$AJ, $H31)</f>
        <v>0</v>
      </c>
      <c r="AB31" s="134">
        <f>SUMIFS('WBS Summary'!BV:BV,'WBS Summary'!$B:$B, $B31, 'WBS Summary'!$AH:$AH, $C31,'WBS Summary'!$AJ:$AJ, $H31)</f>
        <v>0</v>
      </c>
      <c r="AC31" s="134">
        <f>SUMIFS('WBS Summary'!BW:BW,'WBS Summary'!$B:$B, $B31, 'WBS Summary'!$AH:$AH, $C31,'WBS Summary'!$AJ:$AJ, $H31)</f>
        <v>0</v>
      </c>
      <c r="AD31" s="134">
        <f>SUMIFS('WBS Summary'!BX:BX,'WBS Summary'!$B:$B, $B31, 'WBS Summary'!$AH:$AH, $C31,'WBS Summary'!$AJ:$AJ, $H31)</f>
        <v>0</v>
      </c>
      <c r="AE31" s="134">
        <f>SUMIFS('WBS Summary'!BY:BY,'WBS Summary'!$B:$B, $B31, 'WBS Summary'!$AH:$AH, $C31,'WBS Summary'!$AJ:$AJ, $H31)</f>
        <v>0</v>
      </c>
      <c r="AF31" s="134">
        <f>SUMIFS('WBS Summary'!BZ:BZ,'WBS Summary'!$B:$B, $B31, 'WBS Summary'!$AH:$AH, $C31,'WBS Summary'!$AJ:$AJ, $H31)</f>
        <v>0</v>
      </c>
      <c r="AG31" s="134">
        <f>SUMIFS('WBS Summary'!CA:CA,'WBS Summary'!$B:$B, $B31, 'WBS Summary'!$AH:$AH, $C31,'WBS Summary'!$AJ:$AJ, $H31)</f>
        <v>0</v>
      </c>
      <c r="AH31" s="134">
        <f>SUMIFS('WBS Summary'!CB:CB,'WBS Summary'!$B:$B, $B31, 'WBS Summary'!$AH:$AH, $C31,'WBS Summary'!$AJ:$AJ, $H31)</f>
        <v>0</v>
      </c>
      <c r="AI31" s="134">
        <f>SUMIFS('WBS Summary'!CC:CC,'WBS Summary'!$B:$B, $B31, 'WBS Summary'!$AH:$AH, $C31,'WBS Summary'!$AJ:$AJ, $H31)</f>
        <v>0</v>
      </c>
      <c r="AJ31" s="134">
        <f>SUMIFS('WBS Summary'!CD:CD,'WBS Summary'!$B:$B, $B31, 'WBS Summary'!$AH:$AH, $C31,'WBS Summary'!$AJ:$AJ, $H31)</f>
        <v>0</v>
      </c>
      <c r="AK31" s="134">
        <f>SUMIFS('WBS Summary'!CE:CE,'WBS Summary'!$B:$B, $B31, 'WBS Summary'!$AH:$AH, $C31,'WBS Summary'!$AJ:$AJ, $H31)</f>
        <v>0</v>
      </c>
      <c r="AL31" s="134">
        <f>SUMIFS('WBS Summary'!CF:CF,'WBS Summary'!$B:$B, $B31, 'WBS Summary'!$AH:$AH, $C31,'WBS Summary'!$AJ:$AJ, $H31)</f>
        <v>0</v>
      </c>
      <c r="AM31" s="134">
        <f>SUMIFS('WBS Summary'!CG:CG,'WBS Summary'!$B:$B, $B31, 'WBS Summary'!$AH:$AH, $C31,'WBS Summary'!$AJ:$AJ, $H31)</f>
        <v>0</v>
      </c>
      <c r="AN31" s="134">
        <f>SUMIFS('WBS Summary'!CH:CH,'WBS Summary'!$B:$B, $B31, 'WBS Summary'!$AH:$AH, $C31,'WBS Summary'!$AJ:$AJ, $H31)</f>
        <v>0</v>
      </c>
      <c r="AO31" s="134">
        <f>SUMIFS('WBS Summary'!CI:CI,'WBS Summary'!$B:$B, $B31, 'WBS Summary'!$AH:$AH, $C31,'WBS Summary'!$AJ:$AJ, $H31)</f>
        <v>0</v>
      </c>
      <c r="AP31" s="134">
        <f>SUMIFS('WBS Summary'!CJ:CJ,'WBS Summary'!$B:$B, $B31, 'WBS Summary'!$AH:$AH, $C31,'WBS Summary'!$AJ:$AJ, $H31)</f>
        <v>0</v>
      </c>
      <c r="AQ31" s="134">
        <f>SUMIFS('WBS Summary'!CK:CK,'WBS Summary'!$B:$B, $B31, 'WBS Summary'!$AH:$AH, $C31,'WBS Summary'!$AJ:$AJ, $H31)</f>
        <v>0</v>
      </c>
      <c r="AR31" s="134">
        <f>SUMIFS('WBS Summary'!CL:CL,'WBS Summary'!$B:$B, $B31, 'WBS Summary'!$AH:$AH, $C31,'WBS Summary'!$AJ:$AJ, $H31)</f>
        <v>0</v>
      </c>
      <c r="AS31" s="134">
        <f>SUMIFS('WBS Summary'!CM:CM,'WBS Summary'!$B:$B, $B31, 'WBS Summary'!$AH:$AH, $C31,'WBS Summary'!$AJ:$AJ, $H31)</f>
        <v>0</v>
      </c>
      <c r="AT31" s="134">
        <f>SUMIFS('WBS Summary'!CN:CN,'WBS Summary'!$B:$B, $B31, 'WBS Summary'!$AH:$AH, $C31,'WBS Summary'!$AJ:$AJ, $H31)</f>
        <v>0</v>
      </c>
      <c r="AU31" s="134">
        <f>SUMIFS('WBS Summary'!CO:CO,'WBS Summary'!$B:$B, $B31, 'WBS Summary'!$AH:$AH, $C31,'WBS Summary'!$AJ:$AJ, $H31)</f>
        <v>0</v>
      </c>
      <c r="AV31" s="134">
        <f>SUMIFS('WBS Summary'!CP:CP,'WBS Summary'!$B:$B, $B31, 'WBS Summary'!$AH:$AH, $C31,'WBS Summary'!$AJ:$AJ, $H31)</f>
        <v>0</v>
      </c>
      <c r="AW31" s="134">
        <f>SUMIFS('WBS Summary'!CQ:CQ,'WBS Summary'!$B:$B, $B31, 'WBS Summary'!$AH:$AH, $C31,'WBS Summary'!$AJ:$AJ, $H31)</f>
        <v>0</v>
      </c>
      <c r="AX31" s="134">
        <f>SUMIFS('WBS Summary'!CR:CR,'WBS Summary'!$B:$B, $B31, 'WBS Summary'!$AH:$AH, $C31,'WBS Summary'!$AJ:$AJ, $H31)</f>
        <v>0</v>
      </c>
      <c r="AY31" s="134">
        <f>SUMIFS('WBS Summary'!CS:CS,'WBS Summary'!$B:$B, $B31, 'WBS Summary'!$AH:$AH, $C31,'WBS Summary'!$AJ:$AJ, $H31)</f>
        <v>0</v>
      </c>
      <c r="AZ31" s="134">
        <f>SUMIFS('WBS Summary'!CT:CT,'WBS Summary'!$B:$B, $B31, 'WBS Summary'!$AH:$AH, $C31,'WBS Summary'!$AJ:$AJ, $H31)</f>
        <v>0</v>
      </c>
      <c r="BA31" s="134">
        <f>SUMIFS('WBS Summary'!CU:CU,'WBS Summary'!$B:$B, $B31, 'WBS Summary'!$AH:$AH, $C31,'WBS Summary'!$AJ:$AJ, $H31)</f>
        <v>0</v>
      </c>
      <c r="BB31" s="134">
        <f>SUMIFS('WBS Summary'!CV:CV,'WBS Summary'!$B:$B, $B31, 'WBS Summary'!$AH:$AH, $C31,'WBS Summary'!$AJ:$AJ, $H31)</f>
        <v>0</v>
      </c>
      <c r="BC31" s="134">
        <f>SUMIFS('WBS Summary'!CW:CW,'WBS Summary'!$B:$B, $B31, 'WBS Summary'!$AH:$AH, $C31,'WBS Summary'!$AJ:$AJ, $H31)</f>
        <v>0</v>
      </c>
      <c r="BD31" s="134">
        <f>SUMIFS('WBS Summary'!CX:CX,'WBS Summary'!$B:$B, $B31, 'WBS Summary'!$AH:$AH, $C31,'WBS Summary'!$AJ:$AJ, $H31)</f>
        <v>0</v>
      </c>
      <c r="BE31" s="134">
        <f>SUMIFS('WBS Summary'!CY:CY,'WBS Summary'!$B:$B, $B31, 'WBS Summary'!$AH:$AH, $C31,'WBS Summary'!$AJ:$AJ, $H31)</f>
        <v>0</v>
      </c>
      <c r="BF31" s="134">
        <f>SUMIFS('WBS Summary'!CZ:CZ,'WBS Summary'!$B:$B, $B31, 'WBS Summary'!$AH:$AH, $C31,'WBS Summary'!$AJ:$AJ, $H31)</f>
        <v>0</v>
      </c>
      <c r="BG31" s="134">
        <f>SUMIFS('WBS Summary'!DA:DA,'WBS Summary'!$B:$B, $B31, 'WBS Summary'!$AH:$AH, $C31,'WBS Summary'!$AJ:$AJ, $H31)</f>
        <v>0</v>
      </c>
      <c r="BH31" s="134">
        <f>SUMIFS('WBS Summary'!DB:DB,'WBS Summary'!$B:$B, $B31, 'WBS Summary'!$AH:$AH, $C31,'WBS Summary'!$AJ:$AJ, $H31)</f>
        <v>0</v>
      </c>
      <c r="BI31" s="134">
        <f>SUMIFS('WBS Summary'!DC:DC,'WBS Summary'!$B:$B, $B31, 'WBS Summary'!$AH:$AH, $C31,'WBS Summary'!$AJ:$AJ, $H31)</f>
        <v>0</v>
      </c>
      <c r="BJ31" s="134">
        <f>SUMIFS('WBS Summary'!DD:DD,'WBS Summary'!$B:$B, $B31, 'WBS Summary'!$AH:$AH, $C31,'WBS Summary'!$AJ:$AJ, $H31)</f>
        <v>0</v>
      </c>
      <c r="BK31" s="134">
        <f>SUMIFS('WBS Summary'!DE:DE,'WBS Summary'!$B:$B, $B31, 'WBS Summary'!$AH:$AH, $C31,'WBS Summary'!$AJ:$AJ, $H31)</f>
        <v>0</v>
      </c>
      <c r="BL31" s="134">
        <f>SUMIFS('WBS Summary'!DF:DF,'WBS Summary'!$B:$B, $B31, 'WBS Summary'!$AH:$AH, $C31,'WBS Summary'!$AJ:$AJ, $H31)</f>
        <v>0</v>
      </c>
      <c r="BM31" s="134">
        <f>SUMIFS('WBS Summary'!DG:DG,'WBS Summary'!$B:$B, $B31, 'WBS Summary'!$AH:$AH, $C31,'WBS Summary'!$AJ:$AJ, $H31)</f>
        <v>0</v>
      </c>
      <c r="BN31" s="134">
        <f>SUMIFS('WBS Summary'!DH:DH,'WBS Summary'!$B:$B, $B31, 'WBS Summary'!$AH:$AH, $C31,'WBS Summary'!$AJ:$AJ, $H31)</f>
        <v>0</v>
      </c>
      <c r="BO31" s="134">
        <f>SUMIFS('WBS Summary'!DI:DI,'WBS Summary'!$B:$B, $B31, 'WBS Summary'!$AH:$AH, $C31,'WBS Summary'!$AJ:$AJ, $H31)</f>
        <v>0</v>
      </c>
      <c r="BP31" s="134">
        <f>SUMIFS('WBS Summary'!DJ:DJ,'WBS Summary'!$B:$B, $B31, 'WBS Summary'!$AH:$AH, $C31,'WBS Summary'!$AJ:$AJ, $H31)</f>
        <v>0</v>
      </c>
      <c r="BQ31" s="134">
        <f>SUMIFS('WBS Summary'!DK:DK,'WBS Summary'!$B:$B, $B31, 'WBS Summary'!$AH:$AH, $C31,'WBS Summary'!$AJ:$AJ, $H31)</f>
        <v>0</v>
      </c>
      <c r="BR31" s="134">
        <f>SUMIFS('WBS Summary'!DL:DL,'WBS Summary'!$B:$B, $B31, 'WBS Summary'!$AH:$AH, $C31,'WBS Summary'!$AJ:$AJ, $H31)</f>
        <v>0</v>
      </c>
      <c r="BS31" s="134">
        <f>SUMIFS('WBS Summary'!DM:DM,'WBS Summary'!$B:$B, $B31, 'WBS Summary'!$AH:$AH, $C31,'WBS Summary'!$AJ:$AJ, $H31)</f>
        <v>0</v>
      </c>
      <c r="BT31" s="134">
        <f>SUMIFS('WBS Summary'!DN:DN,'WBS Summary'!$B:$B, $B31, 'WBS Summary'!$AH:$AH, $C31,'WBS Summary'!$AJ:$AJ, $H31)</f>
        <v>0</v>
      </c>
      <c r="BU31" s="134">
        <f>SUMIFS('WBS Summary'!DO:DO,'WBS Summary'!$B:$B, $B31, 'WBS Summary'!$AH:$AH, $C31,'WBS Summary'!$AJ:$AJ, $H31)</f>
        <v>0</v>
      </c>
      <c r="BV31" s="134">
        <f>SUMIFS('WBS Summary'!DP:DP,'WBS Summary'!$B:$B, $B31, 'WBS Summary'!$AH:$AH, $C31,'WBS Summary'!$AJ:$AJ, $H31)</f>
        <v>0</v>
      </c>
      <c r="BW31" s="134">
        <f>SUMIFS('WBS Summary'!DQ:DQ,'WBS Summary'!$B:$B, $B31, 'WBS Summary'!$AH:$AH, $C31,'WBS Summary'!$AJ:$AJ, $H31)</f>
        <v>0</v>
      </c>
      <c r="BX31" s="134">
        <f>SUMIFS('WBS Summary'!DR:DR,'WBS Summary'!$B:$B, $B31, 'WBS Summary'!$AH:$AH, $C31,'WBS Summary'!$AJ:$AJ, $H31)</f>
        <v>0</v>
      </c>
      <c r="BY31" s="134">
        <f>SUMIFS('WBS Summary'!DS:DS,'WBS Summary'!$B:$B, $B31, 'WBS Summary'!$AH:$AH, $C31,'WBS Summary'!$AJ:$AJ, $H31)</f>
        <v>0</v>
      </c>
      <c r="BZ31" s="134">
        <f>SUMIFS('WBS Summary'!DT:DT,'WBS Summary'!$B:$B, $B31, 'WBS Summary'!$AH:$AH, $C31,'WBS Summary'!$AJ:$AJ, $H31)</f>
        <v>0</v>
      </c>
      <c r="CA31" s="134">
        <f>SUMIFS('WBS Summary'!DU:DU,'WBS Summary'!$B:$B, $B31, 'WBS Summary'!$AH:$AH, $C31,'WBS Summary'!$AJ:$AJ, $H31)</f>
        <v>0</v>
      </c>
      <c r="CB31" s="134">
        <f>SUMIFS('WBS Summary'!DV:DV,'WBS Summary'!$B:$B, $B31, 'WBS Summary'!$AH:$AH, $C31,'WBS Summary'!$AJ:$AJ, $H31)</f>
        <v>0</v>
      </c>
      <c r="CC31" s="134">
        <f>SUMIFS('WBS Summary'!DW:DW,'WBS Summary'!$B:$B, $B31, 'WBS Summary'!$AH:$AH, $C31,'WBS Summary'!$AJ:$AJ, $H31)</f>
        <v>0</v>
      </c>
      <c r="CD31" s="134">
        <f>SUMIFS('WBS Summary'!DX:DX,'WBS Summary'!$B:$B, $B31, 'WBS Summary'!$AH:$AH, $C31,'WBS Summary'!$AJ:$AJ, $H31)</f>
        <v>0</v>
      </c>
      <c r="CE31" s="134">
        <f>SUMIFS('WBS Summary'!DY:DY,'WBS Summary'!$B:$B, $B31, 'WBS Summary'!$AH:$AH, $C31,'WBS Summary'!$AJ:$AJ, $H31)</f>
        <v>0</v>
      </c>
      <c r="CF31" s="134">
        <f>SUMIFS('WBS Summary'!DZ:DZ,'WBS Summary'!$B:$B, $B31, 'WBS Summary'!$AH:$AH, $C31,'WBS Summary'!$AJ:$AJ, $H31)</f>
        <v>0</v>
      </c>
      <c r="CG31" s="134">
        <f>SUMIFS('WBS Summary'!EA:EA,'WBS Summary'!$B:$B, $B31, 'WBS Summary'!$AH:$AH, $C31,'WBS Summary'!$AJ:$AJ, $H31)</f>
        <v>0</v>
      </c>
      <c r="CH31" s="134">
        <f>SUMIFS('WBS Summary'!EB:EB,'WBS Summary'!$B:$B, $B31, 'WBS Summary'!$AH:$AH, $C31,'WBS Summary'!$AJ:$AJ, $H31)</f>
        <v>0</v>
      </c>
      <c r="CI31" s="134">
        <f>SUMIFS('WBS Summary'!EC:EC,'WBS Summary'!$B:$B, $B31, 'WBS Summary'!$AH:$AH, $C31,'WBS Summary'!$AJ:$AJ, $H31)</f>
        <v>0</v>
      </c>
      <c r="CJ31" s="134">
        <f>SUMIFS('WBS Summary'!ED:ED,'WBS Summary'!$B:$B, $B31, 'WBS Summary'!$AH:$AH, $C31,'WBS Summary'!$AJ:$AJ, $H31)</f>
        <v>0</v>
      </c>
      <c r="CK31" s="134">
        <f>SUMIFS('WBS Summary'!EE:EE,'WBS Summary'!$B:$B, $B31, 'WBS Summary'!$AH:$AH, $C31,'WBS Summary'!$AJ:$AJ, $H31)</f>
        <v>0</v>
      </c>
      <c r="CL31" s="134">
        <f>SUMIFS('WBS Summary'!EF:EF,'WBS Summary'!$B:$B, $B31, 'WBS Summary'!$AH:$AH, $C31,'WBS Summary'!$AJ:$AJ, $H31)</f>
        <v>0</v>
      </c>
      <c r="CM31" s="134">
        <f>SUMIFS('WBS Summary'!EG:EG,'WBS Summary'!$B:$B, $B31, 'WBS Summary'!$AH:$AH, $C31,'WBS Summary'!$AJ:$AJ, $H31)</f>
        <v>0</v>
      </c>
      <c r="CN31" s="134">
        <f>SUMIFS('WBS Summary'!EH:EH,'WBS Summary'!$B:$B, $B31, 'WBS Summary'!$AH:$AH, $C31,'WBS Summary'!$AJ:$AJ, $H31)</f>
        <v>0</v>
      </c>
      <c r="CO31" s="134">
        <f>SUMIFS('WBS Summary'!EI:EI,'WBS Summary'!$B:$B, $B31, 'WBS Summary'!$AH:$AH, $C31,'WBS Summary'!$AJ:$AJ, $H31)</f>
        <v>0</v>
      </c>
      <c r="CP31" s="134">
        <f>SUMIFS('WBS Summary'!EJ:EJ,'WBS Summary'!$B:$B, $B31, 'WBS Summary'!$AH:$AH, $C31,'WBS Summary'!$AJ:$AJ, $H31)</f>
        <v>0</v>
      </c>
      <c r="CQ31" s="134">
        <f>SUMIFS('WBS Summary'!EK:EK,'WBS Summary'!$B:$B, $B31, 'WBS Summary'!$AH:$AH, $C31,'WBS Summary'!$AJ:$AJ, $H31)</f>
        <v>0</v>
      </c>
      <c r="CR31" s="134">
        <f>SUMIFS('WBS Summary'!EL:EL,'WBS Summary'!$B:$B, $B31, 'WBS Summary'!$AH:$AH, $C31,'WBS Summary'!$AJ:$AJ, $H31)</f>
        <v>0</v>
      </c>
      <c r="CS31" s="134">
        <f>SUMIFS('WBS Summary'!EM:EM,'WBS Summary'!$B:$B, $B31, 'WBS Summary'!$AH:$AH, $C31,'WBS Summary'!$AJ:$AJ, $H31)</f>
        <v>0</v>
      </c>
      <c r="CT31" s="134">
        <f>SUMIFS('WBS Summary'!EN:EN,'WBS Summary'!$B:$B, $B31, 'WBS Summary'!$AH:$AH, $C31,'WBS Summary'!$AJ:$AJ, $H31)</f>
        <v>0</v>
      </c>
      <c r="CU31" s="134">
        <f>SUMIFS('WBS Summary'!EO:EO,'WBS Summary'!$B:$B, $B31, 'WBS Summary'!$AH:$AH, $C31,'WBS Summary'!$AJ:$AJ, $H31)</f>
        <v>0</v>
      </c>
      <c r="CV31" s="134">
        <f>SUMIFS('WBS Summary'!EP:EP,'WBS Summary'!$B:$B, $B31, 'WBS Summary'!$AH:$AH, $C31,'WBS Summary'!$AJ:$AJ, $H31)</f>
        <v>0</v>
      </c>
      <c r="CW31" s="134">
        <f>SUMIFS('WBS Summary'!EQ:EQ,'WBS Summary'!$B:$B, $B31, 'WBS Summary'!$AH:$AH, $C31,'WBS Summary'!$AJ:$AJ, $H31)</f>
        <v>0</v>
      </c>
      <c r="CX31" s="134">
        <f>SUMIFS('WBS Summary'!ER:ER,'WBS Summary'!$B:$B, $B31, 'WBS Summary'!$AH:$AH, $C31,'WBS Summary'!$AJ:$AJ, $H31)</f>
        <v>0</v>
      </c>
      <c r="CY31" s="134">
        <f>SUMIFS('WBS Summary'!ES:ES,'WBS Summary'!$B:$B, $B31, 'WBS Summary'!$AH:$AH, $C31,'WBS Summary'!$AJ:$AJ, $H31)</f>
        <v>0</v>
      </c>
      <c r="CZ31" s="134">
        <f>SUMIFS('WBS Summary'!ET:ET,'WBS Summary'!$B:$B, $B31, 'WBS Summary'!$AH:$AH, $C31,'WBS Summary'!$AJ:$AJ, $H31)</f>
        <v>0</v>
      </c>
      <c r="DA31" s="134">
        <f>SUMIFS('WBS Summary'!EU:EU,'WBS Summary'!$B:$B, $B31, 'WBS Summary'!$AH:$AH, $C31,'WBS Summary'!$AJ:$AJ, $H31)</f>
        <v>0</v>
      </c>
      <c r="DB31" s="134">
        <f>SUMIFS('WBS Summary'!EV:EV,'WBS Summary'!$B:$B, $B31, 'WBS Summary'!$AH:$AH, $C31,'WBS Summary'!$AJ:$AJ, $H31)</f>
        <v>0</v>
      </c>
      <c r="DC31" s="134">
        <f>SUMIFS('WBS Summary'!EW:EW,'WBS Summary'!$B:$B, $B31, 'WBS Summary'!$AH:$AH, $C31,'WBS Summary'!$AJ:$AJ, $H31)</f>
        <v>0</v>
      </c>
      <c r="DD31" s="134">
        <f>SUMIFS('WBS Summary'!EX:EX,'WBS Summary'!$B:$B, $B31, 'WBS Summary'!$AH:$AH, $C31,'WBS Summary'!$AJ:$AJ, $H31)</f>
        <v>0</v>
      </c>
      <c r="DE31" s="134">
        <f>SUMIFS('WBS Summary'!EY:EY,'WBS Summary'!$B:$B, $B31, 'WBS Summary'!$AH:$AH, $C31,'WBS Summary'!$AJ:$AJ, $H31)</f>
        <v>0</v>
      </c>
      <c r="DF31"/>
      <c r="DG31" s="134">
        <f>SUMIFS('WBS Summary'!FR:FR,'WBS Summary'!$B:$B, $B31, 'WBS Summary'!$AH:$AH, $C31,'WBS Summary'!$AJ:$AJ, $H31)</f>
        <v>0</v>
      </c>
      <c r="DH31" s="134">
        <f>SUMIFS('WBS Summary'!FS:FS,'WBS Summary'!$B:$B, $B31, 'WBS Summary'!$AH:$AH, $C31,'WBS Summary'!$AJ:$AJ, $H31)</f>
        <v>0</v>
      </c>
      <c r="DI31" s="134">
        <f>SUMIFS('WBS Summary'!FT:FT,'WBS Summary'!$B:$B, $B31, 'WBS Summary'!$AH:$AH, $C31,'WBS Summary'!$AJ:$AJ, $H31)</f>
        <v>0</v>
      </c>
      <c r="DJ31" s="134">
        <f>SUMIFS('WBS Summary'!FU:FU,'WBS Summary'!$B:$B, $B31, 'WBS Summary'!$AH:$AH, $C31,'WBS Summary'!$AJ:$AJ, $H31)</f>
        <v>0</v>
      </c>
      <c r="DK31" s="134">
        <f>SUMIFS('WBS Summary'!FV:FV,'WBS Summary'!$B:$B, $B31, 'WBS Summary'!$AH:$AH, $C31,'WBS Summary'!$AJ:$AJ, $H31)</f>
        <v>0</v>
      </c>
      <c r="DL31" s="134">
        <f>SUMIFS('WBS Summary'!FW:FW,'WBS Summary'!$B:$B, $B31, 'WBS Summary'!$AH:$AH, $C31,'WBS Summary'!$AJ:$AJ, $H31)</f>
        <v>0</v>
      </c>
      <c r="DM31" s="134">
        <f>SUMIFS('WBS Summary'!FX:FX,'WBS Summary'!$B:$B, $B31, 'WBS Summary'!$AH:$AH, $C31,'WBS Summary'!$AJ:$AJ, $H31)</f>
        <v>0</v>
      </c>
      <c r="DN31" s="134">
        <f>SUMIFS('WBS Summary'!FY:FY,'WBS Summary'!$B:$B, $B31, 'WBS Summary'!$AH:$AH, $C31,'WBS Summary'!$AJ:$AJ, $H31)</f>
        <v>0</v>
      </c>
      <c r="DO31" s="134">
        <f>SUMIFS('WBS Summary'!FZ:FZ,'WBS Summary'!$B:$B, $B31, 'WBS Summary'!$AH:$AH, $C31,'WBS Summary'!$AJ:$AJ, $H31)</f>
        <v>0</v>
      </c>
      <c r="DP31" s="134">
        <f>SUMIFS('WBS Summary'!GA:GA,'WBS Summary'!$B:$B, $B31, 'WBS Summary'!$AH:$AH, $C31,'WBS Summary'!$AJ:$AJ, $H31)</f>
        <v>0</v>
      </c>
      <c r="DQ31" s="134">
        <f>SUMIFS('WBS Summary'!GB:GB,'WBS Summary'!$B:$B, $B31, 'WBS Summary'!$AH:$AH, $C31,'WBS Summary'!$AJ:$AJ, $H31)</f>
        <v>0</v>
      </c>
      <c r="DR31" s="134">
        <f>SUMIFS('WBS Summary'!GC:GC,'WBS Summary'!$B:$B, $B31, 'WBS Summary'!$AH:$AH, $C31,'WBS Summary'!$AJ:$AJ, $H31)</f>
        <v>0</v>
      </c>
      <c r="DS31" s="134">
        <f>SUMIFS('WBS Summary'!GD:GD,'WBS Summary'!$B:$B, $B31, 'WBS Summary'!$AH:$AH, $C31,'WBS Summary'!$AJ:$AJ, $H31)</f>
        <v>0</v>
      </c>
      <c r="DT31" s="134">
        <f>SUMIFS('WBS Summary'!GE:GE,'WBS Summary'!$B:$B, $B31, 'WBS Summary'!$AH:$AH, $C31,'WBS Summary'!$AJ:$AJ, $H31)</f>
        <v>0</v>
      </c>
      <c r="DU31" s="134">
        <f>SUMIFS('WBS Summary'!GF:GF,'WBS Summary'!$B:$B, $B31, 'WBS Summary'!$AH:$AH, $C31,'WBS Summary'!$AJ:$AJ, $H31)</f>
        <v>0</v>
      </c>
      <c r="DV31" s="134">
        <f>SUMIFS('WBS Summary'!GG:GG,'WBS Summary'!$B:$B, $B31, 'WBS Summary'!$AH:$AH, $C31,'WBS Summary'!$AJ:$AJ, $H31)</f>
        <v>0</v>
      </c>
      <c r="DW31" s="134">
        <f>SUMIFS('WBS Summary'!GH:GH,'WBS Summary'!$B:$B, $B31, 'WBS Summary'!$AH:$AH, $C31,'WBS Summary'!$AJ:$AJ, $H31)</f>
        <v>0</v>
      </c>
      <c r="DX31" s="134">
        <f>SUMIFS('WBS Summary'!GI:GI,'WBS Summary'!$B:$B, $B31, 'WBS Summary'!$AH:$AH, $C31,'WBS Summary'!$AJ:$AJ, $H31)</f>
        <v>0</v>
      </c>
      <c r="DY31" s="134">
        <f>SUMIFS('WBS Summary'!GJ:GJ,'WBS Summary'!$B:$B, $B31, 'WBS Summary'!$AH:$AH, $C31,'WBS Summary'!$AJ:$AJ, $H31)</f>
        <v>0</v>
      </c>
      <c r="DZ31" s="134">
        <f>SUMIFS('WBS Summary'!GK:GK,'WBS Summary'!$B:$B, $B31, 'WBS Summary'!$AH:$AH, $C31,'WBS Summary'!$AJ:$AJ, $H31)</f>
        <v>0</v>
      </c>
      <c r="EA31" s="134">
        <f>SUMIFS('WBS Summary'!GL:GL,'WBS Summary'!$B:$B, $B31, 'WBS Summary'!$AH:$AH, $C31,'WBS Summary'!$AJ:$AJ, $H31)</f>
        <v>0</v>
      </c>
      <c r="EB31" s="134">
        <f>SUMIFS('WBS Summary'!GM:GM,'WBS Summary'!$B:$B, $B31, 'WBS Summary'!$AH:$AH, $C31,'WBS Summary'!$AJ:$AJ, $H31)</f>
        <v>0</v>
      </c>
      <c r="EC31" s="134">
        <f>SUMIFS('WBS Summary'!GN:GN,'WBS Summary'!$B:$B, $B31, 'WBS Summary'!$AH:$AH, $C31,'WBS Summary'!$AJ:$AJ, $H31)</f>
        <v>0</v>
      </c>
      <c r="ED31" s="134">
        <f>SUMIFS('WBS Summary'!GO:GO,'WBS Summary'!$B:$B, $B31, 'WBS Summary'!$AH:$AH, $C31,'WBS Summary'!$AJ:$AJ, $H31)</f>
        <v>0</v>
      </c>
      <c r="EE31" s="134">
        <f>SUMIFS('WBS Summary'!GP:GP,'WBS Summary'!$B:$B, $B31, 'WBS Summary'!$AH:$AH, $C31,'WBS Summary'!$AJ:$AJ, $H31)</f>
        <v>0</v>
      </c>
      <c r="EF31" s="134">
        <f>SUMIFS('WBS Summary'!GQ:GQ,'WBS Summary'!$B:$B, $B31, 'WBS Summary'!$AH:$AH, $C31,'WBS Summary'!$AJ:$AJ, $H31)</f>
        <v>0</v>
      </c>
      <c r="EG31" s="134">
        <f>SUMIFS('WBS Summary'!GR:GR,'WBS Summary'!$B:$B, $B31, 'WBS Summary'!$AH:$AH, $C31,'WBS Summary'!$AJ:$AJ, $H31)</f>
        <v>0</v>
      </c>
      <c r="EH31" s="134">
        <f>SUMIFS('WBS Summary'!GS:GS,'WBS Summary'!$B:$B, $B31, 'WBS Summary'!$AH:$AH, $C31,'WBS Summary'!$AJ:$AJ, $H31)</f>
        <v>0</v>
      </c>
      <c r="EI31" s="134">
        <f>SUMIFS('WBS Summary'!GT:GT,'WBS Summary'!$B:$B, $B31, 'WBS Summary'!$AH:$AH, $C31,'WBS Summary'!$AJ:$AJ, $H31)</f>
        <v>0</v>
      </c>
      <c r="EJ31" s="134">
        <f>SUMIFS('WBS Summary'!GU:GU,'WBS Summary'!$B:$B, $B31, 'WBS Summary'!$AH:$AH, $C31,'WBS Summary'!$AJ:$AJ, $H31)</f>
        <v>0</v>
      </c>
      <c r="EK31" s="134">
        <f>SUMIFS('WBS Summary'!GV:GV,'WBS Summary'!$B:$B, $B31, 'WBS Summary'!$AH:$AH, $C31,'WBS Summary'!$AJ:$AJ, $H31)</f>
        <v>0</v>
      </c>
      <c r="EL31" s="134">
        <f>SUMIFS('WBS Summary'!GW:GW,'WBS Summary'!$B:$B, $B31, 'WBS Summary'!$AH:$AH, $C31,'WBS Summary'!$AJ:$AJ, $H31)</f>
        <v>0</v>
      </c>
      <c r="EM31" s="134">
        <f>SUMIFS('WBS Summary'!GX:GX,'WBS Summary'!$B:$B, $B31, 'WBS Summary'!$AH:$AH, $C31,'WBS Summary'!$AJ:$AJ, $H31)</f>
        <v>0</v>
      </c>
      <c r="EN31" s="134">
        <f>SUMIFS('WBS Summary'!GY:GY,'WBS Summary'!$B:$B, $B31, 'WBS Summary'!$AH:$AH, $C31,'WBS Summary'!$AJ:$AJ, $H31)</f>
        <v>0</v>
      </c>
      <c r="EO31" s="134">
        <f>SUMIFS('WBS Summary'!GZ:GZ,'WBS Summary'!$B:$B, $B31, 'WBS Summary'!$AH:$AH, $C31,'WBS Summary'!$AJ:$AJ, $H31)</f>
        <v>0</v>
      </c>
      <c r="EP31" s="134">
        <f>SUMIFS('WBS Summary'!HA:HA,'WBS Summary'!$B:$B, $B31, 'WBS Summary'!$AH:$AH, $C31,'WBS Summary'!$AJ:$AJ, $H31)</f>
        <v>0</v>
      </c>
      <c r="EQ31" s="134">
        <f>SUMIFS('WBS Summary'!HB:HB,'WBS Summary'!$B:$B, $B31, 'WBS Summary'!$AH:$AH, $C31,'WBS Summary'!$AJ:$AJ, $H31)</f>
        <v>0</v>
      </c>
      <c r="ER31" s="134">
        <f>SUMIFS('WBS Summary'!HC:HC,'WBS Summary'!$B:$B, $B31, 'WBS Summary'!$AH:$AH, $C31,'WBS Summary'!$AJ:$AJ, $H31)</f>
        <v>0</v>
      </c>
      <c r="ES31" s="134">
        <f>SUMIFS('WBS Summary'!HD:HD,'WBS Summary'!$B:$B, $B31, 'WBS Summary'!$AH:$AH, $C31,'WBS Summary'!$AJ:$AJ, $H31)</f>
        <v>0</v>
      </c>
      <c r="ET31" s="134">
        <f>SUMIFS('WBS Summary'!HE:HE,'WBS Summary'!$B:$B, $B31, 'WBS Summary'!$AH:$AH, $C31,'WBS Summary'!$AJ:$AJ, $H31)</f>
        <v>0</v>
      </c>
      <c r="EU31" s="134">
        <f>SUMIFS('WBS Summary'!HF:HF,'WBS Summary'!$B:$B, $B31, 'WBS Summary'!$AH:$AH, $C31,'WBS Summary'!$AJ:$AJ, $H31)</f>
        <v>0</v>
      </c>
      <c r="EV31" s="134">
        <f>SUMIFS('WBS Summary'!HG:HG,'WBS Summary'!$B:$B, $B31, 'WBS Summary'!$AH:$AH, $C31,'WBS Summary'!$AJ:$AJ, $H31)</f>
        <v>0</v>
      </c>
      <c r="EW31" s="134">
        <f>SUMIFS('WBS Summary'!HH:HH,'WBS Summary'!$B:$B, $B31, 'WBS Summary'!$AH:$AH, $C31,'WBS Summary'!$AJ:$AJ, $H31)</f>
        <v>0</v>
      </c>
      <c r="EX31" s="134">
        <f>SUMIFS('WBS Summary'!HI:HI,'WBS Summary'!$B:$B, $B31, 'WBS Summary'!$AH:$AH, $C31,'WBS Summary'!$AJ:$AJ, $H31)</f>
        <v>0</v>
      </c>
      <c r="EY31" s="134">
        <f>SUMIFS('WBS Summary'!HJ:HJ,'WBS Summary'!$B:$B, $B31, 'WBS Summary'!$AH:$AH, $C31,'WBS Summary'!$AJ:$AJ, $H31)</f>
        <v>0</v>
      </c>
      <c r="EZ31" s="134">
        <f>SUMIFS('WBS Summary'!HK:HK,'WBS Summary'!$B:$B, $B31, 'WBS Summary'!$AH:$AH, $C31,'WBS Summary'!$AJ:$AJ, $H31)</f>
        <v>0</v>
      </c>
      <c r="FA31" s="134">
        <f>SUMIFS('WBS Summary'!HL:HL,'WBS Summary'!$B:$B, $B31, 'WBS Summary'!$AH:$AH, $C31,'WBS Summary'!$AJ:$AJ, $H31)</f>
        <v>0</v>
      </c>
      <c r="FB31" s="134">
        <f>SUMIFS('WBS Summary'!HM:HM,'WBS Summary'!$B:$B, $B31, 'WBS Summary'!$AH:$AH, $C31,'WBS Summary'!$AJ:$AJ, $H31)</f>
        <v>0</v>
      </c>
      <c r="FC31" s="134">
        <f>SUMIFS('WBS Summary'!HN:HN,'WBS Summary'!$B:$B, $B31, 'WBS Summary'!$AH:$AH, $C31,'WBS Summary'!$AJ:$AJ, $H31)</f>
        <v>0</v>
      </c>
      <c r="FD31" s="134">
        <f>SUMIFS('WBS Summary'!HO:HO,'WBS Summary'!$B:$B, $B31, 'WBS Summary'!$AH:$AH, $C31,'WBS Summary'!$AJ:$AJ, $H31)</f>
        <v>0</v>
      </c>
      <c r="FE31" s="134">
        <f>SUMIFS('WBS Summary'!HP:HP,'WBS Summary'!$B:$B, $B31, 'WBS Summary'!$AH:$AH, $C31,'WBS Summary'!$AJ:$AJ, $H31)</f>
        <v>0</v>
      </c>
      <c r="FF31" s="134">
        <f>SUMIFS('WBS Summary'!HQ:HQ,'WBS Summary'!$B:$B, $B31, 'WBS Summary'!$AH:$AH, $C31,'WBS Summary'!$AJ:$AJ, $H31)</f>
        <v>0</v>
      </c>
      <c r="FG31" s="134">
        <f>SUMIFS('WBS Summary'!HR:HR,'WBS Summary'!$B:$B, $B31, 'WBS Summary'!$AH:$AH, $C31,'WBS Summary'!$AJ:$AJ, $H31)</f>
        <v>0</v>
      </c>
      <c r="FH31" s="134">
        <f>SUMIFS('WBS Summary'!HS:HS,'WBS Summary'!$B:$B, $B31, 'WBS Summary'!$AH:$AH, $C31,'WBS Summary'!$AJ:$AJ, $H31)</f>
        <v>0</v>
      </c>
      <c r="FI31" s="134">
        <f>SUMIFS('WBS Summary'!HT:HT,'WBS Summary'!$B:$B, $B31, 'WBS Summary'!$AH:$AH, $C31,'WBS Summary'!$AJ:$AJ, $H31)</f>
        <v>0</v>
      </c>
      <c r="FJ31" s="134">
        <f>SUMIFS('WBS Summary'!HU:HU,'WBS Summary'!$B:$B, $B31, 'WBS Summary'!$AH:$AH, $C31,'WBS Summary'!$AJ:$AJ, $H31)</f>
        <v>0</v>
      </c>
      <c r="FK31" s="134">
        <f>SUMIFS('WBS Summary'!HV:HV,'WBS Summary'!$B:$B, $B31, 'WBS Summary'!$AH:$AH, $C31,'WBS Summary'!$AJ:$AJ, $H31)</f>
        <v>0</v>
      </c>
      <c r="FL31" s="134">
        <f>SUMIFS('WBS Summary'!HW:HW,'WBS Summary'!$B:$B, $B31, 'WBS Summary'!$AH:$AH, $C31,'WBS Summary'!$AJ:$AJ, $H31)</f>
        <v>0</v>
      </c>
      <c r="FM31" s="134">
        <f>SUMIFS('WBS Summary'!HX:HX,'WBS Summary'!$B:$B, $B31, 'WBS Summary'!$AH:$AH, $C31,'WBS Summary'!$AJ:$AJ, $H31)</f>
        <v>0</v>
      </c>
      <c r="FN31" s="134">
        <f>SUMIFS('WBS Summary'!HY:HY,'WBS Summary'!$B:$B, $B31, 'WBS Summary'!$AH:$AH, $C31,'WBS Summary'!$AJ:$AJ, $H31)</f>
        <v>0</v>
      </c>
      <c r="FO31" s="134">
        <f>SUMIFS('WBS Summary'!HZ:HZ,'WBS Summary'!$B:$B, $B31, 'WBS Summary'!$AH:$AH, $C31,'WBS Summary'!$AJ:$AJ, $H31)</f>
        <v>0</v>
      </c>
      <c r="FP31" s="134">
        <f>SUMIFS('WBS Summary'!IA:IA,'WBS Summary'!$B:$B, $B31, 'WBS Summary'!$AH:$AH, $C31,'WBS Summary'!$AJ:$AJ, $H31)</f>
        <v>0</v>
      </c>
      <c r="FQ31" s="134">
        <f>SUMIFS('WBS Summary'!IB:IB,'WBS Summary'!$B:$B, $B31, 'WBS Summary'!$AH:$AH, $C31,'WBS Summary'!$AJ:$AJ, $H31)</f>
        <v>0</v>
      </c>
      <c r="FR31" s="134">
        <f>SUMIFS('WBS Summary'!IC:IC,'WBS Summary'!$B:$B, $B31, 'WBS Summary'!$AH:$AH, $C31,'WBS Summary'!$AJ:$AJ, $H31)</f>
        <v>0</v>
      </c>
      <c r="FS31" s="134">
        <f>SUMIFS('WBS Summary'!ID:ID,'WBS Summary'!$B:$B, $B31, 'WBS Summary'!$AH:$AH, $C31,'WBS Summary'!$AJ:$AJ, $H31)</f>
        <v>0</v>
      </c>
      <c r="FT31" s="134">
        <f>SUMIFS('WBS Summary'!IE:IE,'WBS Summary'!$B:$B, $B31, 'WBS Summary'!$AH:$AH, $C31,'WBS Summary'!$AJ:$AJ, $H31)</f>
        <v>0</v>
      </c>
      <c r="FU31" s="134">
        <f>SUMIFS('WBS Summary'!IF:IF,'WBS Summary'!$B:$B, $B31, 'WBS Summary'!$AH:$AH, $C31,'WBS Summary'!$AJ:$AJ, $H31)</f>
        <v>0</v>
      </c>
      <c r="FV31" s="134">
        <f>SUMIFS('WBS Summary'!IG:IG,'WBS Summary'!$B:$B, $B31, 'WBS Summary'!$AH:$AH, $C31,'WBS Summary'!$AJ:$AJ, $H31)</f>
        <v>0</v>
      </c>
      <c r="FW31" s="134">
        <f>SUMIFS('WBS Summary'!IH:IH,'WBS Summary'!$B:$B, $B31, 'WBS Summary'!$AH:$AH, $C31,'WBS Summary'!$AJ:$AJ, $H31)</f>
        <v>0</v>
      </c>
      <c r="FX31" s="134">
        <f>SUMIFS('WBS Summary'!II:II,'WBS Summary'!$B:$B, $B31, 'WBS Summary'!$AH:$AH, $C31,'WBS Summary'!$AJ:$AJ, $H31)</f>
        <v>0</v>
      </c>
      <c r="FY31" s="134">
        <f>SUMIFS('WBS Summary'!IJ:IJ,'WBS Summary'!$B:$B, $B31, 'WBS Summary'!$AH:$AH, $C31,'WBS Summary'!$AJ:$AJ, $H31)</f>
        <v>0</v>
      </c>
      <c r="FZ31" s="134">
        <f>SUMIFS('WBS Summary'!IK:IK,'WBS Summary'!$B:$B, $B31, 'WBS Summary'!$AH:$AH, $C31,'WBS Summary'!$AJ:$AJ, $H31)</f>
        <v>0</v>
      </c>
      <c r="GA31" s="134">
        <f>SUMIFS('WBS Summary'!IL:IL,'WBS Summary'!$B:$B, $B31, 'WBS Summary'!$AH:$AH, $C31,'WBS Summary'!$AJ:$AJ, $H31)</f>
        <v>0</v>
      </c>
      <c r="GB31" s="134">
        <f>SUMIFS('WBS Summary'!IM:IM,'WBS Summary'!$B:$B, $B31, 'WBS Summary'!$AH:$AH, $C31,'WBS Summary'!$AJ:$AJ, $H31)</f>
        <v>0</v>
      </c>
      <c r="GC31" s="134">
        <f>SUMIFS('WBS Summary'!IN:IN,'WBS Summary'!$B:$B, $B31, 'WBS Summary'!$AH:$AH, $C31,'WBS Summary'!$AJ:$AJ, $H31)</f>
        <v>0</v>
      </c>
      <c r="GD31" s="134">
        <f>SUMIFS('WBS Summary'!IO:IO,'WBS Summary'!$B:$B, $B31, 'WBS Summary'!$AH:$AH, $C31,'WBS Summary'!$AJ:$AJ, $H31)</f>
        <v>0</v>
      </c>
      <c r="GE31" s="134">
        <f>SUMIFS('WBS Summary'!IP:IP,'WBS Summary'!$B:$B, $B31, 'WBS Summary'!$AH:$AH, $C31,'WBS Summary'!$AJ:$AJ, $H31)</f>
        <v>0</v>
      </c>
      <c r="GF31" s="134">
        <f>SUMIFS('WBS Summary'!IQ:IQ,'WBS Summary'!$B:$B, $B31, 'WBS Summary'!$AH:$AH, $C31,'WBS Summary'!$AJ:$AJ, $H31)</f>
        <v>0</v>
      </c>
      <c r="GG31" s="134">
        <f>SUMIFS('WBS Summary'!IR:IR,'WBS Summary'!$B:$B, $B31, 'WBS Summary'!$AH:$AH, $C31,'WBS Summary'!$AJ:$AJ, $H31)</f>
        <v>0</v>
      </c>
      <c r="GH31" s="134">
        <f>SUMIFS('WBS Summary'!IS:IS,'WBS Summary'!$B:$B, $B31, 'WBS Summary'!$AH:$AH, $C31,'WBS Summary'!$AJ:$AJ, $H31)</f>
        <v>0</v>
      </c>
      <c r="GI31" s="134">
        <f>SUMIFS('WBS Summary'!IT:IT,'WBS Summary'!$B:$B, $B31, 'WBS Summary'!$AH:$AH, $C31,'WBS Summary'!$AJ:$AJ, $H31)</f>
        <v>0</v>
      </c>
      <c r="GJ31" s="134">
        <f>SUMIFS('WBS Summary'!IU:IU,'WBS Summary'!$B:$B, $B31, 'WBS Summary'!$AH:$AH, $C31,'WBS Summary'!$AJ:$AJ, $H31)</f>
        <v>0</v>
      </c>
      <c r="GK31" s="134">
        <f>SUMIFS('WBS Summary'!IV:IV,'WBS Summary'!$B:$B, $B31, 'WBS Summary'!$AH:$AH, $C31,'WBS Summary'!$AJ:$AJ, $H31)</f>
        <v>0</v>
      </c>
      <c r="GL31" s="134">
        <f>SUMIFS('WBS Summary'!IW:IW,'WBS Summary'!$B:$B, $B31, 'WBS Summary'!$AH:$AH, $C31,'WBS Summary'!$AJ:$AJ, $H31)</f>
        <v>0</v>
      </c>
      <c r="GM31" s="134">
        <f>SUMIFS('WBS Summary'!IX:IX,'WBS Summary'!$B:$B, $B31, 'WBS Summary'!$AH:$AH, $C31,'WBS Summary'!$AJ:$AJ, $H31)</f>
        <v>0</v>
      </c>
      <c r="GN31" s="134">
        <f>SUMIFS('WBS Summary'!IY:IY,'WBS Summary'!$B:$B, $B31, 'WBS Summary'!$AH:$AH, $C31,'WBS Summary'!$AJ:$AJ, $H31)</f>
        <v>0</v>
      </c>
      <c r="GO31" s="134">
        <f>SUMIFS('WBS Summary'!IZ:IZ,'WBS Summary'!$B:$B, $B31, 'WBS Summary'!$AH:$AH, $C31,'WBS Summary'!$AJ:$AJ, $H31)</f>
        <v>0</v>
      </c>
      <c r="GP31" s="134">
        <f>SUMIFS('WBS Summary'!JA:JA,'WBS Summary'!$B:$B, $B31, 'WBS Summary'!$AH:$AH, $C31,'WBS Summary'!$AJ:$AJ, $H31)</f>
        <v>0</v>
      </c>
      <c r="GQ31" s="134">
        <f>SUMIFS('WBS Summary'!JB:JB,'WBS Summary'!$B:$B, $B31, 'WBS Summary'!$AH:$AH, $C31,'WBS Summary'!$AJ:$AJ, $H31)</f>
        <v>0</v>
      </c>
      <c r="GR31" s="134">
        <f>SUMIFS('WBS Summary'!JC:JC,'WBS Summary'!$B:$B, $B31, 'WBS Summary'!$AH:$AH, $C31,'WBS Summary'!$AJ:$AJ, $H31)</f>
        <v>0</v>
      </c>
      <c r="GS31" s="134">
        <f>SUMIFS('WBS Summary'!JD:JD,'WBS Summary'!$B:$B, $B31, 'WBS Summary'!$AH:$AH, $C31,'WBS Summary'!$AJ:$AJ, $H31)</f>
        <v>0</v>
      </c>
      <c r="GT31" s="134">
        <f>SUMIFS('WBS Summary'!JE:JE,'WBS Summary'!$B:$B, $B31, 'WBS Summary'!$AH:$AH, $C31,'WBS Summary'!$AJ:$AJ, $H31)</f>
        <v>0</v>
      </c>
      <c r="GU31" s="134">
        <f>SUMIFS('WBS Summary'!JF:JF,'WBS Summary'!$B:$B, $B31, 'WBS Summary'!$AH:$AH, $C31,'WBS Summary'!$AJ:$AJ, $H31)</f>
        <v>0</v>
      </c>
      <c r="GV31" s="134">
        <f>SUMIFS('WBS Summary'!JG:JG,'WBS Summary'!$B:$B, $B31, 'WBS Summary'!$AH:$AH, $C31,'WBS Summary'!$AJ:$AJ, $H31)</f>
        <v>0</v>
      </c>
      <c r="GW31" s="134">
        <f>SUMIFS('WBS Summary'!JH:JH,'WBS Summary'!$B:$B, $B31, 'WBS Summary'!$AH:$AH, $C31,'WBS Summary'!$AJ:$AJ, $H31)</f>
        <v>0</v>
      </c>
      <c r="GX31" s="134">
        <f>SUMIFS('WBS Summary'!JI:JI,'WBS Summary'!$B:$B, $B31, 'WBS Summary'!$AH:$AH, $C31,'WBS Summary'!$AJ:$AJ, $H31)</f>
        <v>0</v>
      </c>
      <c r="GY31" s="134">
        <f>SUMIFS('WBS Summary'!JJ:JJ,'WBS Summary'!$B:$B, $B31, 'WBS Summary'!$AH:$AH, $C31,'WBS Summary'!$AJ:$AJ, $H31)</f>
        <v>0</v>
      </c>
      <c r="GZ31" s="134">
        <f>SUMIFS('WBS Summary'!JK:JK,'WBS Summary'!$B:$B, $B31, 'WBS Summary'!$AH:$AH, $C31,'WBS Summary'!$AJ:$AJ, $H31)</f>
        <v>0</v>
      </c>
      <c r="HA31" s="134">
        <f>SUMIFS('WBS Summary'!JL:JL,'WBS Summary'!$B:$B, $B31, 'WBS Summary'!$AH:$AH, $C31,'WBS Summary'!$AJ:$AJ, $H31)</f>
        <v>0</v>
      </c>
      <c r="HB31" s="134">
        <f>SUMIFS('WBS Summary'!JM:JM,'WBS Summary'!$B:$B, $B31, 'WBS Summary'!$AH:$AH, $C31,'WBS Summary'!$AJ:$AJ, $H31)</f>
        <v>0</v>
      </c>
      <c r="HC31"/>
    </row>
    <row r="32" spans="1:211" s="194" customFormat="1" outlineLevel="2">
      <c r="A32" s="220"/>
      <c r="B32" s="284"/>
      <c r="C32" s="226" t="s">
        <v>340</v>
      </c>
      <c r="D32" s="351"/>
      <c r="E32" s="351"/>
      <c r="F32" s="224">
        <f t="shared" si="29"/>
        <v>0</v>
      </c>
      <c r="G32" s="224">
        <f t="shared" si="30"/>
        <v>0</v>
      </c>
      <c r="H32" s="233"/>
      <c r="I32"/>
      <c r="J32" s="134">
        <f t="shared" ref="J32:AO32" si="41">SUM(J33:J37)</f>
        <v>0</v>
      </c>
      <c r="K32" s="134">
        <f t="shared" si="41"/>
        <v>0</v>
      </c>
      <c r="L32" s="134">
        <f t="shared" si="41"/>
        <v>0</v>
      </c>
      <c r="M32" s="134">
        <f t="shared" si="41"/>
        <v>0</v>
      </c>
      <c r="N32" s="134">
        <f t="shared" si="41"/>
        <v>0</v>
      </c>
      <c r="O32" s="134">
        <f t="shared" si="41"/>
        <v>0</v>
      </c>
      <c r="P32" s="134">
        <f t="shared" si="41"/>
        <v>0</v>
      </c>
      <c r="Q32" s="134">
        <f t="shared" si="41"/>
        <v>0</v>
      </c>
      <c r="R32" s="134">
        <f t="shared" si="41"/>
        <v>0</v>
      </c>
      <c r="S32" s="134">
        <f t="shared" si="41"/>
        <v>0</v>
      </c>
      <c r="T32" s="134">
        <f t="shared" si="41"/>
        <v>0</v>
      </c>
      <c r="U32" s="134">
        <f t="shared" si="41"/>
        <v>0</v>
      </c>
      <c r="V32" s="134">
        <f t="shared" si="41"/>
        <v>0</v>
      </c>
      <c r="W32" s="134">
        <f t="shared" si="41"/>
        <v>0</v>
      </c>
      <c r="X32" s="134">
        <f t="shared" si="41"/>
        <v>0</v>
      </c>
      <c r="Y32" s="134">
        <f t="shared" si="41"/>
        <v>0</v>
      </c>
      <c r="Z32" s="134">
        <f t="shared" si="41"/>
        <v>0</v>
      </c>
      <c r="AA32" s="134">
        <f t="shared" si="41"/>
        <v>0</v>
      </c>
      <c r="AB32" s="134">
        <f t="shared" si="41"/>
        <v>0</v>
      </c>
      <c r="AC32" s="134">
        <f t="shared" si="41"/>
        <v>0</v>
      </c>
      <c r="AD32" s="134">
        <f t="shared" si="41"/>
        <v>0</v>
      </c>
      <c r="AE32" s="134">
        <f t="shared" si="41"/>
        <v>0</v>
      </c>
      <c r="AF32" s="134">
        <f t="shared" si="41"/>
        <v>0</v>
      </c>
      <c r="AG32" s="134">
        <f t="shared" si="41"/>
        <v>0</v>
      </c>
      <c r="AH32" s="134">
        <f t="shared" si="41"/>
        <v>0</v>
      </c>
      <c r="AI32" s="134">
        <f t="shared" si="41"/>
        <v>0</v>
      </c>
      <c r="AJ32" s="134">
        <f t="shared" si="41"/>
        <v>0</v>
      </c>
      <c r="AK32" s="134">
        <f t="shared" si="41"/>
        <v>0</v>
      </c>
      <c r="AL32" s="134">
        <f t="shared" si="41"/>
        <v>0</v>
      </c>
      <c r="AM32" s="134">
        <f t="shared" si="41"/>
        <v>0</v>
      </c>
      <c r="AN32" s="134">
        <f t="shared" si="41"/>
        <v>0</v>
      </c>
      <c r="AO32" s="134">
        <f t="shared" si="41"/>
        <v>0</v>
      </c>
      <c r="AP32" s="134">
        <f t="shared" ref="AP32:BU32" si="42">SUM(AP33:AP37)</f>
        <v>0</v>
      </c>
      <c r="AQ32" s="134">
        <f t="shared" si="42"/>
        <v>0</v>
      </c>
      <c r="AR32" s="134">
        <f t="shared" si="42"/>
        <v>0</v>
      </c>
      <c r="AS32" s="134">
        <f t="shared" si="42"/>
        <v>0</v>
      </c>
      <c r="AT32" s="134">
        <f t="shared" si="42"/>
        <v>0</v>
      </c>
      <c r="AU32" s="134">
        <f t="shared" si="42"/>
        <v>0</v>
      </c>
      <c r="AV32" s="134">
        <f t="shared" si="42"/>
        <v>0</v>
      </c>
      <c r="AW32" s="134">
        <f t="shared" si="42"/>
        <v>0</v>
      </c>
      <c r="AX32" s="134">
        <f t="shared" si="42"/>
        <v>0</v>
      </c>
      <c r="AY32" s="134">
        <f t="shared" si="42"/>
        <v>0</v>
      </c>
      <c r="AZ32" s="134">
        <f t="shared" si="42"/>
        <v>0</v>
      </c>
      <c r="BA32" s="134">
        <f t="shared" si="42"/>
        <v>0</v>
      </c>
      <c r="BB32" s="134">
        <f t="shared" si="42"/>
        <v>0</v>
      </c>
      <c r="BC32" s="134">
        <f t="shared" si="42"/>
        <v>0</v>
      </c>
      <c r="BD32" s="134">
        <f t="shared" si="42"/>
        <v>0</v>
      </c>
      <c r="BE32" s="134">
        <f t="shared" si="42"/>
        <v>0</v>
      </c>
      <c r="BF32" s="134">
        <f t="shared" si="42"/>
        <v>0</v>
      </c>
      <c r="BG32" s="134">
        <f t="shared" si="42"/>
        <v>0</v>
      </c>
      <c r="BH32" s="134">
        <f t="shared" si="42"/>
        <v>0</v>
      </c>
      <c r="BI32" s="134">
        <f t="shared" si="42"/>
        <v>0</v>
      </c>
      <c r="BJ32" s="134">
        <f t="shared" si="42"/>
        <v>0</v>
      </c>
      <c r="BK32" s="134">
        <f t="shared" si="42"/>
        <v>0</v>
      </c>
      <c r="BL32" s="134">
        <f t="shared" si="42"/>
        <v>0</v>
      </c>
      <c r="BM32" s="134">
        <f t="shared" si="42"/>
        <v>0</v>
      </c>
      <c r="BN32" s="134">
        <f t="shared" si="42"/>
        <v>0</v>
      </c>
      <c r="BO32" s="134">
        <f t="shared" si="42"/>
        <v>0</v>
      </c>
      <c r="BP32" s="134">
        <f t="shared" si="42"/>
        <v>0</v>
      </c>
      <c r="BQ32" s="134">
        <f t="shared" si="42"/>
        <v>0</v>
      </c>
      <c r="BR32" s="134">
        <f t="shared" si="42"/>
        <v>0</v>
      </c>
      <c r="BS32" s="134">
        <f t="shared" si="42"/>
        <v>0</v>
      </c>
      <c r="BT32" s="134">
        <f t="shared" si="42"/>
        <v>0</v>
      </c>
      <c r="BU32" s="134">
        <f t="shared" si="42"/>
        <v>0</v>
      </c>
      <c r="BV32" s="134">
        <f t="shared" ref="BV32:DA32" si="43">SUM(BV33:BV37)</f>
        <v>0</v>
      </c>
      <c r="BW32" s="134">
        <f t="shared" si="43"/>
        <v>0</v>
      </c>
      <c r="BX32" s="134">
        <f t="shared" si="43"/>
        <v>0</v>
      </c>
      <c r="BY32" s="134">
        <f t="shared" si="43"/>
        <v>0</v>
      </c>
      <c r="BZ32" s="134">
        <f t="shared" si="43"/>
        <v>0</v>
      </c>
      <c r="CA32" s="134">
        <f t="shared" si="43"/>
        <v>0</v>
      </c>
      <c r="CB32" s="134">
        <f t="shared" si="43"/>
        <v>0</v>
      </c>
      <c r="CC32" s="134">
        <f t="shared" si="43"/>
        <v>0</v>
      </c>
      <c r="CD32" s="134">
        <f t="shared" si="43"/>
        <v>0</v>
      </c>
      <c r="CE32" s="134">
        <f t="shared" si="43"/>
        <v>0</v>
      </c>
      <c r="CF32" s="134">
        <f t="shared" si="43"/>
        <v>0</v>
      </c>
      <c r="CG32" s="134">
        <f t="shared" si="43"/>
        <v>0</v>
      </c>
      <c r="CH32" s="134">
        <f t="shared" si="43"/>
        <v>0</v>
      </c>
      <c r="CI32" s="134">
        <f t="shared" si="43"/>
        <v>0</v>
      </c>
      <c r="CJ32" s="134">
        <f t="shared" si="43"/>
        <v>0</v>
      </c>
      <c r="CK32" s="134">
        <f t="shared" si="43"/>
        <v>0</v>
      </c>
      <c r="CL32" s="134">
        <f t="shared" si="43"/>
        <v>0</v>
      </c>
      <c r="CM32" s="134">
        <f t="shared" si="43"/>
        <v>0</v>
      </c>
      <c r="CN32" s="134">
        <f t="shared" si="43"/>
        <v>0</v>
      </c>
      <c r="CO32" s="134">
        <f t="shared" si="43"/>
        <v>0</v>
      </c>
      <c r="CP32" s="134">
        <f t="shared" si="43"/>
        <v>0</v>
      </c>
      <c r="CQ32" s="134">
        <f t="shared" si="43"/>
        <v>0</v>
      </c>
      <c r="CR32" s="134">
        <f t="shared" si="43"/>
        <v>0</v>
      </c>
      <c r="CS32" s="134">
        <f t="shared" si="43"/>
        <v>0</v>
      </c>
      <c r="CT32" s="134">
        <f t="shared" si="43"/>
        <v>0</v>
      </c>
      <c r="CU32" s="134">
        <f t="shared" si="43"/>
        <v>0</v>
      </c>
      <c r="CV32" s="134">
        <f t="shared" si="43"/>
        <v>0</v>
      </c>
      <c r="CW32" s="134">
        <f t="shared" si="43"/>
        <v>0</v>
      </c>
      <c r="CX32" s="134">
        <f t="shared" si="43"/>
        <v>0</v>
      </c>
      <c r="CY32" s="134">
        <f t="shared" si="43"/>
        <v>0</v>
      </c>
      <c r="CZ32" s="134">
        <f t="shared" si="43"/>
        <v>0</v>
      </c>
      <c r="DA32" s="134">
        <f t="shared" si="43"/>
        <v>0</v>
      </c>
      <c r="DB32" s="134">
        <f>SUM(DB33:DB37)</f>
        <v>0</v>
      </c>
      <c r="DC32" s="134">
        <f>SUM(DC33:DC37)</f>
        <v>0</v>
      </c>
      <c r="DD32" s="134">
        <f>SUM(DD33:DD37)</f>
        <v>0</v>
      </c>
      <c r="DE32" s="134">
        <f>SUM(DE33:DE37)</f>
        <v>0</v>
      </c>
      <c r="DF32"/>
      <c r="DG32" s="134">
        <f t="shared" ref="DG32:EL32" si="44">SUM(DG33:DG37)</f>
        <v>0</v>
      </c>
      <c r="DH32" s="134">
        <f t="shared" si="44"/>
        <v>0</v>
      </c>
      <c r="DI32" s="134">
        <f t="shared" si="44"/>
        <v>0</v>
      </c>
      <c r="DJ32" s="134">
        <f t="shared" si="44"/>
        <v>0</v>
      </c>
      <c r="DK32" s="134">
        <f t="shared" si="44"/>
        <v>0</v>
      </c>
      <c r="DL32" s="134">
        <f t="shared" si="44"/>
        <v>0</v>
      </c>
      <c r="DM32" s="134">
        <f t="shared" si="44"/>
        <v>0</v>
      </c>
      <c r="DN32" s="134">
        <f t="shared" si="44"/>
        <v>0</v>
      </c>
      <c r="DO32" s="134">
        <f t="shared" si="44"/>
        <v>0</v>
      </c>
      <c r="DP32" s="134">
        <f t="shared" si="44"/>
        <v>0</v>
      </c>
      <c r="DQ32" s="134">
        <f t="shared" si="44"/>
        <v>0</v>
      </c>
      <c r="DR32" s="134">
        <f t="shared" si="44"/>
        <v>0</v>
      </c>
      <c r="DS32" s="134">
        <f t="shared" si="44"/>
        <v>0</v>
      </c>
      <c r="DT32" s="134">
        <f t="shared" si="44"/>
        <v>0</v>
      </c>
      <c r="DU32" s="134">
        <f t="shared" si="44"/>
        <v>0</v>
      </c>
      <c r="DV32" s="134">
        <f t="shared" si="44"/>
        <v>0</v>
      </c>
      <c r="DW32" s="134">
        <f t="shared" si="44"/>
        <v>0</v>
      </c>
      <c r="DX32" s="134">
        <f t="shared" si="44"/>
        <v>0</v>
      </c>
      <c r="DY32" s="134">
        <f t="shared" si="44"/>
        <v>0</v>
      </c>
      <c r="DZ32" s="134">
        <f t="shared" si="44"/>
        <v>0</v>
      </c>
      <c r="EA32" s="134">
        <f t="shared" si="44"/>
        <v>0</v>
      </c>
      <c r="EB32" s="134">
        <f t="shared" si="44"/>
        <v>0</v>
      </c>
      <c r="EC32" s="134">
        <f t="shared" si="44"/>
        <v>0</v>
      </c>
      <c r="ED32" s="134">
        <f t="shared" si="44"/>
        <v>0</v>
      </c>
      <c r="EE32" s="134">
        <f t="shared" si="44"/>
        <v>0</v>
      </c>
      <c r="EF32" s="134">
        <f t="shared" si="44"/>
        <v>0</v>
      </c>
      <c r="EG32" s="134">
        <f t="shared" si="44"/>
        <v>0</v>
      </c>
      <c r="EH32" s="134">
        <f t="shared" si="44"/>
        <v>0</v>
      </c>
      <c r="EI32" s="134">
        <f t="shared" si="44"/>
        <v>0</v>
      </c>
      <c r="EJ32" s="134">
        <f t="shared" si="44"/>
        <v>0</v>
      </c>
      <c r="EK32" s="134">
        <f t="shared" si="44"/>
        <v>0</v>
      </c>
      <c r="EL32" s="134">
        <f t="shared" si="44"/>
        <v>0</v>
      </c>
      <c r="EM32" s="134">
        <f t="shared" ref="EM32:FR32" si="45">SUM(EM33:EM37)</f>
        <v>0</v>
      </c>
      <c r="EN32" s="134">
        <f t="shared" si="45"/>
        <v>0</v>
      </c>
      <c r="EO32" s="134">
        <f t="shared" si="45"/>
        <v>0</v>
      </c>
      <c r="EP32" s="134">
        <f t="shared" si="45"/>
        <v>0</v>
      </c>
      <c r="EQ32" s="134">
        <f t="shared" si="45"/>
        <v>0</v>
      </c>
      <c r="ER32" s="134">
        <f t="shared" si="45"/>
        <v>0</v>
      </c>
      <c r="ES32" s="134">
        <f t="shared" si="45"/>
        <v>0</v>
      </c>
      <c r="ET32" s="134">
        <f t="shared" si="45"/>
        <v>0</v>
      </c>
      <c r="EU32" s="134">
        <f t="shared" si="45"/>
        <v>0</v>
      </c>
      <c r="EV32" s="134">
        <f t="shared" si="45"/>
        <v>0</v>
      </c>
      <c r="EW32" s="134">
        <f t="shared" si="45"/>
        <v>0</v>
      </c>
      <c r="EX32" s="134">
        <f t="shared" si="45"/>
        <v>0</v>
      </c>
      <c r="EY32" s="134">
        <f t="shared" si="45"/>
        <v>0</v>
      </c>
      <c r="EZ32" s="134">
        <f t="shared" si="45"/>
        <v>0</v>
      </c>
      <c r="FA32" s="134">
        <f t="shared" si="45"/>
        <v>0</v>
      </c>
      <c r="FB32" s="134">
        <f t="shared" si="45"/>
        <v>0</v>
      </c>
      <c r="FC32" s="134">
        <f t="shared" si="45"/>
        <v>0</v>
      </c>
      <c r="FD32" s="134">
        <f t="shared" si="45"/>
        <v>0</v>
      </c>
      <c r="FE32" s="134">
        <f t="shared" si="45"/>
        <v>0</v>
      </c>
      <c r="FF32" s="134">
        <f t="shared" si="45"/>
        <v>0</v>
      </c>
      <c r="FG32" s="134">
        <f t="shared" si="45"/>
        <v>0</v>
      </c>
      <c r="FH32" s="134">
        <f t="shared" si="45"/>
        <v>0</v>
      </c>
      <c r="FI32" s="134">
        <f t="shared" si="45"/>
        <v>0</v>
      </c>
      <c r="FJ32" s="134">
        <f t="shared" si="45"/>
        <v>0</v>
      </c>
      <c r="FK32" s="134">
        <f t="shared" si="45"/>
        <v>0</v>
      </c>
      <c r="FL32" s="134">
        <f t="shared" si="45"/>
        <v>0</v>
      </c>
      <c r="FM32" s="134">
        <f t="shared" si="45"/>
        <v>0</v>
      </c>
      <c r="FN32" s="134">
        <f t="shared" si="45"/>
        <v>0</v>
      </c>
      <c r="FO32" s="134">
        <f t="shared" si="45"/>
        <v>0</v>
      </c>
      <c r="FP32" s="134">
        <f t="shared" si="45"/>
        <v>0</v>
      </c>
      <c r="FQ32" s="134">
        <f t="shared" si="45"/>
        <v>0</v>
      </c>
      <c r="FR32" s="134">
        <f t="shared" si="45"/>
        <v>0</v>
      </c>
      <c r="FS32" s="134">
        <f>SUM(FS33:FS37)</f>
        <v>0</v>
      </c>
      <c r="FT32" s="134">
        <f>SUM(FT33:FT37)</f>
        <v>0</v>
      </c>
      <c r="FU32" s="134">
        <f>SUM(FU33:FU37)</f>
        <v>0</v>
      </c>
      <c r="HC32"/>
    </row>
    <row r="33" spans="1:211" s="194" customFormat="1" outlineLevel="2">
      <c r="A33" s="220"/>
      <c r="B33" s="284" t="s">
        <v>189</v>
      </c>
      <c r="C33" s="227" t="s">
        <v>101</v>
      </c>
      <c r="D33" s="352"/>
      <c r="E33" s="352"/>
      <c r="F33" s="224">
        <f t="shared" si="29"/>
        <v>0</v>
      </c>
      <c r="G33" s="224">
        <f t="shared" si="30"/>
        <v>0</v>
      </c>
      <c r="H33" s="233" t="s">
        <v>345</v>
      </c>
      <c r="I33"/>
      <c r="J33" s="134">
        <f>SUMIFS('WBS Summary'!BD:BD,'WBS Summary'!$B:$B, $B33, 'WBS Summary'!$AH:$AH, $C33,'WBS Summary'!$AJ:$AJ, $H33)</f>
        <v>0</v>
      </c>
      <c r="K33" s="134">
        <f>SUMIFS('WBS Summary'!BE:BE,'WBS Summary'!$B:$B, $B33, 'WBS Summary'!$AH:$AH, $C33,'WBS Summary'!$AJ:$AJ, $H33)</f>
        <v>0</v>
      </c>
      <c r="L33" s="134">
        <f>SUMIFS('WBS Summary'!BF:BF,'WBS Summary'!$B:$B, $B33, 'WBS Summary'!$AH:$AH, $C33,'WBS Summary'!$AJ:$AJ, $H33)</f>
        <v>0</v>
      </c>
      <c r="M33" s="134">
        <f>SUMIFS('WBS Summary'!BG:BG,'WBS Summary'!$B:$B, $B33, 'WBS Summary'!$AH:$AH, $C33,'WBS Summary'!$AJ:$AJ, $H33)</f>
        <v>0</v>
      </c>
      <c r="N33" s="134">
        <f>SUMIFS('WBS Summary'!BH:BH,'WBS Summary'!$B:$B, $B33, 'WBS Summary'!$AH:$AH, $C33,'WBS Summary'!$AJ:$AJ, $H33)</f>
        <v>0</v>
      </c>
      <c r="O33" s="134">
        <f>SUMIFS('WBS Summary'!BI:BI,'WBS Summary'!$B:$B, $B33, 'WBS Summary'!$AH:$AH, $C33,'WBS Summary'!$AJ:$AJ, $H33)</f>
        <v>0</v>
      </c>
      <c r="P33" s="134">
        <f>SUMIFS('WBS Summary'!BJ:BJ,'WBS Summary'!$B:$B, $B33, 'WBS Summary'!$AH:$AH, $C33,'WBS Summary'!$AJ:$AJ, $H33)</f>
        <v>0</v>
      </c>
      <c r="Q33" s="134">
        <f>SUMIFS('WBS Summary'!BK:BK,'WBS Summary'!$B:$B, $B33, 'WBS Summary'!$AH:$AH, $C33,'WBS Summary'!$AJ:$AJ, $H33)</f>
        <v>0</v>
      </c>
      <c r="R33" s="134">
        <f>SUMIFS('WBS Summary'!BL:BL,'WBS Summary'!$B:$B, $B33, 'WBS Summary'!$AH:$AH, $C33,'WBS Summary'!$AJ:$AJ, $H33)</f>
        <v>0</v>
      </c>
      <c r="S33" s="134">
        <f>SUMIFS('WBS Summary'!BM:BM,'WBS Summary'!$B:$B, $B33, 'WBS Summary'!$AH:$AH, $C33,'WBS Summary'!$AJ:$AJ, $H33)</f>
        <v>0</v>
      </c>
      <c r="T33" s="134">
        <f>SUMIFS('WBS Summary'!BN:BN,'WBS Summary'!$B:$B, $B33, 'WBS Summary'!$AH:$AH, $C33,'WBS Summary'!$AJ:$AJ, $H33)</f>
        <v>0</v>
      </c>
      <c r="U33" s="134">
        <f>SUMIFS('WBS Summary'!BO:BO,'WBS Summary'!$B:$B, $B33, 'WBS Summary'!$AH:$AH, $C33,'WBS Summary'!$AJ:$AJ, $H33)</f>
        <v>0</v>
      </c>
      <c r="V33" s="134">
        <f>SUMIFS('WBS Summary'!BP:BP,'WBS Summary'!$B:$B, $B33, 'WBS Summary'!$AH:$AH, $C33,'WBS Summary'!$AJ:$AJ, $H33)</f>
        <v>0</v>
      </c>
      <c r="W33" s="134">
        <f>SUMIFS('WBS Summary'!BQ:BQ,'WBS Summary'!$B:$B, $B33, 'WBS Summary'!$AH:$AH, $C33,'WBS Summary'!$AJ:$AJ, $H33)</f>
        <v>0</v>
      </c>
      <c r="X33" s="134">
        <f>SUMIFS('WBS Summary'!BR:BR,'WBS Summary'!$B:$B, $B33, 'WBS Summary'!$AH:$AH, $C33,'WBS Summary'!$AJ:$AJ, $H33)</f>
        <v>0</v>
      </c>
      <c r="Y33" s="134">
        <f>SUMIFS('WBS Summary'!BS:BS,'WBS Summary'!$B:$B, $B33, 'WBS Summary'!$AH:$AH, $C33,'WBS Summary'!$AJ:$AJ, $H33)</f>
        <v>0</v>
      </c>
      <c r="Z33" s="134">
        <f>SUMIFS('WBS Summary'!BT:BT,'WBS Summary'!$B:$B, $B33, 'WBS Summary'!$AH:$AH, $C33,'WBS Summary'!$AJ:$AJ, $H33)</f>
        <v>0</v>
      </c>
      <c r="AA33" s="134">
        <f>SUMIFS('WBS Summary'!BU:BU,'WBS Summary'!$B:$B, $B33, 'WBS Summary'!$AH:$AH, $C33,'WBS Summary'!$AJ:$AJ, $H33)</f>
        <v>0</v>
      </c>
      <c r="AB33" s="134">
        <f>SUMIFS('WBS Summary'!BV:BV,'WBS Summary'!$B:$B, $B33, 'WBS Summary'!$AH:$AH, $C33,'WBS Summary'!$AJ:$AJ, $H33)</f>
        <v>0</v>
      </c>
      <c r="AC33" s="134">
        <f>SUMIFS('WBS Summary'!BW:BW,'WBS Summary'!$B:$B, $B33, 'WBS Summary'!$AH:$AH, $C33,'WBS Summary'!$AJ:$AJ, $H33)</f>
        <v>0</v>
      </c>
      <c r="AD33" s="134">
        <f>SUMIFS('WBS Summary'!BX:BX,'WBS Summary'!$B:$B, $B33, 'WBS Summary'!$AH:$AH, $C33,'WBS Summary'!$AJ:$AJ, $H33)</f>
        <v>0</v>
      </c>
      <c r="AE33" s="134">
        <f>SUMIFS('WBS Summary'!BY:BY,'WBS Summary'!$B:$B, $B33, 'WBS Summary'!$AH:$AH, $C33,'WBS Summary'!$AJ:$AJ, $H33)</f>
        <v>0</v>
      </c>
      <c r="AF33" s="134">
        <f>SUMIFS('WBS Summary'!BZ:BZ,'WBS Summary'!$B:$B, $B33, 'WBS Summary'!$AH:$AH, $C33,'WBS Summary'!$AJ:$AJ, $H33)</f>
        <v>0</v>
      </c>
      <c r="AG33" s="134">
        <f>SUMIFS('WBS Summary'!CA:CA,'WBS Summary'!$B:$B, $B33, 'WBS Summary'!$AH:$AH, $C33,'WBS Summary'!$AJ:$AJ, $H33)</f>
        <v>0</v>
      </c>
      <c r="AH33" s="134">
        <f>SUMIFS('WBS Summary'!CB:CB,'WBS Summary'!$B:$B, $B33, 'WBS Summary'!$AH:$AH, $C33,'WBS Summary'!$AJ:$AJ, $H33)</f>
        <v>0</v>
      </c>
      <c r="AI33" s="134">
        <f>SUMIFS('WBS Summary'!CC:CC,'WBS Summary'!$B:$B, $B33, 'WBS Summary'!$AH:$AH, $C33,'WBS Summary'!$AJ:$AJ, $H33)</f>
        <v>0</v>
      </c>
      <c r="AJ33" s="134">
        <f>SUMIFS('WBS Summary'!CD:CD,'WBS Summary'!$B:$B, $B33, 'WBS Summary'!$AH:$AH, $C33,'WBS Summary'!$AJ:$AJ, $H33)</f>
        <v>0</v>
      </c>
      <c r="AK33" s="134">
        <f>SUMIFS('WBS Summary'!CE:CE,'WBS Summary'!$B:$B, $B33, 'WBS Summary'!$AH:$AH, $C33,'WBS Summary'!$AJ:$AJ, $H33)</f>
        <v>0</v>
      </c>
      <c r="AL33" s="134">
        <f>SUMIFS('WBS Summary'!CF:CF,'WBS Summary'!$B:$B, $B33, 'WBS Summary'!$AH:$AH, $C33,'WBS Summary'!$AJ:$AJ, $H33)</f>
        <v>0</v>
      </c>
      <c r="AM33" s="134">
        <f>SUMIFS('WBS Summary'!CG:CG,'WBS Summary'!$B:$B, $B33, 'WBS Summary'!$AH:$AH, $C33,'WBS Summary'!$AJ:$AJ, $H33)</f>
        <v>0</v>
      </c>
      <c r="AN33" s="134">
        <f>SUMIFS('WBS Summary'!CH:CH,'WBS Summary'!$B:$B, $B33, 'WBS Summary'!$AH:$AH, $C33,'WBS Summary'!$AJ:$AJ, $H33)</f>
        <v>0</v>
      </c>
      <c r="AO33" s="134">
        <f>SUMIFS('WBS Summary'!CI:CI,'WBS Summary'!$B:$B, $B33, 'WBS Summary'!$AH:$AH, $C33,'WBS Summary'!$AJ:$AJ, $H33)</f>
        <v>0</v>
      </c>
      <c r="AP33" s="134">
        <f>SUMIFS('WBS Summary'!CJ:CJ,'WBS Summary'!$B:$B, $B33, 'WBS Summary'!$AH:$AH, $C33,'WBS Summary'!$AJ:$AJ, $H33)</f>
        <v>0</v>
      </c>
      <c r="AQ33" s="134">
        <f>SUMIFS('WBS Summary'!CK:CK,'WBS Summary'!$B:$B, $B33, 'WBS Summary'!$AH:$AH, $C33,'WBS Summary'!$AJ:$AJ, $H33)</f>
        <v>0</v>
      </c>
      <c r="AR33" s="134">
        <f>SUMIFS('WBS Summary'!CL:CL,'WBS Summary'!$B:$B, $B33, 'WBS Summary'!$AH:$AH, $C33,'WBS Summary'!$AJ:$AJ, $H33)</f>
        <v>0</v>
      </c>
      <c r="AS33" s="134">
        <f>SUMIFS('WBS Summary'!CM:CM,'WBS Summary'!$B:$B, $B33, 'WBS Summary'!$AH:$AH, $C33,'WBS Summary'!$AJ:$AJ, $H33)</f>
        <v>0</v>
      </c>
      <c r="AT33" s="134">
        <f>SUMIFS('WBS Summary'!CN:CN,'WBS Summary'!$B:$B, $B33, 'WBS Summary'!$AH:$AH, $C33,'WBS Summary'!$AJ:$AJ, $H33)</f>
        <v>0</v>
      </c>
      <c r="AU33" s="134">
        <f>SUMIFS('WBS Summary'!CO:CO,'WBS Summary'!$B:$B, $B33, 'WBS Summary'!$AH:$AH, $C33,'WBS Summary'!$AJ:$AJ, $H33)</f>
        <v>0</v>
      </c>
      <c r="AV33" s="134">
        <f>SUMIFS('WBS Summary'!CP:CP,'WBS Summary'!$B:$B, $B33, 'WBS Summary'!$AH:$AH, $C33,'WBS Summary'!$AJ:$AJ, $H33)</f>
        <v>0</v>
      </c>
      <c r="AW33" s="134">
        <f>SUMIFS('WBS Summary'!CQ:CQ,'WBS Summary'!$B:$B, $B33, 'WBS Summary'!$AH:$AH, $C33,'WBS Summary'!$AJ:$AJ, $H33)</f>
        <v>0</v>
      </c>
      <c r="AX33" s="134">
        <f>SUMIFS('WBS Summary'!CR:CR,'WBS Summary'!$B:$B, $B33, 'WBS Summary'!$AH:$AH, $C33,'WBS Summary'!$AJ:$AJ, $H33)</f>
        <v>0</v>
      </c>
      <c r="AY33" s="134">
        <f>SUMIFS('WBS Summary'!CS:CS,'WBS Summary'!$B:$B, $B33, 'WBS Summary'!$AH:$AH, $C33,'WBS Summary'!$AJ:$AJ, $H33)</f>
        <v>0</v>
      </c>
      <c r="AZ33" s="134">
        <f>SUMIFS('WBS Summary'!CT:CT,'WBS Summary'!$B:$B, $B33, 'WBS Summary'!$AH:$AH, $C33,'WBS Summary'!$AJ:$AJ, $H33)</f>
        <v>0</v>
      </c>
      <c r="BA33" s="134">
        <f>SUMIFS('WBS Summary'!CU:CU,'WBS Summary'!$B:$B, $B33, 'WBS Summary'!$AH:$AH, $C33,'WBS Summary'!$AJ:$AJ, $H33)</f>
        <v>0</v>
      </c>
      <c r="BB33" s="134">
        <f>SUMIFS('WBS Summary'!CV:CV,'WBS Summary'!$B:$B, $B33, 'WBS Summary'!$AH:$AH, $C33,'WBS Summary'!$AJ:$AJ, $H33)</f>
        <v>0</v>
      </c>
      <c r="BC33" s="134">
        <f>SUMIFS('WBS Summary'!CW:CW,'WBS Summary'!$B:$B, $B33, 'WBS Summary'!$AH:$AH, $C33,'WBS Summary'!$AJ:$AJ, $H33)</f>
        <v>0</v>
      </c>
      <c r="BD33" s="134">
        <f>SUMIFS('WBS Summary'!CX:CX,'WBS Summary'!$B:$B, $B33, 'WBS Summary'!$AH:$AH, $C33,'WBS Summary'!$AJ:$AJ, $H33)</f>
        <v>0</v>
      </c>
      <c r="BE33" s="134">
        <f>SUMIFS('WBS Summary'!CY:CY,'WBS Summary'!$B:$B, $B33, 'WBS Summary'!$AH:$AH, $C33,'WBS Summary'!$AJ:$AJ, $H33)</f>
        <v>0</v>
      </c>
      <c r="BF33" s="134">
        <f>SUMIFS('WBS Summary'!CZ:CZ,'WBS Summary'!$B:$B, $B33, 'WBS Summary'!$AH:$AH, $C33,'WBS Summary'!$AJ:$AJ, $H33)</f>
        <v>0</v>
      </c>
      <c r="BG33" s="134">
        <f>SUMIFS('WBS Summary'!DA:DA,'WBS Summary'!$B:$B, $B33, 'WBS Summary'!$AH:$AH, $C33,'WBS Summary'!$AJ:$AJ, $H33)</f>
        <v>0</v>
      </c>
      <c r="BH33" s="134">
        <f>SUMIFS('WBS Summary'!DB:DB,'WBS Summary'!$B:$B, $B33, 'WBS Summary'!$AH:$AH, $C33,'WBS Summary'!$AJ:$AJ, $H33)</f>
        <v>0</v>
      </c>
      <c r="BI33" s="134">
        <f>SUMIFS('WBS Summary'!DC:DC,'WBS Summary'!$B:$B, $B33, 'WBS Summary'!$AH:$AH, $C33,'WBS Summary'!$AJ:$AJ, $H33)</f>
        <v>0</v>
      </c>
      <c r="BJ33" s="134">
        <f>SUMIFS('WBS Summary'!DD:DD,'WBS Summary'!$B:$B, $B33, 'WBS Summary'!$AH:$AH, $C33,'WBS Summary'!$AJ:$AJ, $H33)</f>
        <v>0</v>
      </c>
      <c r="BK33" s="134">
        <f>SUMIFS('WBS Summary'!DE:DE,'WBS Summary'!$B:$B, $B33, 'WBS Summary'!$AH:$AH, $C33,'WBS Summary'!$AJ:$AJ, $H33)</f>
        <v>0</v>
      </c>
      <c r="BL33" s="134">
        <f>SUMIFS('WBS Summary'!DF:DF,'WBS Summary'!$B:$B, $B33, 'WBS Summary'!$AH:$AH, $C33,'WBS Summary'!$AJ:$AJ, $H33)</f>
        <v>0</v>
      </c>
      <c r="BM33" s="134">
        <f>SUMIFS('WBS Summary'!DG:DG,'WBS Summary'!$B:$B, $B33, 'WBS Summary'!$AH:$AH, $C33,'WBS Summary'!$AJ:$AJ, $H33)</f>
        <v>0</v>
      </c>
      <c r="BN33" s="134">
        <f>SUMIFS('WBS Summary'!DH:DH,'WBS Summary'!$B:$B, $B33, 'WBS Summary'!$AH:$AH, $C33,'WBS Summary'!$AJ:$AJ, $H33)</f>
        <v>0</v>
      </c>
      <c r="BO33" s="134">
        <f>SUMIFS('WBS Summary'!DI:DI,'WBS Summary'!$B:$B, $B33, 'WBS Summary'!$AH:$AH, $C33,'WBS Summary'!$AJ:$AJ, $H33)</f>
        <v>0</v>
      </c>
      <c r="BP33" s="134">
        <f>SUMIFS('WBS Summary'!DJ:DJ,'WBS Summary'!$B:$B, $B33, 'WBS Summary'!$AH:$AH, $C33,'WBS Summary'!$AJ:$AJ, $H33)</f>
        <v>0</v>
      </c>
      <c r="BQ33" s="134">
        <f>SUMIFS('WBS Summary'!DK:DK,'WBS Summary'!$B:$B, $B33, 'WBS Summary'!$AH:$AH, $C33,'WBS Summary'!$AJ:$AJ, $H33)</f>
        <v>0</v>
      </c>
      <c r="BR33" s="134">
        <f>SUMIFS('WBS Summary'!DL:DL,'WBS Summary'!$B:$B, $B33, 'WBS Summary'!$AH:$AH, $C33,'WBS Summary'!$AJ:$AJ, $H33)</f>
        <v>0</v>
      </c>
      <c r="BS33" s="134">
        <f>SUMIFS('WBS Summary'!DM:DM,'WBS Summary'!$B:$B, $B33, 'WBS Summary'!$AH:$AH, $C33,'WBS Summary'!$AJ:$AJ, $H33)</f>
        <v>0</v>
      </c>
      <c r="BT33" s="134">
        <f>SUMIFS('WBS Summary'!DN:DN,'WBS Summary'!$B:$B, $B33, 'WBS Summary'!$AH:$AH, $C33,'WBS Summary'!$AJ:$AJ, $H33)</f>
        <v>0</v>
      </c>
      <c r="BU33" s="134">
        <f>SUMIFS('WBS Summary'!DO:DO,'WBS Summary'!$B:$B, $B33, 'WBS Summary'!$AH:$AH, $C33,'WBS Summary'!$AJ:$AJ, $H33)</f>
        <v>0</v>
      </c>
      <c r="BV33" s="134">
        <f>SUMIFS('WBS Summary'!DP:DP,'WBS Summary'!$B:$B, $B33, 'WBS Summary'!$AH:$AH, $C33,'WBS Summary'!$AJ:$AJ, $H33)</f>
        <v>0</v>
      </c>
      <c r="BW33" s="134">
        <f>SUMIFS('WBS Summary'!DQ:DQ,'WBS Summary'!$B:$B, $B33, 'WBS Summary'!$AH:$AH, $C33,'WBS Summary'!$AJ:$AJ, $H33)</f>
        <v>0</v>
      </c>
      <c r="BX33" s="134">
        <f>SUMIFS('WBS Summary'!DR:DR,'WBS Summary'!$B:$B, $B33, 'WBS Summary'!$AH:$AH, $C33,'WBS Summary'!$AJ:$AJ, $H33)</f>
        <v>0</v>
      </c>
      <c r="BY33" s="134">
        <f>SUMIFS('WBS Summary'!DS:DS,'WBS Summary'!$B:$B, $B33, 'WBS Summary'!$AH:$AH, $C33,'WBS Summary'!$AJ:$AJ, $H33)</f>
        <v>0</v>
      </c>
      <c r="BZ33" s="134">
        <f>SUMIFS('WBS Summary'!DT:DT,'WBS Summary'!$B:$B, $B33, 'WBS Summary'!$AH:$AH, $C33,'WBS Summary'!$AJ:$AJ, $H33)</f>
        <v>0</v>
      </c>
      <c r="CA33" s="134">
        <f>SUMIFS('WBS Summary'!DU:DU,'WBS Summary'!$B:$B, $B33, 'WBS Summary'!$AH:$AH, $C33,'WBS Summary'!$AJ:$AJ, $H33)</f>
        <v>0</v>
      </c>
      <c r="CB33" s="134">
        <f>SUMIFS('WBS Summary'!DV:DV,'WBS Summary'!$B:$B, $B33, 'WBS Summary'!$AH:$AH, $C33,'WBS Summary'!$AJ:$AJ, $H33)</f>
        <v>0</v>
      </c>
      <c r="CC33" s="134">
        <f>SUMIFS('WBS Summary'!DW:DW,'WBS Summary'!$B:$B, $B33, 'WBS Summary'!$AH:$AH, $C33,'WBS Summary'!$AJ:$AJ, $H33)</f>
        <v>0</v>
      </c>
      <c r="CD33" s="134">
        <f>SUMIFS('WBS Summary'!DX:DX,'WBS Summary'!$B:$B, $B33, 'WBS Summary'!$AH:$AH, $C33,'WBS Summary'!$AJ:$AJ, $H33)</f>
        <v>0</v>
      </c>
      <c r="CE33" s="134">
        <f>SUMIFS('WBS Summary'!DY:DY,'WBS Summary'!$B:$B, $B33, 'WBS Summary'!$AH:$AH, $C33,'WBS Summary'!$AJ:$AJ, $H33)</f>
        <v>0</v>
      </c>
      <c r="CF33" s="134">
        <f>SUMIFS('WBS Summary'!DZ:DZ,'WBS Summary'!$B:$B, $B33, 'WBS Summary'!$AH:$AH, $C33,'WBS Summary'!$AJ:$AJ, $H33)</f>
        <v>0</v>
      </c>
      <c r="CG33" s="134">
        <f>SUMIFS('WBS Summary'!EA:EA,'WBS Summary'!$B:$B, $B33, 'WBS Summary'!$AH:$AH, $C33,'WBS Summary'!$AJ:$AJ, $H33)</f>
        <v>0</v>
      </c>
      <c r="CH33" s="134">
        <f>SUMIFS('WBS Summary'!EB:EB,'WBS Summary'!$B:$B, $B33, 'WBS Summary'!$AH:$AH, $C33,'WBS Summary'!$AJ:$AJ, $H33)</f>
        <v>0</v>
      </c>
      <c r="CI33" s="134">
        <f>SUMIFS('WBS Summary'!EC:EC,'WBS Summary'!$B:$B, $B33, 'WBS Summary'!$AH:$AH, $C33,'WBS Summary'!$AJ:$AJ, $H33)</f>
        <v>0</v>
      </c>
      <c r="CJ33" s="134">
        <f>SUMIFS('WBS Summary'!ED:ED,'WBS Summary'!$B:$B, $B33, 'WBS Summary'!$AH:$AH, $C33,'WBS Summary'!$AJ:$AJ, $H33)</f>
        <v>0</v>
      </c>
      <c r="CK33" s="134">
        <f>SUMIFS('WBS Summary'!EE:EE,'WBS Summary'!$B:$B, $B33, 'WBS Summary'!$AH:$AH, $C33,'WBS Summary'!$AJ:$AJ, $H33)</f>
        <v>0</v>
      </c>
      <c r="CL33" s="134">
        <f>SUMIFS('WBS Summary'!EF:EF,'WBS Summary'!$B:$B, $B33, 'WBS Summary'!$AH:$AH, $C33,'WBS Summary'!$AJ:$AJ, $H33)</f>
        <v>0</v>
      </c>
      <c r="CM33" s="134">
        <f>SUMIFS('WBS Summary'!EG:EG,'WBS Summary'!$B:$B, $B33, 'WBS Summary'!$AH:$AH, $C33,'WBS Summary'!$AJ:$AJ, $H33)</f>
        <v>0</v>
      </c>
      <c r="CN33" s="134">
        <f>SUMIFS('WBS Summary'!EH:EH,'WBS Summary'!$B:$B, $B33, 'WBS Summary'!$AH:$AH, $C33,'WBS Summary'!$AJ:$AJ, $H33)</f>
        <v>0</v>
      </c>
      <c r="CO33" s="134">
        <f>SUMIFS('WBS Summary'!EI:EI,'WBS Summary'!$B:$B, $B33, 'WBS Summary'!$AH:$AH, $C33,'WBS Summary'!$AJ:$AJ, $H33)</f>
        <v>0</v>
      </c>
      <c r="CP33" s="134">
        <f>SUMIFS('WBS Summary'!EJ:EJ,'WBS Summary'!$B:$B, $B33, 'WBS Summary'!$AH:$AH, $C33,'WBS Summary'!$AJ:$AJ, $H33)</f>
        <v>0</v>
      </c>
      <c r="CQ33" s="134">
        <f>SUMIFS('WBS Summary'!EK:EK,'WBS Summary'!$B:$B, $B33, 'WBS Summary'!$AH:$AH, $C33,'WBS Summary'!$AJ:$AJ, $H33)</f>
        <v>0</v>
      </c>
      <c r="CR33" s="134">
        <f>SUMIFS('WBS Summary'!EL:EL,'WBS Summary'!$B:$B, $B33, 'WBS Summary'!$AH:$AH, $C33,'WBS Summary'!$AJ:$AJ, $H33)</f>
        <v>0</v>
      </c>
      <c r="CS33" s="134">
        <f>SUMIFS('WBS Summary'!EM:EM,'WBS Summary'!$B:$B, $B33, 'WBS Summary'!$AH:$AH, $C33,'WBS Summary'!$AJ:$AJ, $H33)</f>
        <v>0</v>
      </c>
      <c r="CT33" s="134">
        <f>SUMIFS('WBS Summary'!EN:EN,'WBS Summary'!$B:$B, $B33, 'WBS Summary'!$AH:$AH, $C33,'WBS Summary'!$AJ:$AJ, $H33)</f>
        <v>0</v>
      </c>
      <c r="CU33" s="134">
        <f>SUMIFS('WBS Summary'!EO:EO,'WBS Summary'!$B:$B, $B33, 'WBS Summary'!$AH:$AH, $C33,'WBS Summary'!$AJ:$AJ, $H33)</f>
        <v>0</v>
      </c>
      <c r="CV33" s="134">
        <f>SUMIFS('WBS Summary'!EP:EP,'WBS Summary'!$B:$B, $B33, 'WBS Summary'!$AH:$AH, $C33,'WBS Summary'!$AJ:$AJ, $H33)</f>
        <v>0</v>
      </c>
      <c r="CW33" s="134">
        <f>SUMIFS('WBS Summary'!EQ:EQ,'WBS Summary'!$B:$B, $B33, 'WBS Summary'!$AH:$AH, $C33,'WBS Summary'!$AJ:$AJ, $H33)</f>
        <v>0</v>
      </c>
      <c r="CX33" s="134">
        <f>SUMIFS('WBS Summary'!ER:ER,'WBS Summary'!$B:$B, $B33, 'WBS Summary'!$AH:$AH, $C33,'WBS Summary'!$AJ:$AJ, $H33)</f>
        <v>0</v>
      </c>
      <c r="CY33" s="134">
        <f>SUMIFS('WBS Summary'!ES:ES,'WBS Summary'!$B:$B, $B33, 'WBS Summary'!$AH:$AH, $C33,'WBS Summary'!$AJ:$AJ, $H33)</f>
        <v>0</v>
      </c>
      <c r="CZ33" s="134">
        <f>SUMIFS('WBS Summary'!ET:ET,'WBS Summary'!$B:$B, $B33, 'WBS Summary'!$AH:$AH, $C33,'WBS Summary'!$AJ:$AJ, $H33)</f>
        <v>0</v>
      </c>
      <c r="DA33" s="134">
        <f>SUMIFS('WBS Summary'!EU:EU,'WBS Summary'!$B:$B, $B33, 'WBS Summary'!$AH:$AH, $C33,'WBS Summary'!$AJ:$AJ, $H33)</f>
        <v>0</v>
      </c>
      <c r="DB33" s="134">
        <f>SUMIFS('WBS Summary'!EV:EV,'WBS Summary'!$B:$B, $B33, 'WBS Summary'!$AH:$AH, $C33,'WBS Summary'!$AJ:$AJ, $H33)</f>
        <v>0</v>
      </c>
      <c r="DC33" s="134">
        <f>SUMIFS('WBS Summary'!EW:EW,'WBS Summary'!$B:$B, $B33, 'WBS Summary'!$AH:$AH, $C33,'WBS Summary'!$AJ:$AJ, $H33)</f>
        <v>0</v>
      </c>
      <c r="DD33" s="134">
        <f>SUMIFS('WBS Summary'!EX:EX,'WBS Summary'!$B:$B, $B33, 'WBS Summary'!$AH:$AH, $C33,'WBS Summary'!$AJ:$AJ, $H33)</f>
        <v>0</v>
      </c>
      <c r="DE33" s="134">
        <f>SUMIFS('WBS Summary'!EY:EY,'WBS Summary'!$B:$B, $B33, 'WBS Summary'!$AH:$AH, $C33,'WBS Summary'!$AJ:$AJ, $H33)</f>
        <v>0</v>
      </c>
      <c r="DF33"/>
      <c r="DG33" s="134">
        <f>SUMIFS('WBS Summary'!FR:FR,'WBS Summary'!$B:$B, $B33, 'WBS Summary'!$AH:$AH, $C33,'WBS Summary'!$AJ:$AJ, $H33)</f>
        <v>0</v>
      </c>
      <c r="DH33" s="134">
        <f>SUMIFS('WBS Summary'!FS:FS,'WBS Summary'!$B:$B, $B33, 'WBS Summary'!$AH:$AH, $C33,'WBS Summary'!$AJ:$AJ, $H33)</f>
        <v>0</v>
      </c>
      <c r="DI33" s="134">
        <f>SUMIFS('WBS Summary'!FT:FT,'WBS Summary'!$B:$B, $B33, 'WBS Summary'!$AH:$AH, $C33,'WBS Summary'!$AJ:$AJ, $H33)</f>
        <v>0</v>
      </c>
      <c r="DJ33" s="134">
        <f>SUMIFS('WBS Summary'!FU:FU,'WBS Summary'!$B:$B, $B33, 'WBS Summary'!$AH:$AH, $C33,'WBS Summary'!$AJ:$AJ, $H33)</f>
        <v>0</v>
      </c>
      <c r="DK33" s="134">
        <f>SUMIFS('WBS Summary'!FV:FV,'WBS Summary'!$B:$B, $B33, 'WBS Summary'!$AH:$AH, $C33,'WBS Summary'!$AJ:$AJ, $H33)</f>
        <v>0</v>
      </c>
      <c r="DL33" s="134">
        <f>SUMIFS('WBS Summary'!FW:FW,'WBS Summary'!$B:$B, $B33, 'WBS Summary'!$AH:$AH, $C33,'WBS Summary'!$AJ:$AJ, $H33)</f>
        <v>0</v>
      </c>
      <c r="DM33" s="134">
        <f>SUMIFS('WBS Summary'!FX:FX,'WBS Summary'!$B:$B, $B33, 'WBS Summary'!$AH:$AH, $C33,'WBS Summary'!$AJ:$AJ, $H33)</f>
        <v>0</v>
      </c>
      <c r="DN33" s="134">
        <f>SUMIFS('WBS Summary'!FY:FY,'WBS Summary'!$B:$B, $B33, 'WBS Summary'!$AH:$AH, $C33,'WBS Summary'!$AJ:$AJ, $H33)</f>
        <v>0</v>
      </c>
      <c r="DO33" s="134">
        <f>SUMIFS('WBS Summary'!FZ:FZ,'WBS Summary'!$B:$B, $B33, 'WBS Summary'!$AH:$AH, $C33,'WBS Summary'!$AJ:$AJ, $H33)</f>
        <v>0</v>
      </c>
      <c r="DP33" s="134">
        <f>SUMIFS('WBS Summary'!GA:GA,'WBS Summary'!$B:$B, $B33, 'WBS Summary'!$AH:$AH, $C33,'WBS Summary'!$AJ:$AJ, $H33)</f>
        <v>0</v>
      </c>
      <c r="DQ33" s="134">
        <f>SUMIFS('WBS Summary'!GB:GB,'WBS Summary'!$B:$B, $B33, 'WBS Summary'!$AH:$AH, $C33,'WBS Summary'!$AJ:$AJ, $H33)</f>
        <v>0</v>
      </c>
      <c r="DR33" s="134">
        <f>SUMIFS('WBS Summary'!GC:GC,'WBS Summary'!$B:$B, $B33, 'WBS Summary'!$AH:$AH, $C33,'WBS Summary'!$AJ:$AJ, $H33)</f>
        <v>0</v>
      </c>
      <c r="DS33" s="134">
        <f>SUMIFS('WBS Summary'!GD:GD,'WBS Summary'!$B:$B, $B33, 'WBS Summary'!$AH:$AH, $C33,'WBS Summary'!$AJ:$AJ, $H33)</f>
        <v>0</v>
      </c>
      <c r="DT33" s="134">
        <f>SUMIFS('WBS Summary'!GE:GE,'WBS Summary'!$B:$B, $B33, 'WBS Summary'!$AH:$AH, $C33,'WBS Summary'!$AJ:$AJ, $H33)</f>
        <v>0</v>
      </c>
      <c r="DU33" s="134">
        <f>SUMIFS('WBS Summary'!GF:GF,'WBS Summary'!$B:$B, $B33, 'WBS Summary'!$AH:$AH, $C33,'WBS Summary'!$AJ:$AJ, $H33)</f>
        <v>0</v>
      </c>
      <c r="DV33" s="134">
        <f>SUMIFS('WBS Summary'!GG:GG,'WBS Summary'!$B:$B, $B33, 'WBS Summary'!$AH:$AH, $C33,'WBS Summary'!$AJ:$AJ, $H33)</f>
        <v>0</v>
      </c>
      <c r="DW33" s="134">
        <f>SUMIFS('WBS Summary'!GH:GH,'WBS Summary'!$B:$B, $B33, 'WBS Summary'!$AH:$AH, $C33,'WBS Summary'!$AJ:$AJ, $H33)</f>
        <v>0</v>
      </c>
      <c r="DX33" s="134">
        <f>SUMIFS('WBS Summary'!GI:GI,'WBS Summary'!$B:$B, $B33, 'WBS Summary'!$AH:$AH, $C33,'WBS Summary'!$AJ:$AJ, $H33)</f>
        <v>0</v>
      </c>
      <c r="DY33" s="134">
        <f>SUMIFS('WBS Summary'!GJ:GJ,'WBS Summary'!$B:$B, $B33, 'WBS Summary'!$AH:$AH, $C33,'WBS Summary'!$AJ:$AJ, $H33)</f>
        <v>0</v>
      </c>
      <c r="DZ33" s="134">
        <f>SUMIFS('WBS Summary'!GK:GK,'WBS Summary'!$B:$B, $B33, 'WBS Summary'!$AH:$AH, $C33,'WBS Summary'!$AJ:$AJ, $H33)</f>
        <v>0</v>
      </c>
      <c r="EA33" s="134">
        <f>SUMIFS('WBS Summary'!GL:GL,'WBS Summary'!$B:$B, $B33, 'WBS Summary'!$AH:$AH, $C33,'WBS Summary'!$AJ:$AJ, $H33)</f>
        <v>0</v>
      </c>
      <c r="EB33" s="134">
        <f>SUMIFS('WBS Summary'!GM:GM,'WBS Summary'!$B:$B, $B33, 'WBS Summary'!$AH:$AH, $C33,'WBS Summary'!$AJ:$AJ, $H33)</f>
        <v>0</v>
      </c>
      <c r="EC33" s="134">
        <f>SUMIFS('WBS Summary'!GN:GN,'WBS Summary'!$B:$B, $B33, 'WBS Summary'!$AH:$AH, $C33,'WBS Summary'!$AJ:$AJ, $H33)</f>
        <v>0</v>
      </c>
      <c r="ED33" s="134">
        <f>SUMIFS('WBS Summary'!GO:GO,'WBS Summary'!$B:$B, $B33, 'WBS Summary'!$AH:$AH, $C33,'WBS Summary'!$AJ:$AJ, $H33)</f>
        <v>0</v>
      </c>
      <c r="EE33" s="134">
        <f>SUMIFS('WBS Summary'!GP:GP,'WBS Summary'!$B:$B, $B33, 'WBS Summary'!$AH:$AH, $C33,'WBS Summary'!$AJ:$AJ, $H33)</f>
        <v>0</v>
      </c>
      <c r="EF33" s="134">
        <f>SUMIFS('WBS Summary'!GQ:GQ,'WBS Summary'!$B:$B, $B33, 'WBS Summary'!$AH:$AH, $C33,'WBS Summary'!$AJ:$AJ, $H33)</f>
        <v>0</v>
      </c>
      <c r="EG33" s="134">
        <f>SUMIFS('WBS Summary'!GR:GR,'WBS Summary'!$B:$B, $B33, 'WBS Summary'!$AH:$AH, $C33,'WBS Summary'!$AJ:$AJ, $H33)</f>
        <v>0</v>
      </c>
      <c r="EH33" s="134">
        <f>SUMIFS('WBS Summary'!GS:GS,'WBS Summary'!$B:$B, $B33, 'WBS Summary'!$AH:$AH, $C33,'WBS Summary'!$AJ:$AJ, $H33)</f>
        <v>0</v>
      </c>
      <c r="EI33" s="134">
        <f>SUMIFS('WBS Summary'!GT:GT,'WBS Summary'!$B:$B, $B33, 'WBS Summary'!$AH:$AH, $C33,'WBS Summary'!$AJ:$AJ, $H33)</f>
        <v>0</v>
      </c>
      <c r="EJ33" s="134">
        <f>SUMIFS('WBS Summary'!GU:GU,'WBS Summary'!$B:$B, $B33, 'WBS Summary'!$AH:$AH, $C33,'WBS Summary'!$AJ:$AJ, $H33)</f>
        <v>0</v>
      </c>
      <c r="EK33" s="134">
        <f>SUMIFS('WBS Summary'!GV:GV,'WBS Summary'!$B:$B, $B33, 'WBS Summary'!$AH:$AH, $C33,'WBS Summary'!$AJ:$AJ, $H33)</f>
        <v>0</v>
      </c>
      <c r="EL33" s="134">
        <f>SUMIFS('WBS Summary'!GW:GW,'WBS Summary'!$B:$B, $B33, 'WBS Summary'!$AH:$AH, $C33,'WBS Summary'!$AJ:$AJ, $H33)</f>
        <v>0</v>
      </c>
      <c r="EM33" s="134">
        <f>SUMIFS('WBS Summary'!GX:GX,'WBS Summary'!$B:$B, $B33, 'WBS Summary'!$AH:$AH, $C33,'WBS Summary'!$AJ:$AJ, $H33)</f>
        <v>0</v>
      </c>
      <c r="EN33" s="134">
        <f>SUMIFS('WBS Summary'!GY:GY,'WBS Summary'!$B:$B, $B33, 'WBS Summary'!$AH:$AH, $C33,'WBS Summary'!$AJ:$AJ, $H33)</f>
        <v>0</v>
      </c>
      <c r="EO33" s="134">
        <f>SUMIFS('WBS Summary'!GZ:GZ,'WBS Summary'!$B:$B, $B33, 'WBS Summary'!$AH:$AH, $C33,'WBS Summary'!$AJ:$AJ, $H33)</f>
        <v>0</v>
      </c>
      <c r="EP33" s="134">
        <f>SUMIFS('WBS Summary'!HA:HA,'WBS Summary'!$B:$B, $B33, 'WBS Summary'!$AH:$AH, $C33,'WBS Summary'!$AJ:$AJ, $H33)</f>
        <v>0</v>
      </c>
      <c r="EQ33" s="134">
        <f>SUMIFS('WBS Summary'!HB:HB,'WBS Summary'!$B:$B, $B33, 'WBS Summary'!$AH:$AH, $C33,'WBS Summary'!$AJ:$AJ, $H33)</f>
        <v>0</v>
      </c>
      <c r="ER33" s="134">
        <f>SUMIFS('WBS Summary'!HC:HC,'WBS Summary'!$B:$B, $B33, 'WBS Summary'!$AH:$AH, $C33,'WBS Summary'!$AJ:$AJ, $H33)</f>
        <v>0</v>
      </c>
      <c r="ES33" s="134">
        <f>SUMIFS('WBS Summary'!HD:HD,'WBS Summary'!$B:$B, $B33, 'WBS Summary'!$AH:$AH, $C33,'WBS Summary'!$AJ:$AJ, $H33)</f>
        <v>0</v>
      </c>
      <c r="ET33" s="134">
        <f>SUMIFS('WBS Summary'!HE:HE,'WBS Summary'!$B:$B, $B33, 'WBS Summary'!$AH:$AH, $C33,'WBS Summary'!$AJ:$AJ, $H33)</f>
        <v>0</v>
      </c>
      <c r="EU33" s="134">
        <f>SUMIFS('WBS Summary'!HF:HF,'WBS Summary'!$B:$B, $B33, 'WBS Summary'!$AH:$AH, $C33,'WBS Summary'!$AJ:$AJ, $H33)</f>
        <v>0</v>
      </c>
      <c r="EV33" s="134">
        <f>SUMIFS('WBS Summary'!HG:HG,'WBS Summary'!$B:$B, $B33, 'WBS Summary'!$AH:$AH, $C33,'WBS Summary'!$AJ:$AJ, $H33)</f>
        <v>0</v>
      </c>
      <c r="EW33" s="134">
        <f>SUMIFS('WBS Summary'!HH:HH,'WBS Summary'!$B:$B, $B33, 'WBS Summary'!$AH:$AH, $C33,'WBS Summary'!$AJ:$AJ, $H33)</f>
        <v>0</v>
      </c>
      <c r="EX33" s="134">
        <f>SUMIFS('WBS Summary'!HI:HI,'WBS Summary'!$B:$B, $B33, 'WBS Summary'!$AH:$AH, $C33,'WBS Summary'!$AJ:$AJ, $H33)</f>
        <v>0</v>
      </c>
      <c r="EY33" s="134">
        <f>SUMIFS('WBS Summary'!HJ:HJ,'WBS Summary'!$B:$B, $B33, 'WBS Summary'!$AH:$AH, $C33,'WBS Summary'!$AJ:$AJ, $H33)</f>
        <v>0</v>
      </c>
      <c r="EZ33" s="134">
        <f>SUMIFS('WBS Summary'!HK:HK,'WBS Summary'!$B:$B, $B33, 'WBS Summary'!$AH:$AH, $C33,'WBS Summary'!$AJ:$AJ, $H33)</f>
        <v>0</v>
      </c>
      <c r="FA33" s="134">
        <f>SUMIFS('WBS Summary'!HL:HL,'WBS Summary'!$B:$B, $B33, 'WBS Summary'!$AH:$AH, $C33,'WBS Summary'!$AJ:$AJ, $H33)</f>
        <v>0</v>
      </c>
      <c r="FB33" s="134">
        <f>SUMIFS('WBS Summary'!HM:HM,'WBS Summary'!$B:$B, $B33, 'WBS Summary'!$AH:$AH, $C33,'WBS Summary'!$AJ:$AJ, $H33)</f>
        <v>0</v>
      </c>
      <c r="FC33" s="134">
        <f>SUMIFS('WBS Summary'!HN:HN,'WBS Summary'!$B:$B, $B33, 'WBS Summary'!$AH:$AH, $C33,'WBS Summary'!$AJ:$AJ, $H33)</f>
        <v>0</v>
      </c>
      <c r="FD33" s="134">
        <f>SUMIFS('WBS Summary'!HO:HO,'WBS Summary'!$B:$B, $B33, 'WBS Summary'!$AH:$AH, $C33,'WBS Summary'!$AJ:$AJ, $H33)</f>
        <v>0</v>
      </c>
      <c r="FE33" s="134">
        <f>SUMIFS('WBS Summary'!HP:HP,'WBS Summary'!$B:$B, $B33, 'WBS Summary'!$AH:$AH, $C33,'WBS Summary'!$AJ:$AJ, $H33)</f>
        <v>0</v>
      </c>
      <c r="FF33" s="134">
        <f>SUMIFS('WBS Summary'!HQ:HQ,'WBS Summary'!$B:$B, $B33, 'WBS Summary'!$AH:$AH, $C33,'WBS Summary'!$AJ:$AJ, $H33)</f>
        <v>0</v>
      </c>
      <c r="FG33" s="134">
        <f>SUMIFS('WBS Summary'!HR:HR,'WBS Summary'!$B:$B, $B33, 'WBS Summary'!$AH:$AH, $C33,'WBS Summary'!$AJ:$AJ, $H33)</f>
        <v>0</v>
      </c>
      <c r="FH33" s="134">
        <f>SUMIFS('WBS Summary'!HS:HS,'WBS Summary'!$B:$B, $B33, 'WBS Summary'!$AH:$AH, $C33,'WBS Summary'!$AJ:$AJ, $H33)</f>
        <v>0</v>
      </c>
      <c r="FI33" s="134">
        <f>SUMIFS('WBS Summary'!HT:HT,'WBS Summary'!$B:$B, $B33, 'WBS Summary'!$AH:$AH, $C33,'WBS Summary'!$AJ:$AJ, $H33)</f>
        <v>0</v>
      </c>
      <c r="FJ33" s="134">
        <f>SUMIFS('WBS Summary'!HU:HU,'WBS Summary'!$B:$B, $B33, 'WBS Summary'!$AH:$AH, $C33,'WBS Summary'!$AJ:$AJ, $H33)</f>
        <v>0</v>
      </c>
      <c r="FK33" s="134">
        <f>SUMIFS('WBS Summary'!HV:HV,'WBS Summary'!$B:$B, $B33, 'WBS Summary'!$AH:$AH, $C33,'WBS Summary'!$AJ:$AJ, $H33)</f>
        <v>0</v>
      </c>
      <c r="FL33" s="134">
        <f>SUMIFS('WBS Summary'!HW:HW,'WBS Summary'!$B:$B, $B33, 'WBS Summary'!$AH:$AH, $C33,'WBS Summary'!$AJ:$AJ, $H33)</f>
        <v>0</v>
      </c>
      <c r="FM33" s="134">
        <f>SUMIFS('WBS Summary'!HX:HX,'WBS Summary'!$B:$B, $B33, 'WBS Summary'!$AH:$AH, $C33,'WBS Summary'!$AJ:$AJ, $H33)</f>
        <v>0</v>
      </c>
      <c r="FN33" s="134">
        <f>SUMIFS('WBS Summary'!HY:HY,'WBS Summary'!$B:$B, $B33, 'WBS Summary'!$AH:$AH, $C33,'WBS Summary'!$AJ:$AJ, $H33)</f>
        <v>0</v>
      </c>
      <c r="FO33" s="134">
        <f>SUMIFS('WBS Summary'!HZ:HZ,'WBS Summary'!$B:$B, $B33, 'WBS Summary'!$AH:$AH, $C33,'WBS Summary'!$AJ:$AJ, $H33)</f>
        <v>0</v>
      </c>
      <c r="FP33" s="134">
        <f>SUMIFS('WBS Summary'!IA:IA,'WBS Summary'!$B:$B, $B33, 'WBS Summary'!$AH:$AH, $C33,'WBS Summary'!$AJ:$AJ, $H33)</f>
        <v>0</v>
      </c>
      <c r="FQ33" s="134">
        <f>SUMIFS('WBS Summary'!IB:IB,'WBS Summary'!$B:$B, $B33, 'WBS Summary'!$AH:$AH, $C33,'WBS Summary'!$AJ:$AJ, $H33)</f>
        <v>0</v>
      </c>
      <c r="FR33" s="134">
        <f>SUMIFS('WBS Summary'!IC:IC,'WBS Summary'!$B:$B, $B33, 'WBS Summary'!$AH:$AH, $C33,'WBS Summary'!$AJ:$AJ, $H33)</f>
        <v>0</v>
      </c>
      <c r="FS33" s="134">
        <f>SUMIFS('WBS Summary'!ID:ID,'WBS Summary'!$B:$B, $B33, 'WBS Summary'!$AH:$AH, $C33,'WBS Summary'!$AJ:$AJ, $H33)</f>
        <v>0</v>
      </c>
      <c r="FT33" s="134">
        <f>SUMIFS('WBS Summary'!IE:IE,'WBS Summary'!$B:$B, $B33, 'WBS Summary'!$AH:$AH, $C33,'WBS Summary'!$AJ:$AJ, $H33)</f>
        <v>0</v>
      </c>
      <c r="FU33" s="134">
        <f>SUMIFS('WBS Summary'!IF:IF,'WBS Summary'!$B:$B, $B33, 'WBS Summary'!$AH:$AH, $C33,'WBS Summary'!$AJ:$AJ, $H33)</f>
        <v>0</v>
      </c>
      <c r="FV33" s="134">
        <f>SUMIFS('WBS Summary'!IG:IG,'WBS Summary'!$B:$B, $B33, 'WBS Summary'!$AH:$AH, $C33,'WBS Summary'!$AJ:$AJ, $H33)</f>
        <v>0</v>
      </c>
      <c r="FW33" s="134">
        <f>SUMIFS('WBS Summary'!IH:IH,'WBS Summary'!$B:$B, $B33, 'WBS Summary'!$AH:$AH, $C33,'WBS Summary'!$AJ:$AJ, $H33)</f>
        <v>0</v>
      </c>
      <c r="FX33" s="134">
        <f>SUMIFS('WBS Summary'!II:II,'WBS Summary'!$B:$B, $B33, 'WBS Summary'!$AH:$AH, $C33,'WBS Summary'!$AJ:$AJ, $H33)</f>
        <v>0</v>
      </c>
      <c r="FY33" s="134">
        <f>SUMIFS('WBS Summary'!IJ:IJ,'WBS Summary'!$B:$B, $B33, 'WBS Summary'!$AH:$AH, $C33,'WBS Summary'!$AJ:$AJ, $H33)</f>
        <v>0</v>
      </c>
      <c r="FZ33" s="134">
        <f>SUMIFS('WBS Summary'!IK:IK,'WBS Summary'!$B:$B, $B33, 'WBS Summary'!$AH:$AH, $C33,'WBS Summary'!$AJ:$AJ, $H33)</f>
        <v>0</v>
      </c>
      <c r="GA33" s="134">
        <f>SUMIFS('WBS Summary'!IL:IL,'WBS Summary'!$B:$B, $B33, 'WBS Summary'!$AH:$AH, $C33,'WBS Summary'!$AJ:$AJ, $H33)</f>
        <v>0</v>
      </c>
      <c r="GB33" s="134">
        <f>SUMIFS('WBS Summary'!IM:IM,'WBS Summary'!$B:$B, $B33, 'WBS Summary'!$AH:$AH, $C33,'WBS Summary'!$AJ:$AJ, $H33)</f>
        <v>0</v>
      </c>
      <c r="GC33" s="134">
        <f>SUMIFS('WBS Summary'!IN:IN,'WBS Summary'!$B:$B, $B33, 'WBS Summary'!$AH:$AH, $C33,'WBS Summary'!$AJ:$AJ, $H33)</f>
        <v>0</v>
      </c>
      <c r="GD33" s="134">
        <f>SUMIFS('WBS Summary'!IO:IO,'WBS Summary'!$B:$B, $B33, 'WBS Summary'!$AH:$AH, $C33,'WBS Summary'!$AJ:$AJ, $H33)</f>
        <v>0</v>
      </c>
      <c r="GE33" s="134">
        <f>SUMIFS('WBS Summary'!IP:IP,'WBS Summary'!$B:$B, $B33, 'WBS Summary'!$AH:$AH, $C33,'WBS Summary'!$AJ:$AJ, $H33)</f>
        <v>0</v>
      </c>
      <c r="GF33" s="134">
        <f>SUMIFS('WBS Summary'!IQ:IQ,'WBS Summary'!$B:$B, $B33, 'WBS Summary'!$AH:$AH, $C33,'WBS Summary'!$AJ:$AJ, $H33)</f>
        <v>0</v>
      </c>
      <c r="GG33" s="134">
        <f>SUMIFS('WBS Summary'!IR:IR,'WBS Summary'!$B:$B, $B33, 'WBS Summary'!$AH:$AH, $C33,'WBS Summary'!$AJ:$AJ, $H33)</f>
        <v>0</v>
      </c>
      <c r="GH33" s="134">
        <f>SUMIFS('WBS Summary'!IS:IS,'WBS Summary'!$B:$B, $B33, 'WBS Summary'!$AH:$AH, $C33,'WBS Summary'!$AJ:$AJ, $H33)</f>
        <v>0</v>
      </c>
      <c r="GI33" s="134">
        <f>SUMIFS('WBS Summary'!IT:IT,'WBS Summary'!$B:$B, $B33, 'WBS Summary'!$AH:$AH, $C33,'WBS Summary'!$AJ:$AJ, $H33)</f>
        <v>0</v>
      </c>
      <c r="GJ33" s="134">
        <f>SUMIFS('WBS Summary'!IU:IU,'WBS Summary'!$B:$B, $B33, 'WBS Summary'!$AH:$AH, $C33,'WBS Summary'!$AJ:$AJ, $H33)</f>
        <v>0</v>
      </c>
      <c r="GK33" s="134">
        <f>SUMIFS('WBS Summary'!IV:IV,'WBS Summary'!$B:$B, $B33, 'WBS Summary'!$AH:$AH, $C33,'WBS Summary'!$AJ:$AJ, $H33)</f>
        <v>0</v>
      </c>
      <c r="GL33" s="134">
        <f>SUMIFS('WBS Summary'!IW:IW,'WBS Summary'!$B:$B, $B33, 'WBS Summary'!$AH:$AH, $C33,'WBS Summary'!$AJ:$AJ, $H33)</f>
        <v>0</v>
      </c>
      <c r="GM33" s="134">
        <f>SUMIFS('WBS Summary'!IX:IX,'WBS Summary'!$B:$B, $B33, 'WBS Summary'!$AH:$AH, $C33,'WBS Summary'!$AJ:$AJ, $H33)</f>
        <v>0</v>
      </c>
      <c r="GN33" s="134">
        <f>SUMIFS('WBS Summary'!IY:IY,'WBS Summary'!$B:$B, $B33, 'WBS Summary'!$AH:$AH, $C33,'WBS Summary'!$AJ:$AJ, $H33)</f>
        <v>0</v>
      </c>
      <c r="GO33" s="134">
        <f>SUMIFS('WBS Summary'!IZ:IZ,'WBS Summary'!$B:$B, $B33, 'WBS Summary'!$AH:$AH, $C33,'WBS Summary'!$AJ:$AJ, $H33)</f>
        <v>0</v>
      </c>
      <c r="GP33" s="134">
        <f>SUMIFS('WBS Summary'!JA:JA,'WBS Summary'!$B:$B, $B33, 'WBS Summary'!$AH:$AH, $C33,'WBS Summary'!$AJ:$AJ, $H33)</f>
        <v>0</v>
      </c>
      <c r="GQ33" s="134">
        <f>SUMIFS('WBS Summary'!JB:JB,'WBS Summary'!$B:$B, $B33, 'WBS Summary'!$AH:$AH, $C33,'WBS Summary'!$AJ:$AJ, $H33)</f>
        <v>0</v>
      </c>
      <c r="GR33" s="134">
        <f>SUMIFS('WBS Summary'!JC:JC,'WBS Summary'!$B:$B, $B33, 'WBS Summary'!$AH:$AH, $C33,'WBS Summary'!$AJ:$AJ, $H33)</f>
        <v>0</v>
      </c>
      <c r="GS33" s="134">
        <f>SUMIFS('WBS Summary'!JD:JD,'WBS Summary'!$B:$B, $B33, 'WBS Summary'!$AH:$AH, $C33,'WBS Summary'!$AJ:$AJ, $H33)</f>
        <v>0</v>
      </c>
      <c r="GT33" s="134">
        <f>SUMIFS('WBS Summary'!JE:JE,'WBS Summary'!$B:$B, $B33, 'WBS Summary'!$AH:$AH, $C33,'WBS Summary'!$AJ:$AJ, $H33)</f>
        <v>0</v>
      </c>
      <c r="GU33" s="134">
        <f>SUMIFS('WBS Summary'!JF:JF,'WBS Summary'!$B:$B, $B33, 'WBS Summary'!$AH:$AH, $C33,'WBS Summary'!$AJ:$AJ, $H33)</f>
        <v>0</v>
      </c>
      <c r="GV33" s="134">
        <f>SUMIFS('WBS Summary'!JG:JG,'WBS Summary'!$B:$B, $B33, 'WBS Summary'!$AH:$AH, $C33,'WBS Summary'!$AJ:$AJ, $H33)</f>
        <v>0</v>
      </c>
      <c r="GW33" s="134">
        <f>SUMIFS('WBS Summary'!JH:JH,'WBS Summary'!$B:$B, $B33, 'WBS Summary'!$AH:$AH, $C33,'WBS Summary'!$AJ:$AJ, $H33)</f>
        <v>0</v>
      </c>
      <c r="GX33" s="134">
        <f>SUMIFS('WBS Summary'!JI:JI,'WBS Summary'!$B:$B, $B33, 'WBS Summary'!$AH:$AH, $C33,'WBS Summary'!$AJ:$AJ, $H33)</f>
        <v>0</v>
      </c>
      <c r="GY33" s="134">
        <f>SUMIFS('WBS Summary'!JJ:JJ,'WBS Summary'!$B:$B, $B33, 'WBS Summary'!$AH:$AH, $C33,'WBS Summary'!$AJ:$AJ, $H33)</f>
        <v>0</v>
      </c>
      <c r="GZ33" s="134">
        <f>SUMIFS('WBS Summary'!JK:JK,'WBS Summary'!$B:$B, $B33, 'WBS Summary'!$AH:$AH, $C33,'WBS Summary'!$AJ:$AJ, $H33)</f>
        <v>0</v>
      </c>
      <c r="HA33" s="134">
        <f>SUMIFS('WBS Summary'!JL:JL,'WBS Summary'!$B:$B, $B33, 'WBS Summary'!$AH:$AH, $C33,'WBS Summary'!$AJ:$AJ, $H33)</f>
        <v>0</v>
      </c>
      <c r="HB33" s="134">
        <f>SUMIFS('WBS Summary'!JM:JM,'WBS Summary'!$B:$B, $B33, 'WBS Summary'!$AH:$AH, $C33,'WBS Summary'!$AJ:$AJ, $H33)</f>
        <v>0</v>
      </c>
      <c r="HC33"/>
    </row>
    <row r="34" spans="1:211" s="194" customFormat="1" outlineLevel="2">
      <c r="A34" s="220"/>
      <c r="B34" s="284" t="s">
        <v>189</v>
      </c>
      <c r="C34" s="227" t="s">
        <v>70</v>
      </c>
      <c r="D34" s="352"/>
      <c r="E34" s="352"/>
      <c r="F34" s="224">
        <f t="shared" si="29"/>
        <v>0</v>
      </c>
      <c r="G34" s="224">
        <f t="shared" si="30"/>
        <v>0</v>
      </c>
      <c r="H34" s="233" t="s">
        <v>345</v>
      </c>
      <c r="I34"/>
      <c r="J34" s="134">
        <f>SUMIFS('WBS Summary'!BD:BD,'WBS Summary'!$B:$B, $B34, 'WBS Summary'!$AH:$AH, $C34,'WBS Summary'!$AJ:$AJ, $H34)</f>
        <v>0</v>
      </c>
      <c r="K34" s="134">
        <f>SUMIFS('WBS Summary'!BE:BE,'WBS Summary'!$B:$B, $B34, 'WBS Summary'!$AH:$AH, $C34,'WBS Summary'!$AJ:$AJ, $H34)</f>
        <v>0</v>
      </c>
      <c r="L34" s="134">
        <f>SUMIFS('WBS Summary'!BF:BF,'WBS Summary'!$B:$B, $B34, 'WBS Summary'!$AH:$AH, $C34,'WBS Summary'!$AJ:$AJ, $H34)</f>
        <v>0</v>
      </c>
      <c r="M34" s="134">
        <f>SUMIFS('WBS Summary'!BG:BG,'WBS Summary'!$B:$B, $B34, 'WBS Summary'!$AH:$AH, $C34,'WBS Summary'!$AJ:$AJ, $H34)</f>
        <v>0</v>
      </c>
      <c r="N34" s="134">
        <f>SUMIFS('WBS Summary'!BH:BH,'WBS Summary'!$B:$B, $B34, 'WBS Summary'!$AH:$AH, $C34,'WBS Summary'!$AJ:$AJ, $H34)</f>
        <v>0</v>
      </c>
      <c r="O34" s="134">
        <f>SUMIFS('WBS Summary'!BI:BI,'WBS Summary'!$B:$B, $B34, 'WBS Summary'!$AH:$AH, $C34,'WBS Summary'!$AJ:$AJ, $H34)</f>
        <v>0</v>
      </c>
      <c r="P34" s="134">
        <f>SUMIFS('WBS Summary'!BJ:BJ,'WBS Summary'!$B:$B, $B34, 'WBS Summary'!$AH:$AH, $C34,'WBS Summary'!$AJ:$AJ, $H34)</f>
        <v>0</v>
      </c>
      <c r="Q34" s="134">
        <f>SUMIFS('WBS Summary'!BK:BK,'WBS Summary'!$B:$B, $B34, 'WBS Summary'!$AH:$AH, $C34,'WBS Summary'!$AJ:$AJ, $H34)</f>
        <v>0</v>
      </c>
      <c r="R34" s="134">
        <f>SUMIFS('WBS Summary'!BL:BL,'WBS Summary'!$B:$B, $B34, 'WBS Summary'!$AH:$AH, $C34,'WBS Summary'!$AJ:$AJ, $H34)</f>
        <v>0</v>
      </c>
      <c r="S34" s="134">
        <f>SUMIFS('WBS Summary'!BM:BM,'WBS Summary'!$B:$B, $B34, 'WBS Summary'!$AH:$AH, $C34,'WBS Summary'!$AJ:$AJ, $H34)</f>
        <v>0</v>
      </c>
      <c r="T34" s="134">
        <f>SUMIFS('WBS Summary'!BN:BN,'WBS Summary'!$B:$B, $B34, 'WBS Summary'!$AH:$AH, $C34,'WBS Summary'!$AJ:$AJ, $H34)</f>
        <v>0</v>
      </c>
      <c r="U34" s="134">
        <f>SUMIFS('WBS Summary'!BO:BO,'WBS Summary'!$B:$B, $B34, 'WBS Summary'!$AH:$AH, $C34,'WBS Summary'!$AJ:$AJ, $H34)</f>
        <v>0</v>
      </c>
      <c r="V34" s="134">
        <f>SUMIFS('WBS Summary'!BP:BP,'WBS Summary'!$B:$B, $B34, 'WBS Summary'!$AH:$AH, $C34,'WBS Summary'!$AJ:$AJ, $H34)</f>
        <v>0</v>
      </c>
      <c r="W34" s="134">
        <f>SUMIFS('WBS Summary'!BQ:BQ,'WBS Summary'!$B:$B, $B34, 'WBS Summary'!$AH:$AH, $C34,'WBS Summary'!$AJ:$AJ, $H34)</f>
        <v>0</v>
      </c>
      <c r="X34" s="134">
        <f>SUMIFS('WBS Summary'!BR:BR,'WBS Summary'!$B:$B, $B34, 'WBS Summary'!$AH:$AH, $C34,'WBS Summary'!$AJ:$AJ, $H34)</f>
        <v>0</v>
      </c>
      <c r="Y34" s="134">
        <f>SUMIFS('WBS Summary'!BS:BS,'WBS Summary'!$B:$B, $B34, 'WBS Summary'!$AH:$AH, $C34,'WBS Summary'!$AJ:$AJ, $H34)</f>
        <v>0</v>
      </c>
      <c r="Z34" s="134">
        <f>SUMIFS('WBS Summary'!BT:BT,'WBS Summary'!$B:$B, $B34, 'WBS Summary'!$AH:$AH, $C34,'WBS Summary'!$AJ:$AJ, $H34)</f>
        <v>0</v>
      </c>
      <c r="AA34" s="134">
        <f>SUMIFS('WBS Summary'!BU:BU,'WBS Summary'!$B:$B, $B34, 'WBS Summary'!$AH:$AH, $C34,'WBS Summary'!$AJ:$AJ, $H34)</f>
        <v>0</v>
      </c>
      <c r="AB34" s="134">
        <f>SUMIFS('WBS Summary'!BV:BV,'WBS Summary'!$B:$B, $B34, 'WBS Summary'!$AH:$AH, $C34,'WBS Summary'!$AJ:$AJ, $H34)</f>
        <v>0</v>
      </c>
      <c r="AC34" s="134">
        <f>SUMIFS('WBS Summary'!BW:BW,'WBS Summary'!$B:$B, $B34, 'WBS Summary'!$AH:$AH, $C34,'WBS Summary'!$AJ:$AJ, $H34)</f>
        <v>0</v>
      </c>
      <c r="AD34" s="134">
        <f>SUMIFS('WBS Summary'!BX:BX,'WBS Summary'!$B:$B, $B34, 'WBS Summary'!$AH:$AH, $C34,'WBS Summary'!$AJ:$AJ, $H34)</f>
        <v>0</v>
      </c>
      <c r="AE34" s="134">
        <f>SUMIFS('WBS Summary'!BY:BY,'WBS Summary'!$B:$B, $B34, 'WBS Summary'!$AH:$AH, $C34,'WBS Summary'!$AJ:$AJ, $H34)</f>
        <v>0</v>
      </c>
      <c r="AF34" s="134">
        <f>SUMIFS('WBS Summary'!BZ:BZ,'WBS Summary'!$B:$B, $B34, 'WBS Summary'!$AH:$AH, $C34,'WBS Summary'!$AJ:$AJ, $H34)</f>
        <v>0</v>
      </c>
      <c r="AG34" s="134">
        <f>SUMIFS('WBS Summary'!CA:CA,'WBS Summary'!$B:$B, $B34, 'WBS Summary'!$AH:$AH, $C34,'WBS Summary'!$AJ:$AJ, $H34)</f>
        <v>0</v>
      </c>
      <c r="AH34" s="134">
        <f>SUMIFS('WBS Summary'!CB:CB,'WBS Summary'!$B:$B, $B34, 'WBS Summary'!$AH:$AH, $C34,'WBS Summary'!$AJ:$AJ, $H34)</f>
        <v>0</v>
      </c>
      <c r="AI34" s="134">
        <f>SUMIFS('WBS Summary'!CC:CC,'WBS Summary'!$B:$B, $B34, 'WBS Summary'!$AH:$AH, $C34,'WBS Summary'!$AJ:$AJ, $H34)</f>
        <v>0</v>
      </c>
      <c r="AJ34" s="134">
        <f>SUMIFS('WBS Summary'!CD:CD,'WBS Summary'!$B:$B, $B34, 'WBS Summary'!$AH:$AH, $C34,'WBS Summary'!$AJ:$AJ, $H34)</f>
        <v>0</v>
      </c>
      <c r="AK34" s="134">
        <f>SUMIFS('WBS Summary'!CE:CE,'WBS Summary'!$B:$B, $B34, 'WBS Summary'!$AH:$AH, $C34,'WBS Summary'!$AJ:$AJ, $H34)</f>
        <v>0</v>
      </c>
      <c r="AL34" s="134">
        <f>SUMIFS('WBS Summary'!CF:CF,'WBS Summary'!$B:$B, $B34, 'WBS Summary'!$AH:$AH, $C34,'WBS Summary'!$AJ:$AJ, $H34)</f>
        <v>0</v>
      </c>
      <c r="AM34" s="134">
        <f>SUMIFS('WBS Summary'!CG:CG,'WBS Summary'!$B:$B, $B34, 'WBS Summary'!$AH:$AH, $C34,'WBS Summary'!$AJ:$AJ, $H34)</f>
        <v>0</v>
      </c>
      <c r="AN34" s="134">
        <f>SUMIFS('WBS Summary'!CH:CH,'WBS Summary'!$B:$B, $B34, 'WBS Summary'!$AH:$AH, $C34,'WBS Summary'!$AJ:$AJ, $H34)</f>
        <v>0</v>
      </c>
      <c r="AO34" s="134">
        <f>SUMIFS('WBS Summary'!CI:CI,'WBS Summary'!$B:$B, $B34, 'WBS Summary'!$AH:$AH, $C34,'WBS Summary'!$AJ:$AJ, $H34)</f>
        <v>0</v>
      </c>
      <c r="AP34" s="134">
        <f>SUMIFS('WBS Summary'!CJ:CJ,'WBS Summary'!$B:$B, $B34, 'WBS Summary'!$AH:$AH, $C34,'WBS Summary'!$AJ:$AJ, $H34)</f>
        <v>0</v>
      </c>
      <c r="AQ34" s="134">
        <f>SUMIFS('WBS Summary'!CK:CK,'WBS Summary'!$B:$B, $B34, 'WBS Summary'!$AH:$AH, $C34,'WBS Summary'!$AJ:$AJ, $H34)</f>
        <v>0</v>
      </c>
      <c r="AR34" s="134">
        <f>SUMIFS('WBS Summary'!CL:CL,'WBS Summary'!$B:$B, $B34, 'WBS Summary'!$AH:$AH, $C34,'WBS Summary'!$AJ:$AJ, $H34)</f>
        <v>0</v>
      </c>
      <c r="AS34" s="134">
        <f>SUMIFS('WBS Summary'!CM:CM,'WBS Summary'!$B:$B, $B34, 'WBS Summary'!$AH:$AH, $C34,'WBS Summary'!$AJ:$AJ, $H34)</f>
        <v>0</v>
      </c>
      <c r="AT34" s="134">
        <f>SUMIFS('WBS Summary'!CN:CN,'WBS Summary'!$B:$B, $B34, 'WBS Summary'!$AH:$AH, $C34,'WBS Summary'!$AJ:$AJ, $H34)</f>
        <v>0</v>
      </c>
      <c r="AU34" s="134">
        <f>SUMIFS('WBS Summary'!CO:CO,'WBS Summary'!$B:$B, $B34, 'WBS Summary'!$AH:$AH, $C34,'WBS Summary'!$AJ:$AJ, $H34)</f>
        <v>0</v>
      </c>
      <c r="AV34" s="134">
        <f>SUMIFS('WBS Summary'!CP:CP,'WBS Summary'!$B:$B, $B34, 'WBS Summary'!$AH:$AH, $C34,'WBS Summary'!$AJ:$AJ, $H34)</f>
        <v>0</v>
      </c>
      <c r="AW34" s="134">
        <f>SUMIFS('WBS Summary'!CQ:CQ,'WBS Summary'!$B:$B, $B34, 'WBS Summary'!$AH:$AH, $C34,'WBS Summary'!$AJ:$AJ, $H34)</f>
        <v>0</v>
      </c>
      <c r="AX34" s="134">
        <f>SUMIFS('WBS Summary'!CR:CR,'WBS Summary'!$B:$B, $B34, 'WBS Summary'!$AH:$AH, $C34,'WBS Summary'!$AJ:$AJ, $H34)</f>
        <v>0</v>
      </c>
      <c r="AY34" s="134">
        <f>SUMIFS('WBS Summary'!CS:CS,'WBS Summary'!$B:$B, $B34, 'WBS Summary'!$AH:$AH, $C34,'WBS Summary'!$AJ:$AJ, $H34)</f>
        <v>0</v>
      </c>
      <c r="AZ34" s="134">
        <f>SUMIFS('WBS Summary'!CT:CT,'WBS Summary'!$B:$B, $B34, 'WBS Summary'!$AH:$AH, $C34,'WBS Summary'!$AJ:$AJ, $H34)</f>
        <v>0</v>
      </c>
      <c r="BA34" s="134">
        <f>SUMIFS('WBS Summary'!CU:CU,'WBS Summary'!$B:$B, $B34, 'WBS Summary'!$AH:$AH, $C34,'WBS Summary'!$AJ:$AJ, $H34)</f>
        <v>0</v>
      </c>
      <c r="BB34" s="134">
        <f>SUMIFS('WBS Summary'!CV:CV,'WBS Summary'!$B:$B, $B34, 'WBS Summary'!$AH:$AH, $C34,'WBS Summary'!$AJ:$AJ, $H34)</f>
        <v>0</v>
      </c>
      <c r="BC34" s="134">
        <f>SUMIFS('WBS Summary'!CW:CW,'WBS Summary'!$B:$B, $B34, 'WBS Summary'!$AH:$AH, $C34,'WBS Summary'!$AJ:$AJ, $H34)</f>
        <v>0</v>
      </c>
      <c r="BD34" s="134">
        <f>SUMIFS('WBS Summary'!CX:CX,'WBS Summary'!$B:$B, $B34, 'WBS Summary'!$AH:$AH, $C34,'WBS Summary'!$AJ:$AJ, $H34)</f>
        <v>0</v>
      </c>
      <c r="BE34" s="134">
        <f>SUMIFS('WBS Summary'!CY:CY,'WBS Summary'!$B:$B, $B34, 'WBS Summary'!$AH:$AH, $C34,'WBS Summary'!$AJ:$AJ, $H34)</f>
        <v>0</v>
      </c>
      <c r="BF34" s="134">
        <f>SUMIFS('WBS Summary'!CZ:CZ,'WBS Summary'!$B:$B, $B34, 'WBS Summary'!$AH:$AH, $C34,'WBS Summary'!$AJ:$AJ, $H34)</f>
        <v>0</v>
      </c>
      <c r="BG34" s="134">
        <f>SUMIFS('WBS Summary'!DA:DA,'WBS Summary'!$B:$B, $B34, 'WBS Summary'!$AH:$AH, $C34,'WBS Summary'!$AJ:$AJ, $H34)</f>
        <v>0</v>
      </c>
      <c r="BH34" s="134">
        <f>SUMIFS('WBS Summary'!DB:DB,'WBS Summary'!$B:$B, $B34, 'WBS Summary'!$AH:$AH, $C34,'WBS Summary'!$AJ:$AJ, $H34)</f>
        <v>0</v>
      </c>
      <c r="BI34" s="134">
        <f>SUMIFS('WBS Summary'!DC:DC,'WBS Summary'!$B:$B, $B34, 'WBS Summary'!$AH:$AH, $C34,'WBS Summary'!$AJ:$AJ, $H34)</f>
        <v>0</v>
      </c>
      <c r="BJ34" s="134">
        <f>SUMIFS('WBS Summary'!DD:DD,'WBS Summary'!$B:$B, $B34, 'WBS Summary'!$AH:$AH, $C34,'WBS Summary'!$AJ:$AJ, $H34)</f>
        <v>0</v>
      </c>
      <c r="BK34" s="134">
        <f>SUMIFS('WBS Summary'!DE:DE,'WBS Summary'!$B:$B, $B34, 'WBS Summary'!$AH:$AH, $C34,'WBS Summary'!$AJ:$AJ, $H34)</f>
        <v>0</v>
      </c>
      <c r="BL34" s="134">
        <f>SUMIFS('WBS Summary'!DF:DF,'WBS Summary'!$B:$B, $B34, 'WBS Summary'!$AH:$AH, $C34,'WBS Summary'!$AJ:$AJ, $H34)</f>
        <v>0</v>
      </c>
      <c r="BM34" s="134">
        <f>SUMIFS('WBS Summary'!DG:DG,'WBS Summary'!$B:$B, $B34, 'WBS Summary'!$AH:$AH, $C34,'WBS Summary'!$AJ:$AJ, $H34)</f>
        <v>0</v>
      </c>
      <c r="BN34" s="134">
        <f>SUMIFS('WBS Summary'!DH:DH,'WBS Summary'!$B:$B, $B34, 'WBS Summary'!$AH:$AH, $C34,'WBS Summary'!$AJ:$AJ, $H34)</f>
        <v>0</v>
      </c>
      <c r="BO34" s="134">
        <f>SUMIFS('WBS Summary'!DI:DI,'WBS Summary'!$B:$B, $B34, 'WBS Summary'!$AH:$AH, $C34,'WBS Summary'!$AJ:$AJ, $H34)</f>
        <v>0</v>
      </c>
      <c r="BP34" s="134">
        <f>SUMIFS('WBS Summary'!DJ:DJ,'WBS Summary'!$B:$B, $B34, 'WBS Summary'!$AH:$AH, $C34,'WBS Summary'!$AJ:$AJ, $H34)</f>
        <v>0</v>
      </c>
      <c r="BQ34" s="134">
        <f>SUMIFS('WBS Summary'!DK:DK,'WBS Summary'!$B:$B, $B34, 'WBS Summary'!$AH:$AH, $C34,'WBS Summary'!$AJ:$AJ, $H34)</f>
        <v>0</v>
      </c>
      <c r="BR34" s="134">
        <f>SUMIFS('WBS Summary'!DL:DL,'WBS Summary'!$B:$B, $B34, 'WBS Summary'!$AH:$AH, $C34,'WBS Summary'!$AJ:$AJ, $H34)</f>
        <v>0</v>
      </c>
      <c r="BS34" s="134">
        <f>SUMIFS('WBS Summary'!DM:DM,'WBS Summary'!$B:$B, $B34, 'WBS Summary'!$AH:$AH, $C34,'WBS Summary'!$AJ:$AJ, $H34)</f>
        <v>0</v>
      </c>
      <c r="BT34" s="134">
        <f>SUMIFS('WBS Summary'!DN:DN,'WBS Summary'!$B:$B, $B34, 'WBS Summary'!$AH:$AH, $C34,'WBS Summary'!$AJ:$AJ, $H34)</f>
        <v>0</v>
      </c>
      <c r="BU34" s="134">
        <f>SUMIFS('WBS Summary'!DO:DO,'WBS Summary'!$B:$B, $B34, 'WBS Summary'!$AH:$AH, $C34,'WBS Summary'!$AJ:$AJ, $H34)</f>
        <v>0</v>
      </c>
      <c r="BV34" s="134">
        <f>SUMIFS('WBS Summary'!DP:DP,'WBS Summary'!$B:$B, $B34, 'WBS Summary'!$AH:$AH, $C34,'WBS Summary'!$AJ:$AJ, $H34)</f>
        <v>0</v>
      </c>
      <c r="BW34" s="134">
        <f>SUMIFS('WBS Summary'!DQ:DQ,'WBS Summary'!$B:$B, $B34, 'WBS Summary'!$AH:$AH, $C34,'WBS Summary'!$AJ:$AJ, $H34)</f>
        <v>0</v>
      </c>
      <c r="BX34" s="134">
        <f>SUMIFS('WBS Summary'!DR:DR,'WBS Summary'!$B:$B, $B34, 'WBS Summary'!$AH:$AH, $C34,'WBS Summary'!$AJ:$AJ, $H34)</f>
        <v>0</v>
      </c>
      <c r="BY34" s="134">
        <f>SUMIFS('WBS Summary'!DS:DS,'WBS Summary'!$B:$B, $B34, 'WBS Summary'!$AH:$AH, $C34,'WBS Summary'!$AJ:$AJ, $H34)</f>
        <v>0</v>
      </c>
      <c r="BZ34" s="134">
        <f>SUMIFS('WBS Summary'!DT:DT,'WBS Summary'!$B:$B, $B34, 'WBS Summary'!$AH:$AH, $C34,'WBS Summary'!$AJ:$AJ, $H34)</f>
        <v>0</v>
      </c>
      <c r="CA34" s="134">
        <f>SUMIFS('WBS Summary'!DU:DU,'WBS Summary'!$B:$B, $B34, 'WBS Summary'!$AH:$AH, $C34,'WBS Summary'!$AJ:$AJ, $H34)</f>
        <v>0</v>
      </c>
      <c r="CB34" s="134">
        <f>SUMIFS('WBS Summary'!DV:DV,'WBS Summary'!$B:$B, $B34, 'WBS Summary'!$AH:$AH, $C34,'WBS Summary'!$AJ:$AJ, $H34)</f>
        <v>0</v>
      </c>
      <c r="CC34" s="134">
        <f>SUMIFS('WBS Summary'!DW:DW,'WBS Summary'!$B:$B, $B34, 'WBS Summary'!$AH:$AH, $C34,'WBS Summary'!$AJ:$AJ, $H34)</f>
        <v>0</v>
      </c>
      <c r="CD34" s="134">
        <f>SUMIFS('WBS Summary'!DX:DX,'WBS Summary'!$B:$B, $B34, 'WBS Summary'!$AH:$AH, $C34,'WBS Summary'!$AJ:$AJ, $H34)</f>
        <v>0</v>
      </c>
      <c r="CE34" s="134">
        <f>SUMIFS('WBS Summary'!DY:DY,'WBS Summary'!$B:$B, $B34, 'WBS Summary'!$AH:$AH, $C34,'WBS Summary'!$AJ:$AJ, $H34)</f>
        <v>0</v>
      </c>
      <c r="CF34" s="134">
        <f>SUMIFS('WBS Summary'!DZ:DZ,'WBS Summary'!$B:$B, $B34, 'WBS Summary'!$AH:$AH, $C34,'WBS Summary'!$AJ:$AJ, $H34)</f>
        <v>0</v>
      </c>
      <c r="CG34" s="134">
        <f>SUMIFS('WBS Summary'!EA:EA,'WBS Summary'!$B:$B, $B34, 'WBS Summary'!$AH:$AH, $C34,'WBS Summary'!$AJ:$AJ, $H34)</f>
        <v>0</v>
      </c>
      <c r="CH34" s="134">
        <f>SUMIFS('WBS Summary'!EB:EB,'WBS Summary'!$B:$B, $B34, 'WBS Summary'!$AH:$AH, $C34,'WBS Summary'!$AJ:$AJ, $H34)</f>
        <v>0</v>
      </c>
      <c r="CI34" s="134">
        <f>SUMIFS('WBS Summary'!EC:EC,'WBS Summary'!$B:$B, $B34, 'WBS Summary'!$AH:$AH, $C34,'WBS Summary'!$AJ:$AJ, $H34)</f>
        <v>0</v>
      </c>
      <c r="CJ34" s="134">
        <f>SUMIFS('WBS Summary'!ED:ED,'WBS Summary'!$B:$B, $B34, 'WBS Summary'!$AH:$AH, $C34,'WBS Summary'!$AJ:$AJ, $H34)</f>
        <v>0</v>
      </c>
      <c r="CK34" s="134">
        <f>SUMIFS('WBS Summary'!EE:EE,'WBS Summary'!$B:$B, $B34, 'WBS Summary'!$AH:$AH, $C34,'WBS Summary'!$AJ:$AJ, $H34)</f>
        <v>0</v>
      </c>
      <c r="CL34" s="134">
        <f>SUMIFS('WBS Summary'!EF:EF,'WBS Summary'!$B:$B, $B34, 'WBS Summary'!$AH:$AH, $C34,'WBS Summary'!$AJ:$AJ, $H34)</f>
        <v>0</v>
      </c>
      <c r="CM34" s="134">
        <f>SUMIFS('WBS Summary'!EG:EG,'WBS Summary'!$B:$B, $B34, 'WBS Summary'!$AH:$AH, $C34,'WBS Summary'!$AJ:$AJ, $H34)</f>
        <v>0</v>
      </c>
      <c r="CN34" s="134">
        <f>SUMIFS('WBS Summary'!EH:EH,'WBS Summary'!$B:$B, $B34, 'WBS Summary'!$AH:$AH, $C34,'WBS Summary'!$AJ:$AJ, $H34)</f>
        <v>0</v>
      </c>
      <c r="CO34" s="134">
        <f>SUMIFS('WBS Summary'!EI:EI,'WBS Summary'!$B:$B, $B34, 'WBS Summary'!$AH:$AH, $C34,'WBS Summary'!$AJ:$AJ, $H34)</f>
        <v>0</v>
      </c>
      <c r="CP34" s="134">
        <f>SUMIFS('WBS Summary'!EJ:EJ,'WBS Summary'!$B:$B, $B34, 'WBS Summary'!$AH:$AH, $C34,'WBS Summary'!$AJ:$AJ, $H34)</f>
        <v>0</v>
      </c>
      <c r="CQ34" s="134">
        <f>SUMIFS('WBS Summary'!EK:EK,'WBS Summary'!$B:$B, $B34, 'WBS Summary'!$AH:$AH, $C34,'WBS Summary'!$AJ:$AJ, $H34)</f>
        <v>0</v>
      </c>
      <c r="CR34" s="134">
        <f>SUMIFS('WBS Summary'!EL:EL,'WBS Summary'!$B:$B, $B34, 'WBS Summary'!$AH:$AH, $C34,'WBS Summary'!$AJ:$AJ, $H34)</f>
        <v>0</v>
      </c>
      <c r="CS34" s="134">
        <f>SUMIFS('WBS Summary'!EM:EM,'WBS Summary'!$B:$B, $B34, 'WBS Summary'!$AH:$AH, $C34,'WBS Summary'!$AJ:$AJ, $H34)</f>
        <v>0</v>
      </c>
      <c r="CT34" s="134">
        <f>SUMIFS('WBS Summary'!EN:EN,'WBS Summary'!$B:$B, $B34, 'WBS Summary'!$AH:$AH, $C34,'WBS Summary'!$AJ:$AJ, $H34)</f>
        <v>0</v>
      </c>
      <c r="CU34" s="134">
        <f>SUMIFS('WBS Summary'!EO:EO,'WBS Summary'!$B:$B, $B34, 'WBS Summary'!$AH:$AH, $C34,'WBS Summary'!$AJ:$AJ, $H34)</f>
        <v>0</v>
      </c>
      <c r="CV34" s="134">
        <f>SUMIFS('WBS Summary'!EP:EP,'WBS Summary'!$B:$B, $B34, 'WBS Summary'!$AH:$AH, $C34,'WBS Summary'!$AJ:$AJ, $H34)</f>
        <v>0</v>
      </c>
      <c r="CW34" s="134">
        <f>SUMIFS('WBS Summary'!EQ:EQ,'WBS Summary'!$B:$B, $B34, 'WBS Summary'!$AH:$AH, $C34,'WBS Summary'!$AJ:$AJ, $H34)</f>
        <v>0</v>
      </c>
      <c r="CX34" s="134">
        <f>SUMIFS('WBS Summary'!ER:ER,'WBS Summary'!$B:$B, $B34, 'WBS Summary'!$AH:$AH, $C34,'WBS Summary'!$AJ:$AJ, $H34)</f>
        <v>0</v>
      </c>
      <c r="CY34" s="134">
        <f>SUMIFS('WBS Summary'!ES:ES,'WBS Summary'!$B:$B, $B34, 'WBS Summary'!$AH:$AH, $C34,'WBS Summary'!$AJ:$AJ, $H34)</f>
        <v>0</v>
      </c>
      <c r="CZ34" s="134">
        <f>SUMIFS('WBS Summary'!ET:ET,'WBS Summary'!$B:$B, $B34, 'WBS Summary'!$AH:$AH, $C34,'WBS Summary'!$AJ:$AJ, $H34)</f>
        <v>0</v>
      </c>
      <c r="DA34" s="134">
        <f>SUMIFS('WBS Summary'!EU:EU,'WBS Summary'!$B:$B, $B34, 'WBS Summary'!$AH:$AH, $C34,'WBS Summary'!$AJ:$AJ, $H34)</f>
        <v>0</v>
      </c>
      <c r="DB34" s="134">
        <f>SUMIFS('WBS Summary'!EV:EV,'WBS Summary'!$B:$B, $B34, 'WBS Summary'!$AH:$AH, $C34,'WBS Summary'!$AJ:$AJ, $H34)</f>
        <v>0</v>
      </c>
      <c r="DC34" s="134">
        <f>SUMIFS('WBS Summary'!EW:EW,'WBS Summary'!$B:$B, $B34, 'WBS Summary'!$AH:$AH, $C34,'WBS Summary'!$AJ:$AJ, $H34)</f>
        <v>0</v>
      </c>
      <c r="DD34" s="134">
        <f>SUMIFS('WBS Summary'!EX:EX,'WBS Summary'!$B:$B, $B34, 'WBS Summary'!$AH:$AH, $C34,'WBS Summary'!$AJ:$AJ, $H34)</f>
        <v>0</v>
      </c>
      <c r="DE34" s="134">
        <f>SUMIFS('WBS Summary'!EY:EY,'WBS Summary'!$B:$B, $B34, 'WBS Summary'!$AH:$AH, $C34,'WBS Summary'!$AJ:$AJ, $H34)</f>
        <v>0</v>
      </c>
      <c r="DF34"/>
      <c r="DG34" s="134">
        <f>SUMIFS('WBS Summary'!FR:FR,'WBS Summary'!$B:$B, $B34, 'WBS Summary'!$AH:$AH, $C34,'WBS Summary'!$AJ:$AJ, $H34)</f>
        <v>0</v>
      </c>
      <c r="DH34" s="134">
        <f>SUMIFS('WBS Summary'!FS:FS,'WBS Summary'!$B:$B, $B34, 'WBS Summary'!$AH:$AH, $C34,'WBS Summary'!$AJ:$AJ, $H34)</f>
        <v>0</v>
      </c>
      <c r="DI34" s="134">
        <f>SUMIFS('WBS Summary'!FT:FT,'WBS Summary'!$B:$B, $B34, 'WBS Summary'!$AH:$AH, $C34,'WBS Summary'!$AJ:$AJ, $H34)</f>
        <v>0</v>
      </c>
      <c r="DJ34" s="134">
        <f>SUMIFS('WBS Summary'!FU:FU,'WBS Summary'!$B:$B, $B34, 'WBS Summary'!$AH:$AH, $C34,'WBS Summary'!$AJ:$AJ, $H34)</f>
        <v>0</v>
      </c>
      <c r="DK34" s="134">
        <f>SUMIFS('WBS Summary'!FV:FV,'WBS Summary'!$B:$B, $B34, 'WBS Summary'!$AH:$AH, $C34,'WBS Summary'!$AJ:$AJ, $H34)</f>
        <v>0</v>
      </c>
      <c r="DL34" s="134">
        <f>SUMIFS('WBS Summary'!FW:FW,'WBS Summary'!$B:$B, $B34, 'WBS Summary'!$AH:$AH, $C34,'WBS Summary'!$AJ:$AJ, $H34)</f>
        <v>0</v>
      </c>
      <c r="DM34" s="134">
        <f>SUMIFS('WBS Summary'!FX:FX,'WBS Summary'!$B:$B, $B34, 'WBS Summary'!$AH:$AH, $C34,'WBS Summary'!$AJ:$AJ, $H34)</f>
        <v>0</v>
      </c>
      <c r="DN34" s="134">
        <f>SUMIFS('WBS Summary'!FY:FY,'WBS Summary'!$B:$B, $B34, 'WBS Summary'!$AH:$AH, $C34,'WBS Summary'!$AJ:$AJ, $H34)</f>
        <v>0</v>
      </c>
      <c r="DO34" s="134">
        <f>SUMIFS('WBS Summary'!FZ:FZ,'WBS Summary'!$B:$B, $B34, 'WBS Summary'!$AH:$AH, $C34,'WBS Summary'!$AJ:$AJ, $H34)</f>
        <v>0</v>
      </c>
      <c r="DP34" s="134">
        <f>SUMIFS('WBS Summary'!GA:GA,'WBS Summary'!$B:$B, $B34, 'WBS Summary'!$AH:$AH, $C34,'WBS Summary'!$AJ:$AJ, $H34)</f>
        <v>0</v>
      </c>
      <c r="DQ34" s="134">
        <f>SUMIFS('WBS Summary'!GB:GB,'WBS Summary'!$B:$B, $B34, 'WBS Summary'!$AH:$AH, $C34,'WBS Summary'!$AJ:$AJ, $H34)</f>
        <v>0</v>
      </c>
      <c r="DR34" s="134">
        <f>SUMIFS('WBS Summary'!GC:GC,'WBS Summary'!$B:$B, $B34, 'WBS Summary'!$AH:$AH, $C34,'WBS Summary'!$AJ:$AJ, $H34)</f>
        <v>0</v>
      </c>
      <c r="DS34" s="134">
        <f>SUMIFS('WBS Summary'!GD:GD,'WBS Summary'!$B:$B, $B34, 'WBS Summary'!$AH:$AH, $C34,'WBS Summary'!$AJ:$AJ, $H34)</f>
        <v>0</v>
      </c>
      <c r="DT34" s="134">
        <f>SUMIFS('WBS Summary'!GE:GE,'WBS Summary'!$B:$B, $B34, 'WBS Summary'!$AH:$AH, $C34,'WBS Summary'!$AJ:$AJ, $H34)</f>
        <v>0</v>
      </c>
      <c r="DU34" s="134">
        <f>SUMIFS('WBS Summary'!GF:GF,'WBS Summary'!$B:$B, $B34, 'WBS Summary'!$AH:$AH, $C34,'WBS Summary'!$AJ:$AJ, $H34)</f>
        <v>0</v>
      </c>
      <c r="DV34" s="134">
        <f>SUMIFS('WBS Summary'!GG:GG,'WBS Summary'!$B:$B, $B34, 'WBS Summary'!$AH:$AH, $C34,'WBS Summary'!$AJ:$AJ, $H34)</f>
        <v>0</v>
      </c>
      <c r="DW34" s="134">
        <f>SUMIFS('WBS Summary'!GH:GH,'WBS Summary'!$B:$B, $B34, 'WBS Summary'!$AH:$AH, $C34,'WBS Summary'!$AJ:$AJ, $H34)</f>
        <v>0</v>
      </c>
      <c r="DX34" s="134">
        <f>SUMIFS('WBS Summary'!GI:GI,'WBS Summary'!$B:$B, $B34, 'WBS Summary'!$AH:$AH, $C34,'WBS Summary'!$AJ:$AJ, $H34)</f>
        <v>0</v>
      </c>
      <c r="DY34" s="134">
        <f>SUMIFS('WBS Summary'!GJ:GJ,'WBS Summary'!$B:$B, $B34, 'WBS Summary'!$AH:$AH, $C34,'WBS Summary'!$AJ:$AJ, $H34)</f>
        <v>0</v>
      </c>
      <c r="DZ34" s="134">
        <f>SUMIFS('WBS Summary'!GK:GK,'WBS Summary'!$B:$B, $B34, 'WBS Summary'!$AH:$AH, $C34,'WBS Summary'!$AJ:$AJ, $H34)</f>
        <v>0</v>
      </c>
      <c r="EA34" s="134">
        <f>SUMIFS('WBS Summary'!GL:GL,'WBS Summary'!$B:$B, $B34, 'WBS Summary'!$AH:$AH, $C34,'WBS Summary'!$AJ:$AJ, $H34)</f>
        <v>0</v>
      </c>
      <c r="EB34" s="134">
        <f>SUMIFS('WBS Summary'!GM:GM,'WBS Summary'!$B:$B, $B34, 'WBS Summary'!$AH:$AH, $C34,'WBS Summary'!$AJ:$AJ, $H34)</f>
        <v>0</v>
      </c>
      <c r="EC34" s="134">
        <f>SUMIFS('WBS Summary'!GN:GN,'WBS Summary'!$B:$B, $B34, 'WBS Summary'!$AH:$AH, $C34,'WBS Summary'!$AJ:$AJ, $H34)</f>
        <v>0</v>
      </c>
      <c r="ED34" s="134">
        <f>SUMIFS('WBS Summary'!GO:GO,'WBS Summary'!$B:$B, $B34, 'WBS Summary'!$AH:$AH, $C34,'WBS Summary'!$AJ:$AJ, $H34)</f>
        <v>0</v>
      </c>
      <c r="EE34" s="134">
        <f>SUMIFS('WBS Summary'!GP:GP,'WBS Summary'!$B:$B, $B34, 'WBS Summary'!$AH:$AH, $C34,'WBS Summary'!$AJ:$AJ, $H34)</f>
        <v>0</v>
      </c>
      <c r="EF34" s="134">
        <f>SUMIFS('WBS Summary'!GQ:GQ,'WBS Summary'!$B:$B, $B34, 'WBS Summary'!$AH:$AH, $C34,'WBS Summary'!$AJ:$AJ, $H34)</f>
        <v>0</v>
      </c>
      <c r="EG34" s="134">
        <f>SUMIFS('WBS Summary'!GR:GR,'WBS Summary'!$B:$B, $B34, 'WBS Summary'!$AH:$AH, $C34,'WBS Summary'!$AJ:$AJ, $H34)</f>
        <v>0</v>
      </c>
      <c r="EH34" s="134">
        <f>SUMIFS('WBS Summary'!GS:GS,'WBS Summary'!$B:$B, $B34, 'WBS Summary'!$AH:$AH, $C34,'WBS Summary'!$AJ:$AJ, $H34)</f>
        <v>0</v>
      </c>
      <c r="EI34" s="134">
        <f>SUMIFS('WBS Summary'!GT:GT,'WBS Summary'!$B:$B, $B34, 'WBS Summary'!$AH:$AH, $C34,'WBS Summary'!$AJ:$AJ, $H34)</f>
        <v>0</v>
      </c>
      <c r="EJ34" s="134">
        <f>SUMIFS('WBS Summary'!GU:GU,'WBS Summary'!$B:$B, $B34, 'WBS Summary'!$AH:$AH, $C34,'WBS Summary'!$AJ:$AJ, $H34)</f>
        <v>0</v>
      </c>
      <c r="EK34" s="134">
        <f>SUMIFS('WBS Summary'!GV:GV,'WBS Summary'!$B:$B, $B34, 'WBS Summary'!$AH:$AH, $C34,'WBS Summary'!$AJ:$AJ, $H34)</f>
        <v>0</v>
      </c>
      <c r="EL34" s="134">
        <f>SUMIFS('WBS Summary'!GW:GW,'WBS Summary'!$B:$B, $B34, 'WBS Summary'!$AH:$AH, $C34,'WBS Summary'!$AJ:$AJ, $H34)</f>
        <v>0</v>
      </c>
      <c r="EM34" s="134">
        <f>SUMIFS('WBS Summary'!GX:GX,'WBS Summary'!$B:$B, $B34, 'WBS Summary'!$AH:$AH, $C34,'WBS Summary'!$AJ:$AJ, $H34)</f>
        <v>0</v>
      </c>
      <c r="EN34" s="134">
        <f>SUMIFS('WBS Summary'!GY:GY,'WBS Summary'!$B:$B, $B34, 'WBS Summary'!$AH:$AH, $C34,'WBS Summary'!$AJ:$AJ, $H34)</f>
        <v>0</v>
      </c>
      <c r="EO34" s="134">
        <f>SUMIFS('WBS Summary'!GZ:GZ,'WBS Summary'!$B:$B, $B34, 'WBS Summary'!$AH:$AH, $C34,'WBS Summary'!$AJ:$AJ, $H34)</f>
        <v>0</v>
      </c>
      <c r="EP34" s="134">
        <f>SUMIFS('WBS Summary'!HA:HA,'WBS Summary'!$B:$B, $B34, 'WBS Summary'!$AH:$AH, $C34,'WBS Summary'!$AJ:$AJ, $H34)</f>
        <v>0</v>
      </c>
      <c r="EQ34" s="134">
        <f>SUMIFS('WBS Summary'!HB:HB,'WBS Summary'!$B:$B, $B34, 'WBS Summary'!$AH:$AH, $C34,'WBS Summary'!$AJ:$AJ, $H34)</f>
        <v>0</v>
      </c>
      <c r="ER34" s="134">
        <f>SUMIFS('WBS Summary'!HC:HC,'WBS Summary'!$B:$B, $B34, 'WBS Summary'!$AH:$AH, $C34,'WBS Summary'!$AJ:$AJ, $H34)</f>
        <v>0</v>
      </c>
      <c r="ES34" s="134">
        <f>SUMIFS('WBS Summary'!HD:HD,'WBS Summary'!$B:$B, $B34, 'WBS Summary'!$AH:$AH, $C34,'WBS Summary'!$AJ:$AJ, $H34)</f>
        <v>0</v>
      </c>
      <c r="ET34" s="134">
        <f>SUMIFS('WBS Summary'!HE:HE,'WBS Summary'!$B:$B, $B34, 'WBS Summary'!$AH:$AH, $C34,'WBS Summary'!$AJ:$AJ, $H34)</f>
        <v>0</v>
      </c>
      <c r="EU34" s="134">
        <f>SUMIFS('WBS Summary'!HF:HF,'WBS Summary'!$B:$B, $B34, 'WBS Summary'!$AH:$AH, $C34,'WBS Summary'!$AJ:$AJ, $H34)</f>
        <v>0</v>
      </c>
      <c r="EV34" s="134">
        <f>SUMIFS('WBS Summary'!HG:HG,'WBS Summary'!$B:$B, $B34, 'WBS Summary'!$AH:$AH, $C34,'WBS Summary'!$AJ:$AJ, $H34)</f>
        <v>0</v>
      </c>
      <c r="EW34" s="134">
        <f>SUMIFS('WBS Summary'!HH:HH,'WBS Summary'!$B:$B, $B34, 'WBS Summary'!$AH:$AH, $C34,'WBS Summary'!$AJ:$AJ, $H34)</f>
        <v>0</v>
      </c>
      <c r="EX34" s="134">
        <f>SUMIFS('WBS Summary'!HI:HI,'WBS Summary'!$B:$B, $B34, 'WBS Summary'!$AH:$AH, $C34,'WBS Summary'!$AJ:$AJ, $H34)</f>
        <v>0</v>
      </c>
      <c r="EY34" s="134">
        <f>SUMIFS('WBS Summary'!HJ:HJ,'WBS Summary'!$B:$B, $B34, 'WBS Summary'!$AH:$AH, $C34,'WBS Summary'!$AJ:$AJ, $H34)</f>
        <v>0</v>
      </c>
      <c r="EZ34" s="134">
        <f>SUMIFS('WBS Summary'!HK:HK,'WBS Summary'!$B:$B, $B34, 'WBS Summary'!$AH:$AH, $C34,'WBS Summary'!$AJ:$AJ, $H34)</f>
        <v>0</v>
      </c>
      <c r="FA34" s="134">
        <f>SUMIFS('WBS Summary'!HL:HL,'WBS Summary'!$B:$B, $B34, 'WBS Summary'!$AH:$AH, $C34,'WBS Summary'!$AJ:$AJ, $H34)</f>
        <v>0</v>
      </c>
      <c r="FB34" s="134">
        <f>SUMIFS('WBS Summary'!HM:HM,'WBS Summary'!$B:$B, $B34, 'WBS Summary'!$AH:$AH, $C34,'WBS Summary'!$AJ:$AJ, $H34)</f>
        <v>0</v>
      </c>
      <c r="FC34" s="134">
        <f>SUMIFS('WBS Summary'!HN:HN,'WBS Summary'!$B:$B, $B34, 'WBS Summary'!$AH:$AH, $C34,'WBS Summary'!$AJ:$AJ, $H34)</f>
        <v>0</v>
      </c>
      <c r="FD34" s="134">
        <f>SUMIFS('WBS Summary'!HO:HO,'WBS Summary'!$B:$B, $B34, 'WBS Summary'!$AH:$AH, $C34,'WBS Summary'!$AJ:$AJ, $H34)</f>
        <v>0</v>
      </c>
      <c r="FE34" s="134">
        <f>SUMIFS('WBS Summary'!HP:HP,'WBS Summary'!$B:$B, $B34, 'WBS Summary'!$AH:$AH, $C34,'WBS Summary'!$AJ:$AJ, $H34)</f>
        <v>0</v>
      </c>
      <c r="FF34" s="134">
        <f>SUMIFS('WBS Summary'!HQ:HQ,'WBS Summary'!$B:$B, $B34, 'WBS Summary'!$AH:$AH, $C34,'WBS Summary'!$AJ:$AJ, $H34)</f>
        <v>0</v>
      </c>
      <c r="FG34" s="134">
        <f>SUMIFS('WBS Summary'!HR:HR,'WBS Summary'!$B:$B, $B34, 'WBS Summary'!$AH:$AH, $C34,'WBS Summary'!$AJ:$AJ, $H34)</f>
        <v>0</v>
      </c>
      <c r="FH34" s="134">
        <f>SUMIFS('WBS Summary'!HS:HS,'WBS Summary'!$B:$B, $B34, 'WBS Summary'!$AH:$AH, $C34,'WBS Summary'!$AJ:$AJ, $H34)</f>
        <v>0</v>
      </c>
      <c r="FI34" s="134">
        <f>SUMIFS('WBS Summary'!HT:HT,'WBS Summary'!$B:$B, $B34, 'WBS Summary'!$AH:$AH, $C34,'WBS Summary'!$AJ:$AJ, $H34)</f>
        <v>0</v>
      </c>
      <c r="FJ34" s="134">
        <f>SUMIFS('WBS Summary'!HU:HU,'WBS Summary'!$B:$B, $B34, 'WBS Summary'!$AH:$AH, $C34,'WBS Summary'!$AJ:$AJ, $H34)</f>
        <v>0</v>
      </c>
      <c r="FK34" s="134">
        <f>SUMIFS('WBS Summary'!HV:HV,'WBS Summary'!$B:$B, $B34, 'WBS Summary'!$AH:$AH, $C34,'WBS Summary'!$AJ:$AJ, $H34)</f>
        <v>0</v>
      </c>
      <c r="FL34" s="134">
        <f>SUMIFS('WBS Summary'!HW:HW,'WBS Summary'!$B:$B, $B34, 'WBS Summary'!$AH:$AH, $C34,'WBS Summary'!$AJ:$AJ, $H34)</f>
        <v>0</v>
      </c>
      <c r="FM34" s="134">
        <f>SUMIFS('WBS Summary'!HX:HX,'WBS Summary'!$B:$B, $B34, 'WBS Summary'!$AH:$AH, $C34,'WBS Summary'!$AJ:$AJ, $H34)</f>
        <v>0</v>
      </c>
      <c r="FN34" s="134">
        <f>SUMIFS('WBS Summary'!HY:HY,'WBS Summary'!$B:$B, $B34, 'WBS Summary'!$AH:$AH, $C34,'WBS Summary'!$AJ:$AJ, $H34)</f>
        <v>0</v>
      </c>
      <c r="FO34" s="134">
        <f>SUMIFS('WBS Summary'!HZ:HZ,'WBS Summary'!$B:$B, $B34, 'WBS Summary'!$AH:$AH, $C34,'WBS Summary'!$AJ:$AJ, $H34)</f>
        <v>0</v>
      </c>
      <c r="FP34" s="134">
        <f>SUMIFS('WBS Summary'!IA:IA,'WBS Summary'!$B:$B, $B34, 'WBS Summary'!$AH:$AH, $C34,'WBS Summary'!$AJ:$AJ, $H34)</f>
        <v>0</v>
      </c>
      <c r="FQ34" s="134">
        <f>SUMIFS('WBS Summary'!IB:IB,'WBS Summary'!$B:$B, $B34, 'WBS Summary'!$AH:$AH, $C34,'WBS Summary'!$AJ:$AJ, $H34)</f>
        <v>0</v>
      </c>
      <c r="FR34" s="134">
        <f>SUMIFS('WBS Summary'!IC:IC,'WBS Summary'!$B:$B, $B34, 'WBS Summary'!$AH:$AH, $C34,'WBS Summary'!$AJ:$AJ, $H34)</f>
        <v>0</v>
      </c>
      <c r="FS34" s="134">
        <f>SUMIFS('WBS Summary'!ID:ID,'WBS Summary'!$B:$B, $B34, 'WBS Summary'!$AH:$AH, $C34,'WBS Summary'!$AJ:$AJ, $H34)</f>
        <v>0</v>
      </c>
      <c r="FT34" s="134">
        <f>SUMIFS('WBS Summary'!IE:IE,'WBS Summary'!$B:$B, $B34, 'WBS Summary'!$AH:$AH, $C34,'WBS Summary'!$AJ:$AJ, $H34)</f>
        <v>0</v>
      </c>
      <c r="FU34" s="134">
        <f>SUMIFS('WBS Summary'!IF:IF,'WBS Summary'!$B:$B, $B34, 'WBS Summary'!$AH:$AH, $C34,'WBS Summary'!$AJ:$AJ, $H34)</f>
        <v>0</v>
      </c>
      <c r="FV34" s="134">
        <f>SUMIFS('WBS Summary'!IG:IG,'WBS Summary'!$B:$B, $B34, 'WBS Summary'!$AH:$AH, $C34,'WBS Summary'!$AJ:$AJ, $H34)</f>
        <v>0</v>
      </c>
      <c r="FW34" s="134">
        <f>SUMIFS('WBS Summary'!IH:IH,'WBS Summary'!$B:$B, $B34, 'WBS Summary'!$AH:$AH, $C34,'WBS Summary'!$AJ:$AJ, $H34)</f>
        <v>0</v>
      </c>
      <c r="FX34" s="134">
        <f>SUMIFS('WBS Summary'!II:II,'WBS Summary'!$B:$B, $B34, 'WBS Summary'!$AH:$AH, $C34,'WBS Summary'!$AJ:$AJ, $H34)</f>
        <v>0</v>
      </c>
      <c r="FY34" s="134">
        <f>SUMIFS('WBS Summary'!IJ:IJ,'WBS Summary'!$B:$B, $B34, 'WBS Summary'!$AH:$AH, $C34,'WBS Summary'!$AJ:$AJ, $H34)</f>
        <v>0</v>
      </c>
      <c r="FZ34" s="134">
        <f>SUMIFS('WBS Summary'!IK:IK,'WBS Summary'!$B:$B, $B34, 'WBS Summary'!$AH:$AH, $C34,'WBS Summary'!$AJ:$AJ, $H34)</f>
        <v>0</v>
      </c>
      <c r="GA34" s="134">
        <f>SUMIFS('WBS Summary'!IL:IL,'WBS Summary'!$B:$B, $B34, 'WBS Summary'!$AH:$AH, $C34,'WBS Summary'!$AJ:$AJ, $H34)</f>
        <v>0</v>
      </c>
      <c r="GB34" s="134">
        <f>SUMIFS('WBS Summary'!IM:IM,'WBS Summary'!$B:$B, $B34, 'WBS Summary'!$AH:$AH, $C34,'WBS Summary'!$AJ:$AJ, $H34)</f>
        <v>0</v>
      </c>
      <c r="GC34" s="134">
        <f>SUMIFS('WBS Summary'!IN:IN,'WBS Summary'!$B:$B, $B34, 'WBS Summary'!$AH:$AH, $C34,'WBS Summary'!$AJ:$AJ, $H34)</f>
        <v>0</v>
      </c>
      <c r="GD34" s="134">
        <f>SUMIFS('WBS Summary'!IO:IO,'WBS Summary'!$B:$B, $B34, 'WBS Summary'!$AH:$AH, $C34,'WBS Summary'!$AJ:$AJ, $H34)</f>
        <v>0</v>
      </c>
      <c r="GE34" s="134">
        <f>SUMIFS('WBS Summary'!IP:IP,'WBS Summary'!$B:$B, $B34, 'WBS Summary'!$AH:$AH, $C34,'WBS Summary'!$AJ:$AJ, $H34)</f>
        <v>0</v>
      </c>
      <c r="GF34" s="134">
        <f>SUMIFS('WBS Summary'!IQ:IQ,'WBS Summary'!$B:$B, $B34, 'WBS Summary'!$AH:$AH, $C34,'WBS Summary'!$AJ:$AJ, $H34)</f>
        <v>0</v>
      </c>
      <c r="GG34" s="134">
        <f>SUMIFS('WBS Summary'!IR:IR,'WBS Summary'!$B:$B, $B34, 'WBS Summary'!$AH:$AH, $C34,'WBS Summary'!$AJ:$AJ, $H34)</f>
        <v>0</v>
      </c>
      <c r="GH34" s="134">
        <f>SUMIFS('WBS Summary'!IS:IS,'WBS Summary'!$B:$B, $B34, 'WBS Summary'!$AH:$AH, $C34,'WBS Summary'!$AJ:$AJ, $H34)</f>
        <v>0</v>
      </c>
      <c r="GI34" s="134">
        <f>SUMIFS('WBS Summary'!IT:IT,'WBS Summary'!$B:$B, $B34, 'WBS Summary'!$AH:$AH, $C34,'WBS Summary'!$AJ:$AJ, $H34)</f>
        <v>0</v>
      </c>
      <c r="GJ34" s="134">
        <f>SUMIFS('WBS Summary'!IU:IU,'WBS Summary'!$B:$B, $B34, 'WBS Summary'!$AH:$AH, $C34,'WBS Summary'!$AJ:$AJ, $H34)</f>
        <v>0</v>
      </c>
      <c r="GK34" s="134">
        <f>SUMIFS('WBS Summary'!IV:IV,'WBS Summary'!$B:$B, $B34, 'WBS Summary'!$AH:$AH, $C34,'WBS Summary'!$AJ:$AJ, $H34)</f>
        <v>0</v>
      </c>
      <c r="GL34" s="134">
        <f>SUMIFS('WBS Summary'!IW:IW,'WBS Summary'!$B:$B, $B34, 'WBS Summary'!$AH:$AH, $C34,'WBS Summary'!$AJ:$AJ, $H34)</f>
        <v>0</v>
      </c>
      <c r="GM34" s="134">
        <f>SUMIFS('WBS Summary'!IX:IX,'WBS Summary'!$B:$B, $B34, 'WBS Summary'!$AH:$AH, $C34,'WBS Summary'!$AJ:$AJ, $H34)</f>
        <v>0</v>
      </c>
      <c r="GN34" s="134">
        <f>SUMIFS('WBS Summary'!IY:IY,'WBS Summary'!$B:$B, $B34, 'WBS Summary'!$AH:$AH, $C34,'WBS Summary'!$AJ:$AJ, $H34)</f>
        <v>0</v>
      </c>
      <c r="GO34" s="134">
        <f>SUMIFS('WBS Summary'!IZ:IZ,'WBS Summary'!$B:$B, $B34, 'WBS Summary'!$AH:$AH, $C34,'WBS Summary'!$AJ:$AJ, $H34)</f>
        <v>0</v>
      </c>
      <c r="GP34" s="134">
        <f>SUMIFS('WBS Summary'!JA:JA,'WBS Summary'!$B:$B, $B34, 'WBS Summary'!$AH:$AH, $C34,'WBS Summary'!$AJ:$AJ, $H34)</f>
        <v>0</v>
      </c>
      <c r="GQ34" s="134">
        <f>SUMIFS('WBS Summary'!JB:JB,'WBS Summary'!$B:$B, $B34, 'WBS Summary'!$AH:$AH, $C34,'WBS Summary'!$AJ:$AJ, $H34)</f>
        <v>0</v>
      </c>
      <c r="GR34" s="134">
        <f>SUMIFS('WBS Summary'!JC:JC,'WBS Summary'!$B:$B, $B34, 'WBS Summary'!$AH:$AH, $C34,'WBS Summary'!$AJ:$AJ, $H34)</f>
        <v>0</v>
      </c>
      <c r="GS34" s="134">
        <f>SUMIFS('WBS Summary'!JD:JD,'WBS Summary'!$B:$B, $B34, 'WBS Summary'!$AH:$AH, $C34,'WBS Summary'!$AJ:$AJ, $H34)</f>
        <v>0</v>
      </c>
      <c r="GT34" s="134">
        <f>SUMIFS('WBS Summary'!JE:JE,'WBS Summary'!$B:$B, $B34, 'WBS Summary'!$AH:$AH, $C34,'WBS Summary'!$AJ:$AJ, $H34)</f>
        <v>0</v>
      </c>
      <c r="GU34" s="134">
        <f>SUMIFS('WBS Summary'!JF:JF,'WBS Summary'!$B:$B, $B34, 'WBS Summary'!$AH:$AH, $C34,'WBS Summary'!$AJ:$AJ, $H34)</f>
        <v>0</v>
      </c>
      <c r="GV34" s="134">
        <f>SUMIFS('WBS Summary'!JG:JG,'WBS Summary'!$B:$B, $B34, 'WBS Summary'!$AH:$AH, $C34,'WBS Summary'!$AJ:$AJ, $H34)</f>
        <v>0</v>
      </c>
      <c r="GW34" s="134">
        <f>SUMIFS('WBS Summary'!JH:JH,'WBS Summary'!$B:$B, $B34, 'WBS Summary'!$AH:$AH, $C34,'WBS Summary'!$AJ:$AJ, $H34)</f>
        <v>0</v>
      </c>
      <c r="GX34" s="134">
        <f>SUMIFS('WBS Summary'!JI:JI,'WBS Summary'!$B:$B, $B34, 'WBS Summary'!$AH:$AH, $C34,'WBS Summary'!$AJ:$AJ, $H34)</f>
        <v>0</v>
      </c>
      <c r="GY34" s="134">
        <f>SUMIFS('WBS Summary'!JJ:JJ,'WBS Summary'!$B:$B, $B34, 'WBS Summary'!$AH:$AH, $C34,'WBS Summary'!$AJ:$AJ, $H34)</f>
        <v>0</v>
      </c>
      <c r="GZ34" s="134">
        <f>SUMIFS('WBS Summary'!JK:JK,'WBS Summary'!$B:$B, $B34, 'WBS Summary'!$AH:$AH, $C34,'WBS Summary'!$AJ:$AJ, $H34)</f>
        <v>0</v>
      </c>
      <c r="HA34" s="134">
        <f>SUMIFS('WBS Summary'!JL:JL,'WBS Summary'!$B:$B, $B34, 'WBS Summary'!$AH:$AH, $C34,'WBS Summary'!$AJ:$AJ, $H34)</f>
        <v>0</v>
      </c>
      <c r="HB34" s="134">
        <f>SUMIFS('WBS Summary'!JM:JM,'WBS Summary'!$B:$B, $B34, 'WBS Summary'!$AH:$AH, $C34,'WBS Summary'!$AJ:$AJ, $H34)</f>
        <v>0</v>
      </c>
      <c r="HC34"/>
    </row>
    <row r="35" spans="1:211" s="194" customFormat="1" outlineLevel="2">
      <c r="A35" s="220"/>
      <c r="B35" s="284" t="s">
        <v>189</v>
      </c>
      <c r="C35" s="227" t="s">
        <v>73</v>
      </c>
      <c r="D35" s="352"/>
      <c r="E35" s="352"/>
      <c r="F35" s="224">
        <f t="shared" si="29"/>
        <v>0</v>
      </c>
      <c r="G35" s="224">
        <f t="shared" si="30"/>
        <v>0</v>
      </c>
      <c r="H35" s="233" t="s">
        <v>345</v>
      </c>
      <c r="I35"/>
      <c r="J35" s="134">
        <f>SUMIFS('WBS Summary'!BD:BD,'WBS Summary'!$B:$B, $B35, 'WBS Summary'!$AH:$AH, $C35,'WBS Summary'!$AJ:$AJ, $H35)</f>
        <v>0</v>
      </c>
      <c r="K35" s="134">
        <f>SUMIFS('WBS Summary'!BE:BE,'WBS Summary'!$B:$B, $B35, 'WBS Summary'!$AH:$AH, $C35,'WBS Summary'!$AJ:$AJ, $H35)</f>
        <v>0</v>
      </c>
      <c r="L35" s="134">
        <f>SUMIFS('WBS Summary'!BF:BF,'WBS Summary'!$B:$B, $B35, 'WBS Summary'!$AH:$AH, $C35,'WBS Summary'!$AJ:$AJ, $H35)</f>
        <v>0</v>
      </c>
      <c r="M35" s="134">
        <f>SUMIFS('WBS Summary'!BG:BG,'WBS Summary'!$B:$B, $B35, 'WBS Summary'!$AH:$AH, $C35,'WBS Summary'!$AJ:$AJ, $H35)</f>
        <v>0</v>
      </c>
      <c r="N35" s="134">
        <f>SUMIFS('WBS Summary'!BH:BH,'WBS Summary'!$B:$B, $B35, 'WBS Summary'!$AH:$AH, $C35,'WBS Summary'!$AJ:$AJ, $H35)</f>
        <v>0</v>
      </c>
      <c r="O35" s="134">
        <f>SUMIFS('WBS Summary'!BI:BI,'WBS Summary'!$B:$B, $B35, 'WBS Summary'!$AH:$AH, $C35,'WBS Summary'!$AJ:$AJ, $H35)</f>
        <v>0</v>
      </c>
      <c r="P35" s="134">
        <f>SUMIFS('WBS Summary'!BJ:BJ,'WBS Summary'!$B:$B, $B35, 'WBS Summary'!$AH:$AH, $C35,'WBS Summary'!$AJ:$AJ, $H35)</f>
        <v>0</v>
      </c>
      <c r="Q35" s="134">
        <f>SUMIFS('WBS Summary'!BK:BK,'WBS Summary'!$B:$B, $B35, 'WBS Summary'!$AH:$AH, $C35,'WBS Summary'!$AJ:$AJ, $H35)</f>
        <v>0</v>
      </c>
      <c r="R35" s="134">
        <f>SUMIFS('WBS Summary'!BL:BL,'WBS Summary'!$B:$B, $B35, 'WBS Summary'!$AH:$AH, $C35,'WBS Summary'!$AJ:$AJ, $H35)</f>
        <v>0</v>
      </c>
      <c r="S35" s="134">
        <f>SUMIFS('WBS Summary'!BM:BM,'WBS Summary'!$B:$B, $B35, 'WBS Summary'!$AH:$AH, $C35,'WBS Summary'!$AJ:$AJ, $H35)</f>
        <v>0</v>
      </c>
      <c r="T35" s="134">
        <f>SUMIFS('WBS Summary'!BN:BN,'WBS Summary'!$B:$B, $B35, 'WBS Summary'!$AH:$AH, $C35,'WBS Summary'!$AJ:$AJ, $H35)</f>
        <v>0</v>
      </c>
      <c r="U35" s="134">
        <f>SUMIFS('WBS Summary'!BO:BO,'WBS Summary'!$B:$B, $B35, 'WBS Summary'!$AH:$AH, $C35,'WBS Summary'!$AJ:$AJ, $H35)</f>
        <v>0</v>
      </c>
      <c r="V35" s="134">
        <f>SUMIFS('WBS Summary'!BP:BP,'WBS Summary'!$B:$B, $B35, 'WBS Summary'!$AH:$AH, $C35,'WBS Summary'!$AJ:$AJ, $H35)</f>
        <v>0</v>
      </c>
      <c r="W35" s="134">
        <f>SUMIFS('WBS Summary'!BQ:BQ,'WBS Summary'!$B:$B, $B35, 'WBS Summary'!$AH:$AH, $C35,'WBS Summary'!$AJ:$AJ, $H35)</f>
        <v>0</v>
      </c>
      <c r="X35" s="134">
        <f>SUMIFS('WBS Summary'!BR:BR,'WBS Summary'!$B:$B, $B35, 'WBS Summary'!$AH:$AH, $C35,'WBS Summary'!$AJ:$AJ, $H35)</f>
        <v>0</v>
      </c>
      <c r="Y35" s="134">
        <f>SUMIFS('WBS Summary'!BS:BS,'WBS Summary'!$B:$B, $B35, 'WBS Summary'!$AH:$AH, $C35,'WBS Summary'!$AJ:$AJ, $H35)</f>
        <v>0</v>
      </c>
      <c r="Z35" s="134">
        <f>SUMIFS('WBS Summary'!BT:BT,'WBS Summary'!$B:$B, $B35, 'WBS Summary'!$AH:$AH, $C35,'WBS Summary'!$AJ:$AJ, $H35)</f>
        <v>0</v>
      </c>
      <c r="AA35" s="134">
        <f>SUMIFS('WBS Summary'!BU:BU,'WBS Summary'!$B:$B, $B35, 'WBS Summary'!$AH:$AH, $C35,'WBS Summary'!$AJ:$AJ, $H35)</f>
        <v>0</v>
      </c>
      <c r="AB35" s="134">
        <f>SUMIFS('WBS Summary'!BV:BV,'WBS Summary'!$B:$B, $B35, 'WBS Summary'!$AH:$AH, $C35,'WBS Summary'!$AJ:$AJ, $H35)</f>
        <v>0</v>
      </c>
      <c r="AC35" s="134">
        <f>SUMIFS('WBS Summary'!BW:BW,'WBS Summary'!$B:$B, $B35, 'WBS Summary'!$AH:$AH, $C35,'WBS Summary'!$AJ:$AJ, $H35)</f>
        <v>0</v>
      </c>
      <c r="AD35" s="134">
        <f>SUMIFS('WBS Summary'!BX:BX,'WBS Summary'!$B:$B, $B35, 'WBS Summary'!$AH:$AH, $C35,'WBS Summary'!$AJ:$AJ, $H35)</f>
        <v>0</v>
      </c>
      <c r="AE35" s="134">
        <f>SUMIFS('WBS Summary'!BY:BY,'WBS Summary'!$B:$B, $B35, 'WBS Summary'!$AH:$AH, $C35,'WBS Summary'!$AJ:$AJ, $H35)</f>
        <v>0</v>
      </c>
      <c r="AF35" s="134">
        <f>SUMIFS('WBS Summary'!BZ:BZ,'WBS Summary'!$B:$B, $B35, 'WBS Summary'!$AH:$AH, $C35,'WBS Summary'!$AJ:$AJ, $H35)</f>
        <v>0</v>
      </c>
      <c r="AG35" s="134">
        <f>SUMIFS('WBS Summary'!CA:CA,'WBS Summary'!$B:$B, $B35, 'WBS Summary'!$AH:$AH, $C35,'WBS Summary'!$AJ:$AJ, $H35)</f>
        <v>0</v>
      </c>
      <c r="AH35" s="134">
        <f>SUMIFS('WBS Summary'!CB:CB,'WBS Summary'!$B:$B, $B35, 'WBS Summary'!$AH:$AH, $C35,'WBS Summary'!$AJ:$AJ, $H35)</f>
        <v>0</v>
      </c>
      <c r="AI35" s="134">
        <f>SUMIFS('WBS Summary'!CC:CC,'WBS Summary'!$B:$B, $B35, 'WBS Summary'!$AH:$AH, $C35,'WBS Summary'!$AJ:$AJ, $H35)</f>
        <v>0</v>
      </c>
      <c r="AJ35" s="134">
        <f>SUMIFS('WBS Summary'!CD:CD,'WBS Summary'!$B:$B, $B35, 'WBS Summary'!$AH:$AH, $C35,'WBS Summary'!$AJ:$AJ, $H35)</f>
        <v>0</v>
      </c>
      <c r="AK35" s="134">
        <f>SUMIFS('WBS Summary'!CE:CE,'WBS Summary'!$B:$B, $B35, 'WBS Summary'!$AH:$AH, $C35,'WBS Summary'!$AJ:$AJ, $H35)</f>
        <v>0</v>
      </c>
      <c r="AL35" s="134">
        <f>SUMIFS('WBS Summary'!CF:CF,'WBS Summary'!$B:$B, $B35, 'WBS Summary'!$AH:$AH, $C35,'WBS Summary'!$AJ:$AJ, $H35)</f>
        <v>0</v>
      </c>
      <c r="AM35" s="134">
        <f>SUMIFS('WBS Summary'!CG:CG,'WBS Summary'!$B:$B, $B35, 'WBS Summary'!$AH:$AH, $C35,'WBS Summary'!$AJ:$AJ, $H35)</f>
        <v>0</v>
      </c>
      <c r="AN35" s="134">
        <f>SUMIFS('WBS Summary'!CH:CH,'WBS Summary'!$B:$B, $B35, 'WBS Summary'!$AH:$AH, $C35,'WBS Summary'!$AJ:$AJ, $H35)</f>
        <v>0</v>
      </c>
      <c r="AO35" s="134">
        <f>SUMIFS('WBS Summary'!CI:CI,'WBS Summary'!$B:$B, $B35, 'WBS Summary'!$AH:$AH, $C35,'WBS Summary'!$AJ:$AJ, $H35)</f>
        <v>0</v>
      </c>
      <c r="AP35" s="134">
        <f>SUMIFS('WBS Summary'!CJ:CJ,'WBS Summary'!$B:$B, $B35, 'WBS Summary'!$AH:$AH, $C35,'WBS Summary'!$AJ:$AJ, $H35)</f>
        <v>0</v>
      </c>
      <c r="AQ35" s="134">
        <f>SUMIFS('WBS Summary'!CK:CK,'WBS Summary'!$B:$B, $B35, 'WBS Summary'!$AH:$AH, $C35,'WBS Summary'!$AJ:$AJ, $H35)</f>
        <v>0</v>
      </c>
      <c r="AR35" s="134">
        <f>SUMIFS('WBS Summary'!CL:CL,'WBS Summary'!$B:$B, $B35, 'WBS Summary'!$AH:$AH, $C35,'WBS Summary'!$AJ:$AJ, $H35)</f>
        <v>0</v>
      </c>
      <c r="AS35" s="134">
        <f>SUMIFS('WBS Summary'!CM:CM,'WBS Summary'!$B:$B, $B35, 'WBS Summary'!$AH:$AH, $C35,'WBS Summary'!$AJ:$AJ, $H35)</f>
        <v>0</v>
      </c>
      <c r="AT35" s="134">
        <f>SUMIFS('WBS Summary'!CN:CN,'WBS Summary'!$B:$B, $B35, 'WBS Summary'!$AH:$AH, $C35,'WBS Summary'!$AJ:$AJ, $H35)</f>
        <v>0</v>
      </c>
      <c r="AU35" s="134">
        <f>SUMIFS('WBS Summary'!CO:CO,'WBS Summary'!$B:$B, $B35, 'WBS Summary'!$AH:$AH, $C35,'WBS Summary'!$AJ:$AJ, $H35)</f>
        <v>0</v>
      </c>
      <c r="AV35" s="134">
        <f>SUMIFS('WBS Summary'!CP:CP,'WBS Summary'!$B:$B, $B35, 'WBS Summary'!$AH:$AH, $C35,'WBS Summary'!$AJ:$AJ, $H35)</f>
        <v>0</v>
      </c>
      <c r="AW35" s="134">
        <f>SUMIFS('WBS Summary'!CQ:CQ,'WBS Summary'!$B:$B, $B35, 'WBS Summary'!$AH:$AH, $C35,'WBS Summary'!$AJ:$AJ, $H35)</f>
        <v>0</v>
      </c>
      <c r="AX35" s="134">
        <f>SUMIFS('WBS Summary'!CR:CR,'WBS Summary'!$B:$B, $B35, 'WBS Summary'!$AH:$AH, $C35,'WBS Summary'!$AJ:$AJ, $H35)</f>
        <v>0</v>
      </c>
      <c r="AY35" s="134">
        <f>SUMIFS('WBS Summary'!CS:CS,'WBS Summary'!$B:$B, $B35, 'WBS Summary'!$AH:$AH, $C35,'WBS Summary'!$AJ:$AJ, $H35)</f>
        <v>0</v>
      </c>
      <c r="AZ35" s="134">
        <f>SUMIFS('WBS Summary'!CT:CT,'WBS Summary'!$B:$B, $B35, 'WBS Summary'!$AH:$AH, $C35,'WBS Summary'!$AJ:$AJ, $H35)</f>
        <v>0</v>
      </c>
      <c r="BA35" s="134">
        <f>SUMIFS('WBS Summary'!CU:CU,'WBS Summary'!$B:$B, $B35, 'WBS Summary'!$AH:$AH, $C35,'WBS Summary'!$AJ:$AJ, $H35)</f>
        <v>0</v>
      </c>
      <c r="BB35" s="134">
        <f>SUMIFS('WBS Summary'!CV:CV,'WBS Summary'!$B:$B, $B35, 'WBS Summary'!$AH:$AH, $C35,'WBS Summary'!$AJ:$AJ, $H35)</f>
        <v>0</v>
      </c>
      <c r="BC35" s="134">
        <f>SUMIFS('WBS Summary'!CW:CW,'WBS Summary'!$B:$B, $B35, 'WBS Summary'!$AH:$AH, $C35,'WBS Summary'!$AJ:$AJ, $H35)</f>
        <v>0</v>
      </c>
      <c r="BD35" s="134">
        <f>SUMIFS('WBS Summary'!CX:CX,'WBS Summary'!$B:$B, $B35, 'WBS Summary'!$AH:$AH, $C35,'WBS Summary'!$AJ:$AJ, $H35)</f>
        <v>0</v>
      </c>
      <c r="BE35" s="134">
        <f>SUMIFS('WBS Summary'!CY:CY,'WBS Summary'!$B:$B, $B35, 'WBS Summary'!$AH:$AH, $C35,'WBS Summary'!$AJ:$AJ, $H35)</f>
        <v>0</v>
      </c>
      <c r="BF35" s="134">
        <f>SUMIFS('WBS Summary'!CZ:CZ,'WBS Summary'!$B:$B, $B35, 'WBS Summary'!$AH:$AH, $C35,'WBS Summary'!$AJ:$AJ, $H35)</f>
        <v>0</v>
      </c>
      <c r="BG35" s="134">
        <f>SUMIFS('WBS Summary'!DA:DA,'WBS Summary'!$B:$B, $B35, 'WBS Summary'!$AH:$AH, $C35,'WBS Summary'!$AJ:$AJ, $H35)</f>
        <v>0</v>
      </c>
      <c r="BH35" s="134">
        <f>SUMIFS('WBS Summary'!DB:DB,'WBS Summary'!$B:$B, $B35, 'WBS Summary'!$AH:$AH, $C35,'WBS Summary'!$AJ:$AJ, $H35)</f>
        <v>0</v>
      </c>
      <c r="BI35" s="134">
        <f>SUMIFS('WBS Summary'!DC:DC,'WBS Summary'!$B:$B, $B35, 'WBS Summary'!$AH:$AH, $C35,'WBS Summary'!$AJ:$AJ, $H35)</f>
        <v>0</v>
      </c>
      <c r="BJ35" s="134">
        <f>SUMIFS('WBS Summary'!DD:DD,'WBS Summary'!$B:$B, $B35, 'WBS Summary'!$AH:$AH, $C35,'WBS Summary'!$AJ:$AJ, $H35)</f>
        <v>0</v>
      </c>
      <c r="BK35" s="134">
        <f>SUMIFS('WBS Summary'!DE:DE,'WBS Summary'!$B:$B, $B35, 'WBS Summary'!$AH:$AH, $C35,'WBS Summary'!$AJ:$AJ, $H35)</f>
        <v>0</v>
      </c>
      <c r="BL35" s="134">
        <f>SUMIFS('WBS Summary'!DF:DF,'WBS Summary'!$B:$B, $B35, 'WBS Summary'!$AH:$AH, $C35,'WBS Summary'!$AJ:$AJ, $H35)</f>
        <v>0</v>
      </c>
      <c r="BM35" s="134">
        <f>SUMIFS('WBS Summary'!DG:DG,'WBS Summary'!$B:$B, $B35, 'WBS Summary'!$AH:$AH, $C35,'WBS Summary'!$AJ:$AJ, $H35)</f>
        <v>0</v>
      </c>
      <c r="BN35" s="134">
        <f>SUMIFS('WBS Summary'!DH:DH,'WBS Summary'!$B:$B, $B35, 'WBS Summary'!$AH:$AH, $C35,'WBS Summary'!$AJ:$AJ, $H35)</f>
        <v>0</v>
      </c>
      <c r="BO35" s="134">
        <f>SUMIFS('WBS Summary'!DI:DI,'WBS Summary'!$B:$B, $B35, 'WBS Summary'!$AH:$AH, $C35,'WBS Summary'!$AJ:$AJ, $H35)</f>
        <v>0</v>
      </c>
      <c r="BP35" s="134">
        <f>SUMIFS('WBS Summary'!DJ:DJ,'WBS Summary'!$B:$B, $B35, 'WBS Summary'!$AH:$AH, $C35,'WBS Summary'!$AJ:$AJ, $H35)</f>
        <v>0</v>
      </c>
      <c r="BQ35" s="134">
        <f>SUMIFS('WBS Summary'!DK:DK,'WBS Summary'!$B:$B, $B35, 'WBS Summary'!$AH:$AH, $C35,'WBS Summary'!$AJ:$AJ, $H35)</f>
        <v>0</v>
      </c>
      <c r="BR35" s="134">
        <f>SUMIFS('WBS Summary'!DL:DL,'WBS Summary'!$B:$B, $B35, 'WBS Summary'!$AH:$AH, $C35,'WBS Summary'!$AJ:$AJ, $H35)</f>
        <v>0</v>
      </c>
      <c r="BS35" s="134">
        <f>SUMIFS('WBS Summary'!DM:DM,'WBS Summary'!$B:$B, $B35, 'WBS Summary'!$AH:$AH, $C35,'WBS Summary'!$AJ:$AJ, $H35)</f>
        <v>0</v>
      </c>
      <c r="BT35" s="134">
        <f>SUMIFS('WBS Summary'!DN:DN,'WBS Summary'!$B:$B, $B35, 'WBS Summary'!$AH:$AH, $C35,'WBS Summary'!$AJ:$AJ, $H35)</f>
        <v>0</v>
      </c>
      <c r="BU35" s="134">
        <f>SUMIFS('WBS Summary'!DO:DO,'WBS Summary'!$B:$B, $B35, 'WBS Summary'!$AH:$AH, $C35,'WBS Summary'!$AJ:$AJ, $H35)</f>
        <v>0</v>
      </c>
      <c r="BV35" s="134">
        <f>SUMIFS('WBS Summary'!DP:DP,'WBS Summary'!$B:$B, $B35, 'WBS Summary'!$AH:$AH, $C35,'WBS Summary'!$AJ:$AJ, $H35)</f>
        <v>0</v>
      </c>
      <c r="BW35" s="134">
        <f>SUMIFS('WBS Summary'!DQ:DQ,'WBS Summary'!$B:$B, $B35, 'WBS Summary'!$AH:$AH, $C35,'WBS Summary'!$AJ:$AJ, $H35)</f>
        <v>0</v>
      </c>
      <c r="BX35" s="134">
        <f>SUMIFS('WBS Summary'!DR:DR,'WBS Summary'!$B:$B, $B35, 'WBS Summary'!$AH:$AH, $C35,'WBS Summary'!$AJ:$AJ, $H35)</f>
        <v>0</v>
      </c>
      <c r="BY35" s="134">
        <f>SUMIFS('WBS Summary'!DS:DS,'WBS Summary'!$B:$B, $B35, 'WBS Summary'!$AH:$AH, $C35,'WBS Summary'!$AJ:$AJ, $H35)</f>
        <v>0</v>
      </c>
      <c r="BZ35" s="134">
        <f>SUMIFS('WBS Summary'!DT:DT,'WBS Summary'!$B:$B, $B35, 'WBS Summary'!$AH:$AH, $C35,'WBS Summary'!$AJ:$AJ, $H35)</f>
        <v>0</v>
      </c>
      <c r="CA35" s="134">
        <f>SUMIFS('WBS Summary'!DU:DU,'WBS Summary'!$B:$B, $B35, 'WBS Summary'!$AH:$AH, $C35,'WBS Summary'!$AJ:$AJ, $H35)</f>
        <v>0</v>
      </c>
      <c r="CB35" s="134">
        <f>SUMIFS('WBS Summary'!DV:DV,'WBS Summary'!$B:$B, $B35, 'WBS Summary'!$AH:$AH, $C35,'WBS Summary'!$AJ:$AJ, $H35)</f>
        <v>0</v>
      </c>
      <c r="CC35" s="134">
        <f>SUMIFS('WBS Summary'!DW:DW,'WBS Summary'!$B:$B, $B35, 'WBS Summary'!$AH:$AH, $C35,'WBS Summary'!$AJ:$AJ, $H35)</f>
        <v>0</v>
      </c>
      <c r="CD35" s="134">
        <f>SUMIFS('WBS Summary'!DX:DX,'WBS Summary'!$B:$B, $B35, 'WBS Summary'!$AH:$AH, $C35,'WBS Summary'!$AJ:$AJ, $H35)</f>
        <v>0</v>
      </c>
      <c r="CE35" s="134">
        <f>SUMIFS('WBS Summary'!DY:DY,'WBS Summary'!$B:$B, $B35, 'WBS Summary'!$AH:$AH, $C35,'WBS Summary'!$AJ:$AJ, $H35)</f>
        <v>0</v>
      </c>
      <c r="CF35" s="134">
        <f>SUMIFS('WBS Summary'!DZ:DZ,'WBS Summary'!$B:$B, $B35, 'WBS Summary'!$AH:$AH, $C35,'WBS Summary'!$AJ:$AJ, $H35)</f>
        <v>0</v>
      </c>
      <c r="CG35" s="134">
        <f>SUMIFS('WBS Summary'!EA:EA,'WBS Summary'!$B:$B, $B35, 'WBS Summary'!$AH:$AH, $C35,'WBS Summary'!$AJ:$AJ, $H35)</f>
        <v>0</v>
      </c>
      <c r="CH35" s="134">
        <f>SUMIFS('WBS Summary'!EB:EB,'WBS Summary'!$B:$B, $B35, 'WBS Summary'!$AH:$AH, $C35,'WBS Summary'!$AJ:$AJ, $H35)</f>
        <v>0</v>
      </c>
      <c r="CI35" s="134">
        <f>SUMIFS('WBS Summary'!EC:EC,'WBS Summary'!$B:$B, $B35, 'WBS Summary'!$AH:$AH, $C35,'WBS Summary'!$AJ:$AJ, $H35)</f>
        <v>0</v>
      </c>
      <c r="CJ35" s="134">
        <f>SUMIFS('WBS Summary'!ED:ED,'WBS Summary'!$B:$B, $B35, 'WBS Summary'!$AH:$AH, $C35,'WBS Summary'!$AJ:$AJ, $H35)</f>
        <v>0</v>
      </c>
      <c r="CK35" s="134">
        <f>SUMIFS('WBS Summary'!EE:EE,'WBS Summary'!$B:$B, $B35, 'WBS Summary'!$AH:$AH, $C35,'WBS Summary'!$AJ:$AJ, $H35)</f>
        <v>0</v>
      </c>
      <c r="CL35" s="134">
        <f>SUMIFS('WBS Summary'!EF:EF,'WBS Summary'!$B:$B, $B35, 'WBS Summary'!$AH:$AH, $C35,'WBS Summary'!$AJ:$AJ, $H35)</f>
        <v>0</v>
      </c>
      <c r="CM35" s="134">
        <f>SUMIFS('WBS Summary'!EG:EG,'WBS Summary'!$B:$B, $B35, 'WBS Summary'!$AH:$AH, $C35,'WBS Summary'!$AJ:$AJ, $H35)</f>
        <v>0</v>
      </c>
      <c r="CN35" s="134">
        <f>SUMIFS('WBS Summary'!EH:EH,'WBS Summary'!$B:$B, $B35, 'WBS Summary'!$AH:$AH, $C35,'WBS Summary'!$AJ:$AJ, $H35)</f>
        <v>0</v>
      </c>
      <c r="CO35" s="134">
        <f>SUMIFS('WBS Summary'!EI:EI,'WBS Summary'!$B:$B, $B35, 'WBS Summary'!$AH:$AH, $C35,'WBS Summary'!$AJ:$AJ, $H35)</f>
        <v>0</v>
      </c>
      <c r="CP35" s="134">
        <f>SUMIFS('WBS Summary'!EJ:EJ,'WBS Summary'!$B:$B, $B35, 'WBS Summary'!$AH:$AH, $C35,'WBS Summary'!$AJ:$AJ, $H35)</f>
        <v>0</v>
      </c>
      <c r="CQ35" s="134">
        <f>SUMIFS('WBS Summary'!EK:EK,'WBS Summary'!$B:$B, $B35, 'WBS Summary'!$AH:$AH, $C35,'WBS Summary'!$AJ:$AJ, $H35)</f>
        <v>0</v>
      </c>
      <c r="CR35" s="134">
        <f>SUMIFS('WBS Summary'!EL:EL,'WBS Summary'!$B:$B, $B35, 'WBS Summary'!$AH:$AH, $C35,'WBS Summary'!$AJ:$AJ, $H35)</f>
        <v>0</v>
      </c>
      <c r="CS35" s="134">
        <f>SUMIFS('WBS Summary'!EM:EM,'WBS Summary'!$B:$B, $B35, 'WBS Summary'!$AH:$AH, $C35,'WBS Summary'!$AJ:$AJ, $H35)</f>
        <v>0</v>
      </c>
      <c r="CT35" s="134">
        <f>SUMIFS('WBS Summary'!EN:EN,'WBS Summary'!$B:$B, $B35, 'WBS Summary'!$AH:$AH, $C35,'WBS Summary'!$AJ:$AJ, $H35)</f>
        <v>0</v>
      </c>
      <c r="CU35" s="134">
        <f>SUMIFS('WBS Summary'!EO:EO,'WBS Summary'!$B:$B, $B35, 'WBS Summary'!$AH:$AH, $C35,'WBS Summary'!$AJ:$AJ, $H35)</f>
        <v>0</v>
      </c>
      <c r="CV35" s="134">
        <f>SUMIFS('WBS Summary'!EP:EP,'WBS Summary'!$B:$B, $B35, 'WBS Summary'!$AH:$AH, $C35,'WBS Summary'!$AJ:$AJ, $H35)</f>
        <v>0</v>
      </c>
      <c r="CW35" s="134">
        <f>SUMIFS('WBS Summary'!EQ:EQ,'WBS Summary'!$B:$B, $B35, 'WBS Summary'!$AH:$AH, $C35,'WBS Summary'!$AJ:$AJ, $H35)</f>
        <v>0</v>
      </c>
      <c r="CX35" s="134">
        <f>SUMIFS('WBS Summary'!ER:ER,'WBS Summary'!$B:$B, $B35, 'WBS Summary'!$AH:$AH, $C35,'WBS Summary'!$AJ:$AJ, $H35)</f>
        <v>0</v>
      </c>
      <c r="CY35" s="134">
        <f>SUMIFS('WBS Summary'!ES:ES,'WBS Summary'!$B:$B, $B35, 'WBS Summary'!$AH:$AH, $C35,'WBS Summary'!$AJ:$AJ, $H35)</f>
        <v>0</v>
      </c>
      <c r="CZ35" s="134">
        <f>SUMIFS('WBS Summary'!ET:ET,'WBS Summary'!$B:$B, $B35, 'WBS Summary'!$AH:$AH, $C35,'WBS Summary'!$AJ:$AJ, $H35)</f>
        <v>0</v>
      </c>
      <c r="DA35" s="134">
        <f>SUMIFS('WBS Summary'!EU:EU,'WBS Summary'!$B:$B, $B35, 'WBS Summary'!$AH:$AH, $C35,'WBS Summary'!$AJ:$AJ, $H35)</f>
        <v>0</v>
      </c>
      <c r="DB35" s="134">
        <f>SUMIFS('WBS Summary'!EV:EV,'WBS Summary'!$B:$B, $B35, 'WBS Summary'!$AH:$AH, $C35,'WBS Summary'!$AJ:$AJ, $H35)</f>
        <v>0</v>
      </c>
      <c r="DC35" s="134">
        <f>SUMIFS('WBS Summary'!EW:EW,'WBS Summary'!$B:$B, $B35, 'WBS Summary'!$AH:$AH, $C35,'WBS Summary'!$AJ:$AJ, $H35)</f>
        <v>0</v>
      </c>
      <c r="DD35" s="134">
        <f>SUMIFS('WBS Summary'!EX:EX,'WBS Summary'!$B:$B, $B35, 'WBS Summary'!$AH:$AH, $C35,'WBS Summary'!$AJ:$AJ, $H35)</f>
        <v>0</v>
      </c>
      <c r="DE35" s="134">
        <f>SUMIFS('WBS Summary'!EY:EY,'WBS Summary'!$B:$B, $B35, 'WBS Summary'!$AH:$AH, $C35,'WBS Summary'!$AJ:$AJ, $H35)</f>
        <v>0</v>
      </c>
      <c r="DF35"/>
      <c r="DG35" s="134">
        <f>SUMIFS('WBS Summary'!FR:FR,'WBS Summary'!$B:$B, $B35, 'WBS Summary'!$AH:$AH, $C35,'WBS Summary'!$AJ:$AJ, $H35)</f>
        <v>0</v>
      </c>
      <c r="DH35" s="134">
        <f>SUMIFS('WBS Summary'!FS:FS,'WBS Summary'!$B:$B, $B35, 'WBS Summary'!$AH:$AH, $C35,'WBS Summary'!$AJ:$AJ, $H35)</f>
        <v>0</v>
      </c>
      <c r="DI35" s="134">
        <f>SUMIFS('WBS Summary'!FT:FT,'WBS Summary'!$B:$B, $B35, 'WBS Summary'!$AH:$AH, $C35,'WBS Summary'!$AJ:$AJ, $H35)</f>
        <v>0</v>
      </c>
      <c r="DJ35" s="134">
        <f>SUMIFS('WBS Summary'!FU:FU,'WBS Summary'!$B:$B, $B35, 'WBS Summary'!$AH:$AH, $C35,'WBS Summary'!$AJ:$AJ, $H35)</f>
        <v>0</v>
      </c>
      <c r="DK35" s="134">
        <f>SUMIFS('WBS Summary'!FV:FV,'WBS Summary'!$B:$B, $B35, 'WBS Summary'!$AH:$AH, $C35,'WBS Summary'!$AJ:$AJ, $H35)</f>
        <v>0</v>
      </c>
      <c r="DL35" s="134">
        <f>SUMIFS('WBS Summary'!FW:FW,'WBS Summary'!$B:$B, $B35, 'WBS Summary'!$AH:$AH, $C35,'WBS Summary'!$AJ:$AJ, $H35)</f>
        <v>0</v>
      </c>
      <c r="DM35" s="134">
        <f>SUMIFS('WBS Summary'!FX:FX,'WBS Summary'!$B:$B, $B35, 'WBS Summary'!$AH:$AH, $C35,'WBS Summary'!$AJ:$AJ, $H35)</f>
        <v>0</v>
      </c>
      <c r="DN35" s="134">
        <f>SUMIFS('WBS Summary'!FY:FY,'WBS Summary'!$B:$B, $B35, 'WBS Summary'!$AH:$AH, $C35,'WBS Summary'!$AJ:$AJ, $H35)</f>
        <v>0</v>
      </c>
      <c r="DO35" s="134">
        <f>SUMIFS('WBS Summary'!FZ:FZ,'WBS Summary'!$B:$B, $B35, 'WBS Summary'!$AH:$AH, $C35,'WBS Summary'!$AJ:$AJ, $H35)</f>
        <v>0</v>
      </c>
      <c r="DP35" s="134">
        <f>SUMIFS('WBS Summary'!GA:GA,'WBS Summary'!$B:$B, $B35, 'WBS Summary'!$AH:$AH, $C35,'WBS Summary'!$AJ:$AJ, $H35)</f>
        <v>0</v>
      </c>
      <c r="DQ35" s="134">
        <f>SUMIFS('WBS Summary'!GB:GB,'WBS Summary'!$B:$B, $B35, 'WBS Summary'!$AH:$AH, $C35,'WBS Summary'!$AJ:$AJ, $H35)</f>
        <v>0</v>
      </c>
      <c r="DR35" s="134">
        <f>SUMIFS('WBS Summary'!GC:GC,'WBS Summary'!$B:$B, $B35, 'WBS Summary'!$AH:$AH, $C35,'WBS Summary'!$AJ:$AJ, $H35)</f>
        <v>0</v>
      </c>
      <c r="DS35" s="134">
        <f>SUMIFS('WBS Summary'!GD:GD,'WBS Summary'!$B:$B, $B35, 'WBS Summary'!$AH:$AH, $C35,'WBS Summary'!$AJ:$AJ, $H35)</f>
        <v>0</v>
      </c>
      <c r="DT35" s="134">
        <f>SUMIFS('WBS Summary'!GE:GE,'WBS Summary'!$B:$B, $B35, 'WBS Summary'!$AH:$AH, $C35,'WBS Summary'!$AJ:$AJ, $H35)</f>
        <v>0</v>
      </c>
      <c r="DU35" s="134">
        <f>SUMIFS('WBS Summary'!GF:GF,'WBS Summary'!$B:$B, $B35, 'WBS Summary'!$AH:$AH, $C35,'WBS Summary'!$AJ:$AJ, $H35)</f>
        <v>0</v>
      </c>
      <c r="DV35" s="134">
        <f>SUMIFS('WBS Summary'!GG:GG,'WBS Summary'!$B:$B, $B35, 'WBS Summary'!$AH:$AH, $C35,'WBS Summary'!$AJ:$AJ, $H35)</f>
        <v>0</v>
      </c>
      <c r="DW35" s="134">
        <f>SUMIFS('WBS Summary'!GH:GH,'WBS Summary'!$B:$B, $B35, 'WBS Summary'!$AH:$AH, $C35,'WBS Summary'!$AJ:$AJ, $H35)</f>
        <v>0</v>
      </c>
      <c r="DX35" s="134">
        <f>SUMIFS('WBS Summary'!GI:GI,'WBS Summary'!$B:$B, $B35, 'WBS Summary'!$AH:$AH, $C35,'WBS Summary'!$AJ:$AJ, $H35)</f>
        <v>0</v>
      </c>
      <c r="DY35" s="134">
        <f>SUMIFS('WBS Summary'!GJ:GJ,'WBS Summary'!$B:$B, $B35, 'WBS Summary'!$AH:$AH, $C35,'WBS Summary'!$AJ:$AJ, $H35)</f>
        <v>0</v>
      </c>
      <c r="DZ35" s="134">
        <f>SUMIFS('WBS Summary'!GK:GK,'WBS Summary'!$B:$B, $B35, 'WBS Summary'!$AH:$AH, $C35,'WBS Summary'!$AJ:$AJ, $H35)</f>
        <v>0</v>
      </c>
      <c r="EA35" s="134">
        <f>SUMIFS('WBS Summary'!GL:GL,'WBS Summary'!$B:$B, $B35, 'WBS Summary'!$AH:$AH, $C35,'WBS Summary'!$AJ:$AJ, $H35)</f>
        <v>0</v>
      </c>
      <c r="EB35" s="134">
        <f>SUMIFS('WBS Summary'!GM:GM,'WBS Summary'!$B:$B, $B35, 'WBS Summary'!$AH:$AH, $C35,'WBS Summary'!$AJ:$AJ, $H35)</f>
        <v>0</v>
      </c>
      <c r="EC35" s="134">
        <f>SUMIFS('WBS Summary'!GN:GN,'WBS Summary'!$B:$B, $B35, 'WBS Summary'!$AH:$AH, $C35,'WBS Summary'!$AJ:$AJ, $H35)</f>
        <v>0</v>
      </c>
      <c r="ED35" s="134">
        <f>SUMIFS('WBS Summary'!GO:GO,'WBS Summary'!$B:$B, $B35, 'WBS Summary'!$AH:$AH, $C35,'WBS Summary'!$AJ:$AJ, $H35)</f>
        <v>0</v>
      </c>
      <c r="EE35" s="134">
        <f>SUMIFS('WBS Summary'!GP:GP,'WBS Summary'!$B:$B, $B35, 'WBS Summary'!$AH:$AH, $C35,'WBS Summary'!$AJ:$AJ, $H35)</f>
        <v>0</v>
      </c>
      <c r="EF35" s="134">
        <f>SUMIFS('WBS Summary'!GQ:GQ,'WBS Summary'!$B:$B, $B35, 'WBS Summary'!$AH:$AH, $C35,'WBS Summary'!$AJ:$AJ, $H35)</f>
        <v>0</v>
      </c>
      <c r="EG35" s="134">
        <f>SUMIFS('WBS Summary'!GR:GR,'WBS Summary'!$B:$B, $B35, 'WBS Summary'!$AH:$AH, $C35,'WBS Summary'!$AJ:$AJ, $H35)</f>
        <v>0</v>
      </c>
      <c r="EH35" s="134">
        <f>SUMIFS('WBS Summary'!GS:GS,'WBS Summary'!$B:$B, $B35, 'WBS Summary'!$AH:$AH, $C35,'WBS Summary'!$AJ:$AJ, $H35)</f>
        <v>0</v>
      </c>
      <c r="EI35" s="134">
        <f>SUMIFS('WBS Summary'!GT:GT,'WBS Summary'!$B:$B, $B35, 'WBS Summary'!$AH:$AH, $C35,'WBS Summary'!$AJ:$AJ, $H35)</f>
        <v>0</v>
      </c>
      <c r="EJ35" s="134">
        <f>SUMIFS('WBS Summary'!GU:GU,'WBS Summary'!$B:$B, $B35, 'WBS Summary'!$AH:$AH, $C35,'WBS Summary'!$AJ:$AJ, $H35)</f>
        <v>0</v>
      </c>
      <c r="EK35" s="134">
        <f>SUMIFS('WBS Summary'!GV:GV,'WBS Summary'!$B:$B, $B35, 'WBS Summary'!$AH:$AH, $C35,'WBS Summary'!$AJ:$AJ, $H35)</f>
        <v>0</v>
      </c>
      <c r="EL35" s="134">
        <f>SUMIFS('WBS Summary'!GW:GW,'WBS Summary'!$B:$B, $B35, 'WBS Summary'!$AH:$AH, $C35,'WBS Summary'!$AJ:$AJ, $H35)</f>
        <v>0</v>
      </c>
      <c r="EM35" s="134">
        <f>SUMIFS('WBS Summary'!GX:GX,'WBS Summary'!$B:$B, $B35, 'WBS Summary'!$AH:$AH, $C35,'WBS Summary'!$AJ:$AJ, $H35)</f>
        <v>0</v>
      </c>
      <c r="EN35" s="134">
        <f>SUMIFS('WBS Summary'!GY:GY,'WBS Summary'!$B:$B, $B35, 'WBS Summary'!$AH:$AH, $C35,'WBS Summary'!$AJ:$AJ, $H35)</f>
        <v>0</v>
      </c>
      <c r="EO35" s="134">
        <f>SUMIFS('WBS Summary'!GZ:GZ,'WBS Summary'!$B:$B, $B35, 'WBS Summary'!$AH:$AH, $C35,'WBS Summary'!$AJ:$AJ, $H35)</f>
        <v>0</v>
      </c>
      <c r="EP35" s="134">
        <f>SUMIFS('WBS Summary'!HA:HA,'WBS Summary'!$B:$B, $B35, 'WBS Summary'!$AH:$AH, $C35,'WBS Summary'!$AJ:$AJ, $H35)</f>
        <v>0</v>
      </c>
      <c r="EQ35" s="134">
        <f>SUMIFS('WBS Summary'!HB:HB,'WBS Summary'!$B:$B, $B35, 'WBS Summary'!$AH:$AH, $C35,'WBS Summary'!$AJ:$AJ, $H35)</f>
        <v>0</v>
      </c>
      <c r="ER35" s="134">
        <f>SUMIFS('WBS Summary'!HC:HC,'WBS Summary'!$B:$B, $B35, 'WBS Summary'!$AH:$AH, $C35,'WBS Summary'!$AJ:$AJ, $H35)</f>
        <v>0</v>
      </c>
      <c r="ES35" s="134">
        <f>SUMIFS('WBS Summary'!HD:HD,'WBS Summary'!$B:$B, $B35, 'WBS Summary'!$AH:$AH, $C35,'WBS Summary'!$AJ:$AJ, $H35)</f>
        <v>0</v>
      </c>
      <c r="ET35" s="134">
        <f>SUMIFS('WBS Summary'!HE:HE,'WBS Summary'!$B:$B, $B35, 'WBS Summary'!$AH:$AH, $C35,'WBS Summary'!$AJ:$AJ, $H35)</f>
        <v>0</v>
      </c>
      <c r="EU35" s="134">
        <f>SUMIFS('WBS Summary'!HF:HF,'WBS Summary'!$B:$B, $B35, 'WBS Summary'!$AH:$AH, $C35,'WBS Summary'!$AJ:$AJ, $H35)</f>
        <v>0</v>
      </c>
      <c r="EV35" s="134">
        <f>SUMIFS('WBS Summary'!HG:HG,'WBS Summary'!$B:$B, $B35, 'WBS Summary'!$AH:$AH, $C35,'WBS Summary'!$AJ:$AJ, $H35)</f>
        <v>0</v>
      </c>
      <c r="EW35" s="134">
        <f>SUMIFS('WBS Summary'!HH:HH,'WBS Summary'!$B:$B, $B35, 'WBS Summary'!$AH:$AH, $C35,'WBS Summary'!$AJ:$AJ, $H35)</f>
        <v>0</v>
      </c>
      <c r="EX35" s="134">
        <f>SUMIFS('WBS Summary'!HI:HI,'WBS Summary'!$B:$B, $B35, 'WBS Summary'!$AH:$AH, $C35,'WBS Summary'!$AJ:$AJ, $H35)</f>
        <v>0</v>
      </c>
      <c r="EY35" s="134">
        <f>SUMIFS('WBS Summary'!HJ:HJ,'WBS Summary'!$B:$B, $B35, 'WBS Summary'!$AH:$AH, $C35,'WBS Summary'!$AJ:$AJ, $H35)</f>
        <v>0</v>
      </c>
      <c r="EZ35" s="134">
        <f>SUMIFS('WBS Summary'!HK:HK,'WBS Summary'!$B:$B, $B35, 'WBS Summary'!$AH:$AH, $C35,'WBS Summary'!$AJ:$AJ, $H35)</f>
        <v>0</v>
      </c>
      <c r="FA35" s="134">
        <f>SUMIFS('WBS Summary'!HL:HL,'WBS Summary'!$B:$B, $B35, 'WBS Summary'!$AH:$AH, $C35,'WBS Summary'!$AJ:$AJ, $H35)</f>
        <v>0</v>
      </c>
      <c r="FB35" s="134">
        <f>SUMIFS('WBS Summary'!HM:HM,'WBS Summary'!$B:$B, $B35, 'WBS Summary'!$AH:$AH, $C35,'WBS Summary'!$AJ:$AJ, $H35)</f>
        <v>0</v>
      </c>
      <c r="FC35" s="134">
        <f>SUMIFS('WBS Summary'!HN:HN,'WBS Summary'!$B:$B, $B35, 'WBS Summary'!$AH:$AH, $C35,'WBS Summary'!$AJ:$AJ, $H35)</f>
        <v>0</v>
      </c>
      <c r="FD35" s="134">
        <f>SUMIFS('WBS Summary'!HO:HO,'WBS Summary'!$B:$B, $B35, 'WBS Summary'!$AH:$AH, $C35,'WBS Summary'!$AJ:$AJ, $H35)</f>
        <v>0</v>
      </c>
      <c r="FE35" s="134">
        <f>SUMIFS('WBS Summary'!HP:HP,'WBS Summary'!$B:$B, $B35, 'WBS Summary'!$AH:$AH, $C35,'WBS Summary'!$AJ:$AJ, $H35)</f>
        <v>0</v>
      </c>
      <c r="FF35" s="134">
        <f>SUMIFS('WBS Summary'!HQ:HQ,'WBS Summary'!$B:$B, $B35, 'WBS Summary'!$AH:$AH, $C35,'WBS Summary'!$AJ:$AJ, $H35)</f>
        <v>0</v>
      </c>
      <c r="FG35" s="134">
        <f>SUMIFS('WBS Summary'!HR:HR,'WBS Summary'!$B:$B, $B35, 'WBS Summary'!$AH:$AH, $C35,'WBS Summary'!$AJ:$AJ, $H35)</f>
        <v>0</v>
      </c>
      <c r="FH35" s="134">
        <f>SUMIFS('WBS Summary'!HS:HS,'WBS Summary'!$B:$B, $B35, 'WBS Summary'!$AH:$AH, $C35,'WBS Summary'!$AJ:$AJ, $H35)</f>
        <v>0</v>
      </c>
      <c r="FI35" s="134">
        <f>SUMIFS('WBS Summary'!HT:HT,'WBS Summary'!$B:$B, $B35, 'WBS Summary'!$AH:$AH, $C35,'WBS Summary'!$AJ:$AJ, $H35)</f>
        <v>0</v>
      </c>
      <c r="FJ35" s="134">
        <f>SUMIFS('WBS Summary'!HU:HU,'WBS Summary'!$B:$B, $B35, 'WBS Summary'!$AH:$AH, $C35,'WBS Summary'!$AJ:$AJ, $H35)</f>
        <v>0</v>
      </c>
      <c r="FK35" s="134">
        <f>SUMIFS('WBS Summary'!HV:HV,'WBS Summary'!$B:$B, $B35, 'WBS Summary'!$AH:$AH, $C35,'WBS Summary'!$AJ:$AJ, $H35)</f>
        <v>0</v>
      </c>
      <c r="FL35" s="134">
        <f>SUMIFS('WBS Summary'!HW:HW,'WBS Summary'!$B:$B, $B35, 'WBS Summary'!$AH:$AH, $C35,'WBS Summary'!$AJ:$AJ, $H35)</f>
        <v>0</v>
      </c>
      <c r="FM35" s="134">
        <f>SUMIFS('WBS Summary'!HX:HX,'WBS Summary'!$B:$B, $B35, 'WBS Summary'!$AH:$AH, $C35,'WBS Summary'!$AJ:$AJ, $H35)</f>
        <v>0</v>
      </c>
      <c r="FN35" s="134">
        <f>SUMIFS('WBS Summary'!HY:HY,'WBS Summary'!$B:$B, $B35, 'WBS Summary'!$AH:$AH, $C35,'WBS Summary'!$AJ:$AJ, $H35)</f>
        <v>0</v>
      </c>
      <c r="FO35" s="134">
        <f>SUMIFS('WBS Summary'!HZ:HZ,'WBS Summary'!$B:$B, $B35, 'WBS Summary'!$AH:$AH, $C35,'WBS Summary'!$AJ:$AJ, $H35)</f>
        <v>0</v>
      </c>
      <c r="FP35" s="134">
        <f>SUMIFS('WBS Summary'!IA:IA,'WBS Summary'!$B:$B, $B35, 'WBS Summary'!$AH:$AH, $C35,'WBS Summary'!$AJ:$AJ, $H35)</f>
        <v>0</v>
      </c>
      <c r="FQ35" s="134">
        <f>SUMIFS('WBS Summary'!IB:IB,'WBS Summary'!$B:$B, $B35, 'WBS Summary'!$AH:$AH, $C35,'WBS Summary'!$AJ:$AJ, $H35)</f>
        <v>0</v>
      </c>
      <c r="FR35" s="134">
        <f>SUMIFS('WBS Summary'!IC:IC,'WBS Summary'!$B:$B, $B35, 'WBS Summary'!$AH:$AH, $C35,'WBS Summary'!$AJ:$AJ, $H35)</f>
        <v>0</v>
      </c>
      <c r="FS35" s="134">
        <f>SUMIFS('WBS Summary'!ID:ID,'WBS Summary'!$B:$B, $B35, 'WBS Summary'!$AH:$AH, $C35,'WBS Summary'!$AJ:$AJ, $H35)</f>
        <v>0</v>
      </c>
      <c r="FT35" s="134">
        <f>SUMIFS('WBS Summary'!IE:IE,'WBS Summary'!$B:$B, $B35, 'WBS Summary'!$AH:$AH, $C35,'WBS Summary'!$AJ:$AJ, $H35)</f>
        <v>0</v>
      </c>
      <c r="FU35" s="134">
        <f>SUMIFS('WBS Summary'!IF:IF,'WBS Summary'!$B:$B, $B35, 'WBS Summary'!$AH:$AH, $C35,'WBS Summary'!$AJ:$AJ, $H35)</f>
        <v>0</v>
      </c>
      <c r="FV35" s="134">
        <f>SUMIFS('WBS Summary'!IG:IG,'WBS Summary'!$B:$B, $B35, 'WBS Summary'!$AH:$AH, $C35,'WBS Summary'!$AJ:$AJ, $H35)</f>
        <v>0</v>
      </c>
      <c r="FW35" s="134">
        <f>SUMIFS('WBS Summary'!IH:IH,'WBS Summary'!$B:$B, $B35, 'WBS Summary'!$AH:$AH, $C35,'WBS Summary'!$AJ:$AJ, $H35)</f>
        <v>0</v>
      </c>
      <c r="FX35" s="134">
        <f>SUMIFS('WBS Summary'!II:II,'WBS Summary'!$B:$B, $B35, 'WBS Summary'!$AH:$AH, $C35,'WBS Summary'!$AJ:$AJ, $H35)</f>
        <v>0</v>
      </c>
      <c r="FY35" s="134">
        <f>SUMIFS('WBS Summary'!IJ:IJ,'WBS Summary'!$B:$B, $B35, 'WBS Summary'!$AH:$AH, $C35,'WBS Summary'!$AJ:$AJ, $H35)</f>
        <v>0</v>
      </c>
      <c r="FZ35" s="134">
        <f>SUMIFS('WBS Summary'!IK:IK,'WBS Summary'!$B:$B, $B35, 'WBS Summary'!$AH:$AH, $C35,'WBS Summary'!$AJ:$AJ, $H35)</f>
        <v>0</v>
      </c>
      <c r="GA35" s="134">
        <f>SUMIFS('WBS Summary'!IL:IL,'WBS Summary'!$B:$B, $B35, 'WBS Summary'!$AH:$AH, $C35,'WBS Summary'!$AJ:$AJ, $H35)</f>
        <v>0</v>
      </c>
      <c r="GB35" s="134">
        <f>SUMIFS('WBS Summary'!IM:IM,'WBS Summary'!$B:$B, $B35, 'WBS Summary'!$AH:$AH, $C35,'WBS Summary'!$AJ:$AJ, $H35)</f>
        <v>0</v>
      </c>
      <c r="GC35" s="134">
        <f>SUMIFS('WBS Summary'!IN:IN,'WBS Summary'!$B:$B, $B35, 'WBS Summary'!$AH:$AH, $C35,'WBS Summary'!$AJ:$AJ, $H35)</f>
        <v>0</v>
      </c>
      <c r="GD35" s="134">
        <f>SUMIFS('WBS Summary'!IO:IO,'WBS Summary'!$B:$B, $B35, 'WBS Summary'!$AH:$AH, $C35,'WBS Summary'!$AJ:$AJ, $H35)</f>
        <v>0</v>
      </c>
      <c r="GE35" s="134">
        <f>SUMIFS('WBS Summary'!IP:IP,'WBS Summary'!$B:$B, $B35, 'WBS Summary'!$AH:$AH, $C35,'WBS Summary'!$AJ:$AJ, $H35)</f>
        <v>0</v>
      </c>
      <c r="GF35" s="134">
        <f>SUMIFS('WBS Summary'!IQ:IQ,'WBS Summary'!$B:$B, $B35, 'WBS Summary'!$AH:$AH, $C35,'WBS Summary'!$AJ:$AJ, $H35)</f>
        <v>0</v>
      </c>
      <c r="GG35" s="134">
        <f>SUMIFS('WBS Summary'!IR:IR,'WBS Summary'!$B:$B, $B35, 'WBS Summary'!$AH:$AH, $C35,'WBS Summary'!$AJ:$AJ, $H35)</f>
        <v>0</v>
      </c>
      <c r="GH35" s="134">
        <f>SUMIFS('WBS Summary'!IS:IS,'WBS Summary'!$B:$B, $B35, 'WBS Summary'!$AH:$AH, $C35,'WBS Summary'!$AJ:$AJ, $H35)</f>
        <v>0</v>
      </c>
      <c r="GI35" s="134">
        <f>SUMIFS('WBS Summary'!IT:IT,'WBS Summary'!$B:$B, $B35, 'WBS Summary'!$AH:$AH, $C35,'WBS Summary'!$AJ:$AJ, $H35)</f>
        <v>0</v>
      </c>
      <c r="GJ35" s="134">
        <f>SUMIFS('WBS Summary'!IU:IU,'WBS Summary'!$B:$B, $B35, 'WBS Summary'!$AH:$AH, $C35,'WBS Summary'!$AJ:$AJ, $H35)</f>
        <v>0</v>
      </c>
      <c r="GK35" s="134">
        <f>SUMIFS('WBS Summary'!IV:IV,'WBS Summary'!$B:$B, $B35, 'WBS Summary'!$AH:$AH, $C35,'WBS Summary'!$AJ:$AJ, $H35)</f>
        <v>0</v>
      </c>
      <c r="GL35" s="134">
        <f>SUMIFS('WBS Summary'!IW:IW,'WBS Summary'!$B:$B, $B35, 'WBS Summary'!$AH:$AH, $C35,'WBS Summary'!$AJ:$AJ, $H35)</f>
        <v>0</v>
      </c>
      <c r="GM35" s="134">
        <f>SUMIFS('WBS Summary'!IX:IX,'WBS Summary'!$B:$B, $B35, 'WBS Summary'!$AH:$AH, $C35,'WBS Summary'!$AJ:$AJ, $H35)</f>
        <v>0</v>
      </c>
      <c r="GN35" s="134">
        <f>SUMIFS('WBS Summary'!IY:IY,'WBS Summary'!$B:$B, $B35, 'WBS Summary'!$AH:$AH, $C35,'WBS Summary'!$AJ:$AJ, $H35)</f>
        <v>0</v>
      </c>
      <c r="GO35" s="134">
        <f>SUMIFS('WBS Summary'!IZ:IZ,'WBS Summary'!$B:$B, $B35, 'WBS Summary'!$AH:$AH, $C35,'WBS Summary'!$AJ:$AJ, $H35)</f>
        <v>0</v>
      </c>
      <c r="GP35" s="134">
        <f>SUMIFS('WBS Summary'!JA:JA,'WBS Summary'!$B:$B, $B35, 'WBS Summary'!$AH:$AH, $C35,'WBS Summary'!$AJ:$AJ, $H35)</f>
        <v>0</v>
      </c>
      <c r="GQ35" s="134">
        <f>SUMIFS('WBS Summary'!JB:JB,'WBS Summary'!$B:$B, $B35, 'WBS Summary'!$AH:$AH, $C35,'WBS Summary'!$AJ:$AJ, $H35)</f>
        <v>0</v>
      </c>
      <c r="GR35" s="134">
        <f>SUMIFS('WBS Summary'!JC:JC,'WBS Summary'!$B:$B, $B35, 'WBS Summary'!$AH:$AH, $C35,'WBS Summary'!$AJ:$AJ, $H35)</f>
        <v>0</v>
      </c>
      <c r="GS35" s="134">
        <f>SUMIFS('WBS Summary'!JD:JD,'WBS Summary'!$B:$B, $B35, 'WBS Summary'!$AH:$AH, $C35,'WBS Summary'!$AJ:$AJ, $H35)</f>
        <v>0</v>
      </c>
      <c r="GT35" s="134">
        <f>SUMIFS('WBS Summary'!JE:JE,'WBS Summary'!$B:$B, $B35, 'WBS Summary'!$AH:$AH, $C35,'WBS Summary'!$AJ:$AJ, $H35)</f>
        <v>0</v>
      </c>
      <c r="GU35" s="134">
        <f>SUMIFS('WBS Summary'!JF:JF,'WBS Summary'!$B:$B, $B35, 'WBS Summary'!$AH:$AH, $C35,'WBS Summary'!$AJ:$AJ, $H35)</f>
        <v>0</v>
      </c>
      <c r="GV35" s="134">
        <f>SUMIFS('WBS Summary'!JG:JG,'WBS Summary'!$B:$B, $B35, 'WBS Summary'!$AH:$AH, $C35,'WBS Summary'!$AJ:$AJ, $H35)</f>
        <v>0</v>
      </c>
      <c r="GW35" s="134">
        <f>SUMIFS('WBS Summary'!JH:JH,'WBS Summary'!$B:$B, $B35, 'WBS Summary'!$AH:$AH, $C35,'WBS Summary'!$AJ:$AJ, $H35)</f>
        <v>0</v>
      </c>
      <c r="GX35" s="134">
        <f>SUMIFS('WBS Summary'!JI:JI,'WBS Summary'!$B:$B, $B35, 'WBS Summary'!$AH:$AH, $C35,'WBS Summary'!$AJ:$AJ, $H35)</f>
        <v>0</v>
      </c>
      <c r="GY35" s="134">
        <f>SUMIFS('WBS Summary'!JJ:JJ,'WBS Summary'!$B:$B, $B35, 'WBS Summary'!$AH:$AH, $C35,'WBS Summary'!$AJ:$AJ, $H35)</f>
        <v>0</v>
      </c>
      <c r="GZ35" s="134">
        <f>SUMIFS('WBS Summary'!JK:JK,'WBS Summary'!$B:$B, $B35, 'WBS Summary'!$AH:$AH, $C35,'WBS Summary'!$AJ:$AJ, $H35)</f>
        <v>0</v>
      </c>
      <c r="HA35" s="134">
        <f>SUMIFS('WBS Summary'!JL:JL,'WBS Summary'!$B:$B, $B35, 'WBS Summary'!$AH:$AH, $C35,'WBS Summary'!$AJ:$AJ, $H35)</f>
        <v>0</v>
      </c>
      <c r="HB35" s="134">
        <f>SUMIFS('WBS Summary'!JM:JM,'WBS Summary'!$B:$B, $B35, 'WBS Summary'!$AH:$AH, $C35,'WBS Summary'!$AJ:$AJ, $H35)</f>
        <v>0</v>
      </c>
      <c r="HC35"/>
    </row>
    <row r="36" spans="1:211" s="194" customFormat="1" outlineLevel="2">
      <c r="A36" s="220"/>
      <c r="B36" s="284" t="s">
        <v>189</v>
      </c>
      <c r="C36" s="227" t="s">
        <v>71</v>
      </c>
      <c r="D36" s="352"/>
      <c r="E36" s="352"/>
      <c r="F36" s="224">
        <f t="shared" si="29"/>
        <v>0</v>
      </c>
      <c r="G36" s="224">
        <f t="shared" si="30"/>
        <v>0</v>
      </c>
      <c r="H36" s="233" t="s">
        <v>345</v>
      </c>
      <c r="I36"/>
      <c r="J36" s="134">
        <f>SUMIFS('WBS Summary'!BD:BD,'WBS Summary'!$B:$B, $B36, 'WBS Summary'!$AH:$AH, $C36,'WBS Summary'!$AJ:$AJ, $H36)</f>
        <v>0</v>
      </c>
      <c r="K36" s="134">
        <f>SUMIFS('WBS Summary'!BE:BE,'WBS Summary'!$B:$B, $B36, 'WBS Summary'!$AH:$AH, $C36,'WBS Summary'!$AJ:$AJ, $H36)</f>
        <v>0</v>
      </c>
      <c r="L36" s="134">
        <f>SUMIFS('WBS Summary'!BF:BF,'WBS Summary'!$B:$B, $B36, 'WBS Summary'!$AH:$AH, $C36,'WBS Summary'!$AJ:$AJ, $H36)</f>
        <v>0</v>
      </c>
      <c r="M36" s="134">
        <f>SUMIFS('WBS Summary'!BG:BG,'WBS Summary'!$B:$B, $B36, 'WBS Summary'!$AH:$AH, $C36,'WBS Summary'!$AJ:$AJ, $H36)</f>
        <v>0</v>
      </c>
      <c r="N36" s="134">
        <f>SUMIFS('WBS Summary'!BH:BH,'WBS Summary'!$B:$B, $B36, 'WBS Summary'!$AH:$AH, $C36,'WBS Summary'!$AJ:$AJ, $H36)</f>
        <v>0</v>
      </c>
      <c r="O36" s="134">
        <f>SUMIFS('WBS Summary'!BI:BI,'WBS Summary'!$B:$B, $B36, 'WBS Summary'!$AH:$AH, $C36,'WBS Summary'!$AJ:$AJ, $H36)</f>
        <v>0</v>
      </c>
      <c r="P36" s="134">
        <f>SUMIFS('WBS Summary'!BJ:BJ,'WBS Summary'!$B:$B, $B36, 'WBS Summary'!$AH:$AH, $C36,'WBS Summary'!$AJ:$AJ, $H36)</f>
        <v>0</v>
      </c>
      <c r="Q36" s="134">
        <f>SUMIFS('WBS Summary'!BK:BK,'WBS Summary'!$B:$B, $B36, 'WBS Summary'!$AH:$AH, $C36,'WBS Summary'!$AJ:$AJ, $H36)</f>
        <v>0</v>
      </c>
      <c r="R36" s="134">
        <f>SUMIFS('WBS Summary'!BL:BL,'WBS Summary'!$B:$B, $B36, 'WBS Summary'!$AH:$AH, $C36,'WBS Summary'!$AJ:$AJ, $H36)</f>
        <v>0</v>
      </c>
      <c r="S36" s="134">
        <f>SUMIFS('WBS Summary'!BM:BM,'WBS Summary'!$B:$B, $B36, 'WBS Summary'!$AH:$AH, $C36,'WBS Summary'!$AJ:$AJ, $H36)</f>
        <v>0</v>
      </c>
      <c r="T36" s="134">
        <f>SUMIFS('WBS Summary'!BN:BN,'WBS Summary'!$B:$B, $B36, 'WBS Summary'!$AH:$AH, $C36,'WBS Summary'!$AJ:$AJ, $H36)</f>
        <v>0</v>
      </c>
      <c r="U36" s="134">
        <f>SUMIFS('WBS Summary'!BO:BO,'WBS Summary'!$B:$B, $B36, 'WBS Summary'!$AH:$AH, $C36,'WBS Summary'!$AJ:$AJ, $H36)</f>
        <v>0</v>
      </c>
      <c r="V36" s="134">
        <f>SUMIFS('WBS Summary'!BP:BP,'WBS Summary'!$B:$B, $B36, 'WBS Summary'!$AH:$AH, $C36,'WBS Summary'!$AJ:$AJ, $H36)</f>
        <v>0</v>
      </c>
      <c r="W36" s="134">
        <f>SUMIFS('WBS Summary'!BQ:BQ,'WBS Summary'!$B:$B, $B36, 'WBS Summary'!$AH:$AH, $C36,'WBS Summary'!$AJ:$AJ, $H36)</f>
        <v>0</v>
      </c>
      <c r="X36" s="134">
        <f>SUMIFS('WBS Summary'!BR:BR,'WBS Summary'!$B:$B, $B36, 'WBS Summary'!$AH:$AH, $C36,'WBS Summary'!$AJ:$AJ, $H36)</f>
        <v>0</v>
      </c>
      <c r="Y36" s="134">
        <f>SUMIFS('WBS Summary'!BS:BS,'WBS Summary'!$B:$B, $B36, 'WBS Summary'!$AH:$AH, $C36,'WBS Summary'!$AJ:$AJ, $H36)</f>
        <v>0</v>
      </c>
      <c r="Z36" s="134">
        <f>SUMIFS('WBS Summary'!BT:BT,'WBS Summary'!$B:$B, $B36, 'WBS Summary'!$AH:$AH, $C36,'WBS Summary'!$AJ:$AJ, $H36)</f>
        <v>0</v>
      </c>
      <c r="AA36" s="134">
        <f>SUMIFS('WBS Summary'!BU:BU,'WBS Summary'!$B:$B, $B36, 'WBS Summary'!$AH:$AH, $C36,'WBS Summary'!$AJ:$AJ, $H36)</f>
        <v>0</v>
      </c>
      <c r="AB36" s="134">
        <f>SUMIFS('WBS Summary'!BV:BV,'WBS Summary'!$B:$B, $B36, 'WBS Summary'!$AH:$AH, $C36,'WBS Summary'!$AJ:$AJ, $H36)</f>
        <v>0</v>
      </c>
      <c r="AC36" s="134">
        <f>SUMIFS('WBS Summary'!BW:BW,'WBS Summary'!$B:$B, $B36, 'WBS Summary'!$AH:$AH, $C36,'WBS Summary'!$AJ:$AJ, $H36)</f>
        <v>0</v>
      </c>
      <c r="AD36" s="134">
        <f>SUMIFS('WBS Summary'!BX:BX,'WBS Summary'!$B:$B, $B36, 'WBS Summary'!$AH:$AH, $C36,'WBS Summary'!$AJ:$AJ, $H36)</f>
        <v>0</v>
      </c>
      <c r="AE36" s="134">
        <f>SUMIFS('WBS Summary'!BY:BY,'WBS Summary'!$B:$B, $B36, 'WBS Summary'!$AH:$AH, $C36,'WBS Summary'!$AJ:$AJ, $H36)</f>
        <v>0</v>
      </c>
      <c r="AF36" s="134">
        <f>SUMIFS('WBS Summary'!BZ:BZ,'WBS Summary'!$B:$B, $B36, 'WBS Summary'!$AH:$AH, $C36,'WBS Summary'!$AJ:$AJ, $H36)</f>
        <v>0</v>
      </c>
      <c r="AG36" s="134">
        <f>SUMIFS('WBS Summary'!CA:CA,'WBS Summary'!$B:$B, $B36, 'WBS Summary'!$AH:$AH, $C36,'WBS Summary'!$AJ:$AJ, $H36)</f>
        <v>0</v>
      </c>
      <c r="AH36" s="134">
        <f>SUMIFS('WBS Summary'!CB:CB,'WBS Summary'!$B:$B, $B36, 'WBS Summary'!$AH:$AH, $C36,'WBS Summary'!$AJ:$AJ, $H36)</f>
        <v>0</v>
      </c>
      <c r="AI36" s="134">
        <f>SUMIFS('WBS Summary'!CC:CC,'WBS Summary'!$B:$B, $B36, 'WBS Summary'!$AH:$AH, $C36,'WBS Summary'!$AJ:$AJ, $H36)</f>
        <v>0</v>
      </c>
      <c r="AJ36" s="134">
        <f>SUMIFS('WBS Summary'!CD:CD,'WBS Summary'!$B:$B, $B36, 'WBS Summary'!$AH:$AH, $C36,'WBS Summary'!$AJ:$AJ, $H36)</f>
        <v>0</v>
      </c>
      <c r="AK36" s="134">
        <f>SUMIFS('WBS Summary'!CE:CE,'WBS Summary'!$B:$B, $B36, 'WBS Summary'!$AH:$AH, $C36,'WBS Summary'!$AJ:$AJ, $H36)</f>
        <v>0</v>
      </c>
      <c r="AL36" s="134">
        <f>SUMIFS('WBS Summary'!CF:CF,'WBS Summary'!$B:$B, $B36, 'WBS Summary'!$AH:$AH, $C36,'WBS Summary'!$AJ:$AJ, $H36)</f>
        <v>0</v>
      </c>
      <c r="AM36" s="134">
        <f>SUMIFS('WBS Summary'!CG:CG,'WBS Summary'!$B:$B, $B36, 'WBS Summary'!$AH:$AH, $C36,'WBS Summary'!$AJ:$AJ, $H36)</f>
        <v>0</v>
      </c>
      <c r="AN36" s="134">
        <f>SUMIFS('WBS Summary'!CH:CH,'WBS Summary'!$B:$B, $B36, 'WBS Summary'!$AH:$AH, $C36,'WBS Summary'!$AJ:$AJ, $H36)</f>
        <v>0</v>
      </c>
      <c r="AO36" s="134">
        <f>SUMIFS('WBS Summary'!CI:CI,'WBS Summary'!$B:$B, $B36, 'WBS Summary'!$AH:$AH, $C36,'WBS Summary'!$AJ:$AJ, $H36)</f>
        <v>0</v>
      </c>
      <c r="AP36" s="134">
        <f>SUMIFS('WBS Summary'!CJ:CJ,'WBS Summary'!$B:$B, $B36, 'WBS Summary'!$AH:$AH, $C36,'WBS Summary'!$AJ:$AJ, $H36)</f>
        <v>0</v>
      </c>
      <c r="AQ36" s="134">
        <f>SUMIFS('WBS Summary'!CK:CK,'WBS Summary'!$B:$B, $B36, 'WBS Summary'!$AH:$AH, $C36,'WBS Summary'!$AJ:$AJ, $H36)</f>
        <v>0</v>
      </c>
      <c r="AR36" s="134">
        <f>SUMIFS('WBS Summary'!CL:CL,'WBS Summary'!$B:$B, $B36, 'WBS Summary'!$AH:$AH, $C36,'WBS Summary'!$AJ:$AJ, $H36)</f>
        <v>0</v>
      </c>
      <c r="AS36" s="134">
        <f>SUMIFS('WBS Summary'!CM:CM,'WBS Summary'!$B:$B, $B36, 'WBS Summary'!$AH:$AH, $C36,'WBS Summary'!$AJ:$AJ, $H36)</f>
        <v>0</v>
      </c>
      <c r="AT36" s="134">
        <f>SUMIFS('WBS Summary'!CN:CN,'WBS Summary'!$B:$B, $B36, 'WBS Summary'!$AH:$AH, $C36,'WBS Summary'!$AJ:$AJ, $H36)</f>
        <v>0</v>
      </c>
      <c r="AU36" s="134">
        <f>SUMIFS('WBS Summary'!CO:CO,'WBS Summary'!$B:$B, $B36, 'WBS Summary'!$AH:$AH, $C36,'WBS Summary'!$AJ:$AJ, $H36)</f>
        <v>0</v>
      </c>
      <c r="AV36" s="134">
        <f>SUMIFS('WBS Summary'!CP:CP,'WBS Summary'!$B:$B, $B36, 'WBS Summary'!$AH:$AH, $C36,'WBS Summary'!$AJ:$AJ, $H36)</f>
        <v>0</v>
      </c>
      <c r="AW36" s="134">
        <f>SUMIFS('WBS Summary'!CQ:CQ,'WBS Summary'!$B:$B, $B36, 'WBS Summary'!$AH:$AH, $C36,'WBS Summary'!$AJ:$AJ, $H36)</f>
        <v>0</v>
      </c>
      <c r="AX36" s="134">
        <f>SUMIFS('WBS Summary'!CR:CR,'WBS Summary'!$B:$B, $B36, 'WBS Summary'!$AH:$AH, $C36,'WBS Summary'!$AJ:$AJ, $H36)</f>
        <v>0</v>
      </c>
      <c r="AY36" s="134">
        <f>SUMIFS('WBS Summary'!CS:CS,'WBS Summary'!$B:$B, $B36, 'WBS Summary'!$AH:$AH, $C36,'WBS Summary'!$AJ:$AJ, $H36)</f>
        <v>0</v>
      </c>
      <c r="AZ36" s="134">
        <f>SUMIFS('WBS Summary'!CT:CT,'WBS Summary'!$B:$B, $B36, 'WBS Summary'!$AH:$AH, $C36,'WBS Summary'!$AJ:$AJ, $H36)</f>
        <v>0</v>
      </c>
      <c r="BA36" s="134">
        <f>SUMIFS('WBS Summary'!CU:CU,'WBS Summary'!$B:$B, $B36, 'WBS Summary'!$AH:$AH, $C36,'WBS Summary'!$AJ:$AJ, $H36)</f>
        <v>0</v>
      </c>
      <c r="BB36" s="134">
        <f>SUMIFS('WBS Summary'!CV:CV,'WBS Summary'!$B:$B, $B36, 'WBS Summary'!$AH:$AH, $C36,'WBS Summary'!$AJ:$AJ, $H36)</f>
        <v>0</v>
      </c>
      <c r="BC36" s="134">
        <f>SUMIFS('WBS Summary'!CW:CW,'WBS Summary'!$B:$B, $B36, 'WBS Summary'!$AH:$AH, $C36,'WBS Summary'!$AJ:$AJ, $H36)</f>
        <v>0</v>
      </c>
      <c r="BD36" s="134">
        <f>SUMIFS('WBS Summary'!CX:CX,'WBS Summary'!$B:$B, $B36, 'WBS Summary'!$AH:$AH, $C36,'WBS Summary'!$AJ:$AJ, $H36)</f>
        <v>0</v>
      </c>
      <c r="BE36" s="134">
        <f>SUMIFS('WBS Summary'!CY:CY,'WBS Summary'!$B:$B, $B36, 'WBS Summary'!$AH:$AH, $C36,'WBS Summary'!$AJ:$AJ, $H36)</f>
        <v>0</v>
      </c>
      <c r="BF36" s="134">
        <f>SUMIFS('WBS Summary'!CZ:CZ,'WBS Summary'!$B:$B, $B36, 'WBS Summary'!$AH:$AH, $C36,'WBS Summary'!$AJ:$AJ, $H36)</f>
        <v>0</v>
      </c>
      <c r="BG36" s="134">
        <f>SUMIFS('WBS Summary'!DA:DA,'WBS Summary'!$B:$B, $B36, 'WBS Summary'!$AH:$AH, $C36,'WBS Summary'!$AJ:$AJ, $H36)</f>
        <v>0</v>
      </c>
      <c r="BH36" s="134">
        <f>SUMIFS('WBS Summary'!DB:DB,'WBS Summary'!$B:$B, $B36, 'WBS Summary'!$AH:$AH, $C36,'WBS Summary'!$AJ:$AJ, $H36)</f>
        <v>0</v>
      </c>
      <c r="BI36" s="134">
        <f>SUMIFS('WBS Summary'!DC:DC,'WBS Summary'!$B:$B, $B36, 'WBS Summary'!$AH:$AH, $C36,'WBS Summary'!$AJ:$AJ, $H36)</f>
        <v>0</v>
      </c>
      <c r="BJ36" s="134">
        <f>SUMIFS('WBS Summary'!DD:DD,'WBS Summary'!$B:$B, $B36, 'WBS Summary'!$AH:$AH, $C36,'WBS Summary'!$AJ:$AJ, $H36)</f>
        <v>0</v>
      </c>
      <c r="BK36" s="134">
        <f>SUMIFS('WBS Summary'!DE:DE,'WBS Summary'!$B:$B, $B36, 'WBS Summary'!$AH:$AH, $C36,'WBS Summary'!$AJ:$AJ, $H36)</f>
        <v>0</v>
      </c>
      <c r="BL36" s="134">
        <f>SUMIFS('WBS Summary'!DF:DF,'WBS Summary'!$B:$B, $B36, 'WBS Summary'!$AH:$AH, $C36,'WBS Summary'!$AJ:$AJ, $H36)</f>
        <v>0</v>
      </c>
      <c r="BM36" s="134">
        <f>SUMIFS('WBS Summary'!DG:DG,'WBS Summary'!$B:$B, $B36, 'WBS Summary'!$AH:$AH, $C36,'WBS Summary'!$AJ:$AJ, $H36)</f>
        <v>0</v>
      </c>
      <c r="BN36" s="134">
        <f>SUMIFS('WBS Summary'!DH:DH,'WBS Summary'!$B:$B, $B36, 'WBS Summary'!$AH:$AH, $C36,'WBS Summary'!$AJ:$AJ, $H36)</f>
        <v>0</v>
      </c>
      <c r="BO36" s="134">
        <f>SUMIFS('WBS Summary'!DI:DI,'WBS Summary'!$B:$B, $B36, 'WBS Summary'!$AH:$AH, $C36,'WBS Summary'!$AJ:$AJ, $H36)</f>
        <v>0</v>
      </c>
      <c r="BP36" s="134">
        <f>SUMIFS('WBS Summary'!DJ:DJ,'WBS Summary'!$B:$B, $B36, 'WBS Summary'!$AH:$AH, $C36,'WBS Summary'!$AJ:$AJ, $H36)</f>
        <v>0</v>
      </c>
      <c r="BQ36" s="134">
        <f>SUMIFS('WBS Summary'!DK:DK,'WBS Summary'!$B:$B, $B36, 'WBS Summary'!$AH:$AH, $C36,'WBS Summary'!$AJ:$AJ, $H36)</f>
        <v>0</v>
      </c>
      <c r="BR36" s="134">
        <f>SUMIFS('WBS Summary'!DL:DL,'WBS Summary'!$B:$B, $B36, 'WBS Summary'!$AH:$AH, $C36,'WBS Summary'!$AJ:$AJ, $H36)</f>
        <v>0</v>
      </c>
      <c r="BS36" s="134">
        <f>SUMIFS('WBS Summary'!DM:DM,'WBS Summary'!$B:$B, $B36, 'WBS Summary'!$AH:$AH, $C36,'WBS Summary'!$AJ:$AJ, $H36)</f>
        <v>0</v>
      </c>
      <c r="BT36" s="134">
        <f>SUMIFS('WBS Summary'!DN:DN,'WBS Summary'!$B:$B, $B36, 'WBS Summary'!$AH:$AH, $C36,'WBS Summary'!$AJ:$AJ, $H36)</f>
        <v>0</v>
      </c>
      <c r="BU36" s="134">
        <f>SUMIFS('WBS Summary'!DO:DO,'WBS Summary'!$B:$B, $B36, 'WBS Summary'!$AH:$AH, $C36,'WBS Summary'!$AJ:$AJ, $H36)</f>
        <v>0</v>
      </c>
      <c r="BV36" s="134">
        <f>SUMIFS('WBS Summary'!DP:DP,'WBS Summary'!$B:$B, $B36, 'WBS Summary'!$AH:$AH, $C36,'WBS Summary'!$AJ:$AJ, $H36)</f>
        <v>0</v>
      </c>
      <c r="BW36" s="134">
        <f>SUMIFS('WBS Summary'!DQ:DQ,'WBS Summary'!$B:$B, $B36, 'WBS Summary'!$AH:$AH, $C36,'WBS Summary'!$AJ:$AJ, $H36)</f>
        <v>0</v>
      </c>
      <c r="BX36" s="134">
        <f>SUMIFS('WBS Summary'!DR:DR,'WBS Summary'!$B:$B, $B36, 'WBS Summary'!$AH:$AH, $C36,'WBS Summary'!$AJ:$AJ, $H36)</f>
        <v>0</v>
      </c>
      <c r="BY36" s="134">
        <f>SUMIFS('WBS Summary'!DS:DS,'WBS Summary'!$B:$B, $B36, 'WBS Summary'!$AH:$AH, $C36,'WBS Summary'!$AJ:$AJ, $H36)</f>
        <v>0</v>
      </c>
      <c r="BZ36" s="134">
        <f>SUMIFS('WBS Summary'!DT:DT,'WBS Summary'!$B:$B, $B36, 'WBS Summary'!$AH:$AH, $C36,'WBS Summary'!$AJ:$AJ, $H36)</f>
        <v>0</v>
      </c>
      <c r="CA36" s="134">
        <f>SUMIFS('WBS Summary'!DU:DU,'WBS Summary'!$B:$B, $B36, 'WBS Summary'!$AH:$AH, $C36,'WBS Summary'!$AJ:$AJ, $H36)</f>
        <v>0</v>
      </c>
      <c r="CB36" s="134">
        <f>SUMIFS('WBS Summary'!DV:DV,'WBS Summary'!$B:$B, $B36, 'WBS Summary'!$AH:$AH, $C36,'WBS Summary'!$AJ:$AJ, $H36)</f>
        <v>0</v>
      </c>
      <c r="CC36" s="134">
        <f>SUMIFS('WBS Summary'!DW:DW,'WBS Summary'!$B:$B, $B36, 'WBS Summary'!$AH:$AH, $C36,'WBS Summary'!$AJ:$AJ, $H36)</f>
        <v>0</v>
      </c>
      <c r="CD36" s="134">
        <f>SUMIFS('WBS Summary'!DX:DX,'WBS Summary'!$B:$B, $B36, 'WBS Summary'!$AH:$AH, $C36,'WBS Summary'!$AJ:$AJ, $H36)</f>
        <v>0</v>
      </c>
      <c r="CE36" s="134">
        <f>SUMIFS('WBS Summary'!DY:DY,'WBS Summary'!$B:$B, $B36, 'WBS Summary'!$AH:$AH, $C36,'WBS Summary'!$AJ:$AJ, $H36)</f>
        <v>0</v>
      </c>
      <c r="CF36" s="134">
        <f>SUMIFS('WBS Summary'!DZ:DZ,'WBS Summary'!$B:$B, $B36, 'WBS Summary'!$AH:$AH, $C36,'WBS Summary'!$AJ:$AJ, $H36)</f>
        <v>0</v>
      </c>
      <c r="CG36" s="134">
        <f>SUMIFS('WBS Summary'!EA:EA,'WBS Summary'!$B:$B, $B36, 'WBS Summary'!$AH:$AH, $C36,'WBS Summary'!$AJ:$AJ, $H36)</f>
        <v>0</v>
      </c>
      <c r="CH36" s="134">
        <f>SUMIFS('WBS Summary'!EB:EB,'WBS Summary'!$B:$B, $B36, 'WBS Summary'!$AH:$AH, $C36,'WBS Summary'!$AJ:$AJ, $H36)</f>
        <v>0</v>
      </c>
      <c r="CI36" s="134">
        <f>SUMIFS('WBS Summary'!EC:EC,'WBS Summary'!$B:$B, $B36, 'WBS Summary'!$AH:$AH, $C36,'WBS Summary'!$AJ:$AJ, $H36)</f>
        <v>0</v>
      </c>
      <c r="CJ36" s="134">
        <f>SUMIFS('WBS Summary'!ED:ED,'WBS Summary'!$B:$B, $B36, 'WBS Summary'!$AH:$AH, $C36,'WBS Summary'!$AJ:$AJ, $H36)</f>
        <v>0</v>
      </c>
      <c r="CK36" s="134">
        <f>SUMIFS('WBS Summary'!EE:EE,'WBS Summary'!$B:$B, $B36, 'WBS Summary'!$AH:$AH, $C36,'WBS Summary'!$AJ:$AJ, $H36)</f>
        <v>0</v>
      </c>
      <c r="CL36" s="134">
        <f>SUMIFS('WBS Summary'!EF:EF,'WBS Summary'!$B:$B, $B36, 'WBS Summary'!$AH:$AH, $C36,'WBS Summary'!$AJ:$AJ, $H36)</f>
        <v>0</v>
      </c>
      <c r="CM36" s="134">
        <f>SUMIFS('WBS Summary'!EG:EG,'WBS Summary'!$B:$B, $B36, 'WBS Summary'!$AH:$AH, $C36,'WBS Summary'!$AJ:$AJ, $H36)</f>
        <v>0</v>
      </c>
      <c r="CN36" s="134">
        <f>SUMIFS('WBS Summary'!EH:EH,'WBS Summary'!$B:$B, $B36, 'WBS Summary'!$AH:$AH, $C36,'WBS Summary'!$AJ:$AJ, $H36)</f>
        <v>0</v>
      </c>
      <c r="CO36" s="134">
        <f>SUMIFS('WBS Summary'!EI:EI,'WBS Summary'!$B:$B, $B36, 'WBS Summary'!$AH:$AH, $C36,'WBS Summary'!$AJ:$AJ, $H36)</f>
        <v>0</v>
      </c>
      <c r="CP36" s="134">
        <f>SUMIFS('WBS Summary'!EJ:EJ,'WBS Summary'!$B:$B, $B36, 'WBS Summary'!$AH:$AH, $C36,'WBS Summary'!$AJ:$AJ, $H36)</f>
        <v>0</v>
      </c>
      <c r="CQ36" s="134">
        <f>SUMIFS('WBS Summary'!EK:EK,'WBS Summary'!$B:$B, $B36, 'WBS Summary'!$AH:$AH, $C36,'WBS Summary'!$AJ:$AJ, $H36)</f>
        <v>0</v>
      </c>
      <c r="CR36" s="134">
        <f>SUMIFS('WBS Summary'!EL:EL,'WBS Summary'!$B:$B, $B36, 'WBS Summary'!$AH:$AH, $C36,'WBS Summary'!$AJ:$AJ, $H36)</f>
        <v>0</v>
      </c>
      <c r="CS36" s="134">
        <f>SUMIFS('WBS Summary'!EM:EM,'WBS Summary'!$B:$B, $B36, 'WBS Summary'!$AH:$AH, $C36,'WBS Summary'!$AJ:$AJ, $H36)</f>
        <v>0</v>
      </c>
      <c r="CT36" s="134">
        <f>SUMIFS('WBS Summary'!EN:EN,'WBS Summary'!$B:$B, $B36, 'WBS Summary'!$AH:$AH, $C36,'WBS Summary'!$AJ:$AJ, $H36)</f>
        <v>0</v>
      </c>
      <c r="CU36" s="134">
        <f>SUMIFS('WBS Summary'!EO:EO,'WBS Summary'!$B:$B, $B36, 'WBS Summary'!$AH:$AH, $C36,'WBS Summary'!$AJ:$AJ, $H36)</f>
        <v>0</v>
      </c>
      <c r="CV36" s="134">
        <f>SUMIFS('WBS Summary'!EP:EP,'WBS Summary'!$B:$B, $B36, 'WBS Summary'!$AH:$AH, $C36,'WBS Summary'!$AJ:$AJ, $H36)</f>
        <v>0</v>
      </c>
      <c r="CW36" s="134">
        <f>SUMIFS('WBS Summary'!EQ:EQ,'WBS Summary'!$B:$B, $B36, 'WBS Summary'!$AH:$AH, $C36,'WBS Summary'!$AJ:$AJ, $H36)</f>
        <v>0</v>
      </c>
      <c r="CX36" s="134">
        <f>SUMIFS('WBS Summary'!ER:ER,'WBS Summary'!$B:$B, $B36, 'WBS Summary'!$AH:$AH, $C36,'WBS Summary'!$AJ:$AJ, $H36)</f>
        <v>0</v>
      </c>
      <c r="CY36" s="134">
        <f>SUMIFS('WBS Summary'!ES:ES,'WBS Summary'!$B:$B, $B36, 'WBS Summary'!$AH:$AH, $C36,'WBS Summary'!$AJ:$AJ, $H36)</f>
        <v>0</v>
      </c>
      <c r="CZ36" s="134">
        <f>SUMIFS('WBS Summary'!ET:ET,'WBS Summary'!$B:$B, $B36, 'WBS Summary'!$AH:$AH, $C36,'WBS Summary'!$AJ:$AJ, $H36)</f>
        <v>0</v>
      </c>
      <c r="DA36" s="134">
        <f>SUMIFS('WBS Summary'!EU:EU,'WBS Summary'!$B:$B, $B36, 'WBS Summary'!$AH:$AH, $C36,'WBS Summary'!$AJ:$AJ, $H36)</f>
        <v>0</v>
      </c>
      <c r="DB36" s="134">
        <f>SUMIFS('WBS Summary'!EV:EV,'WBS Summary'!$B:$B, $B36, 'WBS Summary'!$AH:$AH, $C36,'WBS Summary'!$AJ:$AJ, $H36)</f>
        <v>0</v>
      </c>
      <c r="DC36" s="134">
        <f>SUMIFS('WBS Summary'!EW:EW,'WBS Summary'!$B:$B, $B36, 'WBS Summary'!$AH:$AH, $C36,'WBS Summary'!$AJ:$AJ, $H36)</f>
        <v>0</v>
      </c>
      <c r="DD36" s="134">
        <f>SUMIFS('WBS Summary'!EX:EX,'WBS Summary'!$B:$B, $B36, 'WBS Summary'!$AH:$AH, $C36,'WBS Summary'!$AJ:$AJ, $H36)</f>
        <v>0</v>
      </c>
      <c r="DE36" s="134">
        <f>SUMIFS('WBS Summary'!EY:EY,'WBS Summary'!$B:$B, $B36, 'WBS Summary'!$AH:$AH, $C36,'WBS Summary'!$AJ:$AJ, $H36)</f>
        <v>0</v>
      </c>
      <c r="DF36"/>
      <c r="DG36" s="134">
        <f>SUMIFS('WBS Summary'!FR:FR,'WBS Summary'!$B:$B, $B36, 'WBS Summary'!$AH:$AH, $C36,'WBS Summary'!$AJ:$AJ, $H36)</f>
        <v>0</v>
      </c>
      <c r="DH36" s="134">
        <f>SUMIFS('WBS Summary'!FS:FS,'WBS Summary'!$B:$B, $B36, 'WBS Summary'!$AH:$AH, $C36,'WBS Summary'!$AJ:$AJ, $H36)</f>
        <v>0</v>
      </c>
      <c r="DI36" s="134">
        <f>SUMIFS('WBS Summary'!FT:FT,'WBS Summary'!$B:$B, $B36, 'WBS Summary'!$AH:$AH, $C36,'WBS Summary'!$AJ:$AJ, $H36)</f>
        <v>0</v>
      </c>
      <c r="DJ36" s="134">
        <f>SUMIFS('WBS Summary'!FU:FU,'WBS Summary'!$B:$B, $B36, 'WBS Summary'!$AH:$AH, $C36,'WBS Summary'!$AJ:$AJ, $H36)</f>
        <v>0</v>
      </c>
      <c r="DK36" s="134">
        <f>SUMIFS('WBS Summary'!FV:FV,'WBS Summary'!$B:$B, $B36, 'WBS Summary'!$AH:$AH, $C36,'WBS Summary'!$AJ:$AJ, $H36)</f>
        <v>0</v>
      </c>
      <c r="DL36" s="134">
        <f>SUMIFS('WBS Summary'!FW:FW,'WBS Summary'!$B:$B, $B36, 'WBS Summary'!$AH:$AH, $C36,'WBS Summary'!$AJ:$AJ, $H36)</f>
        <v>0</v>
      </c>
      <c r="DM36" s="134">
        <f>SUMIFS('WBS Summary'!FX:FX,'WBS Summary'!$B:$B, $B36, 'WBS Summary'!$AH:$AH, $C36,'WBS Summary'!$AJ:$AJ, $H36)</f>
        <v>0</v>
      </c>
      <c r="DN36" s="134">
        <f>SUMIFS('WBS Summary'!FY:FY,'WBS Summary'!$B:$B, $B36, 'WBS Summary'!$AH:$AH, $C36,'WBS Summary'!$AJ:$AJ, $H36)</f>
        <v>0</v>
      </c>
      <c r="DO36" s="134">
        <f>SUMIFS('WBS Summary'!FZ:FZ,'WBS Summary'!$B:$B, $B36, 'WBS Summary'!$AH:$AH, $C36,'WBS Summary'!$AJ:$AJ, $H36)</f>
        <v>0</v>
      </c>
      <c r="DP36" s="134">
        <f>SUMIFS('WBS Summary'!GA:GA,'WBS Summary'!$B:$B, $B36, 'WBS Summary'!$AH:$AH, $C36,'WBS Summary'!$AJ:$AJ, $H36)</f>
        <v>0</v>
      </c>
      <c r="DQ36" s="134">
        <f>SUMIFS('WBS Summary'!GB:GB,'WBS Summary'!$B:$B, $B36, 'WBS Summary'!$AH:$AH, $C36,'WBS Summary'!$AJ:$AJ, $H36)</f>
        <v>0</v>
      </c>
      <c r="DR36" s="134">
        <f>SUMIFS('WBS Summary'!GC:GC,'WBS Summary'!$B:$B, $B36, 'WBS Summary'!$AH:$AH, $C36,'WBS Summary'!$AJ:$AJ, $H36)</f>
        <v>0</v>
      </c>
      <c r="DS36" s="134">
        <f>SUMIFS('WBS Summary'!GD:GD,'WBS Summary'!$B:$B, $B36, 'WBS Summary'!$AH:$AH, $C36,'WBS Summary'!$AJ:$AJ, $H36)</f>
        <v>0</v>
      </c>
      <c r="DT36" s="134">
        <f>SUMIFS('WBS Summary'!GE:GE,'WBS Summary'!$B:$B, $B36, 'WBS Summary'!$AH:$AH, $C36,'WBS Summary'!$AJ:$AJ, $H36)</f>
        <v>0</v>
      </c>
      <c r="DU36" s="134">
        <f>SUMIFS('WBS Summary'!GF:GF,'WBS Summary'!$B:$B, $B36, 'WBS Summary'!$AH:$AH, $C36,'WBS Summary'!$AJ:$AJ, $H36)</f>
        <v>0</v>
      </c>
      <c r="DV36" s="134">
        <f>SUMIFS('WBS Summary'!GG:GG,'WBS Summary'!$B:$B, $B36, 'WBS Summary'!$AH:$AH, $C36,'WBS Summary'!$AJ:$AJ, $H36)</f>
        <v>0</v>
      </c>
      <c r="DW36" s="134">
        <f>SUMIFS('WBS Summary'!GH:GH,'WBS Summary'!$B:$B, $B36, 'WBS Summary'!$AH:$AH, $C36,'WBS Summary'!$AJ:$AJ, $H36)</f>
        <v>0</v>
      </c>
      <c r="DX36" s="134">
        <f>SUMIFS('WBS Summary'!GI:GI,'WBS Summary'!$B:$B, $B36, 'WBS Summary'!$AH:$AH, $C36,'WBS Summary'!$AJ:$AJ, $H36)</f>
        <v>0</v>
      </c>
      <c r="DY36" s="134">
        <f>SUMIFS('WBS Summary'!GJ:GJ,'WBS Summary'!$B:$B, $B36, 'WBS Summary'!$AH:$AH, $C36,'WBS Summary'!$AJ:$AJ, $H36)</f>
        <v>0</v>
      </c>
      <c r="DZ36" s="134">
        <f>SUMIFS('WBS Summary'!GK:GK,'WBS Summary'!$B:$B, $B36, 'WBS Summary'!$AH:$AH, $C36,'WBS Summary'!$AJ:$AJ, $H36)</f>
        <v>0</v>
      </c>
      <c r="EA36" s="134">
        <f>SUMIFS('WBS Summary'!GL:GL,'WBS Summary'!$B:$B, $B36, 'WBS Summary'!$AH:$AH, $C36,'WBS Summary'!$AJ:$AJ, $H36)</f>
        <v>0</v>
      </c>
      <c r="EB36" s="134">
        <f>SUMIFS('WBS Summary'!GM:GM,'WBS Summary'!$B:$B, $B36, 'WBS Summary'!$AH:$AH, $C36,'WBS Summary'!$AJ:$AJ, $H36)</f>
        <v>0</v>
      </c>
      <c r="EC36" s="134">
        <f>SUMIFS('WBS Summary'!GN:GN,'WBS Summary'!$B:$B, $B36, 'WBS Summary'!$AH:$AH, $C36,'WBS Summary'!$AJ:$AJ, $H36)</f>
        <v>0</v>
      </c>
      <c r="ED36" s="134">
        <f>SUMIFS('WBS Summary'!GO:GO,'WBS Summary'!$B:$B, $B36, 'WBS Summary'!$AH:$AH, $C36,'WBS Summary'!$AJ:$AJ, $H36)</f>
        <v>0</v>
      </c>
      <c r="EE36" s="134">
        <f>SUMIFS('WBS Summary'!GP:GP,'WBS Summary'!$B:$B, $B36, 'WBS Summary'!$AH:$AH, $C36,'WBS Summary'!$AJ:$AJ, $H36)</f>
        <v>0</v>
      </c>
      <c r="EF36" s="134">
        <f>SUMIFS('WBS Summary'!GQ:GQ,'WBS Summary'!$B:$B, $B36, 'WBS Summary'!$AH:$AH, $C36,'WBS Summary'!$AJ:$AJ, $H36)</f>
        <v>0</v>
      </c>
      <c r="EG36" s="134">
        <f>SUMIFS('WBS Summary'!GR:GR,'WBS Summary'!$B:$B, $B36, 'WBS Summary'!$AH:$AH, $C36,'WBS Summary'!$AJ:$AJ, $H36)</f>
        <v>0</v>
      </c>
      <c r="EH36" s="134">
        <f>SUMIFS('WBS Summary'!GS:GS,'WBS Summary'!$B:$B, $B36, 'WBS Summary'!$AH:$AH, $C36,'WBS Summary'!$AJ:$AJ, $H36)</f>
        <v>0</v>
      </c>
      <c r="EI36" s="134">
        <f>SUMIFS('WBS Summary'!GT:GT,'WBS Summary'!$B:$B, $B36, 'WBS Summary'!$AH:$AH, $C36,'WBS Summary'!$AJ:$AJ, $H36)</f>
        <v>0</v>
      </c>
      <c r="EJ36" s="134">
        <f>SUMIFS('WBS Summary'!GU:GU,'WBS Summary'!$B:$B, $B36, 'WBS Summary'!$AH:$AH, $C36,'WBS Summary'!$AJ:$AJ, $H36)</f>
        <v>0</v>
      </c>
      <c r="EK36" s="134">
        <f>SUMIFS('WBS Summary'!GV:GV,'WBS Summary'!$B:$B, $B36, 'WBS Summary'!$AH:$AH, $C36,'WBS Summary'!$AJ:$AJ, $H36)</f>
        <v>0</v>
      </c>
      <c r="EL36" s="134">
        <f>SUMIFS('WBS Summary'!GW:GW,'WBS Summary'!$B:$B, $B36, 'WBS Summary'!$AH:$AH, $C36,'WBS Summary'!$AJ:$AJ, $H36)</f>
        <v>0</v>
      </c>
      <c r="EM36" s="134">
        <f>SUMIFS('WBS Summary'!GX:GX,'WBS Summary'!$B:$B, $B36, 'WBS Summary'!$AH:$AH, $C36,'WBS Summary'!$AJ:$AJ, $H36)</f>
        <v>0</v>
      </c>
      <c r="EN36" s="134">
        <f>SUMIFS('WBS Summary'!GY:GY,'WBS Summary'!$B:$B, $B36, 'WBS Summary'!$AH:$AH, $C36,'WBS Summary'!$AJ:$AJ, $H36)</f>
        <v>0</v>
      </c>
      <c r="EO36" s="134">
        <f>SUMIFS('WBS Summary'!GZ:GZ,'WBS Summary'!$B:$B, $B36, 'WBS Summary'!$AH:$AH, $C36,'WBS Summary'!$AJ:$AJ, $H36)</f>
        <v>0</v>
      </c>
      <c r="EP36" s="134">
        <f>SUMIFS('WBS Summary'!HA:HA,'WBS Summary'!$B:$B, $B36, 'WBS Summary'!$AH:$AH, $C36,'WBS Summary'!$AJ:$AJ, $H36)</f>
        <v>0</v>
      </c>
      <c r="EQ36" s="134">
        <f>SUMIFS('WBS Summary'!HB:HB,'WBS Summary'!$B:$B, $B36, 'WBS Summary'!$AH:$AH, $C36,'WBS Summary'!$AJ:$AJ, $H36)</f>
        <v>0</v>
      </c>
      <c r="ER36" s="134">
        <f>SUMIFS('WBS Summary'!HC:HC,'WBS Summary'!$B:$B, $B36, 'WBS Summary'!$AH:$AH, $C36,'WBS Summary'!$AJ:$AJ, $H36)</f>
        <v>0</v>
      </c>
      <c r="ES36" s="134">
        <f>SUMIFS('WBS Summary'!HD:HD,'WBS Summary'!$B:$B, $B36, 'WBS Summary'!$AH:$AH, $C36,'WBS Summary'!$AJ:$AJ, $H36)</f>
        <v>0</v>
      </c>
      <c r="ET36" s="134">
        <f>SUMIFS('WBS Summary'!HE:HE,'WBS Summary'!$B:$B, $B36, 'WBS Summary'!$AH:$AH, $C36,'WBS Summary'!$AJ:$AJ, $H36)</f>
        <v>0</v>
      </c>
      <c r="EU36" s="134">
        <f>SUMIFS('WBS Summary'!HF:HF,'WBS Summary'!$B:$B, $B36, 'WBS Summary'!$AH:$AH, $C36,'WBS Summary'!$AJ:$AJ, $H36)</f>
        <v>0</v>
      </c>
      <c r="EV36" s="134">
        <f>SUMIFS('WBS Summary'!HG:HG,'WBS Summary'!$B:$B, $B36, 'WBS Summary'!$AH:$AH, $C36,'WBS Summary'!$AJ:$AJ, $H36)</f>
        <v>0</v>
      </c>
      <c r="EW36" s="134">
        <f>SUMIFS('WBS Summary'!HH:HH,'WBS Summary'!$B:$B, $B36, 'WBS Summary'!$AH:$AH, $C36,'WBS Summary'!$AJ:$AJ, $H36)</f>
        <v>0</v>
      </c>
      <c r="EX36" s="134">
        <f>SUMIFS('WBS Summary'!HI:HI,'WBS Summary'!$B:$B, $B36, 'WBS Summary'!$AH:$AH, $C36,'WBS Summary'!$AJ:$AJ, $H36)</f>
        <v>0</v>
      </c>
      <c r="EY36" s="134">
        <f>SUMIFS('WBS Summary'!HJ:HJ,'WBS Summary'!$B:$B, $B36, 'WBS Summary'!$AH:$AH, $C36,'WBS Summary'!$AJ:$AJ, $H36)</f>
        <v>0</v>
      </c>
      <c r="EZ36" s="134">
        <f>SUMIFS('WBS Summary'!HK:HK,'WBS Summary'!$B:$B, $B36, 'WBS Summary'!$AH:$AH, $C36,'WBS Summary'!$AJ:$AJ, $H36)</f>
        <v>0</v>
      </c>
      <c r="FA36" s="134">
        <f>SUMIFS('WBS Summary'!HL:HL,'WBS Summary'!$B:$B, $B36, 'WBS Summary'!$AH:$AH, $C36,'WBS Summary'!$AJ:$AJ, $H36)</f>
        <v>0</v>
      </c>
      <c r="FB36" s="134">
        <f>SUMIFS('WBS Summary'!HM:HM,'WBS Summary'!$B:$B, $B36, 'WBS Summary'!$AH:$AH, $C36,'WBS Summary'!$AJ:$AJ, $H36)</f>
        <v>0</v>
      </c>
      <c r="FC36" s="134">
        <f>SUMIFS('WBS Summary'!HN:HN,'WBS Summary'!$B:$B, $B36, 'WBS Summary'!$AH:$AH, $C36,'WBS Summary'!$AJ:$AJ, $H36)</f>
        <v>0</v>
      </c>
      <c r="FD36" s="134">
        <f>SUMIFS('WBS Summary'!HO:HO,'WBS Summary'!$B:$B, $B36, 'WBS Summary'!$AH:$AH, $C36,'WBS Summary'!$AJ:$AJ, $H36)</f>
        <v>0</v>
      </c>
      <c r="FE36" s="134">
        <f>SUMIFS('WBS Summary'!HP:HP,'WBS Summary'!$B:$B, $B36, 'WBS Summary'!$AH:$AH, $C36,'WBS Summary'!$AJ:$AJ, $H36)</f>
        <v>0</v>
      </c>
      <c r="FF36" s="134">
        <f>SUMIFS('WBS Summary'!HQ:HQ,'WBS Summary'!$B:$B, $B36, 'WBS Summary'!$AH:$AH, $C36,'WBS Summary'!$AJ:$AJ, $H36)</f>
        <v>0</v>
      </c>
      <c r="FG36" s="134">
        <f>SUMIFS('WBS Summary'!HR:HR,'WBS Summary'!$B:$B, $B36, 'WBS Summary'!$AH:$AH, $C36,'WBS Summary'!$AJ:$AJ, $H36)</f>
        <v>0</v>
      </c>
      <c r="FH36" s="134">
        <f>SUMIFS('WBS Summary'!HS:HS,'WBS Summary'!$B:$B, $B36, 'WBS Summary'!$AH:$AH, $C36,'WBS Summary'!$AJ:$AJ, $H36)</f>
        <v>0</v>
      </c>
      <c r="FI36" s="134">
        <f>SUMIFS('WBS Summary'!HT:HT,'WBS Summary'!$B:$B, $B36, 'WBS Summary'!$AH:$AH, $C36,'WBS Summary'!$AJ:$AJ, $H36)</f>
        <v>0</v>
      </c>
      <c r="FJ36" s="134">
        <f>SUMIFS('WBS Summary'!HU:HU,'WBS Summary'!$B:$B, $B36, 'WBS Summary'!$AH:$AH, $C36,'WBS Summary'!$AJ:$AJ, $H36)</f>
        <v>0</v>
      </c>
      <c r="FK36" s="134">
        <f>SUMIFS('WBS Summary'!HV:HV,'WBS Summary'!$B:$B, $B36, 'WBS Summary'!$AH:$AH, $C36,'WBS Summary'!$AJ:$AJ, $H36)</f>
        <v>0</v>
      </c>
      <c r="FL36" s="134">
        <f>SUMIFS('WBS Summary'!HW:HW,'WBS Summary'!$B:$B, $B36, 'WBS Summary'!$AH:$AH, $C36,'WBS Summary'!$AJ:$AJ, $H36)</f>
        <v>0</v>
      </c>
      <c r="FM36" s="134">
        <f>SUMIFS('WBS Summary'!HX:HX,'WBS Summary'!$B:$B, $B36, 'WBS Summary'!$AH:$AH, $C36,'WBS Summary'!$AJ:$AJ, $H36)</f>
        <v>0</v>
      </c>
      <c r="FN36" s="134">
        <f>SUMIFS('WBS Summary'!HY:HY,'WBS Summary'!$B:$B, $B36, 'WBS Summary'!$AH:$AH, $C36,'WBS Summary'!$AJ:$AJ, $H36)</f>
        <v>0</v>
      </c>
      <c r="FO36" s="134">
        <f>SUMIFS('WBS Summary'!HZ:HZ,'WBS Summary'!$B:$B, $B36, 'WBS Summary'!$AH:$AH, $C36,'WBS Summary'!$AJ:$AJ, $H36)</f>
        <v>0</v>
      </c>
      <c r="FP36" s="134">
        <f>SUMIFS('WBS Summary'!IA:IA,'WBS Summary'!$B:$B, $B36, 'WBS Summary'!$AH:$AH, $C36,'WBS Summary'!$AJ:$AJ, $H36)</f>
        <v>0</v>
      </c>
      <c r="FQ36" s="134">
        <f>SUMIFS('WBS Summary'!IB:IB,'WBS Summary'!$B:$B, $B36, 'WBS Summary'!$AH:$AH, $C36,'WBS Summary'!$AJ:$AJ, $H36)</f>
        <v>0</v>
      </c>
      <c r="FR36" s="134">
        <f>SUMIFS('WBS Summary'!IC:IC,'WBS Summary'!$B:$B, $B36, 'WBS Summary'!$AH:$AH, $C36,'WBS Summary'!$AJ:$AJ, $H36)</f>
        <v>0</v>
      </c>
      <c r="FS36" s="134">
        <f>SUMIFS('WBS Summary'!ID:ID,'WBS Summary'!$B:$B, $B36, 'WBS Summary'!$AH:$AH, $C36,'WBS Summary'!$AJ:$AJ, $H36)</f>
        <v>0</v>
      </c>
      <c r="FT36" s="134">
        <f>SUMIFS('WBS Summary'!IE:IE,'WBS Summary'!$B:$B, $B36, 'WBS Summary'!$AH:$AH, $C36,'WBS Summary'!$AJ:$AJ, $H36)</f>
        <v>0</v>
      </c>
      <c r="FU36" s="134">
        <f>SUMIFS('WBS Summary'!IF:IF,'WBS Summary'!$B:$B, $B36, 'WBS Summary'!$AH:$AH, $C36,'WBS Summary'!$AJ:$AJ, $H36)</f>
        <v>0</v>
      </c>
      <c r="FV36" s="134">
        <f>SUMIFS('WBS Summary'!IG:IG,'WBS Summary'!$B:$B, $B36, 'WBS Summary'!$AH:$AH, $C36,'WBS Summary'!$AJ:$AJ, $H36)</f>
        <v>0</v>
      </c>
      <c r="FW36" s="134">
        <f>SUMIFS('WBS Summary'!IH:IH,'WBS Summary'!$B:$B, $B36, 'WBS Summary'!$AH:$AH, $C36,'WBS Summary'!$AJ:$AJ, $H36)</f>
        <v>0</v>
      </c>
      <c r="FX36" s="134">
        <f>SUMIFS('WBS Summary'!II:II,'WBS Summary'!$B:$B, $B36, 'WBS Summary'!$AH:$AH, $C36,'WBS Summary'!$AJ:$AJ, $H36)</f>
        <v>0</v>
      </c>
      <c r="FY36" s="134">
        <f>SUMIFS('WBS Summary'!IJ:IJ,'WBS Summary'!$B:$B, $B36, 'WBS Summary'!$AH:$AH, $C36,'WBS Summary'!$AJ:$AJ, $H36)</f>
        <v>0</v>
      </c>
      <c r="FZ36" s="134">
        <f>SUMIFS('WBS Summary'!IK:IK,'WBS Summary'!$B:$B, $B36, 'WBS Summary'!$AH:$AH, $C36,'WBS Summary'!$AJ:$AJ, $H36)</f>
        <v>0</v>
      </c>
      <c r="GA36" s="134">
        <f>SUMIFS('WBS Summary'!IL:IL,'WBS Summary'!$B:$B, $B36, 'WBS Summary'!$AH:$AH, $C36,'WBS Summary'!$AJ:$AJ, $H36)</f>
        <v>0</v>
      </c>
      <c r="GB36" s="134">
        <f>SUMIFS('WBS Summary'!IM:IM,'WBS Summary'!$B:$B, $B36, 'WBS Summary'!$AH:$AH, $C36,'WBS Summary'!$AJ:$AJ, $H36)</f>
        <v>0</v>
      </c>
      <c r="GC36" s="134">
        <f>SUMIFS('WBS Summary'!IN:IN,'WBS Summary'!$B:$B, $B36, 'WBS Summary'!$AH:$AH, $C36,'WBS Summary'!$AJ:$AJ, $H36)</f>
        <v>0</v>
      </c>
      <c r="GD36" s="134">
        <f>SUMIFS('WBS Summary'!IO:IO,'WBS Summary'!$B:$B, $B36, 'WBS Summary'!$AH:$AH, $C36,'WBS Summary'!$AJ:$AJ, $H36)</f>
        <v>0</v>
      </c>
      <c r="GE36" s="134">
        <f>SUMIFS('WBS Summary'!IP:IP,'WBS Summary'!$B:$B, $B36, 'WBS Summary'!$AH:$AH, $C36,'WBS Summary'!$AJ:$AJ, $H36)</f>
        <v>0</v>
      </c>
      <c r="GF36" s="134">
        <f>SUMIFS('WBS Summary'!IQ:IQ,'WBS Summary'!$B:$B, $B36, 'WBS Summary'!$AH:$AH, $C36,'WBS Summary'!$AJ:$AJ, $H36)</f>
        <v>0</v>
      </c>
      <c r="GG36" s="134">
        <f>SUMIFS('WBS Summary'!IR:IR,'WBS Summary'!$B:$B, $B36, 'WBS Summary'!$AH:$AH, $C36,'WBS Summary'!$AJ:$AJ, $H36)</f>
        <v>0</v>
      </c>
      <c r="GH36" s="134">
        <f>SUMIFS('WBS Summary'!IS:IS,'WBS Summary'!$B:$B, $B36, 'WBS Summary'!$AH:$AH, $C36,'WBS Summary'!$AJ:$AJ, $H36)</f>
        <v>0</v>
      </c>
      <c r="GI36" s="134">
        <f>SUMIFS('WBS Summary'!IT:IT,'WBS Summary'!$B:$B, $B36, 'WBS Summary'!$AH:$AH, $C36,'WBS Summary'!$AJ:$AJ, $H36)</f>
        <v>0</v>
      </c>
      <c r="GJ36" s="134">
        <f>SUMIFS('WBS Summary'!IU:IU,'WBS Summary'!$B:$B, $B36, 'WBS Summary'!$AH:$AH, $C36,'WBS Summary'!$AJ:$AJ, $H36)</f>
        <v>0</v>
      </c>
      <c r="GK36" s="134">
        <f>SUMIFS('WBS Summary'!IV:IV,'WBS Summary'!$B:$B, $B36, 'WBS Summary'!$AH:$AH, $C36,'WBS Summary'!$AJ:$AJ, $H36)</f>
        <v>0</v>
      </c>
      <c r="GL36" s="134">
        <f>SUMIFS('WBS Summary'!IW:IW,'WBS Summary'!$B:$B, $B36, 'WBS Summary'!$AH:$AH, $C36,'WBS Summary'!$AJ:$AJ, $H36)</f>
        <v>0</v>
      </c>
      <c r="GM36" s="134">
        <f>SUMIFS('WBS Summary'!IX:IX,'WBS Summary'!$B:$B, $B36, 'WBS Summary'!$AH:$AH, $C36,'WBS Summary'!$AJ:$AJ, $H36)</f>
        <v>0</v>
      </c>
      <c r="GN36" s="134">
        <f>SUMIFS('WBS Summary'!IY:IY,'WBS Summary'!$B:$B, $B36, 'WBS Summary'!$AH:$AH, $C36,'WBS Summary'!$AJ:$AJ, $H36)</f>
        <v>0</v>
      </c>
      <c r="GO36" s="134">
        <f>SUMIFS('WBS Summary'!IZ:IZ,'WBS Summary'!$B:$B, $B36, 'WBS Summary'!$AH:$AH, $C36,'WBS Summary'!$AJ:$AJ, $H36)</f>
        <v>0</v>
      </c>
      <c r="GP36" s="134">
        <f>SUMIFS('WBS Summary'!JA:JA,'WBS Summary'!$B:$B, $B36, 'WBS Summary'!$AH:$AH, $C36,'WBS Summary'!$AJ:$AJ, $H36)</f>
        <v>0</v>
      </c>
      <c r="GQ36" s="134">
        <f>SUMIFS('WBS Summary'!JB:JB,'WBS Summary'!$B:$B, $B36, 'WBS Summary'!$AH:$AH, $C36,'WBS Summary'!$AJ:$AJ, $H36)</f>
        <v>0</v>
      </c>
      <c r="GR36" s="134">
        <f>SUMIFS('WBS Summary'!JC:JC,'WBS Summary'!$B:$B, $B36, 'WBS Summary'!$AH:$AH, $C36,'WBS Summary'!$AJ:$AJ, $H36)</f>
        <v>0</v>
      </c>
      <c r="GS36" s="134">
        <f>SUMIFS('WBS Summary'!JD:JD,'WBS Summary'!$B:$B, $B36, 'WBS Summary'!$AH:$AH, $C36,'WBS Summary'!$AJ:$AJ, $H36)</f>
        <v>0</v>
      </c>
      <c r="GT36" s="134">
        <f>SUMIFS('WBS Summary'!JE:JE,'WBS Summary'!$B:$B, $B36, 'WBS Summary'!$AH:$AH, $C36,'WBS Summary'!$AJ:$AJ, $H36)</f>
        <v>0</v>
      </c>
      <c r="GU36" s="134">
        <f>SUMIFS('WBS Summary'!JF:JF,'WBS Summary'!$B:$B, $B36, 'WBS Summary'!$AH:$AH, $C36,'WBS Summary'!$AJ:$AJ, $H36)</f>
        <v>0</v>
      </c>
      <c r="GV36" s="134">
        <f>SUMIFS('WBS Summary'!JG:JG,'WBS Summary'!$B:$B, $B36, 'WBS Summary'!$AH:$AH, $C36,'WBS Summary'!$AJ:$AJ, $H36)</f>
        <v>0</v>
      </c>
      <c r="GW36" s="134">
        <f>SUMIFS('WBS Summary'!JH:JH,'WBS Summary'!$B:$B, $B36, 'WBS Summary'!$AH:$AH, $C36,'WBS Summary'!$AJ:$AJ, $H36)</f>
        <v>0</v>
      </c>
      <c r="GX36" s="134">
        <f>SUMIFS('WBS Summary'!JI:JI,'WBS Summary'!$B:$B, $B36, 'WBS Summary'!$AH:$AH, $C36,'WBS Summary'!$AJ:$AJ, $H36)</f>
        <v>0</v>
      </c>
      <c r="GY36" s="134">
        <f>SUMIFS('WBS Summary'!JJ:JJ,'WBS Summary'!$B:$B, $B36, 'WBS Summary'!$AH:$AH, $C36,'WBS Summary'!$AJ:$AJ, $H36)</f>
        <v>0</v>
      </c>
      <c r="GZ36" s="134">
        <f>SUMIFS('WBS Summary'!JK:JK,'WBS Summary'!$B:$B, $B36, 'WBS Summary'!$AH:$AH, $C36,'WBS Summary'!$AJ:$AJ, $H36)</f>
        <v>0</v>
      </c>
      <c r="HA36" s="134">
        <f>SUMIFS('WBS Summary'!JL:JL,'WBS Summary'!$B:$B, $B36, 'WBS Summary'!$AH:$AH, $C36,'WBS Summary'!$AJ:$AJ, $H36)</f>
        <v>0</v>
      </c>
      <c r="HB36" s="134">
        <f>SUMIFS('WBS Summary'!JM:JM,'WBS Summary'!$B:$B, $B36, 'WBS Summary'!$AH:$AH, $C36,'WBS Summary'!$AJ:$AJ, $H36)</f>
        <v>0</v>
      </c>
      <c r="HC36"/>
    </row>
    <row r="37" spans="1:211" s="194" customFormat="1" outlineLevel="2">
      <c r="A37" s="220"/>
      <c r="B37" s="284" t="s">
        <v>189</v>
      </c>
      <c r="C37" s="227" t="s">
        <v>107</v>
      </c>
      <c r="D37" s="352"/>
      <c r="E37" s="352"/>
      <c r="F37" s="224">
        <f t="shared" si="29"/>
        <v>0</v>
      </c>
      <c r="G37" s="224">
        <f t="shared" si="30"/>
        <v>0</v>
      </c>
      <c r="H37" s="233" t="s">
        <v>345</v>
      </c>
      <c r="I37"/>
      <c r="J37" s="134">
        <f>SUMIFS('WBS Summary'!BD:BD,'WBS Summary'!$B:$B, $B37, 'WBS Summary'!$AH:$AH, $C37,'WBS Summary'!$AJ:$AJ, $H37)</f>
        <v>0</v>
      </c>
      <c r="K37" s="134">
        <f>SUMIFS('WBS Summary'!BE:BE,'WBS Summary'!$B:$B, $B37, 'WBS Summary'!$AH:$AH, $C37,'WBS Summary'!$AJ:$AJ, $H37)</f>
        <v>0</v>
      </c>
      <c r="L37" s="134">
        <f>SUMIFS('WBS Summary'!BF:BF,'WBS Summary'!$B:$B, $B37, 'WBS Summary'!$AH:$AH, $C37,'WBS Summary'!$AJ:$AJ, $H37)</f>
        <v>0</v>
      </c>
      <c r="M37" s="134">
        <f>SUMIFS('WBS Summary'!BG:BG,'WBS Summary'!$B:$B, $B37, 'WBS Summary'!$AH:$AH, $C37,'WBS Summary'!$AJ:$AJ, $H37)</f>
        <v>0</v>
      </c>
      <c r="N37" s="134">
        <f>SUMIFS('WBS Summary'!BH:BH,'WBS Summary'!$B:$B, $B37, 'WBS Summary'!$AH:$AH, $C37,'WBS Summary'!$AJ:$AJ, $H37)</f>
        <v>0</v>
      </c>
      <c r="O37" s="134">
        <f>SUMIFS('WBS Summary'!BI:BI,'WBS Summary'!$B:$B, $B37, 'WBS Summary'!$AH:$AH, $C37,'WBS Summary'!$AJ:$AJ, $H37)</f>
        <v>0</v>
      </c>
      <c r="P37" s="134">
        <f>SUMIFS('WBS Summary'!BJ:BJ,'WBS Summary'!$B:$B, $B37, 'WBS Summary'!$AH:$AH, $C37,'WBS Summary'!$AJ:$AJ, $H37)</f>
        <v>0</v>
      </c>
      <c r="Q37" s="134">
        <f>SUMIFS('WBS Summary'!BK:BK,'WBS Summary'!$B:$B, $B37, 'WBS Summary'!$AH:$AH, $C37,'WBS Summary'!$AJ:$AJ, $H37)</f>
        <v>0</v>
      </c>
      <c r="R37" s="134">
        <f>SUMIFS('WBS Summary'!BL:BL,'WBS Summary'!$B:$B, $B37, 'WBS Summary'!$AH:$AH, $C37,'WBS Summary'!$AJ:$AJ, $H37)</f>
        <v>0</v>
      </c>
      <c r="S37" s="134">
        <f>SUMIFS('WBS Summary'!BM:BM,'WBS Summary'!$B:$B, $B37, 'WBS Summary'!$AH:$AH, $C37,'WBS Summary'!$AJ:$AJ, $H37)</f>
        <v>0</v>
      </c>
      <c r="T37" s="134">
        <f>SUMIFS('WBS Summary'!BN:BN,'WBS Summary'!$B:$B, $B37, 'WBS Summary'!$AH:$AH, $C37,'WBS Summary'!$AJ:$AJ, $H37)</f>
        <v>0</v>
      </c>
      <c r="U37" s="134">
        <f>SUMIFS('WBS Summary'!BO:BO,'WBS Summary'!$B:$B, $B37, 'WBS Summary'!$AH:$AH, $C37,'WBS Summary'!$AJ:$AJ, $H37)</f>
        <v>0</v>
      </c>
      <c r="V37" s="134">
        <f>SUMIFS('WBS Summary'!BP:BP,'WBS Summary'!$B:$B, $B37, 'WBS Summary'!$AH:$AH, $C37,'WBS Summary'!$AJ:$AJ, $H37)</f>
        <v>0</v>
      </c>
      <c r="W37" s="134">
        <f>SUMIFS('WBS Summary'!BQ:BQ,'WBS Summary'!$B:$B, $B37, 'WBS Summary'!$AH:$AH, $C37,'WBS Summary'!$AJ:$AJ, $H37)</f>
        <v>0</v>
      </c>
      <c r="X37" s="134">
        <f>SUMIFS('WBS Summary'!BR:BR,'WBS Summary'!$B:$B, $B37, 'WBS Summary'!$AH:$AH, $C37,'WBS Summary'!$AJ:$AJ, $H37)</f>
        <v>0</v>
      </c>
      <c r="Y37" s="134">
        <f>SUMIFS('WBS Summary'!BS:BS,'WBS Summary'!$B:$B, $B37, 'WBS Summary'!$AH:$AH, $C37,'WBS Summary'!$AJ:$AJ, $H37)</f>
        <v>0</v>
      </c>
      <c r="Z37" s="134">
        <f>SUMIFS('WBS Summary'!BT:BT,'WBS Summary'!$B:$B, $B37, 'WBS Summary'!$AH:$AH, $C37,'WBS Summary'!$AJ:$AJ, $H37)</f>
        <v>0</v>
      </c>
      <c r="AA37" s="134">
        <f>SUMIFS('WBS Summary'!BU:BU,'WBS Summary'!$B:$B, $B37, 'WBS Summary'!$AH:$AH, $C37,'WBS Summary'!$AJ:$AJ, $H37)</f>
        <v>0</v>
      </c>
      <c r="AB37" s="134">
        <f>SUMIFS('WBS Summary'!BV:BV,'WBS Summary'!$B:$B, $B37, 'WBS Summary'!$AH:$AH, $C37,'WBS Summary'!$AJ:$AJ, $H37)</f>
        <v>0</v>
      </c>
      <c r="AC37" s="134">
        <f>SUMIFS('WBS Summary'!BW:BW,'WBS Summary'!$B:$B, $B37, 'WBS Summary'!$AH:$AH, $C37,'WBS Summary'!$AJ:$AJ, $H37)</f>
        <v>0</v>
      </c>
      <c r="AD37" s="134">
        <f>SUMIFS('WBS Summary'!BX:BX,'WBS Summary'!$B:$B, $B37, 'WBS Summary'!$AH:$AH, $C37,'WBS Summary'!$AJ:$AJ, $H37)</f>
        <v>0</v>
      </c>
      <c r="AE37" s="134">
        <f>SUMIFS('WBS Summary'!BY:BY,'WBS Summary'!$B:$B, $B37, 'WBS Summary'!$AH:$AH, $C37,'WBS Summary'!$AJ:$AJ, $H37)</f>
        <v>0</v>
      </c>
      <c r="AF37" s="134">
        <f>SUMIFS('WBS Summary'!BZ:BZ,'WBS Summary'!$B:$B, $B37, 'WBS Summary'!$AH:$AH, $C37,'WBS Summary'!$AJ:$AJ, $H37)</f>
        <v>0</v>
      </c>
      <c r="AG37" s="134">
        <f>SUMIFS('WBS Summary'!CA:CA,'WBS Summary'!$B:$B, $B37, 'WBS Summary'!$AH:$AH, $C37,'WBS Summary'!$AJ:$AJ, $H37)</f>
        <v>0</v>
      </c>
      <c r="AH37" s="134">
        <f>SUMIFS('WBS Summary'!CB:CB,'WBS Summary'!$B:$B, $B37, 'WBS Summary'!$AH:$AH, $C37,'WBS Summary'!$AJ:$AJ, $H37)</f>
        <v>0</v>
      </c>
      <c r="AI37" s="134">
        <f>SUMIFS('WBS Summary'!CC:CC,'WBS Summary'!$B:$B, $B37, 'WBS Summary'!$AH:$AH, $C37,'WBS Summary'!$AJ:$AJ, $H37)</f>
        <v>0</v>
      </c>
      <c r="AJ37" s="134">
        <f>SUMIFS('WBS Summary'!CD:CD,'WBS Summary'!$B:$B, $B37, 'WBS Summary'!$AH:$AH, $C37,'WBS Summary'!$AJ:$AJ, $H37)</f>
        <v>0</v>
      </c>
      <c r="AK37" s="134">
        <f>SUMIFS('WBS Summary'!CE:CE,'WBS Summary'!$B:$B, $B37, 'WBS Summary'!$AH:$AH, $C37,'WBS Summary'!$AJ:$AJ, $H37)</f>
        <v>0</v>
      </c>
      <c r="AL37" s="134">
        <f>SUMIFS('WBS Summary'!CF:CF,'WBS Summary'!$B:$B, $B37, 'WBS Summary'!$AH:$AH, $C37,'WBS Summary'!$AJ:$AJ, $H37)</f>
        <v>0</v>
      </c>
      <c r="AM37" s="134">
        <f>SUMIFS('WBS Summary'!CG:CG,'WBS Summary'!$B:$B, $B37, 'WBS Summary'!$AH:$AH, $C37,'WBS Summary'!$AJ:$AJ, $H37)</f>
        <v>0</v>
      </c>
      <c r="AN37" s="134">
        <f>SUMIFS('WBS Summary'!CH:CH,'WBS Summary'!$B:$B, $B37, 'WBS Summary'!$AH:$AH, $C37,'WBS Summary'!$AJ:$AJ, $H37)</f>
        <v>0</v>
      </c>
      <c r="AO37" s="134">
        <f>SUMIFS('WBS Summary'!CI:CI,'WBS Summary'!$B:$B, $B37, 'WBS Summary'!$AH:$AH, $C37,'WBS Summary'!$AJ:$AJ, $H37)</f>
        <v>0</v>
      </c>
      <c r="AP37" s="134">
        <f>SUMIFS('WBS Summary'!CJ:CJ,'WBS Summary'!$B:$B, $B37, 'WBS Summary'!$AH:$AH, $C37,'WBS Summary'!$AJ:$AJ, $H37)</f>
        <v>0</v>
      </c>
      <c r="AQ37" s="134">
        <f>SUMIFS('WBS Summary'!CK:CK,'WBS Summary'!$B:$B, $B37, 'WBS Summary'!$AH:$AH, $C37,'WBS Summary'!$AJ:$AJ, $H37)</f>
        <v>0</v>
      </c>
      <c r="AR37" s="134">
        <f>SUMIFS('WBS Summary'!CL:CL,'WBS Summary'!$B:$B, $B37, 'WBS Summary'!$AH:$AH, $C37,'WBS Summary'!$AJ:$AJ, $H37)</f>
        <v>0</v>
      </c>
      <c r="AS37" s="134">
        <f>SUMIFS('WBS Summary'!CM:CM,'WBS Summary'!$B:$B, $B37, 'WBS Summary'!$AH:$AH, $C37,'WBS Summary'!$AJ:$AJ, $H37)</f>
        <v>0</v>
      </c>
      <c r="AT37" s="134">
        <f>SUMIFS('WBS Summary'!CN:CN,'WBS Summary'!$B:$B, $B37, 'WBS Summary'!$AH:$AH, $C37,'WBS Summary'!$AJ:$AJ, $H37)</f>
        <v>0</v>
      </c>
      <c r="AU37" s="134">
        <f>SUMIFS('WBS Summary'!CO:CO,'WBS Summary'!$B:$B, $B37, 'WBS Summary'!$AH:$AH, $C37,'WBS Summary'!$AJ:$AJ, $H37)</f>
        <v>0</v>
      </c>
      <c r="AV37" s="134">
        <f>SUMIFS('WBS Summary'!CP:CP,'WBS Summary'!$B:$B, $B37, 'WBS Summary'!$AH:$AH, $C37,'WBS Summary'!$AJ:$AJ, $H37)</f>
        <v>0</v>
      </c>
      <c r="AW37" s="134">
        <f>SUMIFS('WBS Summary'!CQ:CQ,'WBS Summary'!$B:$B, $B37, 'WBS Summary'!$AH:$AH, $C37,'WBS Summary'!$AJ:$AJ, $H37)</f>
        <v>0</v>
      </c>
      <c r="AX37" s="134">
        <f>SUMIFS('WBS Summary'!CR:CR,'WBS Summary'!$B:$B, $B37, 'WBS Summary'!$AH:$AH, $C37,'WBS Summary'!$AJ:$AJ, $H37)</f>
        <v>0</v>
      </c>
      <c r="AY37" s="134">
        <f>SUMIFS('WBS Summary'!CS:CS,'WBS Summary'!$B:$B, $B37, 'WBS Summary'!$AH:$AH, $C37,'WBS Summary'!$AJ:$AJ, $H37)</f>
        <v>0</v>
      </c>
      <c r="AZ37" s="134">
        <f>SUMIFS('WBS Summary'!CT:CT,'WBS Summary'!$B:$B, $B37, 'WBS Summary'!$AH:$AH, $C37,'WBS Summary'!$AJ:$AJ, $H37)</f>
        <v>0</v>
      </c>
      <c r="BA37" s="134">
        <f>SUMIFS('WBS Summary'!CU:CU,'WBS Summary'!$B:$B, $B37, 'WBS Summary'!$AH:$AH, $C37,'WBS Summary'!$AJ:$AJ, $H37)</f>
        <v>0</v>
      </c>
      <c r="BB37" s="134">
        <f>SUMIFS('WBS Summary'!CV:CV,'WBS Summary'!$B:$B, $B37, 'WBS Summary'!$AH:$AH, $C37,'WBS Summary'!$AJ:$AJ, $H37)</f>
        <v>0</v>
      </c>
      <c r="BC37" s="134">
        <f>SUMIFS('WBS Summary'!CW:CW,'WBS Summary'!$B:$B, $B37, 'WBS Summary'!$AH:$AH, $C37,'WBS Summary'!$AJ:$AJ, $H37)</f>
        <v>0</v>
      </c>
      <c r="BD37" s="134">
        <f>SUMIFS('WBS Summary'!CX:CX,'WBS Summary'!$B:$B, $B37, 'WBS Summary'!$AH:$AH, $C37,'WBS Summary'!$AJ:$AJ, $H37)</f>
        <v>0</v>
      </c>
      <c r="BE37" s="134">
        <f>SUMIFS('WBS Summary'!CY:CY,'WBS Summary'!$B:$B, $B37, 'WBS Summary'!$AH:$AH, $C37,'WBS Summary'!$AJ:$AJ, $H37)</f>
        <v>0</v>
      </c>
      <c r="BF37" s="134">
        <f>SUMIFS('WBS Summary'!CZ:CZ,'WBS Summary'!$B:$B, $B37, 'WBS Summary'!$AH:$AH, $C37,'WBS Summary'!$AJ:$AJ, $H37)</f>
        <v>0</v>
      </c>
      <c r="BG37" s="134">
        <f>SUMIFS('WBS Summary'!DA:DA,'WBS Summary'!$B:$B, $B37, 'WBS Summary'!$AH:$AH, $C37,'WBS Summary'!$AJ:$AJ, $H37)</f>
        <v>0</v>
      </c>
      <c r="BH37" s="134">
        <f>SUMIFS('WBS Summary'!DB:DB,'WBS Summary'!$B:$B, $B37, 'WBS Summary'!$AH:$AH, $C37,'WBS Summary'!$AJ:$AJ, $H37)</f>
        <v>0</v>
      </c>
      <c r="BI37" s="134">
        <f>SUMIFS('WBS Summary'!DC:DC,'WBS Summary'!$B:$B, $B37, 'WBS Summary'!$AH:$AH, $C37,'WBS Summary'!$AJ:$AJ, $H37)</f>
        <v>0</v>
      </c>
      <c r="BJ37" s="134">
        <f>SUMIFS('WBS Summary'!DD:DD,'WBS Summary'!$B:$B, $B37, 'WBS Summary'!$AH:$AH, $C37,'WBS Summary'!$AJ:$AJ, $H37)</f>
        <v>0</v>
      </c>
      <c r="BK37" s="134">
        <f>SUMIFS('WBS Summary'!DE:DE,'WBS Summary'!$B:$B, $B37, 'WBS Summary'!$AH:$AH, $C37,'WBS Summary'!$AJ:$AJ, $H37)</f>
        <v>0</v>
      </c>
      <c r="BL37" s="134">
        <f>SUMIFS('WBS Summary'!DF:DF,'WBS Summary'!$B:$B, $B37, 'WBS Summary'!$AH:$AH, $C37,'WBS Summary'!$AJ:$AJ, $H37)</f>
        <v>0</v>
      </c>
      <c r="BM37" s="134">
        <f>SUMIFS('WBS Summary'!DG:DG,'WBS Summary'!$B:$B, $B37, 'WBS Summary'!$AH:$AH, $C37,'WBS Summary'!$AJ:$AJ, $H37)</f>
        <v>0</v>
      </c>
      <c r="BN37" s="134">
        <f>SUMIFS('WBS Summary'!DH:DH,'WBS Summary'!$B:$B, $B37, 'WBS Summary'!$AH:$AH, $C37,'WBS Summary'!$AJ:$AJ, $H37)</f>
        <v>0</v>
      </c>
      <c r="BO37" s="134">
        <f>SUMIFS('WBS Summary'!DI:DI,'WBS Summary'!$B:$B, $B37, 'WBS Summary'!$AH:$AH, $C37,'WBS Summary'!$AJ:$AJ, $H37)</f>
        <v>0</v>
      </c>
      <c r="BP37" s="134">
        <f>SUMIFS('WBS Summary'!DJ:DJ,'WBS Summary'!$B:$B, $B37, 'WBS Summary'!$AH:$AH, $C37,'WBS Summary'!$AJ:$AJ, $H37)</f>
        <v>0</v>
      </c>
      <c r="BQ37" s="134">
        <f>SUMIFS('WBS Summary'!DK:DK,'WBS Summary'!$B:$B, $B37, 'WBS Summary'!$AH:$AH, $C37,'WBS Summary'!$AJ:$AJ, $H37)</f>
        <v>0</v>
      </c>
      <c r="BR37" s="134">
        <f>SUMIFS('WBS Summary'!DL:DL,'WBS Summary'!$B:$B, $B37, 'WBS Summary'!$AH:$AH, $C37,'WBS Summary'!$AJ:$AJ, $H37)</f>
        <v>0</v>
      </c>
      <c r="BS37" s="134">
        <f>SUMIFS('WBS Summary'!DM:DM,'WBS Summary'!$B:$B, $B37, 'WBS Summary'!$AH:$AH, $C37,'WBS Summary'!$AJ:$AJ, $H37)</f>
        <v>0</v>
      </c>
      <c r="BT37" s="134">
        <f>SUMIFS('WBS Summary'!DN:DN,'WBS Summary'!$B:$B, $B37, 'WBS Summary'!$AH:$AH, $C37,'WBS Summary'!$AJ:$AJ, $H37)</f>
        <v>0</v>
      </c>
      <c r="BU37" s="134">
        <f>SUMIFS('WBS Summary'!DO:DO,'WBS Summary'!$B:$B, $B37, 'WBS Summary'!$AH:$AH, $C37,'WBS Summary'!$AJ:$AJ, $H37)</f>
        <v>0</v>
      </c>
      <c r="BV37" s="134">
        <f>SUMIFS('WBS Summary'!DP:DP,'WBS Summary'!$B:$B, $B37, 'WBS Summary'!$AH:$AH, $C37,'WBS Summary'!$AJ:$AJ, $H37)</f>
        <v>0</v>
      </c>
      <c r="BW37" s="134">
        <f>SUMIFS('WBS Summary'!DQ:DQ,'WBS Summary'!$B:$B, $B37, 'WBS Summary'!$AH:$AH, $C37,'WBS Summary'!$AJ:$AJ, $H37)</f>
        <v>0</v>
      </c>
      <c r="BX37" s="134">
        <f>SUMIFS('WBS Summary'!DR:DR,'WBS Summary'!$B:$B, $B37, 'WBS Summary'!$AH:$AH, $C37,'WBS Summary'!$AJ:$AJ, $H37)</f>
        <v>0</v>
      </c>
      <c r="BY37" s="134">
        <f>SUMIFS('WBS Summary'!DS:DS,'WBS Summary'!$B:$B, $B37, 'WBS Summary'!$AH:$AH, $C37,'WBS Summary'!$AJ:$AJ, $H37)</f>
        <v>0</v>
      </c>
      <c r="BZ37" s="134">
        <f>SUMIFS('WBS Summary'!DT:DT,'WBS Summary'!$B:$B, $B37, 'WBS Summary'!$AH:$AH, $C37,'WBS Summary'!$AJ:$AJ, $H37)</f>
        <v>0</v>
      </c>
      <c r="CA37" s="134">
        <f>SUMIFS('WBS Summary'!DU:DU,'WBS Summary'!$B:$B, $B37, 'WBS Summary'!$AH:$AH, $C37,'WBS Summary'!$AJ:$AJ, $H37)</f>
        <v>0</v>
      </c>
      <c r="CB37" s="134">
        <f>SUMIFS('WBS Summary'!DV:DV,'WBS Summary'!$B:$B, $B37, 'WBS Summary'!$AH:$AH, $C37,'WBS Summary'!$AJ:$AJ, $H37)</f>
        <v>0</v>
      </c>
      <c r="CC37" s="134">
        <f>SUMIFS('WBS Summary'!DW:DW,'WBS Summary'!$B:$B, $B37, 'WBS Summary'!$AH:$AH, $C37,'WBS Summary'!$AJ:$AJ, $H37)</f>
        <v>0</v>
      </c>
      <c r="CD37" s="134">
        <f>SUMIFS('WBS Summary'!DX:DX,'WBS Summary'!$B:$B, $B37, 'WBS Summary'!$AH:$AH, $C37,'WBS Summary'!$AJ:$AJ, $H37)</f>
        <v>0</v>
      </c>
      <c r="CE37" s="134">
        <f>SUMIFS('WBS Summary'!DY:DY,'WBS Summary'!$B:$B, $B37, 'WBS Summary'!$AH:$AH, $C37,'WBS Summary'!$AJ:$AJ, $H37)</f>
        <v>0</v>
      </c>
      <c r="CF37" s="134">
        <f>SUMIFS('WBS Summary'!DZ:DZ,'WBS Summary'!$B:$B, $B37, 'WBS Summary'!$AH:$AH, $C37,'WBS Summary'!$AJ:$AJ, $H37)</f>
        <v>0</v>
      </c>
      <c r="CG37" s="134">
        <f>SUMIFS('WBS Summary'!EA:EA,'WBS Summary'!$B:$B, $B37, 'WBS Summary'!$AH:$AH, $C37,'WBS Summary'!$AJ:$AJ, $H37)</f>
        <v>0</v>
      </c>
      <c r="CH37" s="134">
        <f>SUMIFS('WBS Summary'!EB:EB,'WBS Summary'!$B:$B, $B37, 'WBS Summary'!$AH:$AH, $C37,'WBS Summary'!$AJ:$AJ, $H37)</f>
        <v>0</v>
      </c>
      <c r="CI37" s="134">
        <f>SUMIFS('WBS Summary'!EC:EC,'WBS Summary'!$B:$B, $B37, 'WBS Summary'!$AH:$AH, $C37,'WBS Summary'!$AJ:$AJ, $H37)</f>
        <v>0</v>
      </c>
      <c r="CJ37" s="134">
        <f>SUMIFS('WBS Summary'!ED:ED,'WBS Summary'!$B:$B, $B37, 'WBS Summary'!$AH:$AH, $C37,'WBS Summary'!$AJ:$AJ, $H37)</f>
        <v>0</v>
      </c>
      <c r="CK37" s="134">
        <f>SUMIFS('WBS Summary'!EE:EE,'WBS Summary'!$B:$B, $B37, 'WBS Summary'!$AH:$AH, $C37,'WBS Summary'!$AJ:$AJ, $H37)</f>
        <v>0</v>
      </c>
      <c r="CL37" s="134">
        <f>SUMIFS('WBS Summary'!EF:EF,'WBS Summary'!$B:$B, $B37, 'WBS Summary'!$AH:$AH, $C37,'WBS Summary'!$AJ:$AJ, $H37)</f>
        <v>0</v>
      </c>
      <c r="CM37" s="134">
        <f>SUMIFS('WBS Summary'!EG:EG,'WBS Summary'!$B:$B, $B37, 'WBS Summary'!$AH:$AH, $C37,'WBS Summary'!$AJ:$AJ, $H37)</f>
        <v>0</v>
      </c>
      <c r="CN37" s="134">
        <f>SUMIFS('WBS Summary'!EH:EH,'WBS Summary'!$B:$B, $B37, 'WBS Summary'!$AH:$AH, $C37,'WBS Summary'!$AJ:$AJ, $H37)</f>
        <v>0</v>
      </c>
      <c r="CO37" s="134">
        <f>SUMIFS('WBS Summary'!EI:EI,'WBS Summary'!$B:$B, $B37, 'WBS Summary'!$AH:$AH, $C37,'WBS Summary'!$AJ:$AJ, $H37)</f>
        <v>0</v>
      </c>
      <c r="CP37" s="134">
        <f>SUMIFS('WBS Summary'!EJ:EJ,'WBS Summary'!$B:$B, $B37, 'WBS Summary'!$AH:$AH, $C37,'WBS Summary'!$AJ:$AJ, $H37)</f>
        <v>0</v>
      </c>
      <c r="CQ37" s="134">
        <f>SUMIFS('WBS Summary'!EK:EK,'WBS Summary'!$B:$B, $B37, 'WBS Summary'!$AH:$AH, $C37,'WBS Summary'!$AJ:$AJ, $H37)</f>
        <v>0</v>
      </c>
      <c r="CR37" s="134">
        <f>SUMIFS('WBS Summary'!EL:EL,'WBS Summary'!$B:$B, $B37, 'WBS Summary'!$AH:$AH, $C37,'WBS Summary'!$AJ:$AJ, $H37)</f>
        <v>0</v>
      </c>
      <c r="CS37" s="134">
        <f>SUMIFS('WBS Summary'!EM:EM,'WBS Summary'!$B:$B, $B37, 'WBS Summary'!$AH:$AH, $C37,'WBS Summary'!$AJ:$AJ, $H37)</f>
        <v>0</v>
      </c>
      <c r="CT37" s="134">
        <f>SUMIFS('WBS Summary'!EN:EN,'WBS Summary'!$B:$B, $B37, 'WBS Summary'!$AH:$AH, $C37,'WBS Summary'!$AJ:$AJ, $H37)</f>
        <v>0</v>
      </c>
      <c r="CU37" s="134">
        <f>SUMIFS('WBS Summary'!EO:EO,'WBS Summary'!$B:$B, $B37, 'WBS Summary'!$AH:$AH, $C37,'WBS Summary'!$AJ:$AJ, $H37)</f>
        <v>0</v>
      </c>
      <c r="CV37" s="134">
        <f>SUMIFS('WBS Summary'!EP:EP,'WBS Summary'!$B:$B, $B37, 'WBS Summary'!$AH:$AH, $C37,'WBS Summary'!$AJ:$AJ, $H37)</f>
        <v>0</v>
      </c>
      <c r="CW37" s="134">
        <f>SUMIFS('WBS Summary'!EQ:EQ,'WBS Summary'!$B:$B, $B37, 'WBS Summary'!$AH:$AH, $C37,'WBS Summary'!$AJ:$AJ, $H37)</f>
        <v>0</v>
      </c>
      <c r="CX37" s="134">
        <f>SUMIFS('WBS Summary'!ER:ER,'WBS Summary'!$B:$B, $B37, 'WBS Summary'!$AH:$AH, $C37,'WBS Summary'!$AJ:$AJ, $H37)</f>
        <v>0</v>
      </c>
      <c r="CY37" s="134">
        <f>SUMIFS('WBS Summary'!ES:ES,'WBS Summary'!$B:$B, $B37, 'WBS Summary'!$AH:$AH, $C37,'WBS Summary'!$AJ:$AJ, $H37)</f>
        <v>0</v>
      </c>
      <c r="CZ37" s="134">
        <f>SUMIFS('WBS Summary'!ET:ET,'WBS Summary'!$B:$B, $B37, 'WBS Summary'!$AH:$AH, $C37,'WBS Summary'!$AJ:$AJ, $H37)</f>
        <v>0</v>
      </c>
      <c r="DA37" s="134">
        <f>SUMIFS('WBS Summary'!EU:EU,'WBS Summary'!$B:$B, $B37, 'WBS Summary'!$AH:$AH, $C37,'WBS Summary'!$AJ:$AJ, $H37)</f>
        <v>0</v>
      </c>
      <c r="DB37" s="134">
        <f>SUMIFS('WBS Summary'!EV:EV,'WBS Summary'!$B:$B, $B37, 'WBS Summary'!$AH:$AH, $C37,'WBS Summary'!$AJ:$AJ, $H37)</f>
        <v>0</v>
      </c>
      <c r="DC37" s="134">
        <f>SUMIFS('WBS Summary'!EW:EW,'WBS Summary'!$B:$B, $B37, 'WBS Summary'!$AH:$AH, $C37,'WBS Summary'!$AJ:$AJ, $H37)</f>
        <v>0</v>
      </c>
      <c r="DD37" s="134">
        <f>SUMIFS('WBS Summary'!EX:EX,'WBS Summary'!$B:$B, $B37, 'WBS Summary'!$AH:$AH, $C37,'WBS Summary'!$AJ:$AJ, $H37)</f>
        <v>0</v>
      </c>
      <c r="DE37" s="134">
        <f>SUMIFS('WBS Summary'!EY:EY,'WBS Summary'!$B:$B, $B37, 'WBS Summary'!$AH:$AH, $C37,'WBS Summary'!$AJ:$AJ, $H37)</f>
        <v>0</v>
      </c>
      <c r="DF37"/>
      <c r="DG37" s="134">
        <f>SUMIFS('WBS Summary'!FR:FR,'WBS Summary'!$B:$B, $B37, 'WBS Summary'!$AH:$AH, $C37,'WBS Summary'!$AJ:$AJ, $H37)</f>
        <v>0</v>
      </c>
      <c r="DH37" s="134">
        <f>SUMIFS('WBS Summary'!FS:FS,'WBS Summary'!$B:$B, $B37, 'WBS Summary'!$AH:$AH, $C37,'WBS Summary'!$AJ:$AJ, $H37)</f>
        <v>0</v>
      </c>
      <c r="DI37" s="134">
        <f>SUMIFS('WBS Summary'!FT:FT,'WBS Summary'!$B:$B, $B37, 'WBS Summary'!$AH:$AH, $C37,'WBS Summary'!$AJ:$AJ, $H37)</f>
        <v>0</v>
      </c>
      <c r="DJ37" s="134">
        <f>SUMIFS('WBS Summary'!FU:FU,'WBS Summary'!$B:$B, $B37, 'WBS Summary'!$AH:$AH, $C37,'WBS Summary'!$AJ:$AJ, $H37)</f>
        <v>0</v>
      </c>
      <c r="DK37" s="134">
        <f>SUMIFS('WBS Summary'!FV:FV,'WBS Summary'!$B:$B, $B37, 'WBS Summary'!$AH:$AH, $C37,'WBS Summary'!$AJ:$AJ, $H37)</f>
        <v>0</v>
      </c>
      <c r="DL37" s="134">
        <f>SUMIFS('WBS Summary'!FW:FW,'WBS Summary'!$B:$B, $B37, 'WBS Summary'!$AH:$AH, $C37,'WBS Summary'!$AJ:$AJ, $H37)</f>
        <v>0</v>
      </c>
      <c r="DM37" s="134">
        <f>SUMIFS('WBS Summary'!FX:FX,'WBS Summary'!$B:$B, $B37, 'WBS Summary'!$AH:$AH, $C37,'WBS Summary'!$AJ:$AJ, $H37)</f>
        <v>0</v>
      </c>
      <c r="DN37" s="134">
        <f>SUMIFS('WBS Summary'!FY:FY,'WBS Summary'!$B:$B, $B37, 'WBS Summary'!$AH:$AH, $C37,'WBS Summary'!$AJ:$AJ, $H37)</f>
        <v>0</v>
      </c>
      <c r="DO37" s="134">
        <f>SUMIFS('WBS Summary'!FZ:FZ,'WBS Summary'!$B:$B, $B37, 'WBS Summary'!$AH:$AH, $C37,'WBS Summary'!$AJ:$AJ, $H37)</f>
        <v>0</v>
      </c>
      <c r="DP37" s="134">
        <f>SUMIFS('WBS Summary'!GA:GA,'WBS Summary'!$B:$B, $B37, 'WBS Summary'!$AH:$AH, $C37,'WBS Summary'!$AJ:$AJ, $H37)</f>
        <v>0</v>
      </c>
      <c r="DQ37" s="134">
        <f>SUMIFS('WBS Summary'!GB:GB,'WBS Summary'!$B:$B, $B37, 'WBS Summary'!$AH:$AH, $C37,'WBS Summary'!$AJ:$AJ, $H37)</f>
        <v>0</v>
      </c>
      <c r="DR37" s="134">
        <f>SUMIFS('WBS Summary'!GC:GC,'WBS Summary'!$B:$B, $B37, 'WBS Summary'!$AH:$AH, $C37,'WBS Summary'!$AJ:$AJ, $H37)</f>
        <v>0</v>
      </c>
      <c r="DS37" s="134">
        <f>SUMIFS('WBS Summary'!GD:GD,'WBS Summary'!$B:$B, $B37, 'WBS Summary'!$AH:$AH, $C37,'WBS Summary'!$AJ:$AJ, $H37)</f>
        <v>0</v>
      </c>
      <c r="DT37" s="134">
        <f>SUMIFS('WBS Summary'!GE:GE,'WBS Summary'!$B:$B, $B37, 'WBS Summary'!$AH:$AH, $C37,'WBS Summary'!$AJ:$AJ, $H37)</f>
        <v>0</v>
      </c>
      <c r="DU37" s="134">
        <f>SUMIFS('WBS Summary'!GF:GF,'WBS Summary'!$B:$B, $B37, 'WBS Summary'!$AH:$AH, $C37,'WBS Summary'!$AJ:$AJ, $H37)</f>
        <v>0</v>
      </c>
      <c r="DV37" s="134">
        <f>SUMIFS('WBS Summary'!GG:GG,'WBS Summary'!$B:$B, $B37, 'WBS Summary'!$AH:$AH, $C37,'WBS Summary'!$AJ:$AJ, $H37)</f>
        <v>0</v>
      </c>
      <c r="DW37" s="134">
        <f>SUMIFS('WBS Summary'!GH:GH,'WBS Summary'!$B:$B, $B37, 'WBS Summary'!$AH:$AH, $C37,'WBS Summary'!$AJ:$AJ, $H37)</f>
        <v>0</v>
      </c>
      <c r="DX37" s="134">
        <f>SUMIFS('WBS Summary'!GI:GI,'WBS Summary'!$B:$B, $B37, 'WBS Summary'!$AH:$AH, $C37,'WBS Summary'!$AJ:$AJ, $H37)</f>
        <v>0</v>
      </c>
      <c r="DY37" s="134">
        <f>SUMIFS('WBS Summary'!GJ:GJ,'WBS Summary'!$B:$B, $B37, 'WBS Summary'!$AH:$AH, $C37,'WBS Summary'!$AJ:$AJ, $H37)</f>
        <v>0</v>
      </c>
      <c r="DZ37" s="134">
        <f>SUMIFS('WBS Summary'!GK:GK,'WBS Summary'!$B:$B, $B37, 'WBS Summary'!$AH:$AH, $C37,'WBS Summary'!$AJ:$AJ, $H37)</f>
        <v>0</v>
      </c>
      <c r="EA37" s="134">
        <f>SUMIFS('WBS Summary'!GL:GL,'WBS Summary'!$B:$B, $B37, 'WBS Summary'!$AH:$AH, $C37,'WBS Summary'!$AJ:$AJ, $H37)</f>
        <v>0</v>
      </c>
      <c r="EB37" s="134">
        <f>SUMIFS('WBS Summary'!GM:GM,'WBS Summary'!$B:$B, $B37, 'WBS Summary'!$AH:$AH, $C37,'WBS Summary'!$AJ:$AJ, $H37)</f>
        <v>0</v>
      </c>
      <c r="EC37" s="134">
        <f>SUMIFS('WBS Summary'!GN:GN,'WBS Summary'!$B:$B, $B37, 'WBS Summary'!$AH:$AH, $C37,'WBS Summary'!$AJ:$AJ, $H37)</f>
        <v>0</v>
      </c>
      <c r="ED37" s="134">
        <f>SUMIFS('WBS Summary'!GO:GO,'WBS Summary'!$B:$B, $B37, 'WBS Summary'!$AH:$AH, $C37,'WBS Summary'!$AJ:$AJ, $H37)</f>
        <v>0</v>
      </c>
      <c r="EE37" s="134">
        <f>SUMIFS('WBS Summary'!GP:GP,'WBS Summary'!$B:$B, $B37, 'WBS Summary'!$AH:$AH, $C37,'WBS Summary'!$AJ:$AJ, $H37)</f>
        <v>0</v>
      </c>
      <c r="EF37" s="134">
        <f>SUMIFS('WBS Summary'!GQ:GQ,'WBS Summary'!$B:$B, $B37, 'WBS Summary'!$AH:$AH, $C37,'WBS Summary'!$AJ:$AJ, $H37)</f>
        <v>0</v>
      </c>
      <c r="EG37" s="134">
        <f>SUMIFS('WBS Summary'!GR:GR,'WBS Summary'!$B:$B, $B37, 'WBS Summary'!$AH:$AH, $C37,'WBS Summary'!$AJ:$AJ, $H37)</f>
        <v>0</v>
      </c>
      <c r="EH37" s="134">
        <f>SUMIFS('WBS Summary'!GS:GS,'WBS Summary'!$B:$B, $B37, 'WBS Summary'!$AH:$AH, $C37,'WBS Summary'!$AJ:$AJ, $H37)</f>
        <v>0</v>
      </c>
      <c r="EI37" s="134">
        <f>SUMIFS('WBS Summary'!GT:GT,'WBS Summary'!$B:$B, $B37, 'WBS Summary'!$AH:$AH, $C37,'WBS Summary'!$AJ:$AJ, $H37)</f>
        <v>0</v>
      </c>
      <c r="EJ37" s="134">
        <f>SUMIFS('WBS Summary'!GU:GU,'WBS Summary'!$B:$B, $B37, 'WBS Summary'!$AH:$AH, $C37,'WBS Summary'!$AJ:$AJ, $H37)</f>
        <v>0</v>
      </c>
      <c r="EK37" s="134">
        <f>SUMIFS('WBS Summary'!GV:GV,'WBS Summary'!$B:$B, $B37, 'WBS Summary'!$AH:$AH, $C37,'WBS Summary'!$AJ:$AJ, $H37)</f>
        <v>0</v>
      </c>
      <c r="EL37" s="134">
        <f>SUMIFS('WBS Summary'!GW:GW,'WBS Summary'!$B:$B, $B37, 'WBS Summary'!$AH:$AH, $C37,'WBS Summary'!$AJ:$AJ, $H37)</f>
        <v>0</v>
      </c>
      <c r="EM37" s="134">
        <f>SUMIFS('WBS Summary'!GX:GX,'WBS Summary'!$B:$B, $B37, 'WBS Summary'!$AH:$AH, $C37,'WBS Summary'!$AJ:$AJ, $H37)</f>
        <v>0</v>
      </c>
      <c r="EN37" s="134">
        <f>SUMIFS('WBS Summary'!GY:GY,'WBS Summary'!$B:$B, $B37, 'WBS Summary'!$AH:$AH, $C37,'WBS Summary'!$AJ:$AJ, $H37)</f>
        <v>0</v>
      </c>
      <c r="EO37" s="134">
        <f>SUMIFS('WBS Summary'!GZ:GZ,'WBS Summary'!$B:$B, $B37, 'WBS Summary'!$AH:$AH, $C37,'WBS Summary'!$AJ:$AJ, $H37)</f>
        <v>0</v>
      </c>
      <c r="EP37" s="134">
        <f>SUMIFS('WBS Summary'!HA:HA,'WBS Summary'!$B:$B, $B37, 'WBS Summary'!$AH:$AH, $C37,'WBS Summary'!$AJ:$AJ, $H37)</f>
        <v>0</v>
      </c>
      <c r="EQ37" s="134">
        <f>SUMIFS('WBS Summary'!HB:HB,'WBS Summary'!$B:$B, $B37, 'WBS Summary'!$AH:$AH, $C37,'WBS Summary'!$AJ:$AJ, $H37)</f>
        <v>0</v>
      </c>
      <c r="ER37" s="134">
        <f>SUMIFS('WBS Summary'!HC:HC,'WBS Summary'!$B:$B, $B37, 'WBS Summary'!$AH:$AH, $C37,'WBS Summary'!$AJ:$AJ, $H37)</f>
        <v>0</v>
      </c>
      <c r="ES37" s="134">
        <f>SUMIFS('WBS Summary'!HD:HD,'WBS Summary'!$B:$B, $B37, 'WBS Summary'!$AH:$AH, $C37,'WBS Summary'!$AJ:$AJ, $H37)</f>
        <v>0</v>
      </c>
      <c r="ET37" s="134">
        <f>SUMIFS('WBS Summary'!HE:HE,'WBS Summary'!$B:$B, $B37, 'WBS Summary'!$AH:$AH, $C37,'WBS Summary'!$AJ:$AJ, $H37)</f>
        <v>0</v>
      </c>
      <c r="EU37" s="134">
        <f>SUMIFS('WBS Summary'!HF:HF,'WBS Summary'!$B:$B, $B37, 'WBS Summary'!$AH:$AH, $C37,'WBS Summary'!$AJ:$AJ, $H37)</f>
        <v>0</v>
      </c>
      <c r="EV37" s="134">
        <f>SUMIFS('WBS Summary'!HG:HG,'WBS Summary'!$B:$B, $B37, 'WBS Summary'!$AH:$AH, $C37,'WBS Summary'!$AJ:$AJ, $H37)</f>
        <v>0</v>
      </c>
      <c r="EW37" s="134">
        <f>SUMIFS('WBS Summary'!HH:HH,'WBS Summary'!$B:$B, $B37, 'WBS Summary'!$AH:$AH, $C37,'WBS Summary'!$AJ:$AJ, $H37)</f>
        <v>0</v>
      </c>
      <c r="EX37" s="134">
        <f>SUMIFS('WBS Summary'!HI:HI,'WBS Summary'!$B:$B, $B37, 'WBS Summary'!$AH:$AH, $C37,'WBS Summary'!$AJ:$AJ, $H37)</f>
        <v>0</v>
      </c>
      <c r="EY37" s="134">
        <f>SUMIFS('WBS Summary'!HJ:HJ,'WBS Summary'!$B:$B, $B37, 'WBS Summary'!$AH:$AH, $C37,'WBS Summary'!$AJ:$AJ, $H37)</f>
        <v>0</v>
      </c>
      <c r="EZ37" s="134">
        <f>SUMIFS('WBS Summary'!HK:HK,'WBS Summary'!$B:$B, $B37, 'WBS Summary'!$AH:$AH, $C37,'WBS Summary'!$AJ:$AJ, $H37)</f>
        <v>0</v>
      </c>
      <c r="FA37" s="134">
        <f>SUMIFS('WBS Summary'!HL:HL,'WBS Summary'!$B:$B, $B37, 'WBS Summary'!$AH:$AH, $C37,'WBS Summary'!$AJ:$AJ, $H37)</f>
        <v>0</v>
      </c>
      <c r="FB37" s="134">
        <f>SUMIFS('WBS Summary'!HM:HM,'WBS Summary'!$B:$B, $B37, 'WBS Summary'!$AH:$AH, $C37,'WBS Summary'!$AJ:$AJ, $H37)</f>
        <v>0</v>
      </c>
      <c r="FC37" s="134">
        <f>SUMIFS('WBS Summary'!HN:HN,'WBS Summary'!$B:$B, $B37, 'WBS Summary'!$AH:$AH, $C37,'WBS Summary'!$AJ:$AJ, $H37)</f>
        <v>0</v>
      </c>
      <c r="FD37" s="134">
        <f>SUMIFS('WBS Summary'!HO:HO,'WBS Summary'!$B:$B, $B37, 'WBS Summary'!$AH:$AH, $C37,'WBS Summary'!$AJ:$AJ, $H37)</f>
        <v>0</v>
      </c>
      <c r="FE37" s="134">
        <f>SUMIFS('WBS Summary'!HP:HP,'WBS Summary'!$B:$B, $B37, 'WBS Summary'!$AH:$AH, $C37,'WBS Summary'!$AJ:$AJ, $H37)</f>
        <v>0</v>
      </c>
      <c r="FF37" s="134">
        <f>SUMIFS('WBS Summary'!HQ:HQ,'WBS Summary'!$B:$B, $B37, 'WBS Summary'!$AH:$AH, $C37,'WBS Summary'!$AJ:$AJ, $H37)</f>
        <v>0</v>
      </c>
      <c r="FG37" s="134">
        <f>SUMIFS('WBS Summary'!HR:HR,'WBS Summary'!$B:$B, $B37, 'WBS Summary'!$AH:$AH, $C37,'WBS Summary'!$AJ:$AJ, $H37)</f>
        <v>0</v>
      </c>
      <c r="FH37" s="134">
        <f>SUMIFS('WBS Summary'!HS:HS,'WBS Summary'!$B:$B, $B37, 'WBS Summary'!$AH:$AH, $C37,'WBS Summary'!$AJ:$AJ, $H37)</f>
        <v>0</v>
      </c>
      <c r="FI37" s="134">
        <f>SUMIFS('WBS Summary'!HT:HT,'WBS Summary'!$B:$B, $B37, 'WBS Summary'!$AH:$AH, $C37,'WBS Summary'!$AJ:$AJ, $H37)</f>
        <v>0</v>
      </c>
      <c r="FJ37" s="134">
        <f>SUMIFS('WBS Summary'!HU:HU,'WBS Summary'!$B:$B, $B37, 'WBS Summary'!$AH:$AH, $C37,'WBS Summary'!$AJ:$AJ, $H37)</f>
        <v>0</v>
      </c>
      <c r="FK37" s="134">
        <f>SUMIFS('WBS Summary'!HV:HV,'WBS Summary'!$B:$B, $B37, 'WBS Summary'!$AH:$AH, $C37,'WBS Summary'!$AJ:$AJ, $H37)</f>
        <v>0</v>
      </c>
      <c r="FL37" s="134">
        <f>SUMIFS('WBS Summary'!HW:HW,'WBS Summary'!$B:$B, $B37, 'WBS Summary'!$AH:$AH, $C37,'WBS Summary'!$AJ:$AJ, $H37)</f>
        <v>0</v>
      </c>
      <c r="FM37" s="134">
        <f>SUMIFS('WBS Summary'!HX:HX,'WBS Summary'!$B:$B, $B37, 'WBS Summary'!$AH:$AH, $C37,'WBS Summary'!$AJ:$AJ, $H37)</f>
        <v>0</v>
      </c>
      <c r="FN37" s="134">
        <f>SUMIFS('WBS Summary'!HY:HY,'WBS Summary'!$B:$B, $B37, 'WBS Summary'!$AH:$AH, $C37,'WBS Summary'!$AJ:$AJ, $H37)</f>
        <v>0</v>
      </c>
      <c r="FO37" s="134">
        <f>SUMIFS('WBS Summary'!HZ:HZ,'WBS Summary'!$B:$B, $B37, 'WBS Summary'!$AH:$AH, $C37,'WBS Summary'!$AJ:$AJ, $H37)</f>
        <v>0</v>
      </c>
      <c r="FP37" s="134">
        <f>SUMIFS('WBS Summary'!IA:IA,'WBS Summary'!$B:$B, $B37, 'WBS Summary'!$AH:$AH, $C37,'WBS Summary'!$AJ:$AJ, $H37)</f>
        <v>0</v>
      </c>
      <c r="FQ37" s="134">
        <f>SUMIFS('WBS Summary'!IB:IB,'WBS Summary'!$B:$B, $B37, 'WBS Summary'!$AH:$AH, $C37,'WBS Summary'!$AJ:$AJ, $H37)</f>
        <v>0</v>
      </c>
      <c r="FR37" s="134">
        <f>SUMIFS('WBS Summary'!IC:IC,'WBS Summary'!$B:$B, $B37, 'WBS Summary'!$AH:$AH, $C37,'WBS Summary'!$AJ:$AJ, $H37)</f>
        <v>0</v>
      </c>
      <c r="FS37" s="134">
        <f>SUMIFS('WBS Summary'!ID:ID,'WBS Summary'!$B:$B, $B37, 'WBS Summary'!$AH:$AH, $C37,'WBS Summary'!$AJ:$AJ, $H37)</f>
        <v>0</v>
      </c>
      <c r="FT37" s="134">
        <f>SUMIFS('WBS Summary'!IE:IE,'WBS Summary'!$B:$B, $B37, 'WBS Summary'!$AH:$AH, $C37,'WBS Summary'!$AJ:$AJ, $H37)</f>
        <v>0</v>
      </c>
      <c r="FU37" s="134">
        <f>SUMIFS('WBS Summary'!IF:IF,'WBS Summary'!$B:$B, $B37, 'WBS Summary'!$AH:$AH, $C37,'WBS Summary'!$AJ:$AJ, $H37)</f>
        <v>0</v>
      </c>
      <c r="FV37" s="134">
        <f>SUMIFS('WBS Summary'!IG:IG,'WBS Summary'!$B:$B, $B37, 'WBS Summary'!$AH:$AH, $C37,'WBS Summary'!$AJ:$AJ, $H37)</f>
        <v>0</v>
      </c>
      <c r="FW37" s="134">
        <f>SUMIFS('WBS Summary'!IH:IH,'WBS Summary'!$B:$B, $B37, 'WBS Summary'!$AH:$AH, $C37,'WBS Summary'!$AJ:$AJ, $H37)</f>
        <v>0</v>
      </c>
      <c r="FX37" s="134">
        <f>SUMIFS('WBS Summary'!II:II,'WBS Summary'!$B:$B, $B37, 'WBS Summary'!$AH:$AH, $C37,'WBS Summary'!$AJ:$AJ, $H37)</f>
        <v>0</v>
      </c>
      <c r="FY37" s="134">
        <f>SUMIFS('WBS Summary'!IJ:IJ,'WBS Summary'!$B:$B, $B37, 'WBS Summary'!$AH:$AH, $C37,'WBS Summary'!$AJ:$AJ, $H37)</f>
        <v>0</v>
      </c>
      <c r="FZ37" s="134">
        <f>SUMIFS('WBS Summary'!IK:IK,'WBS Summary'!$B:$B, $B37, 'WBS Summary'!$AH:$AH, $C37,'WBS Summary'!$AJ:$AJ, $H37)</f>
        <v>0</v>
      </c>
      <c r="GA37" s="134">
        <f>SUMIFS('WBS Summary'!IL:IL,'WBS Summary'!$B:$B, $B37, 'WBS Summary'!$AH:$AH, $C37,'WBS Summary'!$AJ:$AJ, $H37)</f>
        <v>0</v>
      </c>
      <c r="GB37" s="134">
        <f>SUMIFS('WBS Summary'!IM:IM,'WBS Summary'!$B:$B, $B37, 'WBS Summary'!$AH:$AH, $C37,'WBS Summary'!$AJ:$AJ, $H37)</f>
        <v>0</v>
      </c>
      <c r="GC37" s="134">
        <f>SUMIFS('WBS Summary'!IN:IN,'WBS Summary'!$B:$B, $B37, 'WBS Summary'!$AH:$AH, $C37,'WBS Summary'!$AJ:$AJ, $H37)</f>
        <v>0</v>
      </c>
      <c r="GD37" s="134">
        <f>SUMIFS('WBS Summary'!IO:IO,'WBS Summary'!$B:$B, $B37, 'WBS Summary'!$AH:$AH, $C37,'WBS Summary'!$AJ:$AJ, $H37)</f>
        <v>0</v>
      </c>
      <c r="GE37" s="134">
        <f>SUMIFS('WBS Summary'!IP:IP,'WBS Summary'!$B:$B, $B37, 'WBS Summary'!$AH:$AH, $C37,'WBS Summary'!$AJ:$AJ, $H37)</f>
        <v>0</v>
      </c>
      <c r="GF37" s="134">
        <f>SUMIFS('WBS Summary'!IQ:IQ,'WBS Summary'!$B:$B, $B37, 'WBS Summary'!$AH:$AH, $C37,'WBS Summary'!$AJ:$AJ, $H37)</f>
        <v>0</v>
      </c>
      <c r="GG37" s="134">
        <f>SUMIFS('WBS Summary'!IR:IR,'WBS Summary'!$B:$B, $B37, 'WBS Summary'!$AH:$AH, $C37,'WBS Summary'!$AJ:$AJ, $H37)</f>
        <v>0</v>
      </c>
      <c r="GH37" s="134">
        <f>SUMIFS('WBS Summary'!IS:IS,'WBS Summary'!$B:$B, $B37, 'WBS Summary'!$AH:$AH, $C37,'WBS Summary'!$AJ:$AJ, $H37)</f>
        <v>0</v>
      </c>
      <c r="GI37" s="134">
        <f>SUMIFS('WBS Summary'!IT:IT,'WBS Summary'!$B:$B, $B37, 'WBS Summary'!$AH:$AH, $C37,'WBS Summary'!$AJ:$AJ, $H37)</f>
        <v>0</v>
      </c>
      <c r="GJ37" s="134">
        <f>SUMIFS('WBS Summary'!IU:IU,'WBS Summary'!$B:$B, $B37, 'WBS Summary'!$AH:$AH, $C37,'WBS Summary'!$AJ:$AJ, $H37)</f>
        <v>0</v>
      </c>
      <c r="GK37" s="134">
        <f>SUMIFS('WBS Summary'!IV:IV,'WBS Summary'!$B:$B, $B37, 'WBS Summary'!$AH:$AH, $C37,'WBS Summary'!$AJ:$AJ, $H37)</f>
        <v>0</v>
      </c>
      <c r="GL37" s="134">
        <f>SUMIFS('WBS Summary'!IW:IW,'WBS Summary'!$B:$B, $B37, 'WBS Summary'!$AH:$AH, $C37,'WBS Summary'!$AJ:$AJ, $H37)</f>
        <v>0</v>
      </c>
      <c r="GM37" s="134">
        <f>SUMIFS('WBS Summary'!IX:IX,'WBS Summary'!$B:$B, $B37, 'WBS Summary'!$AH:$AH, $C37,'WBS Summary'!$AJ:$AJ, $H37)</f>
        <v>0</v>
      </c>
      <c r="GN37" s="134">
        <f>SUMIFS('WBS Summary'!IY:IY,'WBS Summary'!$B:$B, $B37, 'WBS Summary'!$AH:$AH, $C37,'WBS Summary'!$AJ:$AJ, $H37)</f>
        <v>0</v>
      </c>
      <c r="GO37" s="134">
        <f>SUMIFS('WBS Summary'!IZ:IZ,'WBS Summary'!$B:$B, $B37, 'WBS Summary'!$AH:$AH, $C37,'WBS Summary'!$AJ:$AJ, $H37)</f>
        <v>0</v>
      </c>
      <c r="GP37" s="134">
        <f>SUMIFS('WBS Summary'!JA:JA,'WBS Summary'!$B:$B, $B37, 'WBS Summary'!$AH:$AH, $C37,'WBS Summary'!$AJ:$AJ, $H37)</f>
        <v>0</v>
      </c>
      <c r="GQ37" s="134">
        <f>SUMIFS('WBS Summary'!JB:JB,'WBS Summary'!$B:$B, $B37, 'WBS Summary'!$AH:$AH, $C37,'WBS Summary'!$AJ:$AJ, $H37)</f>
        <v>0</v>
      </c>
      <c r="GR37" s="134">
        <f>SUMIFS('WBS Summary'!JC:JC,'WBS Summary'!$B:$B, $B37, 'WBS Summary'!$AH:$AH, $C37,'WBS Summary'!$AJ:$AJ, $H37)</f>
        <v>0</v>
      </c>
      <c r="GS37" s="134">
        <f>SUMIFS('WBS Summary'!JD:JD,'WBS Summary'!$B:$B, $B37, 'WBS Summary'!$AH:$AH, $C37,'WBS Summary'!$AJ:$AJ, $H37)</f>
        <v>0</v>
      </c>
      <c r="GT37" s="134">
        <f>SUMIFS('WBS Summary'!JE:JE,'WBS Summary'!$B:$B, $B37, 'WBS Summary'!$AH:$AH, $C37,'WBS Summary'!$AJ:$AJ, $H37)</f>
        <v>0</v>
      </c>
      <c r="GU37" s="134">
        <f>SUMIFS('WBS Summary'!JF:JF,'WBS Summary'!$B:$B, $B37, 'WBS Summary'!$AH:$AH, $C37,'WBS Summary'!$AJ:$AJ, $H37)</f>
        <v>0</v>
      </c>
      <c r="GV37" s="134">
        <f>SUMIFS('WBS Summary'!JG:JG,'WBS Summary'!$B:$B, $B37, 'WBS Summary'!$AH:$AH, $C37,'WBS Summary'!$AJ:$AJ, $H37)</f>
        <v>0</v>
      </c>
      <c r="GW37" s="134">
        <f>SUMIFS('WBS Summary'!JH:JH,'WBS Summary'!$B:$B, $B37, 'WBS Summary'!$AH:$AH, $C37,'WBS Summary'!$AJ:$AJ, $H37)</f>
        <v>0</v>
      </c>
      <c r="GX37" s="134">
        <f>SUMIFS('WBS Summary'!JI:JI,'WBS Summary'!$B:$B, $B37, 'WBS Summary'!$AH:$AH, $C37,'WBS Summary'!$AJ:$AJ, $H37)</f>
        <v>0</v>
      </c>
      <c r="GY37" s="134">
        <f>SUMIFS('WBS Summary'!JJ:JJ,'WBS Summary'!$B:$B, $B37, 'WBS Summary'!$AH:$AH, $C37,'WBS Summary'!$AJ:$AJ, $H37)</f>
        <v>0</v>
      </c>
      <c r="GZ37" s="134">
        <f>SUMIFS('WBS Summary'!JK:JK,'WBS Summary'!$B:$B, $B37, 'WBS Summary'!$AH:$AH, $C37,'WBS Summary'!$AJ:$AJ, $H37)</f>
        <v>0</v>
      </c>
      <c r="HA37" s="134">
        <f>SUMIFS('WBS Summary'!JL:JL,'WBS Summary'!$B:$B, $B37, 'WBS Summary'!$AH:$AH, $C37,'WBS Summary'!$AJ:$AJ, $H37)</f>
        <v>0</v>
      </c>
      <c r="HB37" s="134">
        <f>SUMIFS('WBS Summary'!JM:JM,'WBS Summary'!$B:$B, $B37, 'WBS Summary'!$AH:$AH, $C37,'WBS Summary'!$AJ:$AJ, $H37)</f>
        <v>0</v>
      </c>
      <c r="HC37"/>
    </row>
    <row r="38" spans="1:211" outlineLevel="2"/>
  </sheetData>
  <hyperlinks>
    <hyperlink ref="A1" location="'TOC'!A1" display="TO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1:A43"/>
  <sheetViews>
    <sheetView showGridLines="0" workbookViewId="0">
      <selection activeCell="B1" sqref="B1"/>
    </sheetView>
  </sheetViews>
  <sheetFormatPr defaultRowHeight="15.5"/>
  <cols>
    <col min="1" max="1" width="15.83203125" customWidth="1"/>
    <col min="2" max="2" width="26.75" bestFit="1" customWidth="1"/>
    <col min="3" max="8" width="22.5" bestFit="1" customWidth="1"/>
    <col min="9" max="9" width="26.83203125" bestFit="1" customWidth="1"/>
    <col min="10" max="10" width="22.5" bestFit="1" customWidth="1"/>
    <col min="11" max="11" width="38.08203125" bestFit="1" customWidth="1"/>
    <col min="12" max="25" width="27.58203125" bestFit="1" customWidth="1"/>
    <col min="26" max="26" width="28.75" bestFit="1" customWidth="1"/>
    <col min="27" max="38" width="27.58203125" bestFit="1" customWidth="1"/>
    <col min="39" max="39" width="39.08203125" bestFit="1" customWidth="1"/>
    <col min="40" max="40" width="27.58203125" bestFit="1" customWidth="1"/>
  </cols>
  <sheetData>
    <row r="1" spans="1:1">
      <c r="A1" s="354" t="s">
        <v>467</v>
      </c>
    </row>
    <row r="2" spans="1:1">
      <c r="A2" s="238"/>
    </row>
    <row r="3" spans="1:1">
      <c r="A3" s="238"/>
    </row>
    <row r="4" spans="1:1">
      <c r="A4" s="239" t="s">
        <v>349</v>
      </c>
    </row>
    <row r="5" spans="1:1">
      <c r="A5" s="240" t="s">
        <v>357</v>
      </c>
    </row>
    <row r="6" spans="1:1">
      <c r="A6" s="240" t="s">
        <v>358</v>
      </c>
    </row>
    <row r="7" spans="1:1">
      <c r="A7" s="240" t="s">
        <v>332</v>
      </c>
    </row>
    <row r="8" spans="1:1">
      <c r="A8" s="240" t="s">
        <v>333</v>
      </c>
    </row>
    <row r="9" spans="1:1">
      <c r="A9" s="240" t="s">
        <v>359</v>
      </c>
    </row>
    <row r="10" spans="1:1">
      <c r="A10" s="240" t="s">
        <v>334</v>
      </c>
    </row>
    <row r="11" spans="1:1">
      <c r="A11" s="240" t="s">
        <v>360</v>
      </c>
    </row>
    <row r="12" spans="1:1">
      <c r="A12" s="240" t="s">
        <v>361</v>
      </c>
    </row>
    <row r="13" spans="1:1">
      <c r="A13" s="240" t="s">
        <v>362</v>
      </c>
    </row>
    <row r="14" spans="1:1">
      <c r="A14" s="240" t="s">
        <v>363</v>
      </c>
    </row>
    <row r="15" spans="1:1">
      <c r="A15" s="240" t="s">
        <v>364</v>
      </c>
    </row>
    <row r="16" spans="1:1">
      <c r="A16" s="240" t="s">
        <v>365</v>
      </c>
    </row>
    <row r="17" spans="1:1">
      <c r="A17" s="240" t="s">
        <v>366</v>
      </c>
    </row>
    <row r="18" spans="1:1">
      <c r="A18" s="240" t="s">
        <v>367</v>
      </c>
    </row>
    <row r="20" spans="1:1">
      <c r="A20" s="238"/>
    </row>
    <row r="21" spans="1:1">
      <c r="A21" s="238"/>
    </row>
    <row r="22" spans="1:1">
      <c r="A22" s="239" t="s">
        <v>368</v>
      </c>
    </row>
    <row r="23" spans="1:1">
      <c r="A23" s="240" t="s">
        <v>369</v>
      </c>
    </row>
    <row r="24" spans="1:1">
      <c r="A24" s="240" t="s">
        <v>370</v>
      </c>
    </row>
    <row r="25" spans="1:1">
      <c r="A25" s="240" t="s">
        <v>371</v>
      </c>
    </row>
    <row r="26" spans="1:1">
      <c r="A26" s="240" t="s">
        <v>372</v>
      </c>
    </row>
    <row r="27" spans="1:1">
      <c r="A27" s="240" t="s">
        <v>373</v>
      </c>
    </row>
    <row r="28" spans="1:1">
      <c r="A28" s="240" t="s">
        <v>374</v>
      </c>
    </row>
    <row r="29" spans="1:1">
      <c r="A29" s="240" t="s">
        <v>375</v>
      </c>
    </row>
    <row r="30" spans="1:1">
      <c r="A30" s="240" t="s">
        <v>376</v>
      </c>
    </row>
    <row r="31" spans="1:1">
      <c r="A31" s="240" t="s">
        <v>377</v>
      </c>
    </row>
    <row r="32" spans="1:1">
      <c r="A32" s="240" t="s">
        <v>378</v>
      </c>
    </row>
    <row r="33" spans="1:1">
      <c r="A33" s="240" t="s">
        <v>379</v>
      </c>
    </row>
    <row r="34" spans="1:1">
      <c r="A34" s="240" t="s">
        <v>380</v>
      </c>
    </row>
    <row r="35" spans="1:1">
      <c r="A35" s="240" t="s">
        <v>381</v>
      </c>
    </row>
    <row r="36" spans="1:1">
      <c r="A36" s="240" t="s">
        <v>382</v>
      </c>
    </row>
    <row r="37" spans="1:1">
      <c r="A37" s="240" t="s">
        <v>383</v>
      </c>
    </row>
    <row r="38" spans="1:1">
      <c r="A38" s="240" t="s">
        <v>384</v>
      </c>
    </row>
    <row r="39" spans="1:1">
      <c r="A39" s="240" t="s">
        <v>385</v>
      </c>
    </row>
    <row r="40" spans="1:1">
      <c r="A40" s="240" t="s">
        <v>386</v>
      </c>
    </row>
    <row r="41" spans="1:1">
      <c r="A41" s="240" t="s">
        <v>468</v>
      </c>
    </row>
    <row r="42" spans="1:1">
      <c r="A42" s="240" t="s">
        <v>469</v>
      </c>
    </row>
    <row r="43" spans="1:1">
      <c r="A43" s="240" t="s">
        <v>470</v>
      </c>
    </row>
  </sheetData>
  <hyperlinks>
    <hyperlink ref="A1" location="'TOC'!A1" display="TOC"/>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outlinePr summaryBelow="0" summaryRight="0"/>
  </sheetPr>
  <dimension ref="A1:AB52"/>
  <sheetViews>
    <sheetView showGridLines="0" zoomScale="50" zoomScaleNormal="50" zoomScalePageLayoutView="70" workbookViewId="0">
      <selection activeCell="B37" sqref="B37"/>
    </sheetView>
  </sheetViews>
  <sheetFormatPr defaultColWidth="9" defaultRowHeight="15.5" outlineLevelRow="1" outlineLevelCol="1"/>
  <cols>
    <col min="1" max="1" width="3.08203125" style="16" customWidth="1"/>
    <col min="2" max="2" width="20.08203125" style="16" bestFit="1" customWidth="1"/>
    <col min="3" max="3" width="3.58203125" style="16" customWidth="1"/>
    <col min="4" max="4" width="35" style="16" customWidth="1" outlineLevel="1"/>
    <col min="5" max="12" width="11" style="16" customWidth="1" outlineLevel="1"/>
    <col min="13" max="13" width="13.33203125" style="16" bestFit="1" customWidth="1" outlineLevel="1"/>
    <col min="14" max="14" width="13.58203125" style="16" bestFit="1" customWidth="1" outlineLevel="1"/>
    <col min="15" max="15" width="19" style="16" customWidth="1" collapsed="1"/>
    <col min="16" max="16" width="20.08203125" style="16" hidden="1" customWidth="1" outlineLevel="1"/>
    <col min="17" max="17" width="3.58203125" style="16" hidden="1" customWidth="1" outlineLevel="1"/>
    <col min="18" max="18" width="35" style="16" hidden="1" customWidth="1" outlineLevel="1"/>
    <col min="19" max="26" width="11" style="16" hidden="1" customWidth="1" outlineLevel="1"/>
    <col min="27" max="27" width="13.33203125" style="16" hidden="1" customWidth="1" outlineLevel="1"/>
    <col min="28" max="28" width="13.58203125" style="16" hidden="1" customWidth="1" outlineLevel="1"/>
    <col min="29" max="16384" width="9" style="16"/>
  </cols>
  <sheetData>
    <row r="1" spans="1:28">
      <c r="A1" s="354" t="s">
        <v>467</v>
      </c>
    </row>
    <row r="2" spans="1:28">
      <c r="F2" s="366">
        <f>Model_First_Year</f>
        <v>2014</v>
      </c>
      <c r="G2" s="366">
        <f>F2+1</f>
        <v>2015</v>
      </c>
      <c r="H2" s="366">
        <f>G2+1</f>
        <v>2016</v>
      </c>
      <c r="I2" s="366">
        <f>H2+1</f>
        <v>2017</v>
      </c>
      <c r="J2" s="366">
        <f>I2+1</f>
        <v>2018</v>
      </c>
      <c r="K2" s="366">
        <f>J2+1</f>
        <v>2019</v>
      </c>
      <c r="T2" s="366">
        <f>Model_First_Year</f>
        <v>2014</v>
      </c>
      <c r="U2" s="366">
        <f>T2+1</f>
        <v>2015</v>
      </c>
      <c r="V2" s="366">
        <f>U2+1</f>
        <v>2016</v>
      </c>
      <c r="W2" s="366">
        <f>V2+1</f>
        <v>2017</v>
      </c>
      <c r="X2" s="366">
        <f>W2+1</f>
        <v>2018</v>
      </c>
      <c r="Y2" s="366">
        <f>X2+1</f>
        <v>2019</v>
      </c>
    </row>
    <row r="3" spans="1:28">
      <c r="E3" s="236"/>
      <c r="F3" s="236"/>
      <c r="G3" s="236"/>
      <c r="H3" s="236"/>
      <c r="I3" s="236"/>
      <c r="J3" s="236"/>
      <c r="K3" s="236"/>
      <c r="S3" s="236"/>
      <c r="T3" s="236"/>
      <c r="U3" s="236"/>
      <c r="V3" s="236"/>
      <c r="W3" s="236"/>
      <c r="X3" s="236"/>
      <c r="Y3" s="236"/>
    </row>
    <row r="4" spans="1:28">
      <c r="D4" s="358" t="s">
        <v>547</v>
      </c>
      <c r="E4" s="357" t="b">
        <f ca="1">(N34+'Non PMO Budget Chart'!N40)='CCP and APB'!C22</f>
        <v>1</v>
      </c>
      <c r="F4" s="236"/>
      <c r="G4" s="236"/>
      <c r="H4" s="236"/>
      <c r="I4" s="236"/>
      <c r="J4" s="236"/>
      <c r="K4" s="236"/>
      <c r="M4" s="236"/>
      <c r="R4" s="358" t="s">
        <v>547</v>
      </c>
      <c r="S4" s="357" t="b">
        <f ca="1">(AB34+'Non PMO Budget Chart'!AB46)='CCP and APB'!Q22</f>
        <v>1</v>
      </c>
      <c r="T4" s="236"/>
      <c r="U4" s="236"/>
      <c r="V4" s="236"/>
      <c r="W4" s="236"/>
      <c r="X4" s="236"/>
      <c r="Y4" s="236"/>
      <c r="AA4" s="236"/>
    </row>
    <row r="5" spans="1:28">
      <c r="D5" s="359" t="s">
        <v>548</v>
      </c>
      <c r="E5" s="362" t="str">
        <f>'Global Inputs'!C21</f>
        <v>PB17</v>
      </c>
      <c r="F5" s="236" t="str">
        <f>'Global Inputs'!D21</f>
        <v>Prior $ (PB17)</v>
      </c>
      <c r="R5" s="359" t="s">
        <v>548</v>
      </c>
      <c r="S5" s="360" t="str">
        <f>E5</f>
        <v>PB17</v>
      </c>
      <c r="T5" s="236" t="str">
        <f>"Prior $ ("&amp;S5&amp;")"</f>
        <v>Prior $ (PB17)</v>
      </c>
    </row>
    <row r="6" spans="1:28">
      <c r="D6" s="359" t="s">
        <v>549</v>
      </c>
      <c r="E6" s="362" t="str">
        <f>'Global Inputs'!C22</f>
        <v>POM18</v>
      </c>
      <c r="F6" s="236" t="str">
        <f>'Global Inputs'!D22</f>
        <v>Current $ (POM18)</v>
      </c>
      <c r="R6" s="359" t="s">
        <v>549</v>
      </c>
      <c r="S6" s="360" t="str">
        <f>E6</f>
        <v>POM18</v>
      </c>
      <c r="T6" s="236" t="str">
        <f>"Current $ ("&amp;S6&amp;")"</f>
        <v>Current $ (POM18)</v>
      </c>
    </row>
    <row r="7" spans="1:28">
      <c r="D7" s="359" t="s">
        <v>208</v>
      </c>
      <c r="E7" s="362" t="str">
        <f>'Global Inputs'!C23</f>
        <v>Draft CCP</v>
      </c>
      <c r="F7" s="236" t="str">
        <f>'Global Inputs'!D23</f>
        <v>Required $ (Draft CCP)</v>
      </c>
      <c r="R7" s="359" t="s">
        <v>208</v>
      </c>
      <c r="S7" s="360" t="str">
        <f>E7</f>
        <v>Draft CCP</v>
      </c>
      <c r="T7" s="236" t="str">
        <f>F7</f>
        <v>Required $ (Draft CCP)</v>
      </c>
    </row>
    <row r="8" spans="1:28">
      <c r="D8" s="359" t="s">
        <v>159</v>
      </c>
      <c r="E8" s="362" t="str">
        <f>'Global Inputs'!C24</f>
        <v>POE</v>
      </c>
      <c r="F8" s="236"/>
      <c r="R8" s="359" t="s">
        <v>159</v>
      </c>
      <c r="S8" s="382" t="s">
        <v>181</v>
      </c>
      <c r="T8" s="236"/>
    </row>
    <row r="9" spans="1:28">
      <c r="A9" s="15" t="s">
        <v>159</v>
      </c>
      <c r="D9" s="236"/>
      <c r="E9" s="236"/>
      <c r="F9" s="236"/>
      <c r="G9" s="236"/>
      <c r="H9" s="236"/>
      <c r="I9" s="236"/>
      <c r="J9" s="236"/>
      <c r="K9" s="236"/>
      <c r="M9" s="236"/>
      <c r="O9" s="15"/>
      <c r="R9" s="236"/>
      <c r="S9" s="236"/>
      <c r="T9" s="236"/>
      <c r="U9" s="236"/>
      <c r="V9" s="236"/>
      <c r="W9" s="236"/>
      <c r="X9" s="236"/>
      <c r="Y9" s="236"/>
      <c r="AA9" s="236"/>
    </row>
    <row r="10" spans="1:28" s="13" customFormat="1">
      <c r="A10" s="237" t="s">
        <v>96</v>
      </c>
    </row>
    <row r="11" spans="1:28" s="13" customFormat="1" outlineLevel="1">
      <c r="D11" s="14" t="s">
        <v>95</v>
      </c>
      <c r="H11" s="14"/>
      <c r="I11" s="14"/>
      <c r="J11" s="14"/>
      <c r="K11" s="14"/>
      <c r="L11" s="14"/>
      <c r="M11" s="14"/>
      <c r="R11" s="14" t="s">
        <v>95</v>
      </c>
      <c r="V11" s="14"/>
      <c r="W11" s="14"/>
      <c r="X11" s="14"/>
      <c r="Y11" s="14"/>
      <c r="Z11" s="14"/>
      <c r="AA11" s="14"/>
    </row>
    <row r="12" spans="1:28" outlineLevel="1"/>
    <row r="13" spans="1:28" ht="16" outlineLevel="1" thickBot="1"/>
    <row r="14" spans="1:28" s="17" customFormat="1" ht="48.65" customHeight="1" outlineLevel="1" thickBot="1">
      <c r="D14" s="528" t="str">
        <f>Program_Name &amp; CHAR(10) &amp; Milestone</f>
        <v>Missile System Example
Milestone B</v>
      </c>
      <c r="E14" s="529"/>
      <c r="F14" s="522" t="str">
        <f>"Component Cost Position" &amp; CHAR(10) &amp; "Program Funded Budget Chart"</f>
        <v>Component Cost Position
Program Funded Budget Chart</v>
      </c>
      <c r="G14" s="523"/>
      <c r="H14" s="523"/>
      <c r="I14" s="523"/>
      <c r="J14" s="523"/>
      <c r="K14" s="523"/>
      <c r="L14" s="523"/>
      <c r="M14" s="523"/>
      <c r="N14" s="524"/>
      <c r="O14" s="18"/>
      <c r="R14" s="528" t="str">
        <f>Program_Name &amp; CHAR(10) &amp; Milestone</f>
        <v>Missile System Example
Milestone B</v>
      </c>
      <c r="S14" s="529"/>
      <c r="T14" s="522" t="str">
        <f>"Component Cost Position" &amp; CHAR(10) &amp; "Program Funded Budget Chart"</f>
        <v>Component Cost Position
Program Funded Budget Chart</v>
      </c>
      <c r="U14" s="523"/>
      <c r="V14" s="523"/>
      <c r="W14" s="523"/>
      <c r="X14" s="523"/>
      <c r="Y14" s="523"/>
      <c r="Z14" s="523"/>
      <c r="AA14" s="523"/>
      <c r="AB14" s="524"/>
    </row>
    <row r="15" spans="1:28" ht="16" outlineLevel="1" thickBot="1">
      <c r="D15" s="19" t="s">
        <v>97</v>
      </c>
      <c r="E15" s="20" t="s">
        <v>98</v>
      </c>
      <c r="F15" s="20" t="str">
        <f t="shared" ref="F15:K15" si="0">"FY"&amp; RIGHT(F2,2)</f>
        <v>FY14</v>
      </c>
      <c r="G15" s="20" t="str">
        <f t="shared" si="0"/>
        <v>FY15</v>
      </c>
      <c r="H15" s="20" t="str">
        <f t="shared" si="0"/>
        <v>FY16</v>
      </c>
      <c r="I15" s="20" t="str">
        <f t="shared" si="0"/>
        <v>FY17</v>
      </c>
      <c r="J15" s="20" t="str">
        <f t="shared" si="0"/>
        <v>FY18</v>
      </c>
      <c r="K15" s="20" t="str">
        <f t="shared" si="0"/>
        <v>FY19</v>
      </c>
      <c r="L15" s="21" t="str">
        <f>G15&amp; "-" &amp;RIGHT(K15,2)</f>
        <v>FY15-19</v>
      </c>
      <c r="M15" s="21" t="s">
        <v>99</v>
      </c>
      <c r="N15" s="22" t="s">
        <v>100</v>
      </c>
      <c r="R15" s="19" t="s">
        <v>97</v>
      </c>
      <c r="S15" s="20" t="s">
        <v>98</v>
      </c>
      <c r="T15" s="20" t="str">
        <f t="shared" ref="T15:Y15" si="1">"FY"&amp; RIGHT(T2,2)</f>
        <v>FY14</v>
      </c>
      <c r="U15" s="20" t="str">
        <f t="shared" si="1"/>
        <v>FY15</v>
      </c>
      <c r="V15" s="20" t="str">
        <f t="shared" si="1"/>
        <v>FY16</v>
      </c>
      <c r="W15" s="20" t="str">
        <f t="shared" si="1"/>
        <v>FY17</v>
      </c>
      <c r="X15" s="20" t="str">
        <f t="shared" si="1"/>
        <v>FY18</v>
      </c>
      <c r="Y15" s="20" t="str">
        <f t="shared" si="1"/>
        <v>FY19</v>
      </c>
      <c r="Z15" s="21" t="str">
        <f>U15&amp; "-" &amp;RIGHT(Y15,2)</f>
        <v>FY15-19</v>
      </c>
      <c r="AA15" s="21" t="s">
        <v>99</v>
      </c>
      <c r="AB15" s="22" t="s">
        <v>100</v>
      </c>
    </row>
    <row r="16" spans="1:28" ht="16.5" customHeight="1" outlineLevel="1">
      <c r="B16" s="361" t="s">
        <v>101</v>
      </c>
      <c r="D16" s="23" t="str">
        <f>B16</f>
        <v>RDTEN</v>
      </c>
      <c r="E16" s="525"/>
      <c r="F16" s="526"/>
      <c r="G16" s="526"/>
      <c r="H16" s="526"/>
      <c r="I16" s="526"/>
      <c r="J16" s="526"/>
      <c r="K16" s="526"/>
      <c r="L16" s="526"/>
      <c r="M16" s="526"/>
      <c r="N16" s="527"/>
      <c r="P16" s="361" t="s">
        <v>101</v>
      </c>
      <c r="R16" s="23" t="str">
        <f>P16</f>
        <v>RDTEN</v>
      </c>
      <c r="S16" s="525"/>
      <c r="T16" s="526"/>
      <c r="U16" s="526"/>
      <c r="V16" s="526"/>
      <c r="W16" s="526"/>
      <c r="X16" s="526"/>
      <c r="Y16" s="526"/>
      <c r="Z16" s="526"/>
      <c r="AA16" s="526"/>
      <c r="AB16" s="527"/>
    </row>
    <row r="17" spans="2:28" s="13" customFormat="1" outlineLevel="1">
      <c r="B17" s="362" t="str">
        <f>'Global Inputs'!$D$21</f>
        <v>Prior $ (PB17)</v>
      </c>
      <c r="D17" s="24" t="str">
        <f>B17</f>
        <v>Prior $ (PB17)</v>
      </c>
      <c r="E17" s="25">
        <f ca="1">SUMPRODUCT(
(Model[[Estimate Type]:[Estimate Type]]= $E$5) *
(Model[[APPN]:[APPN]] = $B16) *
(Model[[PMO / NON PMO]:[PMO / NON PMO]] = "PMO") *
(TY_Years &lt;F$2) *
(TY_Dollars))</f>
        <v>0</v>
      </c>
      <c r="F17" s="25">
        <f ca="1">SUMPRODUCT(
(Model[[Estimate Type]:[Estimate Type]]= $E$5) *
(Model[[APPN]:[APPN]] = $B16) *
(Model[[PMO / NON PMO]:[PMO / NON PMO]] = "PMO") *
(TY_Years =F$2) *
(TY_Dollars))</f>
        <v>0</v>
      </c>
      <c r="G17" s="25">
        <f ca="1">SUMPRODUCT(
(Model[[Estimate Type]:[Estimate Type]]= $E$5) *
(Model[[APPN]:[APPN]] = $B16) *
(Model[[PMO / NON PMO]:[PMO / NON PMO]] = "PMO") *
(TY_Years =G$2) *
(TY_Dollars))</f>
        <v>0</v>
      </c>
      <c r="H17" s="25">
        <f ca="1">SUMPRODUCT(
(Model[[Estimate Type]:[Estimate Type]]= $E$5) *
(Model[[APPN]:[APPN]] = $B16) *
(Model[[PMO / NON PMO]:[PMO / NON PMO]] = "PMO") *
(TY_Years =H$2) *
(TY_Dollars))</f>
        <v>0</v>
      </c>
      <c r="I17" s="25">
        <f ca="1">SUMPRODUCT(
(Model[[Estimate Type]:[Estimate Type]]= $E$5) *
(Model[[APPN]:[APPN]] = $B16) *
(Model[[PMO / NON PMO]:[PMO / NON PMO]] = "PMO") *
(TY_Years =I$2) *
(TY_Dollars))</f>
        <v>0</v>
      </c>
      <c r="J17" s="25">
        <f ca="1">SUMPRODUCT(
(Model[[Estimate Type]:[Estimate Type]]= $E$5) *
(Model[[APPN]:[APPN]] = $B16) *
(Model[[PMO / NON PMO]:[PMO / NON PMO]] = "PMO") *
(TY_Years =J$2) *
(TY_Dollars))</f>
        <v>0</v>
      </c>
      <c r="K17" s="25">
        <f ca="1">SUMPRODUCT(
(Model[[Estimate Type]:[Estimate Type]]= $E$5) *
(Model[[APPN]:[APPN]] = $B16) *
(Model[[PMO / NON PMO]:[PMO / NON PMO]] = "PMO") *
(TY_Years =K$2) *
(TY_Dollars))</f>
        <v>0</v>
      </c>
      <c r="L17" s="25">
        <f ca="1">SUM(G17:K17)</f>
        <v>0</v>
      </c>
      <c r="M17" s="25">
        <v>0</v>
      </c>
      <c r="N17" s="26">
        <v>0</v>
      </c>
      <c r="P17" s="362" t="str">
        <f>$T$5</f>
        <v>Prior $ (PB17)</v>
      </c>
      <c r="R17" s="24" t="str">
        <f>P17</f>
        <v>Prior $ (PB17)</v>
      </c>
      <c r="S17" s="25">
        <f ca="1">SUMPRODUCT(
(Model[[Estimate Type]:[Estimate Type]]= $S$5) *
(Model[[APPN]:[APPN]] = $B16) *
(Model[[PMO / NON PMO]:[PMO / NON PMO]] = "PMO") *
(TY_Years &lt;T$2) *
(TY_Dollars))</f>
        <v>0</v>
      </c>
      <c r="T17" s="25">
        <f ca="1">SUMPRODUCT(
(Model[[Estimate Type]:[Estimate Type]]= $S$5) *
(Model[[APPN]:[APPN]] = $B16) *
(Model[[PMO / NON PMO]:[PMO / NON PMO]] = "PMO") *
(TY_Years =T$2) *
(TY_Dollars))</f>
        <v>0</v>
      </c>
      <c r="U17" s="25">
        <f ca="1">SUMPRODUCT(
(Model[[Estimate Type]:[Estimate Type]]= $S$5) *
(Model[[APPN]:[APPN]] = $B16) *
(Model[[PMO / NON PMO]:[PMO / NON PMO]] = "PMO") *
(TY_Years =U$2) *
(TY_Dollars))</f>
        <v>0</v>
      </c>
      <c r="V17" s="25">
        <f ca="1">SUMPRODUCT(
(Model[[Estimate Type]:[Estimate Type]]= $S$5) *
(Model[[APPN]:[APPN]] = $B16) *
(Model[[PMO / NON PMO]:[PMO / NON PMO]] = "PMO") *
(TY_Years =V$2) *
(TY_Dollars))</f>
        <v>0</v>
      </c>
      <c r="W17" s="25">
        <f ca="1">SUMPRODUCT(
(Model[[Estimate Type]:[Estimate Type]]= $S$5) *
(Model[[APPN]:[APPN]] = $B16) *
(Model[[PMO / NON PMO]:[PMO / NON PMO]] = "PMO") *
(TY_Years =W$2) *
(TY_Dollars))</f>
        <v>0</v>
      </c>
      <c r="X17" s="25">
        <f ca="1">SUMPRODUCT(
(Model[[Estimate Type]:[Estimate Type]]= $S$5) *
(Model[[APPN]:[APPN]] = $B16) *
(Model[[PMO / NON PMO]:[PMO / NON PMO]] = "PMO") *
(TY_Years =X$2) *
(TY_Dollars))</f>
        <v>0</v>
      </c>
      <c r="Y17" s="25">
        <f ca="1">SUMPRODUCT(
(Model[[Estimate Type]:[Estimate Type]]= $S$5) *
(Model[[APPN]:[APPN]] = $B16) *
(Model[[PMO / NON PMO]:[PMO / NON PMO]] = "PMO") *
(TY_Years =Y$2) *
(TY_Dollars))</f>
        <v>0</v>
      </c>
      <c r="Z17" s="25">
        <f ca="1">SUM(U17:Y17)</f>
        <v>0</v>
      </c>
      <c r="AA17" s="25">
        <v>0</v>
      </c>
      <c r="AB17" s="26">
        <v>0</v>
      </c>
    </row>
    <row r="18" spans="2:28" s="13" customFormat="1" outlineLevel="1">
      <c r="B18" s="362" t="str">
        <f>'Global Inputs'!$D$22</f>
        <v>Current $ (POM18)</v>
      </c>
      <c r="D18" s="27" t="str">
        <f>B18</f>
        <v>Current $ (POM18)</v>
      </c>
      <c r="E18" s="25">
        <f ca="1">SUMPRODUCT(
(Model[[Estimate Type]:[Estimate Type]]= $E$6) *
(Model[[APPN]:[APPN]] = $B16) *
(Model[[PMO / NON PMO]:[PMO / NON PMO]] = "PMO") *
(TY_Years &lt;F$2) *
(TY_Dollars))</f>
        <v>0</v>
      </c>
      <c r="F18" s="25">
        <f ca="1">SUMPRODUCT(
(Model[[Estimate Type]:[Estimate Type]]= $E$6) *
(Model[[APPN]:[APPN]] = $B16) *
(Model[[PMO / NON PMO]:[PMO / NON PMO]] = "PMO") *
(TY_Years =F$2) *
(TY_Dollars))</f>
        <v>0</v>
      </c>
      <c r="G18" s="25">
        <f ca="1">SUMPRODUCT(
(Model[[Estimate Type]:[Estimate Type]]= $E$6) *
(Model[[APPN]:[APPN]] = $B16) *
(Model[[PMO / NON PMO]:[PMO / NON PMO]] = "PMO") *
(TY_Years =G$2) *
(TY_Dollars))</f>
        <v>0</v>
      </c>
      <c r="H18" s="25">
        <f ca="1">SUMPRODUCT(
(Model[[Estimate Type]:[Estimate Type]]= $E$6) *
(Model[[APPN]:[APPN]] = $B16) *
(Model[[PMO / NON PMO]:[PMO / NON PMO]] = "PMO") *
(TY_Years =H$2) *
(TY_Dollars))</f>
        <v>0</v>
      </c>
      <c r="I18" s="25">
        <f ca="1">SUMPRODUCT(
(Model[[Estimate Type]:[Estimate Type]]= $E$6) *
(Model[[APPN]:[APPN]] = $B16) *
(Model[[PMO / NON PMO]:[PMO / NON PMO]] = "PMO") *
(TY_Years =I$2) *
(TY_Dollars))</f>
        <v>0</v>
      </c>
      <c r="J18" s="25">
        <f ca="1">SUMPRODUCT(
(Model[[Estimate Type]:[Estimate Type]]= $E$6) *
(Model[[APPN]:[APPN]] = $B16) *
(Model[[PMO / NON PMO]:[PMO / NON PMO]] = "PMO") *
(TY_Years =J$2) *
(TY_Dollars))</f>
        <v>0</v>
      </c>
      <c r="K18" s="25">
        <f ca="1">SUMPRODUCT(
(Model[[Estimate Type]:[Estimate Type]]= $E$6) *
(Model[[APPN]:[APPN]] = $B16) *
(Model[[PMO / NON PMO]:[PMO / NON PMO]] = "PMO") *
(TY_Years =K$2) *
(TY_Dollars))</f>
        <v>0</v>
      </c>
      <c r="L18" s="28">
        <f ca="1">SUM(G18:K18)</f>
        <v>0</v>
      </c>
      <c r="M18" s="28">
        <v>0</v>
      </c>
      <c r="N18" s="30">
        <v>0</v>
      </c>
      <c r="O18" s="31"/>
      <c r="P18" s="362" t="str">
        <f>$T$6</f>
        <v>Current $ (POM18)</v>
      </c>
      <c r="R18" s="27" t="str">
        <f>P18</f>
        <v>Current $ (POM18)</v>
      </c>
      <c r="S18" s="25">
        <f ca="1">SUMPRODUCT(
(Model[[Estimate Type]:[Estimate Type]]= $S$6) *
(Model[[APPN]:[APPN]] = $B16) *
(Model[[PMO / NON PMO]:[PMO / NON PMO]] = "PMO") *
(TY_Years &lt;T$2) *
(TY_Dollars))</f>
        <v>0</v>
      </c>
      <c r="T18" s="25">
        <f ca="1">SUMPRODUCT(
(Model[[Estimate Type]:[Estimate Type]]= $S$6) *
(Model[[APPN]:[APPN]] = $B16) *
(Model[[PMO / NON PMO]:[PMO / NON PMO]] = "PMO") *
(TY_Years =T$2) *
(TY_Dollars))</f>
        <v>0</v>
      </c>
      <c r="U18" s="25">
        <f ca="1">SUMPRODUCT(
(Model[[Estimate Type]:[Estimate Type]]= $S$6) *
(Model[[APPN]:[APPN]] = $B16) *
(Model[[PMO / NON PMO]:[PMO / NON PMO]] = "PMO") *
(TY_Years =U$2) *
(TY_Dollars))</f>
        <v>0</v>
      </c>
      <c r="V18" s="25">
        <f ca="1">SUMPRODUCT(
(Model[[Estimate Type]:[Estimate Type]]= $S$6) *
(Model[[APPN]:[APPN]] = $B16) *
(Model[[PMO / NON PMO]:[PMO / NON PMO]] = "PMO") *
(TY_Years =V$2) *
(TY_Dollars))</f>
        <v>0</v>
      </c>
      <c r="W18" s="25">
        <f ca="1">SUMPRODUCT(
(Model[[Estimate Type]:[Estimate Type]]= $S$6) *
(Model[[APPN]:[APPN]] = $B16) *
(Model[[PMO / NON PMO]:[PMO / NON PMO]] = "PMO") *
(TY_Years =W$2) *
(TY_Dollars))</f>
        <v>0</v>
      </c>
      <c r="X18" s="25">
        <f ca="1">SUMPRODUCT(
(Model[[Estimate Type]:[Estimate Type]]= $S$6) *
(Model[[APPN]:[APPN]] = $B16) *
(Model[[PMO / NON PMO]:[PMO / NON PMO]] = "PMO") *
(TY_Years =X$2) *
(TY_Dollars))</f>
        <v>0</v>
      </c>
      <c r="Y18" s="25">
        <f ca="1">SUMPRODUCT(
(Model[[Estimate Type]:[Estimate Type]]= $S$6) *
(Model[[APPN]:[APPN]] = $B16) *
(Model[[PMO / NON PMO]:[PMO / NON PMO]] = "PMO") *
(TY_Years =Y$2) *
(TY_Dollars))</f>
        <v>0</v>
      </c>
      <c r="Z18" s="28">
        <f ca="1">SUM(U18:Y18)</f>
        <v>0</v>
      </c>
      <c r="AA18" s="28">
        <v>0</v>
      </c>
      <c r="AB18" s="30">
        <v>0</v>
      </c>
    </row>
    <row r="19" spans="2:28" ht="16" outlineLevel="1" thickBot="1">
      <c r="D19" s="32" t="s">
        <v>102</v>
      </c>
      <c r="E19" s="33">
        <f t="shared" ref="E19:M19" ca="1" si="2">E18-E17</f>
        <v>0</v>
      </c>
      <c r="F19" s="33">
        <f t="shared" ca="1" si="2"/>
        <v>0</v>
      </c>
      <c r="G19" s="33">
        <f t="shared" ca="1" si="2"/>
        <v>0</v>
      </c>
      <c r="H19" s="33">
        <f t="shared" ca="1" si="2"/>
        <v>0</v>
      </c>
      <c r="I19" s="33">
        <f t="shared" ca="1" si="2"/>
        <v>0</v>
      </c>
      <c r="J19" s="33">
        <f t="shared" ca="1" si="2"/>
        <v>0</v>
      </c>
      <c r="K19" s="33">
        <f t="shared" ca="1" si="2"/>
        <v>0</v>
      </c>
      <c r="L19" s="33">
        <f t="shared" ca="1" si="2"/>
        <v>0</v>
      </c>
      <c r="M19" s="33">
        <f t="shared" si="2"/>
        <v>0</v>
      </c>
      <c r="N19" s="34">
        <f ca="1">SUM(E19:K19,M19)</f>
        <v>0</v>
      </c>
      <c r="R19" s="32" t="s">
        <v>102</v>
      </c>
      <c r="S19" s="33">
        <f t="shared" ref="S19:AA19" ca="1" si="3">S18-S17</f>
        <v>0</v>
      </c>
      <c r="T19" s="33">
        <f t="shared" ca="1" si="3"/>
        <v>0</v>
      </c>
      <c r="U19" s="33">
        <f t="shared" ca="1" si="3"/>
        <v>0</v>
      </c>
      <c r="V19" s="33">
        <f t="shared" ca="1" si="3"/>
        <v>0</v>
      </c>
      <c r="W19" s="33">
        <f t="shared" ca="1" si="3"/>
        <v>0</v>
      </c>
      <c r="X19" s="33">
        <f t="shared" ca="1" si="3"/>
        <v>0</v>
      </c>
      <c r="Y19" s="33">
        <f t="shared" ca="1" si="3"/>
        <v>0</v>
      </c>
      <c r="Z19" s="33">
        <f t="shared" ca="1" si="3"/>
        <v>0</v>
      </c>
      <c r="AA19" s="33">
        <f t="shared" si="3"/>
        <v>0</v>
      </c>
      <c r="AB19" s="34">
        <f ca="1">SUM(S19:Y19,AA19)</f>
        <v>0</v>
      </c>
    </row>
    <row r="20" spans="2:28" s="13" customFormat="1" outlineLevel="1">
      <c r="B20" s="362" t="str">
        <f>'Global Inputs'!$D$23</f>
        <v>Required $ (Draft CCP)</v>
      </c>
      <c r="D20" s="35" t="str">
        <f>B20</f>
        <v>Required $ (Draft CCP)</v>
      </c>
      <c r="E20" s="28">
        <f ca="1">SUMPRODUCT(
(Model[[Estimate Type]:[Estimate Type]]= $E$8) *
(Model[[APPN]:[APPN]] = $B16) *
(Model[[PMO / NON PMO]:[PMO / NON PMO]] = "PMO") *
(TY_Years &lt;F$2) *
(TY_Dollars))</f>
        <v>0</v>
      </c>
      <c r="F20" s="28">
        <f ca="1">SUMPRODUCT(
(Model[[Estimate Type]:[Estimate Type]]= $E$8) *
(Model[[APPN]:[APPN]] = $B16) *
(Model[[PMO / NON PMO]:[PMO / NON PMO]] = "PMO") *
(TY_Years =F$2) *
(TY_Dollars))</f>
        <v>29256994.943164464</v>
      </c>
      <c r="G20" s="28">
        <f ca="1">SUMPRODUCT(
(Model[[Estimate Type]:[Estimate Type]]= $E$8) *
(Model[[APPN]:[APPN]] = $B16) *
(Model[[PMO / NON PMO]:[PMO / NON PMO]] = "PMO") *
(TY_Years =G$2) *
(TY_Dollars))</f>
        <v>35754925.363037355</v>
      </c>
      <c r="H20" s="28">
        <f ca="1">SUMPRODUCT(
(Model[[Estimate Type]:[Estimate Type]]= $E$8) *
(Model[[APPN]:[APPN]] = $B16) *
(Model[[PMO / NON PMO]:[PMO / NON PMO]] = "PMO") *
(TY_Years =H$2) *
(TY_Dollars))</f>
        <v>38532191.166370206</v>
      </c>
      <c r="I20" s="28">
        <f ca="1">SUMPRODUCT(
(Model[[Estimate Type]:[Estimate Type]]= $E$8) *
(Model[[APPN]:[APPN]] = $B16) *
(Model[[PMO / NON PMO]:[PMO / NON PMO]] = "PMO") *
(TY_Years =I$2) *
(TY_Dollars))</f>
        <v>44316786.09139692</v>
      </c>
      <c r="J20" s="28">
        <f ca="1">SUMPRODUCT(
(Model[[Estimate Type]:[Estimate Type]]= $E$8) *
(Model[[APPN]:[APPN]] = $B16) *
(Model[[PMO / NON PMO]:[PMO / NON PMO]] = "PMO") *
(TY_Years =J$2) *
(TY_Dollars))</f>
        <v>37711959.926483981</v>
      </c>
      <c r="K20" s="28">
        <f ca="1">SUMPRODUCT(
(Model[[Estimate Type]:[Estimate Type]]= $E$8) *
(Model[[APPN]:[APPN]] = $B16) *
(Model[[PMO / NON PMO]:[PMO / NON PMO]] = "PMO") *
(TY_Years =K$2) *
(TY_Dollars))</f>
        <v>6415741.1969420388</v>
      </c>
      <c r="L20" s="28">
        <f ca="1">SUM(G20:K20)</f>
        <v>162731603.74423051</v>
      </c>
      <c r="M20" s="28">
        <f ca="1">SUMPRODUCT(
(Model[[Estimate Type]:[Estimate Type]]= $E$8) *
(Model[[APPN]:[APPN]] = $B16) *
(Model[[PMO / NON PMO]:[PMO / NON PMO]] = "PMO") *
(TY_Years &gt;K$2) *
(TY_Dollars))</f>
        <v>0</v>
      </c>
      <c r="N20" s="36">
        <f ca="1">SUM(E20:K20,M20)</f>
        <v>191988598.68739498</v>
      </c>
      <c r="P20" s="362" t="str">
        <f>$T$7</f>
        <v>Required $ (Draft CCP)</v>
      </c>
      <c r="R20" s="35" t="str">
        <f>P20</f>
        <v>Required $ (Draft CCP)</v>
      </c>
      <c r="S20" s="28">
        <f ca="1">SUMPRODUCT(
(Model[[Estimate Type]:[Estimate Type]]= $S$8) *
(Model[[APPN]:[APPN]] = $B16) *
(Model[[PMO / NON PMO]:[PMO / NON PMO]] = "PMO") *
(TY_Years &lt;T$2) *
(TY_Dollars))</f>
        <v>0</v>
      </c>
      <c r="T20" s="28">
        <f ca="1">SUMPRODUCT(
(Model[[Estimate Type]:[Estimate Type]]= $S$8) *
(Model[[APPN]:[APPN]] = $B16) *
(Model[[PMO / NON PMO]:[PMO / NON PMO]] = "PMO") *
(TY_Years =T$2) *
(TY_Dollars))</f>
        <v>0</v>
      </c>
      <c r="U20" s="28">
        <f ca="1">SUMPRODUCT(
(Model[[Estimate Type]:[Estimate Type]]= $S$8) *
(Model[[APPN]:[APPN]] = $B16) *
(Model[[PMO / NON PMO]:[PMO / NON PMO]] = "PMO") *
(TY_Years =U$2) *
(TY_Dollars))</f>
        <v>0</v>
      </c>
      <c r="V20" s="28">
        <f ca="1">SUMPRODUCT(
(Model[[Estimate Type]:[Estimate Type]]= $S$8) *
(Model[[APPN]:[APPN]] = $B16) *
(Model[[PMO / NON PMO]:[PMO / NON PMO]] = "PMO") *
(TY_Years =V$2) *
(TY_Dollars))</f>
        <v>0</v>
      </c>
      <c r="W20" s="28">
        <f ca="1">SUMPRODUCT(
(Model[[Estimate Type]:[Estimate Type]]= $S$8) *
(Model[[APPN]:[APPN]] = $B16) *
(Model[[PMO / NON PMO]:[PMO / NON PMO]] = "PMO") *
(TY_Years =W$2) *
(TY_Dollars))</f>
        <v>0</v>
      </c>
      <c r="X20" s="28">
        <f ca="1">SUMPRODUCT(
(Model[[Estimate Type]:[Estimate Type]]= $S$8) *
(Model[[APPN]:[APPN]] = $B16) *
(Model[[PMO / NON PMO]:[PMO / NON PMO]] = "PMO") *
(TY_Years =X$2) *
(TY_Dollars))</f>
        <v>0</v>
      </c>
      <c r="Y20" s="28">
        <f ca="1">SUMPRODUCT(
(Model[[Estimate Type]:[Estimate Type]]= $S$8) *
(Model[[APPN]:[APPN]] = $B16) *
(Model[[PMO / NON PMO]:[PMO / NON PMO]] = "PMO") *
(TY_Years =Y$2) *
(TY_Dollars))</f>
        <v>0</v>
      </c>
      <c r="Z20" s="28">
        <f ca="1">SUM(U20:Y20)</f>
        <v>0</v>
      </c>
      <c r="AA20" s="28">
        <f ca="1">SUMPRODUCT(
(Model[[Estimate Type]:[Estimate Type]]= $S$8) *
(Model[[APPN]:[APPN]] = $B16) *
(Model[[PMO / NON PMO]:[PMO / NON PMO]] = "PMO") *
(TY_Years &gt;Y$2) *
(TY_Dollars))</f>
        <v>0</v>
      </c>
      <c r="AB20" s="36">
        <f ca="1">SUM(S20:Y20,AA20)</f>
        <v>0</v>
      </c>
    </row>
    <row r="21" spans="2:28" ht="16" outlineLevel="1" thickBot="1">
      <c r="D21" s="37" t="s">
        <v>103</v>
      </c>
      <c r="E21" s="38">
        <f t="shared" ref="E21:M21" ca="1" si="4">IF(E17&gt;0,E18-E20,IF(E18&gt;0,E18-E20,0))</f>
        <v>0</v>
      </c>
      <c r="F21" s="38">
        <f t="shared" ca="1" si="4"/>
        <v>0</v>
      </c>
      <c r="G21" s="38">
        <f t="shared" ca="1" si="4"/>
        <v>0</v>
      </c>
      <c r="H21" s="38">
        <f t="shared" ca="1" si="4"/>
        <v>0</v>
      </c>
      <c r="I21" s="38">
        <f t="shared" ca="1" si="4"/>
        <v>0</v>
      </c>
      <c r="J21" s="38">
        <f t="shared" ca="1" si="4"/>
        <v>0</v>
      </c>
      <c r="K21" s="38">
        <f t="shared" ca="1" si="4"/>
        <v>0</v>
      </c>
      <c r="L21" s="38">
        <f t="shared" ca="1" si="4"/>
        <v>0</v>
      </c>
      <c r="M21" s="38">
        <f t="shared" si="4"/>
        <v>0</v>
      </c>
      <c r="N21" s="39">
        <f ca="1">SUM(E21:K21,M21)</f>
        <v>0</v>
      </c>
      <c r="R21" s="37" t="s">
        <v>103</v>
      </c>
      <c r="S21" s="38">
        <f t="shared" ref="S21:AA21" ca="1" si="5">IF(S17&gt;0,S18-S20,IF(S18&gt;0,S18-S20,0))</f>
        <v>0</v>
      </c>
      <c r="T21" s="38">
        <f t="shared" ca="1" si="5"/>
        <v>0</v>
      </c>
      <c r="U21" s="38">
        <f t="shared" ca="1" si="5"/>
        <v>0</v>
      </c>
      <c r="V21" s="38">
        <f t="shared" ca="1" si="5"/>
        <v>0</v>
      </c>
      <c r="W21" s="38">
        <f t="shared" ca="1" si="5"/>
        <v>0</v>
      </c>
      <c r="X21" s="38">
        <f t="shared" ca="1" si="5"/>
        <v>0</v>
      </c>
      <c r="Y21" s="38">
        <f t="shared" ca="1" si="5"/>
        <v>0</v>
      </c>
      <c r="Z21" s="38">
        <f t="shared" ca="1" si="5"/>
        <v>0</v>
      </c>
      <c r="AA21" s="38">
        <f t="shared" si="5"/>
        <v>0</v>
      </c>
      <c r="AB21" s="39">
        <f ca="1">SUM(S21:Y21,AA21)</f>
        <v>0</v>
      </c>
    </row>
    <row r="22" spans="2:28" ht="8.25" customHeight="1" outlineLevel="1" thickBot="1">
      <c r="D22" s="40"/>
      <c r="E22" s="41"/>
      <c r="F22" s="41"/>
      <c r="G22" s="41"/>
      <c r="H22" s="41"/>
      <c r="I22" s="41"/>
      <c r="J22" s="41"/>
      <c r="K22" s="41"/>
      <c r="L22" s="41"/>
      <c r="M22" s="41"/>
      <c r="N22" s="42"/>
      <c r="R22" s="40"/>
      <c r="S22" s="41"/>
      <c r="T22" s="41"/>
      <c r="U22" s="41"/>
      <c r="V22" s="41"/>
      <c r="W22" s="41"/>
      <c r="X22" s="41"/>
      <c r="Y22" s="41"/>
      <c r="Z22" s="41"/>
      <c r="AA22" s="41"/>
      <c r="AB22" s="42"/>
    </row>
    <row r="23" spans="2:28" ht="16.5" customHeight="1" outlineLevel="1">
      <c r="B23" s="361" t="s">
        <v>70</v>
      </c>
      <c r="D23" s="23" t="str">
        <f>B23</f>
        <v>APN</v>
      </c>
      <c r="E23" s="525"/>
      <c r="F23" s="526"/>
      <c r="G23" s="526"/>
      <c r="H23" s="526"/>
      <c r="I23" s="526"/>
      <c r="J23" s="526"/>
      <c r="K23" s="526"/>
      <c r="L23" s="526"/>
      <c r="M23" s="526"/>
      <c r="N23" s="527"/>
      <c r="P23" s="361" t="s">
        <v>70</v>
      </c>
      <c r="R23" s="23" t="str">
        <f>P23</f>
        <v>APN</v>
      </c>
      <c r="S23" s="525"/>
      <c r="T23" s="526"/>
      <c r="U23" s="526"/>
      <c r="V23" s="526"/>
      <c r="W23" s="526"/>
      <c r="X23" s="526"/>
      <c r="Y23" s="526"/>
      <c r="Z23" s="526"/>
      <c r="AA23" s="526"/>
      <c r="AB23" s="527"/>
    </row>
    <row r="24" spans="2:28" s="13" customFormat="1" outlineLevel="1">
      <c r="B24" s="362" t="str">
        <f>'Global Inputs'!$D$21</f>
        <v>Prior $ (PB17)</v>
      </c>
      <c r="D24" s="24" t="str">
        <f>B24</f>
        <v>Prior $ (PB17)</v>
      </c>
      <c r="E24" s="25">
        <f ca="1">SUMPRODUCT(
(Model[[Estimate Type]:[Estimate Type]]= $E$5) *
(Model[[APPN]:[APPN]] = $B23) *
(Model[[PMO / NON PMO]:[PMO / NON PMO]] = "PMO") *
(TY_Years &lt;F$2) *
(TY_Dollars))</f>
        <v>0</v>
      </c>
      <c r="F24" s="25">
        <f ca="1">SUMPRODUCT(
(Model[[Estimate Type]:[Estimate Type]]= $E$5) *
(Model[[APPN]:[APPN]] = $B23) *
(Model[[PMO / NON PMO]:[PMO / NON PMO]] = "PMO") *
(TY_Years =F$2) *
(TY_Dollars))</f>
        <v>0</v>
      </c>
      <c r="G24" s="25">
        <f ca="1">SUMPRODUCT(
(Model[[Estimate Type]:[Estimate Type]]= $E$5) *
(Model[[APPN]:[APPN]] = $B23) *
(Model[[PMO / NON PMO]:[PMO / NON PMO]] = "PMO") *
(TY_Years =G$2) *
(TY_Dollars))</f>
        <v>0</v>
      </c>
      <c r="H24" s="25">
        <f ca="1">SUMPRODUCT(
(Model[[Estimate Type]:[Estimate Type]]= $E$5) *
(Model[[APPN]:[APPN]] = $B23) *
(Model[[PMO / NON PMO]:[PMO / NON PMO]] = "PMO") *
(TY_Years =H$2) *
(TY_Dollars))</f>
        <v>0</v>
      </c>
      <c r="I24" s="25">
        <f ca="1">SUMPRODUCT(
(Model[[Estimate Type]:[Estimate Type]]= $E$5) *
(Model[[APPN]:[APPN]] = $B23) *
(Model[[PMO / NON PMO]:[PMO / NON PMO]] = "PMO") *
(TY_Years =I$2) *
(TY_Dollars))</f>
        <v>0</v>
      </c>
      <c r="J24" s="25">
        <f ca="1">SUMPRODUCT(
(Model[[Estimate Type]:[Estimate Type]]= $E$5) *
(Model[[APPN]:[APPN]] = $B23) *
(Model[[PMO / NON PMO]:[PMO / NON PMO]] = "PMO") *
(TY_Years =J$2) *
(TY_Dollars))</f>
        <v>0</v>
      </c>
      <c r="K24" s="25">
        <f ca="1">SUMPRODUCT(
(Model[[Estimate Type]:[Estimate Type]]= $E$5) *
(Model[[APPN]:[APPN]] = $B23) *
(Model[[PMO / NON PMO]:[PMO / NON PMO]] = "PMO") *
(TY_Years =K$2) *
(TY_Dollars))</f>
        <v>0</v>
      </c>
      <c r="L24" s="25">
        <f ca="1">SUM(G24:K24)</f>
        <v>0</v>
      </c>
      <c r="M24" s="25">
        <v>0</v>
      </c>
      <c r="N24" s="26">
        <v>0</v>
      </c>
      <c r="P24" s="362" t="str">
        <f>$T$5</f>
        <v>Prior $ (PB17)</v>
      </c>
      <c r="R24" s="24" t="str">
        <f>P24</f>
        <v>Prior $ (PB17)</v>
      </c>
      <c r="S24" s="25">
        <f ca="1">SUMPRODUCT(
(Model[[Estimate Type]:[Estimate Type]]= $S$5) *
(Model[[APPN]:[APPN]] = $B23) *
(Model[[PMO / NON PMO]:[PMO / NON PMO]] = "PMO") *
(TY_Years &lt;T$2) *
(TY_Dollars))</f>
        <v>0</v>
      </c>
      <c r="T24" s="25">
        <f ca="1">SUMPRODUCT(
(Model[[Estimate Type]:[Estimate Type]]= $S$5) *
(Model[[APPN]:[APPN]] = $B23) *
(Model[[PMO / NON PMO]:[PMO / NON PMO]] = "PMO") *
(TY_Years =T$2) *
(TY_Dollars))</f>
        <v>0</v>
      </c>
      <c r="U24" s="25">
        <f ca="1">SUMPRODUCT(
(Model[[Estimate Type]:[Estimate Type]]= $S$5) *
(Model[[APPN]:[APPN]] = $B23) *
(Model[[PMO / NON PMO]:[PMO / NON PMO]] = "PMO") *
(TY_Years =U$2) *
(TY_Dollars))</f>
        <v>0</v>
      </c>
      <c r="V24" s="25">
        <f ca="1">SUMPRODUCT(
(Model[[Estimate Type]:[Estimate Type]]= $S$5) *
(Model[[APPN]:[APPN]] = $B23) *
(Model[[PMO / NON PMO]:[PMO / NON PMO]] = "PMO") *
(TY_Years =V$2) *
(TY_Dollars))</f>
        <v>0</v>
      </c>
      <c r="W24" s="25">
        <f ca="1">SUMPRODUCT(
(Model[[Estimate Type]:[Estimate Type]]= $S$5) *
(Model[[APPN]:[APPN]] = $B23) *
(Model[[PMO / NON PMO]:[PMO / NON PMO]] = "PMO") *
(TY_Years =W$2) *
(TY_Dollars))</f>
        <v>0</v>
      </c>
      <c r="X24" s="25">
        <f ca="1">SUMPRODUCT(
(Model[[Estimate Type]:[Estimate Type]]= $S$5) *
(Model[[APPN]:[APPN]] = $B23) *
(Model[[PMO / NON PMO]:[PMO / NON PMO]] = "PMO") *
(TY_Years =X$2) *
(TY_Dollars))</f>
        <v>0</v>
      </c>
      <c r="Y24" s="25">
        <f ca="1">SUMPRODUCT(
(Model[[Estimate Type]:[Estimate Type]]= $S$5) *
(Model[[APPN]:[APPN]] = $B23) *
(Model[[PMO / NON PMO]:[PMO / NON PMO]] = "PMO") *
(TY_Years =Y$2) *
(TY_Dollars))</f>
        <v>0</v>
      </c>
      <c r="Z24" s="25">
        <f ca="1">SUM(U24:Y24)</f>
        <v>0</v>
      </c>
      <c r="AA24" s="25">
        <v>0</v>
      </c>
      <c r="AB24" s="26">
        <v>0</v>
      </c>
    </row>
    <row r="25" spans="2:28" s="13" customFormat="1" outlineLevel="1">
      <c r="B25" s="362" t="str">
        <f>'Global Inputs'!$D$22</f>
        <v>Current $ (POM18)</v>
      </c>
      <c r="D25" s="27" t="str">
        <f>B25</f>
        <v>Current $ (POM18)</v>
      </c>
      <c r="E25" s="25">
        <f ca="1">SUMPRODUCT(
(Model[[Estimate Type]:[Estimate Type]]= $E$6) *
(Model[[APPN]:[APPN]] = $B23) *
(Model[[PMO / NON PMO]:[PMO / NON PMO]] = "PMO") *
(TY_Years &lt;F$2) *
(TY_Dollars))</f>
        <v>0</v>
      </c>
      <c r="F25" s="25">
        <f ca="1">SUMPRODUCT(
(Model[[Estimate Type]:[Estimate Type]]= $E$6) *
(Model[[APPN]:[APPN]] = $B23) *
(Model[[PMO / NON PMO]:[PMO / NON PMO]] = "PMO") *
(TY_Years =F$2) *
(TY_Dollars))</f>
        <v>0</v>
      </c>
      <c r="G25" s="25">
        <f ca="1">SUMPRODUCT(
(Model[[Estimate Type]:[Estimate Type]]= $E$6) *
(Model[[APPN]:[APPN]] = $B23) *
(Model[[PMO / NON PMO]:[PMO / NON PMO]] = "PMO") *
(TY_Years =G$2) *
(TY_Dollars))</f>
        <v>0</v>
      </c>
      <c r="H25" s="25">
        <f ca="1">SUMPRODUCT(
(Model[[Estimate Type]:[Estimate Type]]= $E$6) *
(Model[[APPN]:[APPN]] = $B23) *
(Model[[PMO / NON PMO]:[PMO / NON PMO]] = "PMO") *
(TY_Years =H$2) *
(TY_Dollars))</f>
        <v>0</v>
      </c>
      <c r="I25" s="25">
        <f ca="1">SUMPRODUCT(
(Model[[Estimate Type]:[Estimate Type]]= $E$6) *
(Model[[APPN]:[APPN]] = $B23) *
(Model[[PMO / NON PMO]:[PMO / NON PMO]] = "PMO") *
(TY_Years =I$2) *
(TY_Dollars))</f>
        <v>0</v>
      </c>
      <c r="J25" s="25">
        <f ca="1">SUMPRODUCT(
(Model[[Estimate Type]:[Estimate Type]]= $E$6) *
(Model[[APPN]:[APPN]] = $B23) *
(Model[[PMO / NON PMO]:[PMO / NON PMO]] = "PMO") *
(TY_Years =J$2) *
(TY_Dollars))</f>
        <v>0</v>
      </c>
      <c r="K25" s="25">
        <f ca="1">SUMPRODUCT(
(Model[[Estimate Type]:[Estimate Type]]= $E$6) *
(Model[[APPN]:[APPN]] = $B23) *
(Model[[PMO / NON PMO]:[PMO / NON PMO]] = "PMO") *
(TY_Years =K$2) *
(TY_Dollars))</f>
        <v>0</v>
      </c>
      <c r="L25" s="28">
        <f ca="1">SUM(G25:K25)</f>
        <v>0</v>
      </c>
      <c r="M25" s="28">
        <v>0</v>
      </c>
      <c r="N25" s="30">
        <v>0</v>
      </c>
      <c r="O25" s="31"/>
      <c r="P25" s="362" t="str">
        <f>$T$6</f>
        <v>Current $ (POM18)</v>
      </c>
      <c r="R25" s="27" t="str">
        <f>P25</f>
        <v>Current $ (POM18)</v>
      </c>
      <c r="S25" s="25">
        <f ca="1">SUMPRODUCT(
(Model[[Estimate Type]:[Estimate Type]]= $S$6) *
(Model[[APPN]:[APPN]] = $B23) *
(Model[[PMO / NON PMO]:[PMO / NON PMO]] = "PMO") *
(TY_Years &lt;T$2) *
(TY_Dollars))</f>
        <v>0</v>
      </c>
      <c r="T25" s="25">
        <f ca="1">SUMPRODUCT(
(Model[[Estimate Type]:[Estimate Type]]= $S$6) *
(Model[[APPN]:[APPN]] = $B23) *
(Model[[PMO / NON PMO]:[PMO / NON PMO]] = "PMO") *
(TY_Years =T$2) *
(TY_Dollars))</f>
        <v>0</v>
      </c>
      <c r="U25" s="25">
        <f ca="1">SUMPRODUCT(
(Model[[Estimate Type]:[Estimate Type]]= $S$6) *
(Model[[APPN]:[APPN]] = $B23) *
(Model[[PMO / NON PMO]:[PMO / NON PMO]] = "PMO") *
(TY_Years =U$2) *
(TY_Dollars))</f>
        <v>0</v>
      </c>
      <c r="V25" s="25">
        <f ca="1">SUMPRODUCT(
(Model[[Estimate Type]:[Estimate Type]]= $S$6) *
(Model[[APPN]:[APPN]] = $B23) *
(Model[[PMO / NON PMO]:[PMO / NON PMO]] = "PMO") *
(TY_Years =V$2) *
(TY_Dollars))</f>
        <v>0</v>
      </c>
      <c r="W25" s="25">
        <f ca="1">SUMPRODUCT(
(Model[[Estimate Type]:[Estimate Type]]= $S$6) *
(Model[[APPN]:[APPN]] = $B23) *
(Model[[PMO / NON PMO]:[PMO / NON PMO]] = "PMO") *
(TY_Years =W$2) *
(TY_Dollars))</f>
        <v>0</v>
      </c>
      <c r="X25" s="25">
        <f ca="1">SUMPRODUCT(
(Model[[Estimate Type]:[Estimate Type]]= $S$6) *
(Model[[APPN]:[APPN]] = $B23) *
(Model[[PMO / NON PMO]:[PMO / NON PMO]] = "PMO") *
(TY_Years =X$2) *
(TY_Dollars))</f>
        <v>0</v>
      </c>
      <c r="Y25" s="25">
        <f ca="1">SUMPRODUCT(
(Model[[Estimate Type]:[Estimate Type]]= $S$6) *
(Model[[APPN]:[APPN]] = $B23) *
(Model[[PMO / NON PMO]:[PMO / NON PMO]] = "PMO") *
(TY_Years =Y$2) *
(TY_Dollars))</f>
        <v>0</v>
      </c>
      <c r="Z25" s="28">
        <f ca="1">SUM(U25:Y25)</f>
        <v>0</v>
      </c>
      <c r="AA25" s="28">
        <v>0</v>
      </c>
      <c r="AB25" s="30">
        <v>0</v>
      </c>
    </row>
    <row r="26" spans="2:28" ht="16" outlineLevel="1" thickBot="1">
      <c r="D26" s="32" t="s">
        <v>102</v>
      </c>
      <c r="E26" s="33">
        <f t="shared" ref="E26:M26" ca="1" si="6">E25-E24</f>
        <v>0</v>
      </c>
      <c r="F26" s="33">
        <f t="shared" ca="1" si="6"/>
        <v>0</v>
      </c>
      <c r="G26" s="33">
        <f t="shared" ca="1" si="6"/>
        <v>0</v>
      </c>
      <c r="H26" s="33">
        <f t="shared" ca="1" si="6"/>
        <v>0</v>
      </c>
      <c r="I26" s="33">
        <f t="shared" ca="1" si="6"/>
        <v>0</v>
      </c>
      <c r="J26" s="33">
        <f t="shared" ca="1" si="6"/>
        <v>0</v>
      </c>
      <c r="K26" s="33">
        <f t="shared" ca="1" si="6"/>
        <v>0</v>
      </c>
      <c r="L26" s="33">
        <f t="shared" ca="1" si="6"/>
        <v>0</v>
      </c>
      <c r="M26" s="33">
        <f t="shared" si="6"/>
        <v>0</v>
      </c>
      <c r="N26" s="34">
        <f ca="1">SUM(E26:K26,M26)</f>
        <v>0</v>
      </c>
      <c r="R26" s="32" t="s">
        <v>102</v>
      </c>
      <c r="S26" s="33">
        <f t="shared" ref="S26:AA26" ca="1" si="7">S25-S24</f>
        <v>0</v>
      </c>
      <c r="T26" s="33">
        <f t="shared" ca="1" si="7"/>
        <v>0</v>
      </c>
      <c r="U26" s="33">
        <f t="shared" ca="1" si="7"/>
        <v>0</v>
      </c>
      <c r="V26" s="33">
        <f t="shared" ca="1" si="7"/>
        <v>0</v>
      </c>
      <c r="W26" s="33">
        <f t="shared" ca="1" si="7"/>
        <v>0</v>
      </c>
      <c r="X26" s="33">
        <f t="shared" ca="1" si="7"/>
        <v>0</v>
      </c>
      <c r="Y26" s="33">
        <f t="shared" ca="1" si="7"/>
        <v>0</v>
      </c>
      <c r="Z26" s="33">
        <f t="shared" ca="1" si="7"/>
        <v>0</v>
      </c>
      <c r="AA26" s="33">
        <f t="shared" si="7"/>
        <v>0</v>
      </c>
      <c r="AB26" s="34">
        <f ca="1">SUM(S26:Y26,AA26)</f>
        <v>0</v>
      </c>
    </row>
    <row r="27" spans="2:28" s="13" customFormat="1" outlineLevel="1">
      <c r="B27" s="362" t="str">
        <f>'Global Inputs'!$D$23</f>
        <v>Required $ (Draft CCP)</v>
      </c>
      <c r="D27" s="35" t="str">
        <f>B27</f>
        <v>Required $ (Draft CCP)</v>
      </c>
      <c r="E27" s="28">
        <f ca="1">SUMPRODUCT(
(Model[[Estimate Type]:[Estimate Type]]= $E$8) *
(Model[[APPN]:[APPN]] = $B23) *
(Model[[PMO / NON PMO]:[PMO / NON PMO]] = "PMO") *
(TY_Years &lt;F$2) *
(TY_Dollars))</f>
        <v>0</v>
      </c>
      <c r="F27" s="28">
        <f ca="1">SUMPRODUCT(
(Model[[Estimate Type]:[Estimate Type]]= $E$8) *
(Model[[APPN]:[APPN]] = $B23) *
(Model[[PMO / NON PMO]:[PMO / NON PMO]] = "PMO") *
(TY_Years =F$2) *
(TY_Dollars))</f>
        <v>0</v>
      </c>
      <c r="G27" s="28">
        <f ca="1">SUMPRODUCT(
(Model[[Estimate Type]:[Estimate Type]]= $E$8) *
(Model[[APPN]:[APPN]] = $B23) *
(Model[[PMO / NON PMO]:[PMO / NON PMO]] = "PMO") *
(TY_Years =G$2) *
(TY_Dollars))</f>
        <v>0</v>
      </c>
      <c r="H27" s="28">
        <f ca="1">SUMPRODUCT(
(Model[[Estimate Type]:[Estimate Type]]= $E$8) *
(Model[[APPN]:[APPN]] = $B23) *
(Model[[PMO / NON PMO]:[PMO / NON PMO]] = "PMO") *
(TY_Years =H$2) *
(TY_Dollars))</f>
        <v>0</v>
      </c>
      <c r="I27" s="28">
        <f ca="1">SUMPRODUCT(
(Model[[Estimate Type]:[Estimate Type]]= $E$8) *
(Model[[APPN]:[APPN]] = $B23) *
(Model[[PMO / NON PMO]:[PMO / NON PMO]] = "PMO") *
(TY_Years =I$2) *
(TY_Dollars))</f>
        <v>0</v>
      </c>
      <c r="J27" s="28">
        <f ca="1">SUMPRODUCT(
(Model[[Estimate Type]:[Estimate Type]]= $E$8) *
(Model[[APPN]:[APPN]] = $B23) *
(Model[[PMO / NON PMO]:[PMO / NON PMO]] = "PMO") *
(TY_Years =J$2) *
(TY_Dollars))</f>
        <v>0</v>
      </c>
      <c r="K27" s="28">
        <f ca="1">SUMPRODUCT(
(Model[[Estimate Type]:[Estimate Type]]= $E$8) *
(Model[[APPN]:[APPN]] = $B23) *
(Model[[PMO / NON PMO]:[PMO / NON PMO]] = "PMO") *
(TY_Years =K$2) *
(TY_Dollars))</f>
        <v>0</v>
      </c>
      <c r="L27" s="28">
        <f ca="1">SUM(G27:K27)</f>
        <v>0</v>
      </c>
      <c r="M27" s="28">
        <f ca="1">SUMPRODUCT(
(Model[[Estimate Type]:[Estimate Type]]= $E$8) *
(Model[[APPN]:[APPN]] = $B23) *
(Model[[PMO / NON PMO]:[PMO / NON PMO]] = "PMO") *
(TY_Years &gt;K$2) *
(TY_Dollars))</f>
        <v>0</v>
      </c>
      <c r="N27" s="36">
        <f ca="1">SUM(E27:K27,M27)</f>
        <v>0</v>
      </c>
      <c r="P27" s="362" t="str">
        <f>$T$7</f>
        <v>Required $ (Draft CCP)</v>
      </c>
      <c r="R27" s="35" t="str">
        <f>P27</f>
        <v>Required $ (Draft CCP)</v>
      </c>
      <c r="S27" s="28">
        <f ca="1">SUMPRODUCT(
(Model[[Estimate Type]:[Estimate Type]]= $S$8) *
(Model[[APPN]:[APPN]] = $B23) *
(Model[[PMO / NON PMO]:[PMO / NON PMO]] = "PMO") *
(TY_Years &lt;T$2) *
(TY_Dollars))</f>
        <v>0</v>
      </c>
      <c r="T27" s="28">
        <f ca="1">SUMPRODUCT(
(Model[[Estimate Type]:[Estimate Type]]= $S$8) *
(Model[[APPN]:[APPN]] = $B23) *
(Model[[PMO / NON PMO]:[PMO / NON PMO]] = "PMO") *
(TY_Years =T$2) *
(TY_Dollars))</f>
        <v>0</v>
      </c>
      <c r="U27" s="28">
        <f ca="1">SUMPRODUCT(
(Model[[Estimate Type]:[Estimate Type]]= $S$8) *
(Model[[APPN]:[APPN]] = $B23) *
(Model[[PMO / NON PMO]:[PMO / NON PMO]] = "PMO") *
(TY_Years =U$2) *
(TY_Dollars))</f>
        <v>0</v>
      </c>
      <c r="V27" s="28">
        <f ca="1">SUMPRODUCT(
(Model[[Estimate Type]:[Estimate Type]]= $S$8) *
(Model[[APPN]:[APPN]] = $B23) *
(Model[[PMO / NON PMO]:[PMO / NON PMO]] = "PMO") *
(TY_Years =V$2) *
(TY_Dollars))</f>
        <v>0</v>
      </c>
      <c r="W27" s="28">
        <f ca="1">SUMPRODUCT(
(Model[[Estimate Type]:[Estimate Type]]= $S$8) *
(Model[[APPN]:[APPN]] = $B23) *
(Model[[PMO / NON PMO]:[PMO / NON PMO]] = "PMO") *
(TY_Years =W$2) *
(TY_Dollars))</f>
        <v>0</v>
      </c>
      <c r="X27" s="28">
        <f ca="1">SUMPRODUCT(
(Model[[Estimate Type]:[Estimate Type]]= $S$8) *
(Model[[APPN]:[APPN]] = $B23) *
(Model[[PMO / NON PMO]:[PMO / NON PMO]] = "PMO") *
(TY_Years =X$2) *
(TY_Dollars))</f>
        <v>0</v>
      </c>
      <c r="Y27" s="28">
        <f ca="1">SUMPRODUCT(
(Model[[Estimate Type]:[Estimate Type]]= $S$8) *
(Model[[APPN]:[APPN]] = $B23) *
(Model[[PMO / NON PMO]:[PMO / NON PMO]] = "PMO") *
(TY_Years =Y$2) *
(TY_Dollars))</f>
        <v>0</v>
      </c>
      <c r="Z27" s="28">
        <f ca="1">SUM(U27:Y27)</f>
        <v>0</v>
      </c>
      <c r="AA27" s="28">
        <f ca="1">SUMPRODUCT(
(Model[[Estimate Type]:[Estimate Type]]= $S$8) *
(Model[[APPN]:[APPN]] = $B23) *
(Model[[PMO / NON PMO]:[PMO / NON PMO]] = "PMO") *
(TY_Years &gt;Y$2) *
(TY_Dollars))</f>
        <v>0</v>
      </c>
      <c r="AB27" s="36">
        <f ca="1">SUM(S27:Y27,AA27)</f>
        <v>0</v>
      </c>
    </row>
    <row r="28" spans="2:28" ht="16" outlineLevel="1" thickBot="1">
      <c r="D28" s="37" t="s">
        <v>103</v>
      </c>
      <c r="E28" s="38">
        <f t="shared" ref="E28:M28" ca="1" si="8">IF(E24&gt;0,E25-E27,IF(E25&gt;0,E25-E27,0))</f>
        <v>0</v>
      </c>
      <c r="F28" s="38">
        <f t="shared" ca="1" si="8"/>
        <v>0</v>
      </c>
      <c r="G28" s="38">
        <f t="shared" ca="1" si="8"/>
        <v>0</v>
      </c>
      <c r="H28" s="38">
        <f t="shared" ca="1" si="8"/>
        <v>0</v>
      </c>
      <c r="I28" s="38">
        <f t="shared" ca="1" si="8"/>
        <v>0</v>
      </c>
      <c r="J28" s="38">
        <f t="shared" ca="1" si="8"/>
        <v>0</v>
      </c>
      <c r="K28" s="38">
        <f t="shared" ca="1" si="8"/>
        <v>0</v>
      </c>
      <c r="L28" s="38">
        <f t="shared" ca="1" si="8"/>
        <v>0</v>
      </c>
      <c r="M28" s="38">
        <f t="shared" si="8"/>
        <v>0</v>
      </c>
      <c r="N28" s="39">
        <f ca="1">SUM(E28:K28,M28)</f>
        <v>0</v>
      </c>
      <c r="R28" s="37" t="s">
        <v>103</v>
      </c>
      <c r="S28" s="38">
        <f t="shared" ref="S28:AA28" ca="1" si="9">IF(S24&gt;0,S25-S27,IF(S25&gt;0,S25-S27,0))</f>
        <v>0</v>
      </c>
      <c r="T28" s="38">
        <f t="shared" ca="1" si="9"/>
        <v>0</v>
      </c>
      <c r="U28" s="38">
        <f t="shared" ca="1" si="9"/>
        <v>0</v>
      </c>
      <c r="V28" s="38">
        <f t="shared" ca="1" si="9"/>
        <v>0</v>
      </c>
      <c r="W28" s="38">
        <f t="shared" ca="1" si="9"/>
        <v>0</v>
      </c>
      <c r="X28" s="38">
        <f t="shared" ca="1" si="9"/>
        <v>0</v>
      </c>
      <c r="Y28" s="38">
        <f t="shared" ca="1" si="9"/>
        <v>0</v>
      </c>
      <c r="Z28" s="38">
        <f t="shared" ca="1" si="9"/>
        <v>0</v>
      </c>
      <c r="AA28" s="38">
        <f t="shared" si="9"/>
        <v>0</v>
      </c>
      <c r="AB28" s="39">
        <f ca="1">SUM(S28:Y28,AA28)</f>
        <v>0</v>
      </c>
    </row>
    <row r="29" spans="2:28" ht="8.25" customHeight="1" outlineLevel="1" thickBot="1">
      <c r="D29" s="40"/>
      <c r="E29" s="41"/>
      <c r="F29" s="41"/>
      <c r="G29" s="41"/>
      <c r="H29" s="41"/>
      <c r="I29" s="41"/>
      <c r="J29" s="41"/>
      <c r="K29" s="41"/>
      <c r="L29" s="41"/>
      <c r="M29" s="41"/>
      <c r="N29" s="42"/>
      <c r="R29" s="40"/>
      <c r="S29" s="41"/>
      <c r="T29" s="41"/>
      <c r="U29" s="41"/>
      <c r="V29" s="41"/>
      <c r="W29" s="41"/>
      <c r="X29" s="41"/>
      <c r="Y29" s="41"/>
      <c r="Z29" s="41"/>
      <c r="AA29" s="41"/>
      <c r="AB29" s="42"/>
    </row>
    <row r="30" spans="2:28" ht="16.5" customHeight="1" outlineLevel="1">
      <c r="B30" s="23" t="s">
        <v>108</v>
      </c>
      <c r="D30" s="23" t="s">
        <v>108</v>
      </c>
      <c r="E30" s="44"/>
      <c r="F30" s="45"/>
      <c r="G30" s="45"/>
      <c r="H30" s="45"/>
      <c r="I30" s="45"/>
      <c r="J30" s="45"/>
      <c r="K30" s="45"/>
      <c r="L30" s="45"/>
      <c r="M30" s="45"/>
      <c r="N30" s="46"/>
      <c r="P30" s="23" t="s">
        <v>108</v>
      </c>
      <c r="R30" s="23" t="s">
        <v>108</v>
      </c>
      <c r="S30" s="44"/>
      <c r="T30" s="45"/>
      <c r="U30" s="45"/>
      <c r="V30" s="45"/>
      <c r="W30" s="45"/>
      <c r="X30" s="45"/>
      <c r="Y30" s="45"/>
      <c r="Z30" s="45"/>
      <c r="AA30" s="45"/>
      <c r="AB30" s="46"/>
    </row>
    <row r="31" spans="2:28" outlineLevel="1">
      <c r="B31" s="362" t="str">
        <f>'Global Inputs'!$D$21</f>
        <v>Prior $ (PB17)</v>
      </c>
      <c r="D31" s="24" t="str">
        <f>B31</f>
        <v>Prior $ (PB17)</v>
      </c>
      <c r="E31" s="25">
        <f t="shared" ref="E31:N32" ca="1" si="10">SUMIFS(E$15:E$30, $B$15:$B$30, $B31)</f>
        <v>0</v>
      </c>
      <c r="F31" s="25">
        <f t="shared" ca="1" si="10"/>
        <v>0</v>
      </c>
      <c r="G31" s="25">
        <f t="shared" ca="1" si="10"/>
        <v>0</v>
      </c>
      <c r="H31" s="25">
        <f t="shared" ca="1" si="10"/>
        <v>0</v>
      </c>
      <c r="I31" s="25">
        <f t="shared" ca="1" si="10"/>
        <v>0</v>
      </c>
      <c r="J31" s="25">
        <f t="shared" ca="1" si="10"/>
        <v>0</v>
      </c>
      <c r="K31" s="25">
        <f t="shared" ca="1" si="10"/>
        <v>0</v>
      </c>
      <c r="L31" s="25">
        <f t="shared" ca="1" si="10"/>
        <v>0</v>
      </c>
      <c r="M31" s="25">
        <f t="shared" si="10"/>
        <v>0</v>
      </c>
      <c r="N31" s="26">
        <f t="shared" si="10"/>
        <v>0</v>
      </c>
      <c r="P31" s="362" t="str">
        <f>$T$5</f>
        <v>Prior $ (PB17)</v>
      </c>
      <c r="R31" s="24" t="str">
        <f>P31</f>
        <v>Prior $ (PB17)</v>
      </c>
      <c r="S31" s="25">
        <f t="shared" ref="S31:AB32" ca="1" si="11">SUMIFS(S$15:S$30, $B$15:$B$30, $B31)</f>
        <v>0</v>
      </c>
      <c r="T31" s="25">
        <f t="shared" ca="1" si="11"/>
        <v>0</v>
      </c>
      <c r="U31" s="25">
        <f t="shared" ca="1" si="11"/>
        <v>0</v>
      </c>
      <c r="V31" s="25">
        <f t="shared" ca="1" si="11"/>
        <v>0</v>
      </c>
      <c r="W31" s="25">
        <f t="shared" ca="1" si="11"/>
        <v>0</v>
      </c>
      <c r="X31" s="25">
        <f t="shared" ca="1" si="11"/>
        <v>0</v>
      </c>
      <c r="Y31" s="25">
        <f t="shared" ca="1" si="11"/>
        <v>0</v>
      </c>
      <c r="Z31" s="25">
        <f t="shared" ca="1" si="11"/>
        <v>0</v>
      </c>
      <c r="AA31" s="25">
        <f t="shared" si="11"/>
        <v>0</v>
      </c>
      <c r="AB31" s="26">
        <f t="shared" si="11"/>
        <v>0</v>
      </c>
    </row>
    <row r="32" spans="2:28" outlineLevel="1">
      <c r="B32" s="362" t="str">
        <f>'Global Inputs'!$D$22</f>
        <v>Current $ (POM18)</v>
      </c>
      <c r="D32" s="27" t="str">
        <f>B32</f>
        <v>Current $ (POM18)</v>
      </c>
      <c r="E32" s="28">
        <f t="shared" ca="1" si="10"/>
        <v>0</v>
      </c>
      <c r="F32" s="28">
        <f t="shared" ca="1" si="10"/>
        <v>0</v>
      </c>
      <c r="G32" s="28">
        <f t="shared" ca="1" si="10"/>
        <v>0</v>
      </c>
      <c r="H32" s="28">
        <f t="shared" ca="1" si="10"/>
        <v>0</v>
      </c>
      <c r="I32" s="28">
        <f t="shared" ca="1" si="10"/>
        <v>0</v>
      </c>
      <c r="J32" s="28">
        <f t="shared" ca="1" si="10"/>
        <v>0</v>
      </c>
      <c r="K32" s="29">
        <f t="shared" ca="1" si="10"/>
        <v>0</v>
      </c>
      <c r="L32" s="28">
        <f t="shared" ca="1" si="10"/>
        <v>0</v>
      </c>
      <c r="M32" s="28">
        <f t="shared" si="10"/>
        <v>0</v>
      </c>
      <c r="N32" s="30">
        <f t="shared" si="10"/>
        <v>0</v>
      </c>
      <c r="P32" s="362" t="str">
        <f>$T$6</f>
        <v>Current $ (POM18)</v>
      </c>
      <c r="R32" s="27" t="str">
        <f>P32</f>
        <v>Current $ (POM18)</v>
      </c>
      <c r="S32" s="28">
        <f t="shared" ca="1" si="11"/>
        <v>0</v>
      </c>
      <c r="T32" s="28">
        <f t="shared" ca="1" si="11"/>
        <v>0</v>
      </c>
      <c r="U32" s="28">
        <f t="shared" ca="1" si="11"/>
        <v>0</v>
      </c>
      <c r="V32" s="28">
        <f t="shared" ca="1" si="11"/>
        <v>0</v>
      </c>
      <c r="W32" s="28">
        <f t="shared" ca="1" si="11"/>
        <v>0</v>
      </c>
      <c r="X32" s="28">
        <f t="shared" ca="1" si="11"/>
        <v>0</v>
      </c>
      <c r="Y32" s="29">
        <f t="shared" ca="1" si="11"/>
        <v>0</v>
      </c>
      <c r="Z32" s="28">
        <f t="shared" ca="1" si="11"/>
        <v>0</v>
      </c>
      <c r="AA32" s="28">
        <f t="shared" si="11"/>
        <v>0</v>
      </c>
      <c r="AB32" s="30">
        <f t="shared" si="11"/>
        <v>0</v>
      </c>
    </row>
    <row r="33" spans="2:28" ht="16" outlineLevel="1" thickBot="1">
      <c r="D33" s="32" t="s">
        <v>102</v>
      </c>
      <c r="E33" s="33">
        <f t="shared" ref="E33:N33" ca="1" si="12">E32-E31</f>
        <v>0</v>
      </c>
      <c r="F33" s="33">
        <f t="shared" ca="1" si="12"/>
        <v>0</v>
      </c>
      <c r="G33" s="33">
        <f t="shared" ca="1" si="12"/>
        <v>0</v>
      </c>
      <c r="H33" s="33">
        <f t="shared" ca="1" si="12"/>
        <v>0</v>
      </c>
      <c r="I33" s="33">
        <f t="shared" ca="1" si="12"/>
        <v>0</v>
      </c>
      <c r="J33" s="33">
        <f t="shared" ca="1" si="12"/>
        <v>0</v>
      </c>
      <c r="K33" s="33">
        <f t="shared" ca="1" si="12"/>
        <v>0</v>
      </c>
      <c r="L33" s="33">
        <f t="shared" ca="1" si="12"/>
        <v>0</v>
      </c>
      <c r="M33" s="33">
        <f t="shared" si="12"/>
        <v>0</v>
      </c>
      <c r="N33" s="34">
        <f t="shared" si="12"/>
        <v>0</v>
      </c>
      <c r="R33" s="32" t="s">
        <v>102</v>
      </c>
      <c r="S33" s="33">
        <f t="shared" ref="S33:AB33" ca="1" si="13">S32-S31</f>
        <v>0</v>
      </c>
      <c r="T33" s="33">
        <f t="shared" ca="1" si="13"/>
        <v>0</v>
      </c>
      <c r="U33" s="33">
        <f t="shared" ca="1" si="13"/>
        <v>0</v>
      </c>
      <c r="V33" s="33">
        <f t="shared" ca="1" si="13"/>
        <v>0</v>
      </c>
      <c r="W33" s="33">
        <f t="shared" ca="1" si="13"/>
        <v>0</v>
      </c>
      <c r="X33" s="33">
        <f t="shared" ca="1" si="13"/>
        <v>0</v>
      </c>
      <c r="Y33" s="33">
        <f t="shared" ca="1" si="13"/>
        <v>0</v>
      </c>
      <c r="Z33" s="33">
        <f t="shared" ca="1" si="13"/>
        <v>0</v>
      </c>
      <c r="AA33" s="33">
        <f t="shared" si="13"/>
        <v>0</v>
      </c>
      <c r="AB33" s="34">
        <f t="shared" si="13"/>
        <v>0</v>
      </c>
    </row>
    <row r="34" spans="2:28" outlineLevel="1">
      <c r="B34" s="362" t="str">
        <f>'Global Inputs'!$D$23</f>
        <v>Required $ (Draft CCP)</v>
      </c>
      <c r="D34" s="35" t="str">
        <f>B34</f>
        <v>Required $ (Draft CCP)</v>
      </c>
      <c r="E34" s="28">
        <f t="shared" ref="E34:N34" ca="1" si="14">SUMIFS(E$15:E$30, $B$15:$B$30, $B34)</f>
        <v>0</v>
      </c>
      <c r="F34" s="28">
        <f t="shared" ca="1" si="14"/>
        <v>29256994.943164464</v>
      </c>
      <c r="G34" s="28">
        <f t="shared" ca="1" si="14"/>
        <v>35754925.363037355</v>
      </c>
      <c r="H34" s="28">
        <f t="shared" ca="1" si="14"/>
        <v>38532191.166370206</v>
      </c>
      <c r="I34" s="28">
        <f t="shared" ca="1" si="14"/>
        <v>44316786.09139692</v>
      </c>
      <c r="J34" s="28">
        <f t="shared" ca="1" si="14"/>
        <v>37711959.926483981</v>
      </c>
      <c r="K34" s="28">
        <f t="shared" ca="1" si="14"/>
        <v>6415741.1969420388</v>
      </c>
      <c r="L34" s="28">
        <f t="shared" ca="1" si="14"/>
        <v>162731603.74423051</v>
      </c>
      <c r="M34" s="28">
        <f t="shared" ca="1" si="14"/>
        <v>0</v>
      </c>
      <c r="N34" s="36">
        <f t="shared" ca="1" si="14"/>
        <v>191988598.68739498</v>
      </c>
      <c r="P34" s="362" t="str">
        <f>$T$7</f>
        <v>Required $ (Draft CCP)</v>
      </c>
      <c r="R34" s="35" t="str">
        <f>P34</f>
        <v>Required $ (Draft CCP)</v>
      </c>
      <c r="S34" s="28">
        <f t="shared" ref="S34:AB34" ca="1" si="15">SUMIFS(S$15:S$30, $B$15:$B$30, $B34)</f>
        <v>0</v>
      </c>
      <c r="T34" s="28">
        <f t="shared" ca="1" si="15"/>
        <v>0</v>
      </c>
      <c r="U34" s="28">
        <f t="shared" ca="1" si="15"/>
        <v>0</v>
      </c>
      <c r="V34" s="28">
        <f t="shared" ca="1" si="15"/>
        <v>0</v>
      </c>
      <c r="W34" s="28">
        <f t="shared" ca="1" si="15"/>
        <v>0</v>
      </c>
      <c r="X34" s="28">
        <f t="shared" ca="1" si="15"/>
        <v>0</v>
      </c>
      <c r="Y34" s="28">
        <f t="shared" ca="1" si="15"/>
        <v>0</v>
      </c>
      <c r="Z34" s="28">
        <f t="shared" ca="1" si="15"/>
        <v>0</v>
      </c>
      <c r="AA34" s="28">
        <f t="shared" ca="1" si="15"/>
        <v>0</v>
      </c>
      <c r="AB34" s="36">
        <f t="shared" ca="1" si="15"/>
        <v>0</v>
      </c>
    </row>
    <row r="35" spans="2:28" ht="16" outlineLevel="1" thickBot="1">
      <c r="D35" s="37" t="s">
        <v>103</v>
      </c>
      <c r="E35" s="38">
        <f t="shared" ref="E35:N35" ca="1" si="16">IF(E31&gt;0,E32-E34,IF(E32&gt;0,E32-E34,0))</f>
        <v>0</v>
      </c>
      <c r="F35" s="38">
        <f t="shared" ca="1" si="16"/>
        <v>0</v>
      </c>
      <c r="G35" s="38">
        <f t="shared" ca="1" si="16"/>
        <v>0</v>
      </c>
      <c r="H35" s="38">
        <f t="shared" ca="1" si="16"/>
        <v>0</v>
      </c>
      <c r="I35" s="38">
        <f t="shared" ca="1" si="16"/>
        <v>0</v>
      </c>
      <c r="J35" s="38">
        <f t="shared" ca="1" si="16"/>
        <v>0</v>
      </c>
      <c r="K35" s="38">
        <f t="shared" ca="1" si="16"/>
        <v>0</v>
      </c>
      <c r="L35" s="38">
        <f t="shared" ca="1" si="16"/>
        <v>0</v>
      </c>
      <c r="M35" s="38">
        <f t="shared" si="16"/>
        <v>0</v>
      </c>
      <c r="N35" s="39">
        <f t="shared" si="16"/>
        <v>0</v>
      </c>
      <c r="R35" s="37" t="s">
        <v>103</v>
      </c>
      <c r="S35" s="38">
        <f t="shared" ref="S35:AB35" ca="1" si="17">IF(S31&gt;0,S32-S34,IF(S32&gt;0,S32-S34,0))</f>
        <v>0</v>
      </c>
      <c r="T35" s="38">
        <f t="shared" ca="1" si="17"/>
        <v>0</v>
      </c>
      <c r="U35" s="38">
        <f t="shared" ca="1" si="17"/>
        <v>0</v>
      </c>
      <c r="V35" s="38">
        <f t="shared" ca="1" si="17"/>
        <v>0</v>
      </c>
      <c r="W35" s="38">
        <f t="shared" ca="1" si="17"/>
        <v>0</v>
      </c>
      <c r="X35" s="38">
        <f t="shared" ca="1" si="17"/>
        <v>0</v>
      </c>
      <c r="Y35" s="38">
        <f t="shared" ca="1" si="17"/>
        <v>0</v>
      </c>
      <c r="Z35" s="38">
        <f t="shared" ca="1" si="17"/>
        <v>0</v>
      </c>
      <c r="AA35" s="38">
        <f t="shared" si="17"/>
        <v>0</v>
      </c>
      <c r="AB35" s="39">
        <f t="shared" si="17"/>
        <v>0</v>
      </c>
    </row>
    <row r="36" spans="2:28" ht="8.25" customHeight="1" outlineLevel="1" thickBot="1">
      <c r="D36" s="40"/>
      <c r="E36" s="41"/>
      <c r="F36" s="41"/>
      <c r="G36" s="41"/>
      <c r="H36" s="41"/>
      <c r="I36" s="41"/>
      <c r="J36" s="41"/>
      <c r="K36" s="41"/>
      <c r="L36" s="41"/>
      <c r="M36" s="41"/>
      <c r="N36" s="42"/>
      <c r="R36" s="40"/>
      <c r="S36" s="41"/>
      <c r="T36" s="41"/>
      <c r="U36" s="41"/>
      <c r="V36" s="41"/>
      <c r="W36" s="41"/>
      <c r="X36" s="41"/>
      <c r="Y36" s="41"/>
      <c r="Z36" s="41"/>
      <c r="AA36" s="41"/>
      <c r="AB36" s="42"/>
    </row>
    <row r="37" spans="2:28" ht="16.5" customHeight="1" outlineLevel="1">
      <c r="B37" s="361" t="s">
        <v>109</v>
      </c>
      <c r="D37" s="47" t="str">
        <f>B37</f>
        <v>QUANTITIES</v>
      </c>
      <c r="E37" s="48"/>
      <c r="F37" s="49"/>
      <c r="G37" s="49"/>
      <c r="H37" s="49"/>
      <c r="I37" s="49"/>
      <c r="J37" s="49"/>
      <c r="K37" s="49"/>
      <c r="L37" s="49"/>
      <c r="M37" s="49"/>
      <c r="N37" s="50"/>
      <c r="P37" s="361" t="s">
        <v>109</v>
      </c>
      <c r="R37" s="47" t="str">
        <f>P37</f>
        <v>QUANTITIES</v>
      </c>
      <c r="S37" s="48"/>
      <c r="T37" s="49"/>
      <c r="U37" s="49"/>
      <c r="V37" s="49"/>
      <c r="W37" s="49"/>
      <c r="X37" s="49"/>
      <c r="Y37" s="49"/>
      <c r="Z37" s="49"/>
      <c r="AA37" s="49"/>
      <c r="AB37" s="50"/>
    </row>
    <row r="38" spans="2:28" outlineLevel="1">
      <c r="B38" s="362" t="str">
        <f>SUBSTITUTE('Global Inputs'!$D$21, "$", "Qty")</f>
        <v>Prior Qty (PB17)</v>
      </c>
      <c r="C38" s="13"/>
      <c r="D38" s="24" t="str">
        <f>B38</f>
        <v>Prior Qty (PB17)</v>
      </c>
      <c r="E38" s="25">
        <f ca="1">SUMPRODUCT(
(Model[[Estimate Type]:[Estimate Type]]= $E$5) *
(Model[[APPN]:[APPN]] = $B37) *
(Model[[PMO / NON PMO]:[PMO / NON PMO]] = "PMO") *
(TY_Years &lt;F$2) *
(TY_Dollars))</f>
        <v>0</v>
      </c>
      <c r="F38" s="25">
        <f ca="1">SUMPRODUCT(
(Model[[Estimate Type]:[Estimate Type]]= $E$5) *
(Model[[APPN]:[APPN]] = $B37) *
(Model[[PMO / NON PMO]:[PMO / NON PMO]] = "PMO") *
(TY_Years =F$2) *
(TY_Dollars))</f>
        <v>0</v>
      </c>
      <c r="G38" s="25">
        <f ca="1">SUMPRODUCT(
(Model[[Estimate Type]:[Estimate Type]]= $E$5) *
(Model[[APPN]:[APPN]] = $B37) *
(Model[[PMO / NON PMO]:[PMO / NON PMO]] = "PMO") *
(TY_Years =G$2) *
(TY_Dollars))</f>
        <v>0</v>
      </c>
      <c r="H38" s="25">
        <f ca="1">SUMPRODUCT(
(Model[[Estimate Type]:[Estimate Type]]= $E$5) *
(Model[[APPN]:[APPN]] = $B37) *
(Model[[PMO / NON PMO]:[PMO / NON PMO]] = "PMO") *
(TY_Years =H$2) *
(TY_Dollars))</f>
        <v>0</v>
      </c>
      <c r="I38" s="25">
        <f ca="1">SUMPRODUCT(
(Model[[Estimate Type]:[Estimate Type]]= $E$5) *
(Model[[APPN]:[APPN]] = $B37) *
(Model[[PMO / NON PMO]:[PMO / NON PMO]] = "PMO") *
(TY_Years =I$2) *
(TY_Dollars))</f>
        <v>0</v>
      </c>
      <c r="J38" s="25">
        <f ca="1">SUMPRODUCT(
(Model[[Estimate Type]:[Estimate Type]]= $E$5) *
(Model[[APPN]:[APPN]] = $B37) *
(Model[[PMO / NON PMO]:[PMO / NON PMO]] = "PMO") *
(TY_Years =J$2) *
(TY_Dollars))</f>
        <v>0</v>
      </c>
      <c r="K38" s="25">
        <f ca="1">SUMPRODUCT(
(Model[[Estimate Type]:[Estimate Type]]= $E$5) *
(Model[[APPN]:[APPN]] = $B37) *
(Model[[PMO / NON PMO]:[PMO / NON PMO]] = "PMO") *
(TY_Years =K$2) *
(TY_Dollars))</f>
        <v>0</v>
      </c>
      <c r="L38" s="25">
        <f ca="1">SUM(G38:K38)</f>
        <v>0</v>
      </c>
      <c r="M38" s="25">
        <v>0</v>
      </c>
      <c r="N38" s="26">
        <f ca="1">SUM(E38:K38,M38)</f>
        <v>0</v>
      </c>
      <c r="P38" s="362" t="str">
        <f>SUBSTITUTE($T$5, "$", "Qty")</f>
        <v>Prior Qty (PB17)</v>
      </c>
      <c r="Q38" s="13"/>
      <c r="R38" s="24" t="str">
        <f>P38</f>
        <v>Prior Qty (PB17)</v>
      </c>
      <c r="S38" s="25">
        <f ca="1">SUMPRODUCT(
(Model[[Estimate Type]:[Estimate Type]]= $S$5) *
(Model[[APPN]:[APPN]] = $B37) *
(Model[[PMO / NON PMO]:[PMO / NON PMO]] = "PMO") *
(TY_Years &lt;T$2) *
(TY_Dollars))</f>
        <v>0</v>
      </c>
      <c r="T38" s="25">
        <f ca="1">SUMPRODUCT(
(Model[[Estimate Type]:[Estimate Type]]= $S$5) *
(Model[[APPN]:[APPN]] = $B37) *
(Model[[PMO / NON PMO]:[PMO / NON PMO]] = "PMO") *
(TY_Years =T$2) *
(TY_Dollars))</f>
        <v>0</v>
      </c>
      <c r="U38" s="25">
        <f ca="1">SUMPRODUCT(
(Model[[Estimate Type]:[Estimate Type]]= $S$5) *
(Model[[APPN]:[APPN]] = $B37) *
(Model[[PMO / NON PMO]:[PMO / NON PMO]] = "PMO") *
(TY_Years =U$2) *
(TY_Dollars))</f>
        <v>0</v>
      </c>
      <c r="V38" s="25">
        <f ca="1">SUMPRODUCT(
(Model[[Estimate Type]:[Estimate Type]]= $S$5) *
(Model[[APPN]:[APPN]] = $B37) *
(Model[[PMO / NON PMO]:[PMO / NON PMO]] = "PMO") *
(TY_Years =V$2) *
(TY_Dollars))</f>
        <v>0</v>
      </c>
      <c r="W38" s="25">
        <f ca="1">SUMPRODUCT(
(Model[[Estimate Type]:[Estimate Type]]= $S$5) *
(Model[[APPN]:[APPN]] = $B37) *
(Model[[PMO / NON PMO]:[PMO / NON PMO]] = "PMO") *
(TY_Years =W$2) *
(TY_Dollars))</f>
        <v>0</v>
      </c>
      <c r="X38" s="25">
        <f ca="1">SUMPRODUCT(
(Model[[Estimate Type]:[Estimate Type]]= $S$5) *
(Model[[APPN]:[APPN]] = $B37) *
(Model[[PMO / NON PMO]:[PMO / NON PMO]] = "PMO") *
(TY_Years =X$2) *
(TY_Dollars))</f>
        <v>0</v>
      </c>
      <c r="Y38" s="25">
        <f ca="1">SUMPRODUCT(
(Model[[Estimate Type]:[Estimate Type]]= $S$5) *
(Model[[APPN]:[APPN]] = $B37) *
(Model[[PMO / NON PMO]:[PMO / NON PMO]] = "PMO") *
(TY_Years =Y$2) *
(TY_Dollars))</f>
        <v>0</v>
      </c>
      <c r="Z38" s="25">
        <f ca="1">SUM(U38:Y38)</f>
        <v>0</v>
      </c>
      <c r="AA38" s="25">
        <v>0</v>
      </c>
      <c r="AB38" s="26">
        <v>0</v>
      </c>
    </row>
    <row r="39" spans="2:28" outlineLevel="1">
      <c r="B39" s="362" t="str">
        <f>SUBSTITUTE('Global Inputs'!$D$22, "$", "Qty")</f>
        <v>Current Qty (POM18)</v>
      </c>
      <c r="C39" s="13"/>
      <c r="D39" s="27" t="str">
        <f>B39</f>
        <v>Current Qty (POM18)</v>
      </c>
      <c r="E39" s="28">
        <f ca="1">SUMPRODUCT(
(Model[[Estimate Type]:[Estimate Type]]= $E$6) *
(Model[[APPN]:[APPN]] = $B37) *
(Model[[PMO / NON PMO]:[PMO / NON PMO]] = "PMO") *
(TY_Years &lt;F$2) *
(TY_Dollars))</f>
        <v>0</v>
      </c>
      <c r="F39" s="28">
        <f ca="1">SUMPRODUCT(
(Model[[Estimate Type]:[Estimate Type]]= $E$6) *
(Model[[APPN]:[APPN]] = $B37) *
(Model[[PMO / NON PMO]:[PMO / NON PMO]] = "PMO") *
(TY_Years =F$2) *
(TY_Dollars))</f>
        <v>0</v>
      </c>
      <c r="G39" s="28">
        <f ca="1">SUMPRODUCT(
(Model[[Estimate Type]:[Estimate Type]]= $E$6) *
(Model[[APPN]:[APPN]] = $B37) *
(Model[[PMO / NON PMO]:[PMO / NON PMO]] = "PMO") *
(TY_Years =G$2) *
(TY_Dollars))</f>
        <v>0</v>
      </c>
      <c r="H39" s="28">
        <f ca="1">SUMPRODUCT(
(Model[[Estimate Type]:[Estimate Type]]= $E$6) *
(Model[[APPN]:[APPN]] = $B37) *
(Model[[PMO / NON PMO]:[PMO / NON PMO]] = "PMO") *
(TY_Years =H$2) *
(TY_Dollars))</f>
        <v>0</v>
      </c>
      <c r="I39" s="28">
        <f ca="1">SUMPRODUCT(
(Model[[Estimate Type]:[Estimate Type]]= $E$6) *
(Model[[APPN]:[APPN]] = $B37) *
(Model[[PMO / NON PMO]:[PMO / NON PMO]] = "PMO") *
(TY_Years =I$2) *
(TY_Dollars))</f>
        <v>0</v>
      </c>
      <c r="J39" s="28">
        <f ca="1">SUMPRODUCT(
(Model[[Estimate Type]:[Estimate Type]]= $E$6) *
(Model[[APPN]:[APPN]] = $B37) *
(Model[[PMO / NON PMO]:[PMO / NON PMO]] = "PMO") *
(TY_Years =J$2) *
(TY_Dollars))</f>
        <v>0</v>
      </c>
      <c r="K39" s="29">
        <f ca="1">SUMPRODUCT(
(Model[[Estimate Type]:[Estimate Type]]= $E$6) *
(Model[[APPN]:[APPN]] = $B37) *
(Model[[PMO / NON PMO]:[PMO / NON PMO]] = "PMO") *
(TY_Years =K$2) *
(TY_Dollars))</f>
        <v>0</v>
      </c>
      <c r="L39" s="28">
        <f ca="1">SUM(G39:K39)</f>
        <v>0</v>
      </c>
      <c r="M39" s="28">
        <v>0</v>
      </c>
      <c r="N39" s="30">
        <f ca="1">SUM(E39:K39,M39)</f>
        <v>0</v>
      </c>
      <c r="P39" s="362" t="str">
        <f>SUBSTITUTE($T$6, "$", "Qty")</f>
        <v>Current Qty (POM18)</v>
      </c>
      <c r="Q39" s="13"/>
      <c r="R39" s="27" t="str">
        <f>P39</f>
        <v>Current Qty (POM18)</v>
      </c>
      <c r="S39" s="25">
        <f ca="1">SUMPRODUCT(
(Model[[Estimate Type]:[Estimate Type]]= $S$6) *
(Model[[APPN]:[APPN]] = $B37) *
(Model[[PMO / NON PMO]:[PMO / NON PMO]] = "PMO") *
(TY_Years &lt;T$2) *
(TY_Dollars))</f>
        <v>0</v>
      </c>
      <c r="T39" s="25">
        <f ca="1">SUMPRODUCT(
(Model[[Estimate Type]:[Estimate Type]]= $S$6) *
(Model[[APPN]:[APPN]] = $B37) *
(Model[[PMO / NON PMO]:[PMO / NON PMO]] = "PMO") *
(TY_Years =T$2) *
(TY_Dollars))</f>
        <v>0</v>
      </c>
      <c r="U39" s="25">
        <f ca="1">SUMPRODUCT(
(Model[[Estimate Type]:[Estimate Type]]= $S$6) *
(Model[[APPN]:[APPN]] = $B37) *
(Model[[PMO / NON PMO]:[PMO / NON PMO]] = "PMO") *
(TY_Years =U$2) *
(TY_Dollars))</f>
        <v>0</v>
      </c>
      <c r="V39" s="25">
        <f ca="1">SUMPRODUCT(
(Model[[Estimate Type]:[Estimate Type]]= $S$6) *
(Model[[APPN]:[APPN]] = $B37) *
(Model[[PMO / NON PMO]:[PMO / NON PMO]] = "PMO") *
(TY_Years =V$2) *
(TY_Dollars))</f>
        <v>0</v>
      </c>
      <c r="W39" s="25">
        <f ca="1">SUMPRODUCT(
(Model[[Estimate Type]:[Estimate Type]]= $S$6) *
(Model[[APPN]:[APPN]] = $B37) *
(Model[[PMO / NON PMO]:[PMO / NON PMO]] = "PMO") *
(TY_Years =W$2) *
(TY_Dollars))</f>
        <v>0</v>
      </c>
      <c r="X39" s="25">
        <f ca="1">SUMPRODUCT(
(Model[[Estimate Type]:[Estimate Type]]= $S$6) *
(Model[[APPN]:[APPN]] = $B37) *
(Model[[PMO / NON PMO]:[PMO / NON PMO]] = "PMO") *
(TY_Years =X$2) *
(TY_Dollars))</f>
        <v>0</v>
      </c>
      <c r="Y39" s="25">
        <f ca="1">SUMPRODUCT(
(Model[[Estimate Type]:[Estimate Type]]= $S$6) *
(Model[[APPN]:[APPN]] = $B37) *
(Model[[PMO / NON PMO]:[PMO / NON PMO]] = "PMO") *
(TY_Years =Y$2) *
(TY_Dollars))</f>
        <v>0</v>
      </c>
      <c r="Z39" s="28">
        <f ca="1">SUM(U39:Y39)</f>
        <v>0</v>
      </c>
      <c r="AA39" s="28">
        <v>0</v>
      </c>
      <c r="AB39" s="30">
        <v>0</v>
      </c>
    </row>
    <row r="40" spans="2:28" ht="16" outlineLevel="1" thickBot="1">
      <c r="D40" s="32" t="s">
        <v>102</v>
      </c>
      <c r="E40" s="33">
        <f t="shared" ref="E40:M40" ca="1" si="18">E39-E38</f>
        <v>0</v>
      </c>
      <c r="F40" s="33">
        <f t="shared" ca="1" si="18"/>
        <v>0</v>
      </c>
      <c r="G40" s="33">
        <f t="shared" ca="1" si="18"/>
        <v>0</v>
      </c>
      <c r="H40" s="33">
        <f t="shared" ca="1" si="18"/>
        <v>0</v>
      </c>
      <c r="I40" s="33">
        <f t="shared" ca="1" si="18"/>
        <v>0</v>
      </c>
      <c r="J40" s="33">
        <f t="shared" ca="1" si="18"/>
        <v>0</v>
      </c>
      <c r="K40" s="33">
        <f t="shared" ca="1" si="18"/>
        <v>0</v>
      </c>
      <c r="L40" s="33">
        <f t="shared" ca="1" si="18"/>
        <v>0</v>
      </c>
      <c r="M40" s="33">
        <f t="shared" si="18"/>
        <v>0</v>
      </c>
      <c r="N40" s="34">
        <f ca="1">SUM(E40:K40,M40)</f>
        <v>0</v>
      </c>
      <c r="R40" s="32" t="s">
        <v>102</v>
      </c>
      <c r="S40" s="33">
        <f t="shared" ref="S40:AA40" ca="1" si="19">S39-S38</f>
        <v>0</v>
      </c>
      <c r="T40" s="33">
        <f t="shared" ca="1" si="19"/>
        <v>0</v>
      </c>
      <c r="U40" s="33">
        <f t="shared" ca="1" si="19"/>
        <v>0</v>
      </c>
      <c r="V40" s="33">
        <f t="shared" ca="1" si="19"/>
        <v>0</v>
      </c>
      <c r="W40" s="33">
        <f t="shared" ca="1" si="19"/>
        <v>0</v>
      </c>
      <c r="X40" s="33">
        <f t="shared" ca="1" si="19"/>
        <v>0</v>
      </c>
      <c r="Y40" s="33">
        <f t="shared" ca="1" si="19"/>
        <v>0</v>
      </c>
      <c r="Z40" s="33">
        <f t="shared" ca="1" si="19"/>
        <v>0</v>
      </c>
      <c r="AA40" s="33">
        <f t="shared" si="19"/>
        <v>0</v>
      </c>
      <c r="AB40" s="34">
        <f ca="1">SUM(S40:Y40,AA40)</f>
        <v>0</v>
      </c>
    </row>
    <row r="41" spans="2:28" outlineLevel="1">
      <c r="B41" s="362" t="str">
        <f>SUBSTITUTE('Global Inputs'!$D$23, "$ ", "")</f>
        <v>Required (Draft CCP)</v>
      </c>
      <c r="C41" s="13"/>
      <c r="D41" s="35" t="str">
        <f>B41</f>
        <v>Required (Draft CCP)</v>
      </c>
      <c r="E41" s="28"/>
      <c r="F41" s="28"/>
      <c r="G41" s="28"/>
      <c r="H41" s="28"/>
      <c r="I41" s="28"/>
      <c r="J41" s="28"/>
      <c r="K41" s="28"/>
      <c r="L41" s="28">
        <f>SUM(G41:K41)</f>
        <v>0</v>
      </c>
      <c r="M41" s="28"/>
      <c r="N41" s="36">
        <f>SUM(E41:K41,M41)</f>
        <v>0</v>
      </c>
      <c r="P41" s="362" t="str">
        <f>SUBSTITUTE($T$7, "$ ", "")</f>
        <v>Required (Draft CCP)</v>
      </c>
      <c r="Q41" s="13"/>
      <c r="R41" s="35" t="str">
        <f>P41</f>
        <v>Required (Draft CCP)</v>
      </c>
      <c r="S41" s="28"/>
      <c r="T41" s="28"/>
      <c r="U41" s="28"/>
      <c r="V41" s="28"/>
      <c r="W41" s="28"/>
      <c r="X41" s="28"/>
      <c r="Y41" s="28"/>
      <c r="Z41" s="28">
        <f>SUM(U41:Y41)</f>
        <v>0</v>
      </c>
      <c r="AA41" s="28"/>
      <c r="AB41" s="36">
        <f>SUM(S41:Y41,AA41)</f>
        <v>0</v>
      </c>
    </row>
    <row r="42" spans="2:28" ht="16" outlineLevel="1" thickBot="1">
      <c r="D42" s="37" t="s">
        <v>103</v>
      </c>
      <c r="E42" s="38">
        <f t="shared" ref="E42:M42" ca="1" si="20">IF(E38&gt;0,E39-E41,IF(E39&gt;0,E39-E41,0))</f>
        <v>0</v>
      </c>
      <c r="F42" s="38">
        <f t="shared" ca="1" si="20"/>
        <v>0</v>
      </c>
      <c r="G42" s="38">
        <f t="shared" ca="1" si="20"/>
        <v>0</v>
      </c>
      <c r="H42" s="38">
        <f t="shared" ca="1" si="20"/>
        <v>0</v>
      </c>
      <c r="I42" s="38">
        <f t="shared" ca="1" si="20"/>
        <v>0</v>
      </c>
      <c r="J42" s="38">
        <f t="shared" ca="1" si="20"/>
        <v>0</v>
      </c>
      <c r="K42" s="38">
        <f t="shared" ca="1" si="20"/>
        <v>0</v>
      </c>
      <c r="L42" s="38">
        <f t="shared" ca="1" si="20"/>
        <v>0</v>
      </c>
      <c r="M42" s="38">
        <f t="shared" si="20"/>
        <v>0</v>
      </c>
      <c r="N42" s="39">
        <f ca="1">SUM(E42:K42,M42)</f>
        <v>0</v>
      </c>
      <c r="R42" s="37" t="s">
        <v>103</v>
      </c>
      <c r="S42" s="38">
        <f t="shared" ref="S42:AA42" ca="1" si="21">IF(S38&gt;0,S39-S41,IF(S39&gt;0,S39-S41,0))</f>
        <v>0</v>
      </c>
      <c r="T42" s="38">
        <f t="shared" ca="1" si="21"/>
        <v>0</v>
      </c>
      <c r="U42" s="38">
        <f t="shared" ca="1" si="21"/>
        <v>0</v>
      </c>
      <c r="V42" s="38">
        <f t="shared" ca="1" si="21"/>
        <v>0</v>
      </c>
      <c r="W42" s="38">
        <f t="shared" ca="1" si="21"/>
        <v>0</v>
      </c>
      <c r="X42" s="38">
        <f t="shared" ca="1" si="21"/>
        <v>0</v>
      </c>
      <c r="Y42" s="38">
        <f t="shared" ca="1" si="21"/>
        <v>0</v>
      </c>
      <c r="Z42" s="38">
        <f t="shared" ca="1" si="21"/>
        <v>0</v>
      </c>
      <c r="AA42" s="38">
        <f t="shared" si="21"/>
        <v>0</v>
      </c>
      <c r="AB42" s="39">
        <f ca="1">SUM(S42:Y42,AA42)</f>
        <v>0</v>
      </c>
    </row>
    <row r="43" spans="2:28" ht="12.75" customHeight="1" outlineLevel="1">
      <c r="D43" s="51" t="s">
        <v>110</v>
      </c>
      <c r="E43" s="52"/>
      <c r="F43" s="52"/>
      <c r="G43" s="52"/>
      <c r="H43" s="52"/>
      <c r="I43" s="52"/>
      <c r="J43" s="52"/>
      <c r="K43" s="52"/>
      <c r="L43" s="52"/>
      <c r="M43" s="52"/>
      <c r="N43" s="53"/>
      <c r="R43" s="51" t="s">
        <v>110</v>
      </c>
      <c r="S43" s="52"/>
      <c r="T43" s="52"/>
      <c r="U43" s="52"/>
      <c r="V43" s="52"/>
      <c r="W43" s="52"/>
      <c r="X43" s="52"/>
      <c r="Y43" s="52"/>
      <c r="Z43" s="52"/>
      <c r="AA43" s="52"/>
      <c r="AB43" s="53"/>
    </row>
    <row r="44" spans="2:28" outlineLevel="1">
      <c r="D44" s="54"/>
      <c r="E44" s="55"/>
      <c r="F44" s="55"/>
      <c r="G44" s="55"/>
      <c r="H44" s="55"/>
      <c r="I44" s="55"/>
      <c r="J44" s="55"/>
      <c r="K44" s="55"/>
      <c r="L44" s="55"/>
      <c r="M44" s="55"/>
      <c r="N44" s="56"/>
      <c r="R44" s="54"/>
      <c r="S44" s="55"/>
      <c r="T44" s="55"/>
      <c r="U44" s="55"/>
      <c r="V44" s="55"/>
      <c r="W44" s="55"/>
      <c r="X44" s="55"/>
      <c r="Y44" s="55"/>
      <c r="Z44" s="55"/>
      <c r="AA44" s="55"/>
      <c r="AB44" s="56"/>
    </row>
    <row r="45" spans="2:28" outlineLevel="1">
      <c r="D45" s="54"/>
      <c r="E45" s="55"/>
      <c r="F45" s="55"/>
      <c r="G45" s="55"/>
      <c r="H45" s="55"/>
      <c r="I45" s="55"/>
      <c r="J45" s="55"/>
      <c r="K45" s="55"/>
      <c r="L45" s="55"/>
      <c r="M45" s="55"/>
      <c r="N45" s="56"/>
      <c r="R45" s="54"/>
      <c r="S45" s="55"/>
      <c r="T45" s="55"/>
      <c r="U45" s="55"/>
      <c r="V45" s="55"/>
      <c r="W45" s="55"/>
      <c r="X45" s="55"/>
      <c r="Y45" s="55"/>
      <c r="Z45" s="55"/>
      <c r="AA45" s="55"/>
      <c r="AB45" s="56"/>
    </row>
    <row r="46" spans="2:28" outlineLevel="1">
      <c r="D46" s="54" t="s">
        <v>111</v>
      </c>
      <c r="E46" s="55"/>
      <c r="F46" s="55"/>
      <c r="G46" s="55"/>
      <c r="H46" s="55"/>
      <c r="I46" s="55"/>
      <c r="J46" s="55"/>
      <c r="K46" s="55"/>
      <c r="L46" s="55"/>
      <c r="M46" s="55"/>
      <c r="N46" s="56"/>
      <c r="R46" s="54" t="s">
        <v>111</v>
      </c>
      <c r="S46" s="55"/>
      <c r="T46" s="55"/>
      <c r="U46" s="55"/>
      <c r="V46" s="55"/>
      <c r="W46" s="55"/>
      <c r="X46" s="55"/>
      <c r="Y46" s="55"/>
      <c r="Z46" s="55"/>
      <c r="AA46" s="55"/>
      <c r="AB46" s="56"/>
    </row>
    <row r="47" spans="2:28" ht="16" outlineLevel="1" thickBot="1">
      <c r="D47" s="57"/>
      <c r="E47" s="58"/>
      <c r="F47" s="58"/>
      <c r="G47" s="58"/>
      <c r="H47" s="58"/>
      <c r="I47" s="58"/>
      <c r="J47" s="58"/>
      <c r="K47" s="58"/>
      <c r="L47" s="58"/>
      <c r="M47" s="58"/>
      <c r="N47" s="59"/>
      <c r="R47" s="57"/>
      <c r="S47" s="58"/>
      <c r="T47" s="58"/>
      <c r="U47" s="58"/>
      <c r="V47" s="58"/>
      <c r="W47" s="58"/>
      <c r="X47" s="58"/>
      <c r="Y47" s="58"/>
      <c r="Z47" s="58"/>
      <c r="AA47" s="58"/>
      <c r="AB47" s="59"/>
    </row>
    <row r="48" spans="2:28" outlineLevel="1">
      <c r="D48" s="60"/>
      <c r="R48" s="60"/>
    </row>
    <row r="49" spans="4:18" outlineLevel="1"/>
    <row r="50" spans="4:18" outlineLevel="1">
      <c r="D50" s="16" t="s">
        <v>112</v>
      </c>
      <c r="R50" s="16" t="s">
        <v>112</v>
      </c>
    </row>
    <row r="51" spans="4:18" outlineLevel="1">
      <c r="D51" s="16" t="s">
        <v>113</v>
      </c>
      <c r="R51" s="16" t="s">
        <v>113</v>
      </c>
    </row>
    <row r="52" spans="4:18" outlineLevel="1"/>
  </sheetData>
  <mergeCells count="8">
    <mergeCell ref="T14:AB14"/>
    <mergeCell ref="S16:AB16"/>
    <mergeCell ref="S23:AB23"/>
    <mergeCell ref="E23:N23"/>
    <mergeCell ref="D14:E14"/>
    <mergeCell ref="F14:N14"/>
    <mergeCell ref="E16:N16"/>
    <mergeCell ref="R14:S14"/>
  </mergeCells>
  <dataValidations count="1">
    <dataValidation type="list" errorStyle="information" showInputMessage="1" showErrorMessage="1" sqref="B16 B23">
      <formula1>list_APPN</formula1>
    </dataValidation>
  </dataValidations>
  <hyperlinks>
    <hyperlink ref="A1" location="'TOC'!A1" display="TOC"/>
  </hyperlinks>
  <pageMargins left="0.1" right="0.1" top="1" bottom="0.25" header="0.3" footer="0.3"/>
  <pageSetup scale="65"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outlinePr summaryBelow="0" summaryRight="0"/>
  </sheetPr>
  <dimension ref="A1:AB73"/>
  <sheetViews>
    <sheetView showGridLines="0" zoomScale="70" zoomScaleNormal="70" workbookViewId="0">
      <selection activeCell="F51" sqref="E51:F51"/>
    </sheetView>
  </sheetViews>
  <sheetFormatPr defaultRowHeight="15.5" outlineLevelRow="3" outlineLevelCol="1"/>
  <cols>
    <col min="2" max="2" width="23.25" bestFit="1" customWidth="1"/>
    <col min="3" max="3" width="7.25" customWidth="1"/>
    <col min="4" max="4" width="32.33203125" customWidth="1"/>
    <col min="11" max="12" width="9.33203125" bestFit="1" customWidth="1"/>
    <col min="13" max="13" width="9.08203125" bestFit="1" customWidth="1"/>
    <col min="14" max="14" width="11.33203125" customWidth="1"/>
    <col min="15" max="15" width="8.58203125" collapsed="1"/>
    <col min="16" max="16" width="20.08203125" style="16" hidden="1" customWidth="1" outlineLevel="1"/>
    <col min="17" max="17" width="3.58203125" style="16" hidden="1" customWidth="1" outlineLevel="1"/>
    <col min="18" max="18" width="35" style="16" hidden="1" customWidth="1" outlineLevel="1"/>
    <col min="19" max="26" width="11" style="16" hidden="1" customWidth="1" outlineLevel="1"/>
    <col min="27" max="27" width="13.33203125" style="16" hidden="1" customWidth="1" outlineLevel="1"/>
    <col min="28" max="28" width="13.58203125" style="16" hidden="1" customWidth="1" outlineLevel="1"/>
  </cols>
  <sheetData>
    <row r="1" spans="1:28">
      <c r="A1" s="354" t="s">
        <v>467</v>
      </c>
    </row>
    <row r="2" spans="1:28">
      <c r="A2" s="354"/>
      <c r="F2" s="366">
        <f>Model_First_Year</f>
        <v>2014</v>
      </c>
      <c r="G2" s="366">
        <f>F2+1</f>
        <v>2015</v>
      </c>
      <c r="H2" s="366">
        <f>G2+1</f>
        <v>2016</v>
      </c>
      <c r="I2" s="366">
        <f>H2+1</f>
        <v>2017</v>
      </c>
      <c r="J2" s="366">
        <f>I2+1</f>
        <v>2018</v>
      </c>
      <c r="K2" s="366">
        <f>J2+1</f>
        <v>2019</v>
      </c>
      <c r="T2" s="366">
        <f>Model_First_Year</f>
        <v>2014</v>
      </c>
      <c r="U2" s="366">
        <f>T2+1</f>
        <v>2015</v>
      </c>
      <c r="V2" s="366">
        <f>U2+1</f>
        <v>2016</v>
      </c>
      <c r="W2" s="366">
        <f>V2+1</f>
        <v>2017</v>
      </c>
      <c r="X2" s="366">
        <f>W2+1</f>
        <v>2018</v>
      </c>
      <c r="Y2" s="366">
        <f>X2+1</f>
        <v>2019</v>
      </c>
    </row>
    <row r="3" spans="1:28">
      <c r="A3" s="354"/>
      <c r="S3" s="236"/>
      <c r="T3" s="236"/>
      <c r="U3" s="236"/>
      <c r="V3" s="236"/>
      <c r="W3" s="236"/>
      <c r="X3" s="236"/>
      <c r="Y3" s="236"/>
    </row>
    <row r="4" spans="1:28">
      <c r="D4" s="359" t="s">
        <v>547</v>
      </c>
      <c r="E4" s="383" t="b">
        <f ca="1">('PMO Budget Charts'!N34+N40)='CCP and APB'!C22</f>
        <v>1</v>
      </c>
      <c r="R4" s="358" t="s">
        <v>547</v>
      </c>
      <c r="S4" s="357"/>
      <c r="T4" s="236"/>
      <c r="U4" s="236"/>
      <c r="V4" s="236"/>
      <c r="W4" s="236"/>
      <c r="X4" s="236"/>
      <c r="Y4" s="236"/>
      <c r="AA4" s="236"/>
    </row>
    <row r="5" spans="1:28">
      <c r="D5" s="359" t="s">
        <v>548</v>
      </c>
      <c r="E5" s="362" t="str">
        <f>'Global Inputs'!C21</f>
        <v>PB17</v>
      </c>
      <c r="F5" s="236" t="str">
        <f>'Global Inputs'!D21</f>
        <v>Prior $ (PB17)</v>
      </c>
      <c r="R5" s="359" t="s">
        <v>548</v>
      </c>
      <c r="S5" s="360" t="str">
        <f>E5</f>
        <v>PB17</v>
      </c>
      <c r="T5" s="236" t="str">
        <f>"Prior $ ("&amp;S5&amp;")"</f>
        <v>Prior $ (PB17)</v>
      </c>
    </row>
    <row r="6" spans="1:28">
      <c r="D6" s="359" t="s">
        <v>549</v>
      </c>
      <c r="E6" s="362" t="str">
        <f>'Global Inputs'!C22</f>
        <v>POM18</v>
      </c>
      <c r="F6" s="236" t="str">
        <f>'Global Inputs'!D22</f>
        <v>Current $ (POM18)</v>
      </c>
      <c r="R6" s="359" t="s">
        <v>549</v>
      </c>
      <c r="S6" s="360" t="str">
        <f>E6</f>
        <v>POM18</v>
      </c>
      <c r="T6" s="236" t="str">
        <f>"Current $ ("&amp;S6&amp;")"</f>
        <v>Current $ (POM18)</v>
      </c>
    </row>
    <row r="7" spans="1:28">
      <c r="D7" s="359" t="s">
        <v>208</v>
      </c>
      <c r="E7" s="362" t="str">
        <f>'Global Inputs'!C23</f>
        <v>Draft CCP</v>
      </c>
      <c r="F7" s="236" t="str">
        <f>'Global Inputs'!D23</f>
        <v>Required $ (Draft CCP)</v>
      </c>
      <c r="R7" s="359" t="s">
        <v>208</v>
      </c>
      <c r="S7" s="360" t="str">
        <f>E7</f>
        <v>Draft CCP</v>
      </c>
      <c r="T7" s="236" t="str">
        <f>F7</f>
        <v>Required $ (Draft CCP)</v>
      </c>
    </row>
    <row r="8" spans="1:28">
      <c r="D8" s="359" t="s">
        <v>159</v>
      </c>
      <c r="E8" s="362" t="str">
        <f>'Global Inputs'!C24</f>
        <v>POE</v>
      </c>
      <c r="F8" s="236"/>
      <c r="R8" s="359" t="s">
        <v>159</v>
      </c>
      <c r="S8" s="382" t="s">
        <v>181</v>
      </c>
      <c r="T8" s="236"/>
    </row>
    <row r="9" spans="1:28" s="16" customFormat="1">
      <c r="A9" s="237" t="s">
        <v>293</v>
      </c>
      <c r="B9" s="13"/>
      <c r="C9" s="13"/>
      <c r="D9" s="13"/>
      <c r="E9" s="13"/>
      <c r="F9" s="13"/>
      <c r="G9" s="13"/>
      <c r="H9" s="13"/>
      <c r="I9" s="13"/>
      <c r="J9" s="13"/>
      <c r="K9" s="13"/>
      <c r="L9" s="13"/>
      <c r="M9" s="13"/>
      <c r="N9" s="13"/>
      <c r="O9" s="13"/>
      <c r="R9" s="236"/>
      <c r="S9" s="236"/>
      <c r="T9" s="236"/>
      <c r="U9" s="236"/>
      <c r="V9" s="236"/>
      <c r="W9" s="236"/>
      <c r="X9" s="236"/>
      <c r="Y9" s="236"/>
      <c r="AA9" s="236"/>
    </row>
    <row r="10" spans="1:28" s="16" customFormat="1" outlineLevel="1">
      <c r="B10" s="14"/>
      <c r="C10" s="14"/>
      <c r="D10" s="14" t="s">
        <v>114</v>
      </c>
      <c r="E10" s="13"/>
      <c r="F10" s="14"/>
      <c r="G10" s="14"/>
      <c r="H10" s="14"/>
      <c r="I10" s="14"/>
      <c r="J10" s="14"/>
      <c r="K10" s="14"/>
      <c r="L10" s="13"/>
      <c r="M10" s="13"/>
      <c r="N10" s="13"/>
      <c r="O10" s="13"/>
      <c r="P10" s="13"/>
      <c r="Q10" s="13"/>
      <c r="R10" s="14" t="s">
        <v>95</v>
      </c>
      <c r="S10" s="13"/>
      <c r="T10" s="13"/>
      <c r="U10" s="13"/>
      <c r="V10" s="14"/>
      <c r="W10" s="14"/>
      <c r="X10" s="14"/>
      <c r="Y10" s="14"/>
      <c r="Z10" s="14"/>
      <c r="AA10" s="14"/>
      <c r="AB10" s="13"/>
    </row>
    <row r="11" spans="1:28" s="16" customFormat="1" outlineLevel="1">
      <c r="B11" s="13"/>
      <c r="C11" s="13"/>
      <c r="D11" s="13"/>
      <c r="E11" s="13"/>
      <c r="F11" s="13"/>
      <c r="G11" s="13"/>
      <c r="H11" s="13"/>
      <c r="I11" s="13"/>
      <c r="J11" s="13"/>
      <c r="K11" s="13"/>
      <c r="L11" s="13"/>
      <c r="M11" s="13"/>
      <c r="N11" s="13"/>
      <c r="O11" s="13"/>
      <c r="Q11" s="13"/>
    </row>
    <row r="12" spans="1:28" s="16" customFormat="1" ht="16" outlineLevel="1" thickBot="1">
      <c r="C12" s="13"/>
    </row>
    <row r="13" spans="1:28" s="16" customFormat="1" ht="44.15" customHeight="1" outlineLevel="1" thickBot="1">
      <c r="C13" s="13"/>
      <c r="D13" s="528" t="str">
        <f>Program_Name &amp; CHAR(10) &amp; Milestone</f>
        <v>Missile System Example
Milestone B</v>
      </c>
      <c r="E13" s="529"/>
      <c r="F13" s="522" t="str">
        <f>"Component Cost Position" &amp; CHAR(10) &amp; "Non Program Funded Budget Chart"</f>
        <v>Component Cost Position
Non Program Funded Budget Chart</v>
      </c>
      <c r="G13" s="523"/>
      <c r="H13" s="523"/>
      <c r="I13" s="523"/>
      <c r="J13" s="523"/>
      <c r="K13" s="523"/>
      <c r="L13" s="523"/>
      <c r="M13" s="523"/>
      <c r="N13" s="524"/>
      <c r="O13" s="17"/>
      <c r="P13" s="17"/>
      <c r="R13" s="528" t="str">
        <f>Program_Name &amp; CHAR(10) &amp; Milestone</f>
        <v>Missile System Example
Milestone B</v>
      </c>
      <c r="S13" s="529"/>
      <c r="T13" s="522" t="str">
        <f>"Component Cost Position" &amp; CHAR(10) &amp; "Non Program Funded Budget Chart"</f>
        <v>Component Cost Position
Non Program Funded Budget Chart</v>
      </c>
      <c r="U13" s="523"/>
      <c r="V13" s="523"/>
      <c r="W13" s="523"/>
      <c r="X13" s="523"/>
      <c r="Y13" s="523"/>
      <c r="Z13" s="523"/>
      <c r="AA13" s="523"/>
      <c r="AB13" s="524"/>
    </row>
    <row r="14" spans="1:28" s="16" customFormat="1" ht="16" outlineLevel="1" thickBot="1">
      <c r="C14" s="13"/>
      <c r="D14" s="19" t="s">
        <v>97</v>
      </c>
      <c r="E14" s="20" t="str">
        <f>'PMO Budget Charts'!E15</f>
        <v>Prior</v>
      </c>
      <c r="F14" s="20" t="str">
        <f>'PMO Budget Charts'!F15</f>
        <v>FY14</v>
      </c>
      <c r="G14" s="20" t="str">
        <f>'PMO Budget Charts'!G15</f>
        <v>FY15</v>
      </c>
      <c r="H14" s="20" t="str">
        <f>'PMO Budget Charts'!H15</f>
        <v>FY16</v>
      </c>
      <c r="I14" s="20" t="str">
        <f>'PMO Budget Charts'!I15</f>
        <v>FY17</v>
      </c>
      <c r="J14" s="20" t="str">
        <f>'PMO Budget Charts'!J15</f>
        <v>FY18</v>
      </c>
      <c r="K14" s="20" t="str">
        <f>'PMO Budget Charts'!K15</f>
        <v>FY19</v>
      </c>
      <c r="L14" s="21" t="str">
        <f>'PMO Budget Charts'!L15</f>
        <v>FY15-19</v>
      </c>
      <c r="M14" s="21" t="str">
        <f>'PMO Budget Charts'!M15</f>
        <v>To Comp</v>
      </c>
      <c r="N14" s="22" t="str">
        <f>'PMO Budget Charts'!N15</f>
        <v>Prog Total</v>
      </c>
      <c r="Q14" s="17"/>
      <c r="R14" s="19" t="s">
        <v>97</v>
      </c>
      <c r="S14" s="20" t="s">
        <v>98</v>
      </c>
      <c r="T14" s="20" t="str">
        <f t="shared" ref="T14:Y14" si="0">"FY"&amp; RIGHT(T2,2)</f>
        <v>FY14</v>
      </c>
      <c r="U14" s="20" t="str">
        <f t="shared" si="0"/>
        <v>FY15</v>
      </c>
      <c r="V14" s="20" t="str">
        <f t="shared" si="0"/>
        <v>FY16</v>
      </c>
      <c r="W14" s="20" t="str">
        <f t="shared" si="0"/>
        <v>FY17</v>
      </c>
      <c r="X14" s="20" t="str">
        <f t="shared" si="0"/>
        <v>FY18</v>
      </c>
      <c r="Y14" s="20" t="str">
        <f t="shared" si="0"/>
        <v>FY19</v>
      </c>
      <c r="Z14" s="21" t="str">
        <f>U14&amp; "-" &amp;RIGHT(Y14,2)</f>
        <v>FY15-19</v>
      </c>
      <c r="AA14" s="21" t="s">
        <v>99</v>
      </c>
      <c r="AB14" s="22" t="s">
        <v>100</v>
      </c>
    </row>
    <row r="15" spans="1:28" s="16" customFormat="1" outlineLevel="1" collapsed="1">
      <c r="B15" s="361" t="s">
        <v>550</v>
      </c>
      <c r="C15" s="13"/>
      <c r="D15" s="23" t="str">
        <f>B15</f>
        <v>Apropriation A</v>
      </c>
      <c r="E15" s="525"/>
      <c r="F15" s="526"/>
      <c r="G15" s="526"/>
      <c r="H15" s="526"/>
      <c r="I15" s="526"/>
      <c r="J15" s="526"/>
      <c r="K15" s="526"/>
      <c r="L15" s="526"/>
      <c r="M15" s="526"/>
      <c r="N15" s="527"/>
      <c r="P15" s="361" t="s">
        <v>550</v>
      </c>
      <c r="R15" s="23" t="str">
        <f>P15</f>
        <v>Apropriation A</v>
      </c>
      <c r="S15" s="525"/>
      <c r="T15" s="526"/>
      <c r="U15" s="526"/>
      <c r="V15" s="526"/>
      <c r="W15" s="526"/>
      <c r="X15" s="526"/>
      <c r="Y15" s="526"/>
      <c r="Z15" s="526"/>
      <c r="AA15" s="526"/>
      <c r="AB15" s="527"/>
    </row>
    <row r="16" spans="1:28" s="16" customFormat="1" ht="16" hidden="1" customHeight="1" outlineLevel="2">
      <c r="B16" s="362" t="str">
        <f>'Global Inputs'!$D$21</f>
        <v>Prior $ (PB17)</v>
      </c>
      <c r="C16" s="13"/>
      <c r="D16" s="24" t="str">
        <f>B16</f>
        <v>Prior $ (PB17)</v>
      </c>
      <c r="E16" s="25">
        <f ca="1">SUMPRODUCT(
(Model[[Estimate Type]:[Estimate Type]]= $E$5) *
(Model[[APPN]:[APPN]] = $B15) *
(Model[[PMO / NON PMO]:[PMO / NON PMO]] = "Non PMO") *
(TY_Years &lt;F$2) *
(TY_Dollars))</f>
        <v>0</v>
      </c>
      <c r="F16" s="25">
        <f ca="1">SUMPRODUCT(
(Model[[Estimate Type]:[Estimate Type]]= $E$5) *
(Model[[APPN]:[APPN]] = $B15) *
(Model[[PMO / NON PMO]:[PMO / NON PMO]] = "Non PMO") *
(TY_Years =F$2) *
(TY_Dollars))</f>
        <v>0</v>
      </c>
      <c r="G16" s="25">
        <f ca="1">SUMPRODUCT(
(Model[[Estimate Type]:[Estimate Type]]= $E$5) *
(Model[[APPN]:[APPN]] = $B15) *
(Model[[PMO / NON PMO]:[PMO / NON PMO]] = "Non PMO") *
(TY_Years =G$2) *
(TY_Dollars))</f>
        <v>0</v>
      </c>
      <c r="H16" s="25">
        <f ca="1">SUMPRODUCT(
(Model[[Estimate Type]:[Estimate Type]]= $E$5) *
(Model[[APPN]:[APPN]] = $B15) *
(Model[[PMO / NON PMO]:[PMO / NON PMO]] = "Non PMO") *
(TY_Years =H$2) *
(TY_Dollars))</f>
        <v>0</v>
      </c>
      <c r="I16" s="25">
        <f ca="1">SUMPRODUCT(
(Model[[Estimate Type]:[Estimate Type]]= $E$5) *
(Model[[APPN]:[APPN]] = $B15) *
(Model[[PMO / NON PMO]:[PMO / NON PMO]] = "Non PMO") *
(TY_Years =I$2) *
(TY_Dollars))</f>
        <v>0</v>
      </c>
      <c r="J16" s="25">
        <f ca="1">SUMPRODUCT(
(Model[[Estimate Type]:[Estimate Type]]= $E$5) *
(Model[[APPN]:[APPN]] = $B15) *
(Model[[PMO / NON PMO]:[PMO / NON PMO]] = "Non PMO") *
(TY_Years =J$2) *
(TY_Dollars))</f>
        <v>0</v>
      </c>
      <c r="K16" s="25">
        <f ca="1">SUMPRODUCT(
(Model[[Estimate Type]:[Estimate Type]]= $E$5) *
(Model[[APPN]:[APPN]] = $B15) *
(Model[[PMO / NON PMO]:[PMO / NON PMO]] = "Non PMO") *
(TY_Years =K$2) *
(TY_Dollars))</f>
        <v>0</v>
      </c>
      <c r="L16" s="25">
        <f ca="1">SUM(G16:K16)</f>
        <v>0</v>
      </c>
      <c r="M16" s="25">
        <v>0</v>
      </c>
      <c r="N16" s="26">
        <v>0</v>
      </c>
      <c r="O16" s="13"/>
      <c r="P16" s="362" t="str">
        <f>$T$5</f>
        <v>Prior $ (PB17)</v>
      </c>
      <c r="R16" s="24" t="str">
        <f>P16</f>
        <v>Prior $ (PB17)</v>
      </c>
      <c r="S16" s="25">
        <f ca="1">SUMPRODUCT(
(Model[[Estimate Type]:[Estimate Type]]= $S$5) *
(Model[[APPN]:[APPN]] = $B16) *
(Model[[PMO / NON PMO]:[PMO / NON PMO]] = "PMO") *
(TY_Years &lt;T$2) *
(TY_Dollars))</f>
        <v>0</v>
      </c>
      <c r="T16" s="25">
        <f ca="1">SUMPRODUCT(
(Model[[Estimate Type]:[Estimate Type]]= $S$5) *
(Model[[APPN]:[APPN]] = $B16) *
(Model[[PMO / NON PMO]:[PMO / NON PMO]] = "PMO") *
(TY_Years =T$2) *
(TY_Dollars))</f>
        <v>0</v>
      </c>
      <c r="U16" s="25">
        <f ca="1">SUMPRODUCT(
(Model[[Estimate Type]:[Estimate Type]]= $S$5) *
(Model[[APPN]:[APPN]] = $B16) *
(Model[[PMO / NON PMO]:[PMO / NON PMO]] = "PMO") *
(TY_Years =U$2) *
(TY_Dollars))</f>
        <v>0</v>
      </c>
      <c r="V16" s="25">
        <f ca="1">SUMPRODUCT(
(Model[[Estimate Type]:[Estimate Type]]= $S$5) *
(Model[[APPN]:[APPN]] = $B16) *
(Model[[PMO / NON PMO]:[PMO / NON PMO]] = "PMO") *
(TY_Years =V$2) *
(TY_Dollars))</f>
        <v>0</v>
      </c>
      <c r="W16" s="25">
        <f ca="1">SUMPRODUCT(
(Model[[Estimate Type]:[Estimate Type]]= $S$5) *
(Model[[APPN]:[APPN]] = $B16) *
(Model[[PMO / NON PMO]:[PMO / NON PMO]] = "PMO") *
(TY_Years =W$2) *
(TY_Dollars))</f>
        <v>0</v>
      </c>
      <c r="X16" s="25">
        <f ca="1">SUMPRODUCT(
(Model[[Estimate Type]:[Estimate Type]]= $S$5) *
(Model[[APPN]:[APPN]] = $B16) *
(Model[[PMO / NON PMO]:[PMO / NON PMO]] = "PMO") *
(TY_Years =X$2) *
(TY_Dollars))</f>
        <v>0</v>
      </c>
      <c r="Y16" s="25">
        <f ca="1">SUMPRODUCT(
(Model[[Estimate Type]:[Estimate Type]]= $S$5) *
(Model[[APPN]:[APPN]] = $B16) *
(Model[[PMO / NON PMO]:[PMO / NON PMO]] = "PMO") *
(TY_Years =Y$2) *
(TY_Dollars))</f>
        <v>0</v>
      </c>
      <c r="Z16" s="25">
        <f ca="1">SUM(U16:Y16)</f>
        <v>0</v>
      </c>
      <c r="AA16" s="25">
        <v>0</v>
      </c>
      <c r="AB16" s="26">
        <v>0</v>
      </c>
    </row>
    <row r="17" spans="2:28" s="16" customFormat="1" hidden="1" outlineLevel="2">
      <c r="B17" s="362" t="str">
        <f>'Global Inputs'!$D$22</f>
        <v>Current $ (POM18)</v>
      </c>
      <c r="C17" s="13"/>
      <c r="D17" s="27" t="str">
        <f>B17</f>
        <v>Current $ (POM18)</v>
      </c>
      <c r="E17" s="25">
        <f ca="1">SUMPRODUCT(
(Model[[Estimate Type]:[Estimate Type]]= $E$6) *
(Model[[APPN]:[APPN]] = $B15) *
(Model[[PMO / NON PMO]:[PMO / NON PMO]] = "PMO") *
(TY_Years &lt;F$2) *
(TY_Dollars))</f>
        <v>0</v>
      </c>
      <c r="F17" s="25">
        <f ca="1">SUMPRODUCT(
(Model[[Estimate Type]:[Estimate Type]]= $E$6) *
(Model[[APPN]:[APPN]] = $B15) *
(Model[[PMO / NON PMO]:[PMO / NON PMO]] = "Non PMO") *
(TY_Years =F$2) *
(TY_Dollars))</f>
        <v>0</v>
      </c>
      <c r="G17" s="25">
        <f ca="1">SUMPRODUCT(
(Model[[Estimate Type]:[Estimate Type]]= $E$6) *
(Model[[APPN]:[APPN]] = $B15) *
(Model[[PMO / NON PMO]:[PMO / NON PMO]] = "Non PMO") *
(TY_Years =G$2) *
(TY_Dollars))</f>
        <v>0</v>
      </c>
      <c r="H17" s="25">
        <f ca="1">SUMPRODUCT(
(Model[[Estimate Type]:[Estimate Type]]= $E$6) *
(Model[[APPN]:[APPN]] = $B15) *
(Model[[PMO / NON PMO]:[PMO / NON PMO]] = "Non PMO") *
(TY_Years =H$2) *
(TY_Dollars))</f>
        <v>0</v>
      </c>
      <c r="I17" s="25">
        <f ca="1">SUMPRODUCT(
(Model[[Estimate Type]:[Estimate Type]]= $E$6) *
(Model[[APPN]:[APPN]] = $B15) *
(Model[[PMO / NON PMO]:[PMO / NON PMO]] = "Non PMO") *
(TY_Years =I$2) *
(TY_Dollars))</f>
        <v>0</v>
      </c>
      <c r="J17" s="25">
        <f ca="1">SUMPRODUCT(
(Model[[Estimate Type]:[Estimate Type]]= $E$6) *
(Model[[APPN]:[APPN]] = $B15) *
(Model[[PMO / NON PMO]:[PMO / NON PMO]] = "Non PMO") *
(TY_Years =J$2) *
(TY_Dollars))</f>
        <v>0</v>
      </c>
      <c r="K17" s="25">
        <f ca="1">SUMPRODUCT(
(Model[[Estimate Type]:[Estimate Type]]= $E$6) *
(Model[[APPN]:[APPN]] = $B15) *
(Model[[PMO / NON PMO]:[PMO / NON PMO]] = "Non PMO") *
(TY_Years =K$2) *
(TY_Dollars))</f>
        <v>0</v>
      </c>
      <c r="L17" s="28">
        <f ca="1">SUM(G17:K17)</f>
        <v>0</v>
      </c>
      <c r="M17" s="28">
        <v>0</v>
      </c>
      <c r="N17" s="30">
        <v>0</v>
      </c>
      <c r="O17" s="13"/>
      <c r="P17" s="362" t="str">
        <f>$T$6</f>
        <v>Current $ (POM18)</v>
      </c>
      <c r="Q17" s="13"/>
      <c r="R17" s="27" t="str">
        <f>P17</f>
        <v>Current $ (POM18)</v>
      </c>
      <c r="S17" s="25">
        <f ca="1">SUMPRODUCT(
(Model[[Estimate Type]:[Estimate Type]]= $S$6) *
(Model[[APPN]:[APPN]] = $B16) *
(Model[[PMO / NON PMO]:[PMO / NON PMO]] = "PMO") *
(TY_Years &lt;T$2) *
(TY_Dollars))</f>
        <v>0</v>
      </c>
      <c r="T17" s="25">
        <f ca="1">SUMPRODUCT(
(Model[[Estimate Type]:[Estimate Type]]= $S$6) *
(Model[[APPN]:[APPN]] = $B16) *
(Model[[PMO / NON PMO]:[PMO / NON PMO]] = "PMO") *
(TY_Years =T$2) *
(TY_Dollars))</f>
        <v>0</v>
      </c>
      <c r="U17" s="25">
        <f ca="1">SUMPRODUCT(
(Model[[Estimate Type]:[Estimate Type]]= $S$6) *
(Model[[APPN]:[APPN]] = $B16) *
(Model[[PMO / NON PMO]:[PMO / NON PMO]] = "PMO") *
(TY_Years =U$2) *
(TY_Dollars))</f>
        <v>0</v>
      </c>
      <c r="V17" s="25">
        <f ca="1">SUMPRODUCT(
(Model[[Estimate Type]:[Estimate Type]]= $S$6) *
(Model[[APPN]:[APPN]] = $B16) *
(Model[[PMO / NON PMO]:[PMO / NON PMO]] = "PMO") *
(TY_Years =V$2) *
(TY_Dollars))</f>
        <v>0</v>
      </c>
      <c r="W17" s="25">
        <f ca="1">SUMPRODUCT(
(Model[[Estimate Type]:[Estimate Type]]= $S$6) *
(Model[[APPN]:[APPN]] = $B16) *
(Model[[PMO / NON PMO]:[PMO / NON PMO]] = "PMO") *
(TY_Years =W$2) *
(TY_Dollars))</f>
        <v>0</v>
      </c>
      <c r="X17" s="25">
        <f ca="1">SUMPRODUCT(
(Model[[Estimate Type]:[Estimate Type]]= $S$6) *
(Model[[APPN]:[APPN]] = $B16) *
(Model[[PMO / NON PMO]:[PMO / NON PMO]] = "PMO") *
(TY_Years =X$2) *
(TY_Dollars))</f>
        <v>0</v>
      </c>
      <c r="Y17" s="25">
        <f ca="1">SUMPRODUCT(
(Model[[Estimate Type]:[Estimate Type]]= $S$6) *
(Model[[APPN]:[APPN]] = $B16) *
(Model[[PMO / NON PMO]:[PMO / NON PMO]] = "PMO") *
(TY_Years =Y$2) *
(TY_Dollars))</f>
        <v>0</v>
      </c>
      <c r="Z17" s="28">
        <f ca="1">SUM(U17:Y17)</f>
        <v>0</v>
      </c>
      <c r="AA17" s="28">
        <v>0</v>
      </c>
      <c r="AB17" s="30">
        <v>0</v>
      </c>
    </row>
    <row r="18" spans="2:28" s="16" customFormat="1" ht="16" hidden="1" outlineLevel="2" thickBot="1">
      <c r="C18" s="13"/>
      <c r="D18" s="32" t="s">
        <v>102</v>
      </c>
      <c r="E18" s="33">
        <f t="shared" ref="E18:M18" ca="1" si="1">E17-E16</f>
        <v>0</v>
      </c>
      <c r="F18" s="33">
        <f t="shared" ca="1" si="1"/>
        <v>0</v>
      </c>
      <c r="G18" s="33">
        <f t="shared" ca="1" si="1"/>
        <v>0</v>
      </c>
      <c r="H18" s="33">
        <f t="shared" ca="1" si="1"/>
        <v>0</v>
      </c>
      <c r="I18" s="33">
        <f t="shared" ca="1" si="1"/>
        <v>0</v>
      </c>
      <c r="J18" s="33">
        <f t="shared" ca="1" si="1"/>
        <v>0</v>
      </c>
      <c r="K18" s="33">
        <f t="shared" ca="1" si="1"/>
        <v>0</v>
      </c>
      <c r="L18" s="33">
        <f t="shared" ca="1" si="1"/>
        <v>0</v>
      </c>
      <c r="M18" s="33">
        <f t="shared" si="1"/>
        <v>0</v>
      </c>
      <c r="N18" s="34">
        <f ca="1">SUM(E18:K18,M18)</f>
        <v>0</v>
      </c>
      <c r="Q18" s="13"/>
      <c r="R18" s="32" t="s">
        <v>102</v>
      </c>
      <c r="S18" s="33">
        <f t="shared" ref="S18:AA18" ca="1" si="2">S17-S16</f>
        <v>0</v>
      </c>
      <c r="T18" s="33">
        <f t="shared" ca="1" si="2"/>
        <v>0</v>
      </c>
      <c r="U18" s="33">
        <f t="shared" ca="1" si="2"/>
        <v>0</v>
      </c>
      <c r="V18" s="33">
        <f t="shared" ca="1" si="2"/>
        <v>0</v>
      </c>
      <c r="W18" s="33">
        <f t="shared" ca="1" si="2"/>
        <v>0</v>
      </c>
      <c r="X18" s="33">
        <f t="shared" ca="1" si="2"/>
        <v>0</v>
      </c>
      <c r="Y18" s="33">
        <f t="shared" ca="1" si="2"/>
        <v>0</v>
      </c>
      <c r="Z18" s="33">
        <f t="shared" ca="1" si="2"/>
        <v>0</v>
      </c>
      <c r="AA18" s="33">
        <f t="shared" si="2"/>
        <v>0</v>
      </c>
      <c r="AB18" s="34">
        <f ca="1">SUM(S18:Y18,AA18)</f>
        <v>0</v>
      </c>
    </row>
    <row r="19" spans="2:28" s="16" customFormat="1" outlineLevel="1" collapsed="1">
      <c r="B19" s="362" t="str">
        <f>'Global Inputs'!$D$23</f>
        <v>Required $ (Draft CCP)</v>
      </c>
      <c r="C19" s="13"/>
      <c r="D19" s="35" t="str">
        <f>B19</f>
        <v>Required $ (Draft CCP)</v>
      </c>
      <c r="E19" s="28">
        <f ca="1">SUMPRODUCT(
(Model[[Estimate Type]:[Estimate Type]]= $E$8) *
(Model[[APPN]:[APPN]] = $B15) *
(Model[[PMO / NON PMO]:[PMO / NON PMO]] = "Non PMO") *
(TY_Years &lt;F$2) *
(TY_Dollars))</f>
        <v>0</v>
      </c>
      <c r="F19" s="28">
        <f ca="1">SUMPRODUCT(
(Model[[Estimate Type]:[Estimate Type]]= $E$8) *
(Model[[APPN]:[APPN]] = $B15) *
(Model[[PMO / NON PMO]:[PMO / NON PMO]] = "Non PMO") *
(TY_Years =F$2) *
(TY_Dollars))</f>
        <v>0</v>
      </c>
      <c r="G19" s="28">
        <f ca="1">SUMPRODUCT(
(Model[[Estimate Type]:[Estimate Type]]= $E$8) *
(Model[[APPN]:[APPN]] = $B15) *
(Model[[PMO / NON PMO]:[PMO / NON PMO]] = "Non PMO") *
(TY_Years =G$2) *
(TY_Dollars))</f>
        <v>0</v>
      </c>
      <c r="H19" s="28">
        <f ca="1">SUMPRODUCT(
(Model[[Estimate Type]:[Estimate Type]]= $E$8) *
(Model[[APPN]:[APPN]] = $B15) *
(Model[[PMO / NON PMO]:[PMO / NON PMO]] = "Non PMO") *
(TY_Years =H$2) *
(TY_Dollars))</f>
        <v>0</v>
      </c>
      <c r="I19" s="28">
        <f ca="1">SUMPRODUCT(
(Model[[Estimate Type]:[Estimate Type]]= $E$8) *
(Model[[APPN]:[APPN]] = $B15) *
(Model[[PMO / NON PMO]:[PMO / NON PMO]] = "Non PMO") *
(TY_Years =I$2) *
(TY_Dollars))</f>
        <v>0</v>
      </c>
      <c r="J19" s="28">
        <f ca="1">SUMPRODUCT(
(Model[[Estimate Type]:[Estimate Type]]= $E$8) *
(Model[[APPN]:[APPN]] = $B15) *
(Model[[PMO / NON PMO]:[PMO / NON PMO]] = "Non PMO") *
(TY_Years =J$2) *
(TY_Dollars))</f>
        <v>0</v>
      </c>
      <c r="K19" s="28">
        <f ca="1">SUMPRODUCT(
(Model[[Estimate Type]:[Estimate Type]]= $E$8) *
(Model[[APPN]:[APPN]] = $B15) *
(Model[[PMO / NON PMO]:[PMO / NON PMO]] = "Non PMO") *
(TY_Years =K$2) *
(TY_Dollars))</f>
        <v>0</v>
      </c>
      <c r="L19" s="28">
        <f ca="1">SUM(G19:K19)</f>
        <v>0</v>
      </c>
      <c r="M19" s="28">
        <f ca="1">SUMPRODUCT(
(Model[[Estimate Type]:[Estimate Type]]= $E$8) *
(Model[[APPN]:[APPN]] = $B15) *
(Model[[PMO / NON PMO]:[PMO / NON PMO]] = "Non PMO") *
(TY_Years &gt;K$2) *
(TY_Dollars))</f>
        <v>0</v>
      </c>
      <c r="N19" s="36">
        <f ca="1">SUM(E19:K19,M19)</f>
        <v>0</v>
      </c>
      <c r="O19" s="13"/>
      <c r="P19" s="362" t="str">
        <f>$T$7</f>
        <v>Required $ (Draft CCP)</v>
      </c>
      <c r="R19" s="35" t="str">
        <f>P19</f>
        <v>Required $ (Draft CCP)</v>
      </c>
      <c r="S19" s="28">
        <f ca="1">SUMPRODUCT(
(Model[[Estimate Type]:[Estimate Type]]= $S$8) *
(Model[[APPN]:[APPN]] = $B16) *
(Model[[PMO / NON PMO]:[PMO / NON PMO]] = "PMO") *
(TY_Years &lt;T$2) *
(TY_Dollars))</f>
        <v>0</v>
      </c>
      <c r="T19" s="28">
        <f ca="1">SUMPRODUCT(
(Model[[Estimate Type]:[Estimate Type]]= $S$8) *
(Model[[APPN]:[APPN]] = $B16) *
(Model[[PMO / NON PMO]:[PMO / NON PMO]] = "PMO") *
(TY_Years =T$2) *
(TY_Dollars))</f>
        <v>0</v>
      </c>
      <c r="U19" s="28">
        <f ca="1">SUMPRODUCT(
(Model[[Estimate Type]:[Estimate Type]]= $S$8) *
(Model[[APPN]:[APPN]] = $B16) *
(Model[[PMO / NON PMO]:[PMO / NON PMO]] = "PMO") *
(TY_Years =U$2) *
(TY_Dollars))</f>
        <v>0</v>
      </c>
      <c r="V19" s="28">
        <f ca="1">SUMPRODUCT(
(Model[[Estimate Type]:[Estimate Type]]= $S$8) *
(Model[[APPN]:[APPN]] = $B16) *
(Model[[PMO / NON PMO]:[PMO / NON PMO]] = "PMO") *
(TY_Years =V$2) *
(TY_Dollars))</f>
        <v>0</v>
      </c>
      <c r="W19" s="28">
        <f ca="1">SUMPRODUCT(
(Model[[Estimate Type]:[Estimate Type]]= $S$8) *
(Model[[APPN]:[APPN]] = $B16) *
(Model[[PMO / NON PMO]:[PMO / NON PMO]] = "PMO") *
(TY_Years =W$2) *
(TY_Dollars))</f>
        <v>0</v>
      </c>
      <c r="X19" s="28">
        <f ca="1">SUMPRODUCT(
(Model[[Estimate Type]:[Estimate Type]]= $S$8) *
(Model[[APPN]:[APPN]] = $B16) *
(Model[[PMO / NON PMO]:[PMO / NON PMO]] = "PMO") *
(TY_Years =X$2) *
(TY_Dollars))</f>
        <v>0</v>
      </c>
      <c r="Y19" s="28">
        <f ca="1">SUMPRODUCT(
(Model[[Estimate Type]:[Estimate Type]]= $S$8) *
(Model[[APPN]:[APPN]] = $B16) *
(Model[[PMO / NON PMO]:[PMO / NON PMO]] = "PMO") *
(TY_Years =Y$2) *
(TY_Dollars))</f>
        <v>0</v>
      </c>
      <c r="Z19" s="28">
        <f ca="1">SUM(U19:Y19)</f>
        <v>0</v>
      </c>
      <c r="AA19" s="28">
        <f ca="1">SUMPRODUCT(
(Model[[Estimate Type]:[Estimate Type]]= $S$8) *
(Model[[APPN]:[APPN]] = $B16) *
(Model[[PMO / NON PMO]:[PMO / NON PMO]] = "PMO") *
(TY_Years &gt;Y$2) *
(TY_Dollars))</f>
        <v>0</v>
      </c>
      <c r="AB19" s="36">
        <f ca="1">SUM(S19:Y19,AA19)</f>
        <v>0</v>
      </c>
    </row>
    <row r="20" spans="2:28" s="16" customFormat="1" ht="16" hidden="1" outlineLevel="2" thickBot="1">
      <c r="C20" s="13"/>
      <c r="D20" s="37" t="s">
        <v>103</v>
      </c>
      <c r="E20" s="38">
        <f t="shared" ref="E20:M20" ca="1" si="3">IF(E16&gt;0,E17-E19,IF(E17&gt;0,E17-E19,0))</f>
        <v>0</v>
      </c>
      <c r="F20" s="38">
        <f t="shared" ca="1" si="3"/>
        <v>0</v>
      </c>
      <c r="G20" s="38">
        <f t="shared" ca="1" si="3"/>
        <v>0</v>
      </c>
      <c r="H20" s="38">
        <f t="shared" ca="1" si="3"/>
        <v>0</v>
      </c>
      <c r="I20" s="38">
        <f t="shared" ca="1" si="3"/>
        <v>0</v>
      </c>
      <c r="J20" s="38">
        <f t="shared" ca="1" si="3"/>
        <v>0</v>
      </c>
      <c r="K20" s="38">
        <f t="shared" ca="1" si="3"/>
        <v>0</v>
      </c>
      <c r="L20" s="38">
        <f t="shared" ca="1" si="3"/>
        <v>0</v>
      </c>
      <c r="M20" s="38">
        <f t="shared" si="3"/>
        <v>0</v>
      </c>
      <c r="N20" s="39">
        <f ca="1">SUM(E20:K20,M20)</f>
        <v>0</v>
      </c>
      <c r="Q20" s="13"/>
      <c r="R20" s="37" t="s">
        <v>103</v>
      </c>
      <c r="S20" s="38">
        <f t="shared" ref="S20:AA20" ca="1" si="4">IF(S16&gt;0,S17-S19,IF(S17&gt;0,S17-S19,0))</f>
        <v>0</v>
      </c>
      <c r="T20" s="38">
        <f t="shared" ca="1" si="4"/>
        <v>0</v>
      </c>
      <c r="U20" s="38">
        <f t="shared" ca="1" si="4"/>
        <v>0</v>
      </c>
      <c r="V20" s="38">
        <f t="shared" ca="1" si="4"/>
        <v>0</v>
      </c>
      <c r="W20" s="38">
        <f t="shared" ca="1" si="4"/>
        <v>0</v>
      </c>
      <c r="X20" s="38">
        <f t="shared" ca="1" si="4"/>
        <v>0</v>
      </c>
      <c r="Y20" s="38">
        <f t="shared" ca="1" si="4"/>
        <v>0</v>
      </c>
      <c r="Z20" s="38">
        <f t="shared" ca="1" si="4"/>
        <v>0</v>
      </c>
      <c r="AA20" s="38">
        <f t="shared" si="4"/>
        <v>0</v>
      </c>
      <c r="AB20" s="39">
        <f ca="1">SUM(S20:Y20,AA20)</f>
        <v>0</v>
      </c>
    </row>
    <row r="21" spans="2:28" s="16" customFormat="1" ht="16" outlineLevel="1" thickBot="1">
      <c r="B21" s="40"/>
      <c r="C21" s="13"/>
      <c r="D21" s="40"/>
      <c r="E21" s="41"/>
      <c r="F21" s="41"/>
      <c r="G21" s="41"/>
      <c r="H21" s="41"/>
      <c r="I21" s="41"/>
      <c r="J21" s="41"/>
      <c r="K21" s="41"/>
      <c r="L21" s="41"/>
      <c r="M21" s="41"/>
      <c r="N21" s="42"/>
      <c r="R21" s="40"/>
      <c r="S21" s="41"/>
      <c r="T21" s="41"/>
      <c r="U21" s="41"/>
      <c r="V21" s="41"/>
      <c r="W21" s="41"/>
      <c r="X21" s="41"/>
      <c r="Y21" s="41"/>
      <c r="Z21" s="41"/>
      <c r="AA21" s="41"/>
      <c r="AB21" s="42"/>
    </row>
    <row r="22" spans="2:28" s="16" customFormat="1" outlineLevel="1" collapsed="1">
      <c r="B22" s="361" t="s">
        <v>573</v>
      </c>
      <c r="C22" s="13"/>
      <c r="D22" s="23" t="str">
        <f>B22</f>
        <v>Apropriation B</v>
      </c>
      <c r="E22" s="525"/>
      <c r="F22" s="526"/>
      <c r="G22" s="526"/>
      <c r="H22" s="526"/>
      <c r="I22" s="526"/>
      <c r="J22" s="526"/>
      <c r="K22" s="526"/>
      <c r="L22" s="526"/>
      <c r="M22" s="526"/>
      <c r="N22" s="527"/>
      <c r="P22" s="361" t="s">
        <v>573</v>
      </c>
      <c r="R22" s="23" t="str">
        <f>P22</f>
        <v>Apropriation B</v>
      </c>
      <c r="S22" s="525"/>
      <c r="T22" s="526"/>
      <c r="U22" s="526"/>
      <c r="V22" s="526"/>
      <c r="W22" s="526"/>
      <c r="X22" s="526"/>
      <c r="Y22" s="526"/>
      <c r="Z22" s="526"/>
      <c r="AA22" s="526"/>
      <c r="AB22" s="527"/>
    </row>
    <row r="23" spans="2:28" s="16" customFormat="1" ht="16" hidden="1" customHeight="1" outlineLevel="2">
      <c r="B23" s="362" t="str">
        <f>'Global Inputs'!$D$21</f>
        <v>Prior $ (PB17)</v>
      </c>
      <c r="C23" s="13"/>
      <c r="D23" s="24" t="str">
        <f>B23</f>
        <v>Prior $ (PB17)</v>
      </c>
      <c r="E23" s="25">
        <f ca="1">SUMPRODUCT(
(Model[[Estimate Type]:[Estimate Type]]= $E$5) *
(Model[[APPN]:[APPN]] = $B22) *
(Model[[PMO / NON PMO]:[PMO / NON PMO]] = "Non PMO") *
(TY_Years &lt;F$2) *
(TY_Dollars))</f>
        <v>0</v>
      </c>
      <c r="F23" s="25">
        <f ca="1">SUMPRODUCT(
(Model[[Estimate Type]:[Estimate Type]]= $E$5) *
(Model[[APPN]:[APPN]] = $B22) *
(Model[[PMO / NON PMO]:[PMO / NON PMO]] = "Non PMO") *
(TY_Years =F$2) *
(TY_Dollars))</f>
        <v>0</v>
      </c>
      <c r="G23" s="25">
        <f ca="1">SUMPRODUCT(
(Model[[Estimate Type]:[Estimate Type]]= $E$5) *
(Model[[APPN]:[APPN]] = $B22) *
(Model[[PMO / NON PMO]:[PMO / NON PMO]] = "Non PMO") *
(TY_Years =G$2) *
(TY_Dollars))</f>
        <v>0</v>
      </c>
      <c r="H23" s="25">
        <f ca="1">SUMPRODUCT(
(Model[[Estimate Type]:[Estimate Type]]= $E$5) *
(Model[[APPN]:[APPN]] = $B22) *
(Model[[PMO / NON PMO]:[PMO / NON PMO]] = "Non PMO") *
(TY_Years =H$2) *
(TY_Dollars))</f>
        <v>0</v>
      </c>
      <c r="I23" s="25">
        <f ca="1">SUMPRODUCT(
(Model[[Estimate Type]:[Estimate Type]]= $E$5) *
(Model[[APPN]:[APPN]] = $B22) *
(Model[[PMO / NON PMO]:[PMO / NON PMO]] = "Non PMO") *
(TY_Years =I$2) *
(TY_Dollars))</f>
        <v>0</v>
      </c>
      <c r="J23" s="25">
        <f ca="1">SUMPRODUCT(
(Model[[Estimate Type]:[Estimate Type]]= $E$5) *
(Model[[APPN]:[APPN]] = $B22) *
(Model[[PMO / NON PMO]:[PMO / NON PMO]] = "Non PMO") *
(TY_Years =J$2) *
(TY_Dollars))</f>
        <v>0</v>
      </c>
      <c r="K23" s="25">
        <f ca="1">SUMPRODUCT(
(Model[[Estimate Type]:[Estimate Type]]= $E$5) *
(Model[[APPN]:[APPN]] = $B22) *
(Model[[PMO / NON PMO]:[PMO / NON PMO]] = "Non PMO") *
(TY_Years =K$2) *
(TY_Dollars))</f>
        <v>0</v>
      </c>
      <c r="L23" s="25">
        <f ca="1">SUM(G23:K23)</f>
        <v>0</v>
      </c>
      <c r="M23" s="25">
        <v>0</v>
      </c>
      <c r="N23" s="26">
        <v>0</v>
      </c>
      <c r="O23" s="13"/>
      <c r="P23" s="362" t="str">
        <f>$T$5</f>
        <v>Prior $ (PB17)</v>
      </c>
      <c r="R23" s="24" t="str">
        <f>P23</f>
        <v>Prior $ (PB17)</v>
      </c>
      <c r="S23" s="25">
        <f ca="1">SUMPRODUCT(
(Model[[Estimate Type]:[Estimate Type]]= $S$5) *
(Model[[APPN]:[APPN]] = $B23) *
(Model[[PMO / NON PMO]:[PMO / NON PMO]] = "PMO") *
(TY_Years &lt;T$2) *
(TY_Dollars))</f>
        <v>0</v>
      </c>
      <c r="T23" s="25">
        <f ca="1">SUMPRODUCT(
(Model[[Estimate Type]:[Estimate Type]]= $S$5) *
(Model[[APPN]:[APPN]] = $B23) *
(Model[[PMO / NON PMO]:[PMO / NON PMO]] = "PMO") *
(TY_Years =T$2) *
(TY_Dollars))</f>
        <v>0</v>
      </c>
      <c r="U23" s="25">
        <f ca="1">SUMPRODUCT(
(Model[[Estimate Type]:[Estimate Type]]= $S$5) *
(Model[[APPN]:[APPN]] = $B23) *
(Model[[PMO / NON PMO]:[PMO / NON PMO]] = "PMO") *
(TY_Years =U$2) *
(TY_Dollars))</f>
        <v>0</v>
      </c>
      <c r="V23" s="25">
        <f ca="1">SUMPRODUCT(
(Model[[Estimate Type]:[Estimate Type]]= $S$5) *
(Model[[APPN]:[APPN]] = $B23) *
(Model[[PMO / NON PMO]:[PMO / NON PMO]] = "PMO") *
(TY_Years =V$2) *
(TY_Dollars))</f>
        <v>0</v>
      </c>
      <c r="W23" s="25">
        <f ca="1">SUMPRODUCT(
(Model[[Estimate Type]:[Estimate Type]]= $S$5) *
(Model[[APPN]:[APPN]] = $B23) *
(Model[[PMO / NON PMO]:[PMO / NON PMO]] = "PMO") *
(TY_Years =W$2) *
(TY_Dollars))</f>
        <v>0</v>
      </c>
      <c r="X23" s="25">
        <f ca="1">SUMPRODUCT(
(Model[[Estimate Type]:[Estimate Type]]= $S$5) *
(Model[[APPN]:[APPN]] = $B23) *
(Model[[PMO / NON PMO]:[PMO / NON PMO]] = "PMO") *
(TY_Years =X$2) *
(TY_Dollars))</f>
        <v>0</v>
      </c>
      <c r="Y23" s="25">
        <f ca="1">SUMPRODUCT(
(Model[[Estimate Type]:[Estimate Type]]= $S$5) *
(Model[[APPN]:[APPN]] = $B23) *
(Model[[PMO / NON PMO]:[PMO / NON PMO]] = "PMO") *
(TY_Years =Y$2) *
(TY_Dollars))</f>
        <v>0</v>
      </c>
      <c r="Z23" s="25">
        <f ca="1">SUM(U23:Y23)</f>
        <v>0</v>
      </c>
      <c r="AA23" s="25">
        <v>0</v>
      </c>
      <c r="AB23" s="26">
        <v>0</v>
      </c>
    </row>
    <row r="24" spans="2:28" s="16" customFormat="1" hidden="1" outlineLevel="2">
      <c r="B24" s="362" t="str">
        <f>'Global Inputs'!$D$22</f>
        <v>Current $ (POM18)</v>
      </c>
      <c r="C24" s="13"/>
      <c r="D24" s="27" t="str">
        <f>B24</f>
        <v>Current $ (POM18)</v>
      </c>
      <c r="E24" s="25">
        <f ca="1">SUMPRODUCT(
(Model[[Estimate Type]:[Estimate Type]]= $E$6) *
(Model[[APPN]:[APPN]] = $B22) *
(Model[[PMO / NON PMO]:[PMO / NON PMO]] = "PMO") *
(TY_Years &lt;F$2) *
(TY_Dollars))</f>
        <v>0</v>
      </c>
      <c r="F24" s="25">
        <f ca="1">SUMPRODUCT(
(Model[[Estimate Type]:[Estimate Type]]= $E$6) *
(Model[[APPN]:[APPN]] = $B22) *
(Model[[PMO / NON PMO]:[PMO / NON PMO]] = "Non PMO") *
(TY_Years =F$2) *
(TY_Dollars))</f>
        <v>0</v>
      </c>
      <c r="G24" s="25">
        <f ca="1">SUMPRODUCT(
(Model[[Estimate Type]:[Estimate Type]]= $E$6) *
(Model[[APPN]:[APPN]] = $B22) *
(Model[[PMO / NON PMO]:[PMO / NON PMO]] = "Non PMO") *
(TY_Years =G$2) *
(TY_Dollars))</f>
        <v>0</v>
      </c>
      <c r="H24" s="25">
        <f ca="1">SUMPRODUCT(
(Model[[Estimate Type]:[Estimate Type]]= $E$6) *
(Model[[APPN]:[APPN]] = $B22) *
(Model[[PMO / NON PMO]:[PMO / NON PMO]] = "Non PMO") *
(TY_Years =H$2) *
(TY_Dollars))</f>
        <v>0</v>
      </c>
      <c r="I24" s="25">
        <f ca="1">SUMPRODUCT(
(Model[[Estimate Type]:[Estimate Type]]= $E$6) *
(Model[[APPN]:[APPN]] = $B22) *
(Model[[PMO / NON PMO]:[PMO / NON PMO]] = "Non PMO") *
(TY_Years =I$2) *
(TY_Dollars))</f>
        <v>0</v>
      </c>
      <c r="J24" s="25">
        <f ca="1">SUMPRODUCT(
(Model[[Estimate Type]:[Estimate Type]]= $E$6) *
(Model[[APPN]:[APPN]] = $B22) *
(Model[[PMO / NON PMO]:[PMO / NON PMO]] = "Non PMO") *
(TY_Years =J$2) *
(TY_Dollars))</f>
        <v>0</v>
      </c>
      <c r="K24" s="25">
        <f ca="1">SUMPRODUCT(
(Model[[Estimate Type]:[Estimate Type]]= $E$6) *
(Model[[APPN]:[APPN]] = $B22) *
(Model[[PMO / NON PMO]:[PMO / NON PMO]] = "Non PMO") *
(TY_Years =K$2) *
(TY_Dollars))</f>
        <v>0</v>
      </c>
      <c r="L24" s="28">
        <f ca="1">SUM(G24:K24)</f>
        <v>0</v>
      </c>
      <c r="M24" s="28">
        <v>0</v>
      </c>
      <c r="N24" s="30">
        <v>0</v>
      </c>
      <c r="O24" s="13"/>
      <c r="P24" s="362" t="str">
        <f>$T$6</f>
        <v>Current $ (POM18)</v>
      </c>
      <c r="Q24" s="13"/>
      <c r="R24" s="27" t="str">
        <f>P24</f>
        <v>Current $ (POM18)</v>
      </c>
      <c r="S24" s="25">
        <f ca="1">SUMPRODUCT(
(Model[[Estimate Type]:[Estimate Type]]= $S$6) *
(Model[[APPN]:[APPN]] = $B23) *
(Model[[PMO / NON PMO]:[PMO / NON PMO]] = "PMO") *
(TY_Years &lt;T$2) *
(TY_Dollars))</f>
        <v>0</v>
      </c>
      <c r="T24" s="25">
        <f ca="1">SUMPRODUCT(
(Model[[Estimate Type]:[Estimate Type]]= $S$6) *
(Model[[APPN]:[APPN]] = $B23) *
(Model[[PMO / NON PMO]:[PMO / NON PMO]] = "PMO") *
(TY_Years =T$2) *
(TY_Dollars))</f>
        <v>0</v>
      </c>
      <c r="U24" s="25">
        <f ca="1">SUMPRODUCT(
(Model[[Estimate Type]:[Estimate Type]]= $S$6) *
(Model[[APPN]:[APPN]] = $B23) *
(Model[[PMO / NON PMO]:[PMO / NON PMO]] = "PMO") *
(TY_Years =U$2) *
(TY_Dollars))</f>
        <v>0</v>
      </c>
      <c r="V24" s="25">
        <f ca="1">SUMPRODUCT(
(Model[[Estimate Type]:[Estimate Type]]= $S$6) *
(Model[[APPN]:[APPN]] = $B23) *
(Model[[PMO / NON PMO]:[PMO / NON PMO]] = "PMO") *
(TY_Years =V$2) *
(TY_Dollars))</f>
        <v>0</v>
      </c>
      <c r="W24" s="25">
        <f ca="1">SUMPRODUCT(
(Model[[Estimate Type]:[Estimate Type]]= $S$6) *
(Model[[APPN]:[APPN]] = $B23) *
(Model[[PMO / NON PMO]:[PMO / NON PMO]] = "PMO") *
(TY_Years =W$2) *
(TY_Dollars))</f>
        <v>0</v>
      </c>
      <c r="X24" s="25">
        <f ca="1">SUMPRODUCT(
(Model[[Estimate Type]:[Estimate Type]]= $S$6) *
(Model[[APPN]:[APPN]] = $B23) *
(Model[[PMO / NON PMO]:[PMO / NON PMO]] = "PMO") *
(TY_Years =X$2) *
(TY_Dollars))</f>
        <v>0</v>
      </c>
      <c r="Y24" s="25">
        <f ca="1">SUMPRODUCT(
(Model[[Estimate Type]:[Estimate Type]]= $S$6) *
(Model[[APPN]:[APPN]] = $B23) *
(Model[[PMO / NON PMO]:[PMO / NON PMO]] = "PMO") *
(TY_Years =Y$2) *
(TY_Dollars))</f>
        <v>0</v>
      </c>
      <c r="Z24" s="28">
        <f ca="1">SUM(U24:Y24)</f>
        <v>0</v>
      </c>
      <c r="AA24" s="28">
        <v>0</v>
      </c>
      <c r="AB24" s="30">
        <v>0</v>
      </c>
    </row>
    <row r="25" spans="2:28" s="16" customFormat="1" ht="16" hidden="1" outlineLevel="2" thickBot="1">
      <c r="C25" s="13"/>
      <c r="D25" s="32" t="s">
        <v>102</v>
      </c>
      <c r="E25" s="33">
        <f t="shared" ref="E25:M25" ca="1" si="5">E24-E23</f>
        <v>0</v>
      </c>
      <c r="F25" s="33">
        <f t="shared" ca="1" si="5"/>
        <v>0</v>
      </c>
      <c r="G25" s="33">
        <f t="shared" ca="1" si="5"/>
        <v>0</v>
      </c>
      <c r="H25" s="33">
        <f t="shared" ca="1" si="5"/>
        <v>0</v>
      </c>
      <c r="I25" s="33">
        <f t="shared" ca="1" si="5"/>
        <v>0</v>
      </c>
      <c r="J25" s="33">
        <f t="shared" ca="1" si="5"/>
        <v>0</v>
      </c>
      <c r="K25" s="33">
        <f t="shared" ca="1" si="5"/>
        <v>0</v>
      </c>
      <c r="L25" s="33">
        <f t="shared" ca="1" si="5"/>
        <v>0</v>
      </c>
      <c r="M25" s="33">
        <f t="shared" si="5"/>
        <v>0</v>
      </c>
      <c r="N25" s="34">
        <f ca="1">SUM(E25:K25,M25)</f>
        <v>0</v>
      </c>
      <c r="Q25" s="13"/>
      <c r="R25" s="32" t="s">
        <v>102</v>
      </c>
      <c r="S25" s="33">
        <f t="shared" ref="S25:AA25" ca="1" si="6">S24-S23</f>
        <v>0</v>
      </c>
      <c r="T25" s="33">
        <f t="shared" ca="1" si="6"/>
        <v>0</v>
      </c>
      <c r="U25" s="33">
        <f t="shared" ca="1" si="6"/>
        <v>0</v>
      </c>
      <c r="V25" s="33">
        <f t="shared" ca="1" si="6"/>
        <v>0</v>
      </c>
      <c r="W25" s="33">
        <f t="shared" ca="1" si="6"/>
        <v>0</v>
      </c>
      <c r="X25" s="33">
        <f t="shared" ca="1" si="6"/>
        <v>0</v>
      </c>
      <c r="Y25" s="33">
        <f t="shared" ca="1" si="6"/>
        <v>0</v>
      </c>
      <c r="Z25" s="33">
        <f t="shared" ca="1" si="6"/>
        <v>0</v>
      </c>
      <c r="AA25" s="33">
        <f t="shared" si="6"/>
        <v>0</v>
      </c>
      <c r="AB25" s="34">
        <f ca="1">SUM(S25:Y25,AA25)</f>
        <v>0</v>
      </c>
    </row>
    <row r="26" spans="2:28" s="16" customFormat="1" outlineLevel="1" collapsed="1">
      <c r="B26" s="362" t="str">
        <f>'Global Inputs'!$D$23</f>
        <v>Required $ (Draft CCP)</v>
      </c>
      <c r="C26" s="13"/>
      <c r="D26" s="35" t="str">
        <f>B26</f>
        <v>Required $ (Draft CCP)</v>
      </c>
      <c r="E26" s="28">
        <f ca="1">SUMPRODUCT(
(Model[[Estimate Type]:[Estimate Type]]= $E$8) *
(Model[[APPN]:[APPN]] = $B22) *
(Model[[PMO / NON PMO]:[PMO / NON PMO]] = "Non PMO") *
(TY_Years &lt;F$2) *
(TY_Dollars))</f>
        <v>0</v>
      </c>
      <c r="F26" s="28">
        <f ca="1">SUMPRODUCT(
(Model[[Estimate Type]:[Estimate Type]]= $E$8) *
(Model[[APPN]:[APPN]] = $B22) *
(Model[[PMO / NON PMO]:[PMO / NON PMO]] = "Non PMO") *
(TY_Years =F$2) *
(TY_Dollars))</f>
        <v>0</v>
      </c>
      <c r="G26" s="28">
        <f ca="1">SUMPRODUCT(
(Model[[Estimate Type]:[Estimate Type]]= $E$8) *
(Model[[APPN]:[APPN]] = $B22) *
(Model[[PMO / NON PMO]:[PMO / NON PMO]] = "Non PMO") *
(TY_Years =G$2) *
(TY_Dollars))</f>
        <v>0</v>
      </c>
      <c r="H26" s="28">
        <f ca="1">SUMPRODUCT(
(Model[[Estimate Type]:[Estimate Type]]= $E$8) *
(Model[[APPN]:[APPN]] = $B22) *
(Model[[PMO / NON PMO]:[PMO / NON PMO]] = "Non PMO") *
(TY_Years =H$2) *
(TY_Dollars))</f>
        <v>0</v>
      </c>
      <c r="I26" s="28">
        <f ca="1">SUMPRODUCT(
(Model[[Estimate Type]:[Estimate Type]]= $E$8) *
(Model[[APPN]:[APPN]] = $B22) *
(Model[[PMO / NON PMO]:[PMO / NON PMO]] = "Non PMO") *
(TY_Years =I$2) *
(TY_Dollars))</f>
        <v>0</v>
      </c>
      <c r="J26" s="28">
        <f ca="1">SUMPRODUCT(
(Model[[Estimate Type]:[Estimate Type]]= $E$8) *
(Model[[APPN]:[APPN]] = $B22) *
(Model[[PMO / NON PMO]:[PMO / NON PMO]] = "Non PMO") *
(TY_Years =J$2) *
(TY_Dollars))</f>
        <v>0</v>
      </c>
      <c r="K26" s="28">
        <f ca="1">SUMPRODUCT(
(Model[[Estimate Type]:[Estimate Type]]= $E$8) *
(Model[[APPN]:[APPN]] = $B22) *
(Model[[PMO / NON PMO]:[PMO / NON PMO]] = "Non PMO") *
(TY_Years =K$2) *
(TY_Dollars))</f>
        <v>0</v>
      </c>
      <c r="L26" s="28">
        <f ca="1">SUM(G26:K26)</f>
        <v>0</v>
      </c>
      <c r="M26" s="28">
        <f ca="1">SUMPRODUCT(
(Model[[Estimate Type]:[Estimate Type]]= $E$8) *
(Model[[APPN]:[APPN]] = $B22) *
(Model[[PMO / NON PMO]:[PMO / NON PMO]] = "Non PMO") *
(TY_Years &gt;K$2) *
(TY_Dollars))</f>
        <v>0</v>
      </c>
      <c r="N26" s="36">
        <f ca="1">SUM(E26:K26,M26)</f>
        <v>0</v>
      </c>
      <c r="O26" s="13"/>
      <c r="P26" s="362" t="str">
        <f>$T$7</f>
        <v>Required $ (Draft CCP)</v>
      </c>
      <c r="R26" s="35" t="str">
        <f>P26</f>
        <v>Required $ (Draft CCP)</v>
      </c>
      <c r="S26" s="28">
        <f ca="1">SUMPRODUCT(
(Model[[Estimate Type]:[Estimate Type]]= $S$8) *
(Model[[APPN]:[APPN]] = $B23) *
(Model[[PMO / NON PMO]:[PMO / NON PMO]] = "PMO") *
(TY_Years &lt;T$2) *
(TY_Dollars))</f>
        <v>0</v>
      </c>
      <c r="T26" s="28">
        <f ca="1">SUMPRODUCT(
(Model[[Estimate Type]:[Estimate Type]]= $S$8) *
(Model[[APPN]:[APPN]] = $B23) *
(Model[[PMO / NON PMO]:[PMO / NON PMO]] = "PMO") *
(TY_Years =T$2) *
(TY_Dollars))</f>
        <v>0</v>
      </c>
      <c r="U26" s="28">
        <f ca="1">SUMPRODUCT(
(Model[[Estimate Type]:[Estimate Type]]= $S$8) *
(Model[[APPN]:[APPN]] = $B23) *
(Model[[PMO / NON PMO]:[PMO / NON PMO]] = "PMO") *
(TY_Years =U$2) *
(TY_Dollars))</f>
        <v>0</v>
      </c>
      <c r="V26" s="28">
        <f ca="1">SUMPRODUCT(
(Model[[Estimate Type]:[Estimate Type]]= $S$8) *
(Model[[APPN]:[APPN]] = $B23) *
(Model[[PMO / NON PMO]:[PMO / NON PMO]] = "PMO") *
(TY_Years =V$2) *
(TY_Dollars))</f>
        <v>0</v>
      </c>
      <c r="W26" s="28">
        <f ca="1">SUMPRODUCT(
(Model[[Estimate Type]:[Estimate Type]]= $S$8) *
(Model[[APPN]:[APPN]] = $B23) *
(Model[[PMO / NON PMO]:[PMO / NON PMO]] = "PMO") *
(TY_Years =W$2) *
(TY_Dollars))</f>
        <v>0</v>
      </c>
      <c r="X26" s="28">
        <f ca="1">SUMPRODUCT(
(Model[[Estimate Type]:[Estimate Type]]= $S$8) *
(Model[[APPN]:[APPN]] = $B23) *
(Model[[PMO / NON PMO]:[PMO / NON PMO]] = "PMO") *
(TY_Years =X$2) *
(TY_Dollars))</f>
        <v>0</v>
      </c>
      <c r="Y26" s="28">
        <f ca="1">SUMPRODUCT(
(Model[[Estimate Type]:[Estimate Type]]= $S$8) *
(Model[[APPN]:[APPN]] = $B23) *
(Model[[PMO / NON PMO]:[PMO / NON PMO]] = "PMO") *
(TY_Years =Y$2) *
(TY_Dollars))</f>
        <v>0</v>
      </c>
      <c r="Z26" s="28">
        <f ca="1">SUM(U26:Y26)</f>
        <v>0</v>
      </c>
      <c r="AA26" s="28">
        <f ca="1">SUMPRODUCT(
(Model[[Estimate Type]:[Estimate Type]]= $S$8) *
(Model[[APPN]:[APPN]] = $B23) *
(Model[[PMO / NON PMO]:[PMO / NON PMO]] = "PMO") *
(TY_Years &gt;Y$2) *
(TY_Dollars))</f>
        <v>0</v>
      </c>
      <c r="AB26" s="36">
        <f ca="1">SUM(S26:Y26,AA26)</f>
        <v>0</v>
      </c>
    </row>
    <row r="27" spans="2:28" s="16" customFormat="1" ht="16" hidden="1" outlineLevel="2" thickBot="1">
      <c r="C27" s="13"/>
      <c r="D27" s="37" t="s">
        <v>103</v>
      </c>
      <c r="E27" s="38">
        <f t="shared" ref="E27:M27" ca="1" si="7">IF(E23&gt;0,E24-E26,IF(E24&gt;0,E24-E26,0))</f>
        <v>0</v>
      </c>
      <c r="F27" s="38">
        <f t="shared" ca="1" si="7"/>
        <v>0</v>
      </c>
      <c r="G27" s="38">
        <f t="shared" ca="1" si="7"/>
        <v>0</v>
      </c>
      <c r="H27" s="38">
        <f t="shared" ca="1" si="7"/>
        <v>0</v>
      </c>
      <c r="I27" s="38">
        <f t="shared" ca="1" si="7"/>
        <v>0</v>
      </c>
      <c r="J27" s="38">
        <f t="shared" ca="1" si="7"/>
        <v>0</v>
      </c>
      <c r="K27" s="38">
        <f t="shared" ca="1" si="7"/>
        <v>0</v>
      </c>
      <c r="L27" s="38">
        <f t="shared" ca="1" si="7"/>
        <v>0</v>
      </c>
      <c r="M27" s="38">
        <f t="shared" si="7"/>
        <v>0</v>
      </c>
      <c r="N27" s="39">
        <f ca="1">SUM(E27:K27,M27)</f>
        <v>0</v>
      </c>
      <c r="Q27" s="13"/>
      <c r="R27" s="37" t="s">
        <v>103</v>
      </c>
      <c r="S27" s="38">
        <f t="shared" ref="S27:AA27" ca="1" si="8">IF(S23&gt;0,S24-S26,IF(S24&gt;0,S24-S26,0))</f>
        <v>0</v>
      </c>
      <c r="T27" s="38">
        <f t="shared" ca="1" si="8"/>
        <v>0</v>
      </c>
      <c r="U27" s="38">
        <f t="shared" ca="1" si="8"/>
        <v>0</v>
      </c>
      <c r="V27" s="38">
        <f t="shared" ca="1" si="8"/>
        <v>0</v>
      </c>
      <c r="W27" s="38">
        <f t="shared" ca="1" si="8"/>
        <v>0</v>
      </c>
      <c r="X27" s="38">
        <f t="shared" ca="1" si="8"/>
        <v>0</v>
      </c>
      <c r="Y27" s="38">
        <f t="shared" ca="1" si="8"/>
        <v>0</v>
      </c>
      <c r="Z27" s="38">
        <f t="shared" ca="1" si="8"/>
        <v>0</v>
      </c>
      <c r="AA27" s="38">
        <f t="shared" si="8"/>
        <v>0</v>
      </c>
      <c r="AB27" s="39">
        <f ca="1">SUM(S27:Y27,AA27)</f>
        <v>0</v>
      </c>
    </row>
    <row r="28" spans="2:28" s="16" customFormat="1" ht="16" outlineLevel="1" thickBot="1">
      <c r="B28" s="40"/>
      <c r="C28" s="13"/>
      <c r="D28" s="40"/>
      <c r="E28" s="41"/>
      <c r="F28" s="41"/>
      <c r="G28" s="41"/>
      <c r="H28" s="41"/>
      <c r="I28" s="41"/>
      <c r="J28" s="41"/>
      <c r="K28" s="41"/>
      <c r="L28" s="41"/>
      <c r="M28" s="41"/>
      <c r="N28" s="42"/>
      <c r="R28" s="40"/>
      <c r="S28" s="41"/>
      <c r="T28" s="41"/>
      <c r="U28" s="41"/>
      <c r="V28" s="41"/>
      <c r="W28" s="41"/>
      <c r="X28" s="41"/>
      <c r="Y28" s="41"/>
      <c r="Z28" s="41"/>
      <c r="AA28" s="41"/>
      <c r="AB28" s="42"/>
    </row>
    <row r="29" spans="2:28" s="16" customFormat="1" outlineLevel="1" collapsed="1">
      <c r="B29" s="361" t="s">
        <v>574</v>
      </c>
      <c r="C29" s="13"/>
      <c r="D29" s="23" t="str">
        <f>B29</f>
        <v>Apropriation C</v>
      </c>
      <c r="E29" s="525"/>
      <c r="F29" s="526"/>
      <c r="G29" s="526"/>
      <c r="H29" s="526"/>
      <c r="I29" s="526"/>
      <c r="J29" s="526"/>
      <c r="K29" s="526"/>
      <c r="L29" s="526"/>
      <c r="M29" s="526"/>
      <c r="N29" s="527"/>
      <c r="P29" s="361" t="s">
        <v>574</v>
      </c>
      <c r="R29" s="23" t="str">
        <f>P29</f>
        <v>Apropriation C</v>
      </c>
      <c r="S29" s="525"/>
      <c r="T29" s="526"/>
      <c r="U29" s="526"/>
      <c r="V29" s="526"/>
      <c r="W29" s="526"/>
      <c r="X29" s="526"/>
      <c r="Y29" s="526"/>
      <c r="Z29" s="526"/>
      <c r="AA29" s="526"/>
      <c r="AB29" s="527"/>
    </row>
    <row r="30" spans="2:28" s="16" customFormat="1" ht="16" hidden="1" customHeight="1" outlineLevel="2">
      <c r="B30" s="362" t="str">
        <f>'Global Inputs'!$D$21</f>
        <v>Prior $ (PB17)</v>
      </c>
      <c r="C30" s="13"/>
      <c r="D30" s="24" t="str">
        <f>B30</f>
        <v>Prior $ (PB17)</v>
      </c>
      <c r="E30" s="25">
        <f ca="1">SUMPRODUCT(
(Model[[Estimate Type]:[Estimate Type]]= $E$5) *
(Model[[APPN]:[APPN]] = $B29) *
(Model[[PMO / NON PMO]:[PMO / NON PMO]] = "Non PMO") *
(TY_Years &lt;F$2) *
(TY_Dollars))</f>
        <v>0</v>
      </c>
      <c r="F30" s="25">
        <f ca="1">SUMPRODUCT(
(Model[[Estimate Type]:[Estimate Type]]= $E$5) *
(Model[[APPN]:[APPN]] = $B29) *
(Model[[PMO / NON PMO]:[PMO / NON PMO]] = "Non PMO") *
(TY_Years =F$2) *
(TY_Dollars))</f>
        <v>0</v>
      </c>
      <c r="G30" s="25">
        <f ca="1">SUMPRODUCT(
(Model[[Estimate Type]:[Estimate Type]]= $E$5) *
(Model[[APPN]:[APPN]] = $B29) *
(Model[[PMO / NON PMO]:[PMO / NON PMO]] = "Non PMO") *
(TY_Years =G$2) *
(TY_Dollars))</f>
        <v>0</v>
      </c>
      <c r="H30" s="25">
        <f ca="1">SUMPRODUCT(
(Model[[Estimate Type]:[Estimate Type]]= $E$5) *
(Model[[APPN]:[APPN]] = $B29) *
(Model[[PMO / NON PMO]:[PMO / NON PMO]] = "Non PMO") *
(TY_Years =H$2) *
(TY_Dollars))</f>
        <v>0</v>
      </c>
      <c r="I30" s="25">
        <f ca="1">SUMPRODUCT(
(Model[[Estimate Type]:[Estimate Type]]= $E$5) *
(Model[[APPN]:[APPN]] = $B29) *
(Model[[PMO / NON PMO]:[PMO / NON PMO]] = "Non PMO") *
(TY_Years =I$2) *
(TY_Dollars))</f>
        <v>0</v>
      </c>
      <c r="J30" s="25">
        <f ca="1">SUMPRODUCT(
(Model[[Estimate Type]:[Estimate Type]]= $E$5) *
(Model[[APPN]:[APPN]] = $B29) *
(Model[[PMO / NON PMO]:[PMO / NON PMO]] = "Non PMO") *
(TY_Years =J$2) *
(TY_Dollars))</f>
        <v>0</v>
      </c>
      <c r="K30" s="25">
        <f ca="1">SUMPRODUCT(
(Model[[Estimate Type]:[Estimate Type]]= $E$5) *
(Model[[APPN]:[APPN]] = $B29) *
(Model[[PMO / NON PMO]:[PMO / NON PMO]] = "Non PMO") *
(TY_Years =K$2) *
(TY_Dollars))</f>
        <v>0</v>
      </c>
      <c r="L30" s="25">
        <f ca="1">SUM(G30:K30)</f>
        <v>0</v>
      </c>
      <c r="M30" s="25">
        <v>0</v>
      </c>
      <c r="N30" s="26">
        <v>0</v>
      </c>
      <c r="O30" s="13"/>
      <c r="P30" s="362" t="str">
        <f>$T$5</f>
        <v>Prior $ (PB17)</v>
      </c>
      <c r="R30" s="24" t="str">
        <f>P30</f>
        <v>Prior $ (PB17)</v>
      </c>
      <c r="S30" s="25">
        <f ca="1">SUMPRODUCT(
(Model[[Estimate Type]:[Estimate Type]]= $S$5) *
(Model[[APPN]:[APPN]] = $B30) *
(Model[[PMO / NON PMO]:[PMO / NON PMO]] = "PMO") *
(TY_Years &lt;T$2) *
(TY_Dollars))</f>
        <v>0</v>
      </c>
      <c r="T30" s="25">
        <f ca="1">SUMPRODUCT(
(Model[[Estimate Type]:[Estimate Type]]= $S$5) *
(Model[[APPN]:[APPN]] = $B30) *
(Model[[PMO / NON PMO]:[PMO / NON PMO]] = "PMO") *
(TY_Years =T$2) *
(TY_Dollars))</f>
        <v>0</v>
      </c>
      <c r="U30" s="25">
        <f ca="1">SUMPRODUCT(
(Model[[Estimate Type]:[Estimate Type]]= $S$5) *
(Model[[APPN]:[APPN]] = $B30) *
(Model[[PMO / NON PMO]:[PMO / NON PMO]] = "PMO") *
(TY_Years =U$2) *
(TY_Dollars))</f>
        <v>0</v>
      </c>
      <c r="V30" s="25">
        <f ca="1">SUMPRODUCT(
(Model[[Estimate Type]:[Estimate Type]]= $S$5) *
(Model[[APPN]:[APPN]] = $B30) *
(Model[[PMO / NON PMO]:[PMO / NON PMO]] = "PMO") *
(TY_Years =V$2) *
(TY_Dollars))</f>
        <v>0</v>
      </c>
      <c r="W30" s="25">
        <f ca="1">SUMPRODUCT(
(Model[[Estimate Type]:[Estimate Type]]= $S$5) *
(Model[[APPN]:[APPN]] = $B30) *
(Model[[PMO / NON PMO]:[PMO / NON PMO]] = "PMO") *
(TY_Years =W$2) *
(TY_Dollars))</f>
        <v>0</v>
      </c>
      <c r="X30" s="25">
        <f ca="1">SUMPRODUCT(
(Model[[Estimate Type]:[Estimate Type]]= $S$5) *
(Model[[APPN]:[APPN]] = $B30) *
(Model[[PMO / NON PMO]:[PMO / NON PMO]] = "PMO") *
(TY_Years =X$2) *
(TY_Dollars))</f>
        <v>0</v>
      </c>
      <c r="Y30" s="25">
        <f ca="1">SUMPRODUCT(
(Model[[Estimate Type]:[Estimate Type]]= $S$5) *
(Model[[APPN]:[APPN]] = $B30) *
(Model[[PMO / NON PMO]:[PMO / NON PMO]] = "PMO") *
(TY_Years =Y$2) *
(TY_Dollars))</f>
        <v>0</v>
      </c>
      <c r="Z30" s="25">
        <f ca="1">SUM(U30:Y30)</f>
        <v>0</v>
      </c>
      <c r="AA30" s="25">
        <v>0</v>
      </c>
      <c r="AB30" s="26">
        <v>0</v>
      </c>
    </row>
    <row r="31" spans="2:28" s="16" customFormat="1" hidden="1" outlineLevel="2">
      <c r="B31" s="362" t="str">
        <f>'Global Inputs'!$D$22</f>
        <v>Current $ (POM18)</v>
      </c>
      <c r="C31" s="13"/>
      <c r="D31" s="27" t="str">
        <f>B31</f>
        <v>Current $ (POM18)</v>
      </c>
      <c r="E31" s="25">
        <f ca="1">SUMPRODUCT(
(Model[[Estimate Type]:[Estimate Type]]= $E$6) *
(Model[[APPN]:[APPN]] = $B29) *
(Model[[PMO / NON PMO]:[PMO / NON PMO]] = "PMO") *
(TY_Years &lt;F$2) *
(TY_Dollars))</f>
        <v>0</v>
      </c>
      <c r="F31" s="25">
        <f ca="1">SUMPRODUCT(
(Model[[Estimate Type]:[Estimate Type]]= $E$6) *
(Model[[APPN]:[APPN]] = $B29) *
(Model[[PMO / NON PMO]:[PMO / NON PMO]] = "Non PMO") *
(TY_Years =F$2) *
(TY_Dollars))</f>
        <v>0</v>
      </c>
      <c r="G31" s="25">
        <f ca="1">SUMPRODUCT(
(Model[[Estimate Type]:[Estimate Type]]= $E$6) *
(Model[[APPN]:[APPN]] = $B29) *
(Model[[PMO / NON PMO]:[PMO / NON PMO]] = "Non PMO") *
(TY_Years =G$2) *
(TY_Dollars))</f>
        <v>0</v>
      </c>
      <c r="H31" s="25">
        <f ca="1">SUMPRODUCT(
(Model[[Estimate Type]:[Estimate Type]]= $E$6) *
(Model[[APPN]:[APPN]] = $B29) *
(Model[[PMO / NON PMO]:[PMO / NON PMO]] = "Non PMO") *
(TY_Years =H$2) *
(TY_Dollars))</f>
        <v>0</v>
      </c>
      <c r="I31" s="25">
        <f ca="1">SUMPRODUCT(
(Model[[Estimate Type]:[Estimate Type]]= $E$6) *
(Model[[APPN]:[APPN]] = $B29) *
(Model[[PMO / NON PMO]:[PMO / NON PMO]] = "Non PMO") *
(TY_Years =I$2) *
(TY_Dollars))</f>
        <v>0</v>
      </c>
      <c r="J31" s="25">
        <f ca="1">SUMPRODUCT(
(Model[[Estimate Type]:[Estimate Type]]= $E$6) *
(Model[[APPN]:[APPN]] = $B29) *
(Model[[PMO / NON PMO]:[PMO / NON PMO]] = "Non PMO") *
(TY_Years =J$2) *
(TY_Dollars))</f>
        <v>0</v>
      </c>
      <c r="K31" s="25">
        <f ca="1">SUMPRODUCT(
(Model[[Estimate Type]:[Estimate Type]]= $E$6) *
(Model[[APPN]:[APPN]] = $B29) *
(Model[[PMO / NON PMO]:[PMO / NON PMO]] = "Non PMO") *
(TY_Years =K$2) *
(TY_Dollars))</f>
        <v>0</v>
      </c>
      <c r="L31" s="28">
        <f ca="1">SUM(G31:K31)</f>
        <v>0</v>
      </c>
      <c r="M31" s="28">
        <v>0</v>
      </c>
      <c r="N31" s="30">
        <v>0</v>
      </c>
      <c r="O31" s="13"/>
      <c r="P31" s="362" t="str">
        <f>$T$6</f>
        <v>Current $ (POM18)</v>
      </c>
      <c r="Q31" s="13"/>
      <c r="R31" s="27" t="str">
        <f>P31</f>
        <v>Current $ (POM18)</v>
      </c>
      <c r="S31" s="25">
        <f ca="1">SUMPRODUCT(
(Model[[Estimate Type]:[Estimate Type]]= $S$6) *
(Model[[APPN]:[APPN]] = $B30) *
(Model[[PMO / NON PMO]:[PMO / NON PMO]] = "PMO") *
(TY_Years &lt;T$2) *
(TY_Dollars))</f>
        <v>0</v>
      </c>
      <c r="T31" s="25">
        <f ca="1">SUMPRODUCT(
(Model[[Estimate Type]:[Estimate Type]]= $S$6) *
(Model[[APPN]:[APPN]] = $B30) *
(Model[[PMO / NON PMO]:[PMO / NON PMO]] = "PMO") *
(TY_Years =T$2) *
(TY_Dollars))</f>
        <v>0</v>
      </c>
      <c r="U31" s="25">
        <f ca="1">SUMPRODUCT(
(Model[[Estimate Type]:[Estimate Type]]= $S$6) *
(Model[[APPN]:[APPN]] = $B30) *
(Model[[PMO / NON PMO]:[PMO / NON PMO]] = "PMO") *
(TY_Years =U$2) *
(TY_Dollars))</f>
        <v>0</v>
      </c>
      <c r="V31" s="25">
        <f ca="1">SUMPRODUCT(
(Model[[Estimate Type]:[Estimate Type]]= $S$6) *
(Model[[APPN]:[APPN]] = $B30) *
(Model[[PMO / NON PMO]:[PMO / NON PMO]] = "PMO") *
(TY_Years =V$2) *
(TY_Dollars))</f>
        <v>0</v>
      </c>
      <c r="W31" s="25">
        <f ca="1">SUMPRODUCT(
(Model[[Estimate Type]:[Estimate Type]]= $S$6) *
(Model[[APPN]:[APPN]] = $B30) *
(Model[[PMO / NON PMO]:[PMO / NON PMO]] = "PMO") *
(TY_Years =W$2) *
(TY_Dollars))</f>
        <v>0</v>
      </c>
      <c r="X31" s="25">
        <f ca="1">SUMPRODUCT(
(Model[[Estimate Type]:[Estimate Type]]= $S$6) *
(Model[[APPN]:[APPN]] = $B30) *
(Model[[PMO / NON PMO]:[PMO / NON PMO]] = "PMO") *
(TY_Years =X$2) *
(TY_Dollars))</f>
        <v>0</v>
      </c>
      <c r="Y31" s="25">
        <f ca="1">SUMPRODUCT(
(Model[[Estimate Type]:[Estimate Type]]= $S$6) *
(Model[[APPN]:[APPN]] = $B30) *
(Model[[PMO / NON PMO]:[PMO / NON PMO]] = "PMO") *
(TY_Years =Y$2) *
(TY_Dollars))</f>
        <v>0</v>
      </c>
      <c r="Z31" s="28">
        <f ca="1">SUM(U31:Y31)</f>
        <v>0</v>
      </c>
      <c r="AA31" s="28">
        <v>0</v>
      </c>
      <c r="AB31" s="30">
        <v>0</v>
      </c>
    </row>
    <row r="32" spans="2:28" s="16" customFormat="1" ht="16" hidden="1" outlineLevel="2" thickBot="1">
      <c r="C32" s="13"/>
      <c r="D32" s="32" t="s">
        <v>102</v>
      </c>
      <c r="E32" s="33">
        <f t="shared" ref="E32:M32" ca="1" si="9">E31-E30</f>
        <v>0</v>
      </c>
      <c r="F32" s="33">
        <f t="shared" ca="1" si="9"/>
        <v>0</v>
      </c>
      <c r="G32" s="33">
        <f t="shared" ca="1" si="9"/>
        <v>0</v>
      </c>
      <c r="H32" s="33">
        <f t="shared" ca="1" si="9"/>
        <v>0</v>
      </c>
      <c r="I32" s="33">
        <f t="shared" ca="1" si="9"/>
        <v>0</v>
      </c>
      <c r="J32" s="33">
        <f t="shared" ca="1" si="9"/>
        <v>0</v>
      </c>
      <c r="K32" s="33">
        <f t="shared" ca="1" si="9"/>
        <v>0</v>
      </c>
      <c r="L32" s="33">
        <f t="shared" ca="1" si="9"/>
        <v>0</v>
      </c>
      <c r="M32" s="33">
        <f t="shared" si="9"/>
        <v>0</v>
      </c>
      <c r="N32" s="34">
        <f ca="1">SUM(E32:K32,M32)</f>
        <v>0</v>
      </c>
      <c r="Q32" s="13"/>
      <c r="R32" s="32" t="s">
        <v>102</v>
      </c>
      <c r="S32" s="33">
        <f t="shared" ref="S32:AA32" ca="1" si="10">S31-S30</f>
        <v>0</v>
      </c>
      <c r="T32" s="33">
        <f t="shared" ca="1" si="10"/>
        <v>0</v>
      </c>
      <c r="U32" s="33">
        <f t="shared" ca="1" si="10"/>
        <v>0</v>
      </c>
      <c r="V32" s="33">
        <f t="shared" ca="1" si="10"/>
        <v>0</v>
      </c>
      <c r="W32" s="33">
        <f t="shared" ca="1" si="10"/>
        <v>0</v>
      </c>
      <c r="X32" s="33">
        <f t="shared" ca="1" si="10"/>
        <v>0</v>
      </c>
      <c r="Y32" s="33">
        <f t="shared" ca="1" si="10"/>
        <v>0</v>
      </c>
      <c r="Z32" s="33">
        <f t="shared" ca="1" si="10"/>
        <v>0</v>
      </c>
      <c r="AA32" s="33">
        <f t="shared" si="10"/>
        <v>0</v>
      </c>
      <c r="AB32" s="34">
        <f ca="1">SUM(S32:Y32,AA32)</f>
        <v>0</v>
      </c>
    </row>
    <row r="33" spans="2:28" s="16" customFormat="1" outlineLevel="1" collapsed="1">
      <c r="B33" s="362" t="str">
        <f>'Global Inputs'!$D$23</f>
        <v>Required $ (Draft CCP)</v>
      </c>
      <c r="C33" s="13"/>
      <c r="D33" s="35" t="str">
        <f>B33</f>
        <v>Required $ (Draft CCP)</v>
      </c>
      <c r="E33" s="28">
        <f ca="1">SUMPRODUCT(
(Model[[Estimate Type]:[Estimate Type]]= $E$8) *
(Model[[APPN]:[APPN]] = $B29) *
(Model[[PMO / NON PMO]:[PMO / NON PMO]] = "Non PMO") *
(TY_Years &lt;F$2) *
(TY_Dollars))</f>
        <v>0</v>
      </c>
      <c r="F33" s="28">
        <f ca="1">SUMPRODUCT(
(Model[[Estimate Type]:[Estimate Type]]= $E$8) *
(Model[[APPN]:[APPN]] = $B29) *
(Model[[PMO / NON PMO]:[PMO / NON PMO]] = "Non PMO") *
(TY_Years =F$2) *
(TY_Dollars))</f>
        <v>0</v>
      </c>
      <c r="G33" s="28">
        <f ca="1">SUMPRODUCT(
(Model[[Estimate Type]:[Estimate Type]]= $E$8) *
(Model[[APPN]:[APPN]] = $B29) *
(Model[[PMO / NON PMO]:[PMO / NON PMO]] = "Non PMO") *
(TY_Years =G$2) *
(TY_Dollars))</f>
        <v>0</v>
      </c>
      <c r="H33" s="28">
        <f ca="1">SUMPRODUCT(
(Model[[Estimate Type]:[Estimate Type]]= $E$8) *
(Model[[APPN]:[APPN]] = $B29) *
(Model[[PMO / NON PMO]:[PMO / NON PMO]] = "Non PMO") *
(TY_Years =H$2) *
(TY_Dollars))</f>
        <v>0</v>
      </c>
      <c r="I33" s="28">
        <f ca="1">SUMPRODUCT(
(Model[[Estimate Type]:[Estimate Type]]= $E$8) *
(Model[[APPN]:[APPN]] = $B29) *
(Model[[PMO / NON PMO]:[PMO / NON PMO]] = "Non PMO") *
(TY_Years =I$2) *
(TY_Dollars))</f>
        <v>0</v>
      </c>
      <c r="J33" s="28">
        <f ca="1">SUMPRODUCT(
(Model[[Estimate Type]:[Estimate Type]]= $E$8) *
(Model[[APPN]:[APPN]] = $B29) *
(Model[[PMO / NON PMO]:[PMO / NON PMO]] = "Non PMO") *
(TY_Years =J$2) *
(TY_Dollars))</f>
        <v>0</v>
      </c>
      <c r="K33" s="28">
        <f ca="1">SUMPRODUCT(
(Model[[Estimate Type]:[Estimate Type]]= $E$8) *
(Model[[APPN]:[APPN]] = $B29) *
(Model[[PMO / NON PMO]:[PMO / NON PMO]] = "Non PMO") *
(TY_Years =K$2) *
(TY_Dollars))</f>
        <v>0</v>
      </c>
      <c r="L33" s="28">
        <f ca="1">SUM(G33:K33)</f>
        <v>0</v>
      </c>
      <c r="M33" s="28">
        <f ca="1">SUMPRODUCT(
(Model[[Estimate Type]:[Estimate Type]]= $E$8) *
(Model[[APPN]:[APPN]] = $B29) *
(Model[[PMO / NON PMO]:[PMO / NON PMO]] = "Non PMO") *
(TY_Years &gt;K$2) *
(TY_Dollars))</f>
        <v>0</v>
      </c>
      <c r="N33" s="36">
        <f ca="1">SUM(E33:K33,M33)</f>
        <v>0</v>
      </c>
      <c r="O33" s="13"/>
      <c r="P33" s="362" t="str">
        <f>$T$7</f>
        <v>Required $ (Draft CCP)</v>
      </c>
      <c r="R33" s="35" t="str">
        <f>P33</f>
        <v>Required $ (Draft CCP)</v>
      </c>
      <c r="S33" s="28">
        <f ca="1">SUMPRODUCT(
(Model[[Estimate Type]:[Estimate Type]]= $S$8) *
(Model[[APPN]:[APPN]] = $B30) *
(Model[[PMO / NON PMO]:[PMO / NON PMO]] = "PMO") *
(TY_Years &lt;T$2) *
(TY_Dollars))</f>
        <v>0</v>
      </c>
      <c r="T33" s="28">
        <f ca="1">SUMPRODUCT(
(Model[[Estimate Type]:[Estimate Type]]= $S$8) *
(Model[[APPN]:[APPN]] = $B30) *
(Model[[PMO / NON PMO]:[PMO / NON PMO]] = "PMO") *
(TY_Years =T$2) *
(TY_Dollars))</f>
        <v>0</v>
      </c>
      <c r="U33" s="28">
        <f ca="1">SUMPRODUCT(
(Model[[Estimate Type]:[Estimate Type]]= $S$8) *
(Model[[APPN]:[APPN]] = $B30) *
(Model[[PMO / NON PMO]:[PMO / NON PMO]] = "PMO") *
(TY_Years =U$2) *
(TY_Dollars))</f>
        <v>0</v>
      </c>
      <c r="V33" s="28">
        <f ca="1">SUMPRODUCT(
(Model[[Estimate Type]:[Estimate Type]]= $S$8) *
(Model[[APPN]:[APPN]] = $B30) *
(Model[[PMO / NON PMO]:[PMO / NON PMO]] = "PMO") *
(TY_Years =V$2) *
(TY_Dollars))</f>
        <v>0</v>
      </c>
      <c r="W33" s="28">
        <f ca="1">SUMPRODUCT(
(Model[[Estimate Type]:[Estimate Type]]= $S$8) *
(Model[[APPN]:[APPN]] = $B30) *
(Model[[PMO / NON PMO]:[PMO / NON PMO]] = "PMO") *
(TY_Years =W$2) *
(TY_Dollars))</f>
        <v>0</v>
      </c>
      <c r="X33" s="28">
        <f ca="1">SUMPRODUCT(
(Model[[Estimate Type]:[Estimate Type]]= $S$8) *
(Model[[APPN]:[APPN]] = $B30) *
(Model[[PMO / NON PMO]:[PMO / NON PMO]] = "PMO") *
(TY_Years =X$2) *
(TY_Dollars))</f>
        <v>0</v>
      </c>
      <c r="Y33" s="28">
        <f ca="1">SUMPRODUCT(
(Model[[Estimate Type]:[Estimate Type]]= $S$8) *
(Model[[APPN]:[APPN]] = $B30) *
(Model[[PMO / NON PMO]:[PMO / NON PMO]] = "PMO") *
(TY_Years =Y$2) *
(TY_Dollars))</f>
        <v>0</v>
      </c>
      <c r="Z33" s="28">
        <f ca="1">SUM(U33:Y33)</f>
        <v>0</v>
      </c>
      <c r="AA33" s="28">
        <f ca="1">SUMPRODUCT(
(Model[[Estimate Type]:[Estimate Type]]= $S$8) *
(Model[[APPN]:[APPN]] = $B30) *
(Model[[PMO / NON PMO]:[PMO / NON PMO]] = "PMO") *
(TY_Years &gt;Y$2) *
(TY_Dollars))</f>
        <v>0</v>
      </c>
      <c r="AB33" s="36">
        <f ca="1">SUM(S33:Y33,AA33)</f>
        <v>0</v>
      </c>
    </row>
    <row r="34" spans="2:28" s="16" customFormat="1" ht="16" hidden="1" outlineLevel="2" thickBot="1">
      <c r="C34" s="13"/>
      <c r="D34" s="37" t="s">
        <v>103</v>
      </c>
      <c r="E34" s="38">
        <f t="shared" ref="E34:M34" ca="1" si="11">IF(E30&gt;0,E31-E33,IF(E31&gt;0,E31-E33,0))</f>
        <v>0</v>
      </c>
      <c r="F34" s="38">
        <f t="shared" ca="1" si="11"/>
        <v>0</v>
      </c>
      <c r="G34" s="38">
        <f t="shared" ca="1" si="11"/>
        <v>0</v>
      </c>
      <c r="H34" s="38">
        <f t="shared" ca="1" si="11"/>
        <v>0</v>
      </c>
      <c r="I34" s="38">
        <f t="shared" ca="1" si="11"/>
        <v>0</v>
      </c>
      <c r="J34" s="38">
        <f t="shared" ca="1" si="11"/>
        <v>0</v>
      </c>
      <c r="K34" s="38">
        <f t="shared" ca="1" si="11"/>
        <v>0</v>
      </c>
      <c r="L34" s="38">
        <f t="shared" ca="1" si="11"/>
        <v>0</v>
      </c>
      <c r="M34" s="38">
        <f t="shared" si="11"/>
        <v>0</v>
      </c>
      <c r="N34" s="39">
        <f ca="1">SUM(E34:K34,M34)</f>
        <v>0</v>
      </c>
      <c r="Q34" s="13"/>
      <c r="R34" s="37" t="s">
        <v>103</v>
      </c>
      <c r="S34" s="38">
        <f t="shared" ref="S34:AA34" ca="1" si="12">IF(S30&gt;0,S31-S33,IF(S31&gt;0,S31-S33,0))</f>
        <v>0</v>
      </c>
      <c r="T34" s="38">
        <f t="shared" ca="1" si="12"/>
        <v>0</v>
      </c>
      <c r="U34" s="38">
        <f t="shared" ca="1" si="12"/>
        <v>0</v>
      </c>
      <c r="V34" s="38">
        <f t="shared" ca="1" si="12"/>
        <v>0</v>
      </c>
      <c r="W34" s="38">
        <f t="shared" ca="1" si="12"/>
        <v>0</v>
      </c>
      <c r="X34" s="38">
        <f t="shared" ca="1" si="12"/>
        <v>0</v>
      </c>
      <c r="Y34" s="38">
        <f t="shared" ca="1" si="12"/>
        <v>0</v>
      </c>
      <c r="Z34" s="38">
        <f t="shared" ca="1" si="12"/>
        <v>0</v>
      </c>
      <c r="AA34" s="38">
        <f t="shared" si="12"/>
        <v>0</v>
      </c>
      <c r="AB34" s="39">
        <f ca="1">SUM(S34:Y34,AA34)</f>
        <v>0</v>
      </c>
    </row>
    <row r="35" spans="2:28" s="16" customFormat="1" ht="16" outlineLevel="1" thickBot="1">
      <c r="B35" s="40"/>
      <c r="C35" s="13"/>
      <c r="D35" s="40"/>
      <c r="E35" s="41"/>
      <c r="F35" s="41"/>
      <c r="G35" s="41"/>
      <c r="H35" s="41"/>
      <c r="I35" s="41"/>
      <c r="J35" s="41"/>
      <c r="K35" s="41"/>
      <c r="L35" s="41"/>
      <c r="M35" s="41"/>
      <c r="N35" s="42"/>
      <c r="R35" s="384"/>
      <c r="S35" s="385"/>
      <c r="T35" s="385"/>
      <c r="U35" s="385"/>
      <c r="V35" s="385"/>
      <c r="W35" s="385"/>
      <c r="X35" s="385"/>
      <c r="Y35" s="385"/>
      <c r="Z35" s="385"/>
      <c r="AA35" s="385"/>
      <c r="AB35" s="386"/>
    </row>
    <row r="36" spans="2:28" s="16" customFormat="1" outlineLevel="1" collapsed="1">
      <c r="B36" s="23" t="s">
        <v>108</v>
      </c>
      <c r="C36" s="13"/>
      <c r="D36" s="23" t="str">
        <f>B36</f>
        <v>TOTAL</v>
      </c>
      <c r="E36" s="525"/>
      <c r="F36" s="526"/>
      <c r="G36" s="526"/>
      <c r="H36" s="526"/>
      <c r="I36" s="526"/>
      <c r="J36" s="526"/>
      <c r="K36" s="526"/>
      <c r="L36" s="526"/>
      <c r="M36" s="526"/>
      <c r="N36" s="527"/>
      <c r="P36" s="23" t="s">
        <v>108</v>
      </c>
      <c r="R36" s="23" t="s">
        <v>108</v>
      </c>
      <c r="S36" s="44"/>
      <c r="T36" s="45"/>
      <c r="U36" s="45"/>
      <c r="V36" s="45"/>
      <c r="W36" s="45"/>
      <c r="X36" s="45"/>
      <c r="Y36" s="45"/>
      <c r="Z36" s="45"/>
      <c r="AA36" s="45"/>
      <c r="AB36" s="46"/>
    </row>
    <row r="37" spans="2:28" s="16" customFormat="1" hidden="1" outlineLevel="2">
      <c r="B37" s="362" t="str">
        <f>'Global Inputs'!$D$21</f>
        <v>Prior $ (PB17)</v>
      </c>
      <c r="C37" s="13"/>
      <c r="D37" s="24" t="str">
        <f>B37</f>
        <v>Prior $ (PB17)</v>
      </c>
      <c r="E37" s="25">
        <f t="shared" ref="E37:N41" ca="1" si="13">SUMIFS(E$16:E$36, $B$16:$B$36,$B37)</f>
        <v>0</v>
      </c>
      <c r="F37" s="25">
        <f t="shared" ca="1" si="13"/>
        <v>0</v>
      </c>
      <c r="G37" s="25">
        <f t="shared" ca="1" si="13"/>
        <v>0</v>
      </c>
      <c r="H37" s="25">
        <f t="shared" ca="1" si="13"/>
        <v>0</v>
      </c>
      <c r="I37" s="25">
        <f t="shared" ca="1" si="13"/>
        <v>0</v>
      </c>
      <c r="J37" s="25">
        <f t="shared" ca="1" si="13"/>
        <v>0</v>
      </c>
      <c r="K37" s="25">
        <f t="shared" ca="1" si="13"/>
        <v>0</v>
      </c>
      <c r="L37" s="25">
        <f t="shared" ca="1" si="13"/>
        <v>0</v>
      </c>
      <c r="M37" s="25">
        <f t="shared" si="13"/>
        <v>0</v>
      </c>
      <c r="N37" s="26">
        <f t="shared" si="13"/>
        <v>0</v>
      </c>
      <c r="P37" s="362" t="str">
        <f>$T$5</f>
        <v>Prior $ (PB17)</v>
      </c>
      <c r="R37" s="24" t="str">
        <f>P37</f>
        <v>Prior $ (PB17)</v>
      </c>
      <c r="S37" s="25">
        <f t="shared" ref="S37:AB38" ca="1" si="14">SUMIFS(S$14:S$36, $P$14:$P$36, $P37)</f>
        <v>0</v>
      </c>
      <c r="T37" s="25">
        <f t="shared" ca="1" si="14"/>
        <v>0</v>
      </c>
      <c r="U37" s="25">
        <f t="shared" ca="1" si="14"/>
        <v>0</v>
      </c>
      <c r="V37" s="25">
        <f t="shared" ca="1" si="14"/>
        <v>0</v>
      </c>
      <c r="W37" s="25">
        <f t="shared" ca="1" si="14"/>
        <v>0</v>
      </c>
      <c r="X37" s="25">
        <f t="shared" ca="1" si="14"/>
        <v>0</v>
      </c>
      <c r="Y37" s="25">
        <f t="shared" ca="1" si="14"/>
        <v>0</v>
      </c>
      <c r="Z37" s="25">
        <f t="shared" ca="1" si="14"/>
        <v>0</v>
      </c>
      <c r="AA37" s="25">
        <f t="shared" si="14"/>
        <v>0</v>
      </c>
      <c r="AB37" s="26">
        <f t="shared" si="14"/>
        <v>0</v>
      </c>
    </row>
    <row r="38" spans="2:28" s="16" customFormat="1" hidden="1" outlineLevel="2">
      <c r="B38" s="362" t="str">
        <f>'Global Inputs'!$D$22</f>
        <v>Current $ (POM18)</v>
      </c>
      <c r="C38" s="13"/>
      <c r="D38" s="27" t="str">
        <f>B38</f>
        <v>Current $ (POM18)</v>
      </c>
      <c r="E38" s="25">
        <f t="shared" ca="1" si="13"/>
        <v>0</v>
      </c>
      <c r="F38" s="25">
        <f t="shared" ca="1" si="13"/>
        <v>0</v>
      </c>
      <c r="G38" s="25">
        <f t="shared" ca="1" si="13"/>
        <v>0</v>
      </c>
      <c r="H38" s="25">
        <f t="shared" ca="1" si="13"/>
        <v>0</v>
      </c>
      <c r="I38" s="25">
        <f t="shared" ca="1" si="13"/>
        <v>0</v>
      </c>
      <c r="J38" s="25">
        <f t="shared" ca="1" si="13"/>
        <v>0</v>
      </c>
      <c r="K38" s="25">
        <f t="shared" ca="1" si="13"/>
        <v>0</v>
      </c>
      <c r="L38" s="25">
        <f t="shared" ca="1" si="13"/>
        <v>0</v>
      </c>
      <c r="M38" s="25">
        <f t="shared" si="13"/>
        <v>0</v>
      </c>
      <c r="N38" s="43">
        <f t="shared" si="13"/>
        <v>0</v>
      </c>
      <c r="P38" s="362" t="str">
        <f>$T$6</f>
        <v>Current $ (POM18)</v>
      </c>
      <c r="R38" s="27" t="str">
        <f>P38</f>
        <v>Current $ (POM18)</v>
      </c>
      <c r="S38" s="28">
        <f t="shared" ca="1" si="14"/>
        <v>0</v>
      </c>
      <c r="T38" s="28">
        <f t="shared" ca="1" si="14"/>
        <v>0</v>
      </c>
      <c r="U38" s="28">
        <f t="shared" ca="1" si="14"/>
        <v>0</v>
      </c>
      <c r="V38" s="28">
        <f t="shared" ca="1" si="14"/>
        <v>0</v>
      </c>
      <c r="W38" s="28">
        <f t="shared" ca="1" si="14"/>
        <v>0</v>
      </c>
      <c r="X38" s="28">
        <f t="shared" ca="1" si="14"/>
        <v>0</v>
      </c>
      <c r="Y38" s="29">
        <f t="shared" ca="1" si="14"/>
        <v>0</v>
      </c>
      <c r="Z38" s="28">
        <f t="shared" ca="1" si="14"/>
        <v>0</v>
      </c>
      <c r="AA38" s="28">
        <f t="shared" si="14"/>
        <v>0</v>
      </c>
      <c r="AB38" s="30">
        <f t="shared" si="14"/>
        <v>0</v>
      </c>
    </row>
    <row r="39" spans="2:28" s="16" customFormat="1" ht="16" hidden="1" outlineLevel="2" thickBot="1">
      <c r="C39" s="13"/>
      <c r="D39" s="32" t="s">
        <v>102</v>
      </c>
      <c r="E39" s="38">
        <f t="shared" si="13"/>
        <v>0</v>
      </c>
      <c r="F39" s="38">
        <f t="shared" si="13"/>
        <v>0</v>
      </c>
      <c r="G39" s="38">
        <f t="shared" si="13"/>
        <v>0</v>
      </c>
      <c r="H39" s="38">
        <f t="shared" si="13"/>
        <v>0</v>
      </c>
      <c r="I39" s="38">
        <f t="shared" si="13"/>
        <v>0</v>
      </c>
      <c r="J39" s="38">
        <f t="shared" si="13"/>
        <v>0</v>
      </c>
      <c r="K39" s="38">
        <f t="shared" si="13"/>
        <v>0</v>
      </c>
      <c r="L39" s="38">
        <f t="shared" si="13"/>
        <v>0</v>
      </c>
      <c r="M39" s="38">
        <f t="shared" si="13"/>
        <v>0</v>
      </c>
      <c r="N39" s="39">
        <f t="shared" si="13"/>
        <v>0</v>
      </c>
      <c r="R39" s="32" t="s">
        <v>102</v>
      </c>
      <c r="S39" s="33">
        <f t="shared" ref="S39:AB39" ca="1" si="15">S38-S37</f>
        <v>0</v>
      </c>
      <c r="T39" s="33">
        <f t="shared" ca="1" si="15"/>
        <v>0</v>
      </c>
      <c r="U39" s="33">
        <f t="shared" ca="1" si="15"/>
        <v>0</v>
      </c>
      <c r="V39" s="33">
        <f t="shared" ca="1" si="15"/>
        <v>0</v>
      </c>
      <c r="W39" s="33">
        <f t="shared" ca="1" si="15"/>
        <v>0</v>
      </c>
      <c r="X39" s="33">
        <f t="shared" ca="1" si="15"/>
        <v>0</v>
      </c>
      <c r="Y39" s="33">
        <f t="shared" ca="1" si="15"/>
        <v>0</v>
      </c>
      <c r="Z39" s="33">
        <f t="shared" ca="1" si="15"/>
        <v>0</v>
      </c>
      <c r="AA39" s="33">
        <f t="shared" si="15"/>
        <v>0</v>
      </c>
      <c r="AB39" s="34">
        <f t="shared" si="15"/>
        <v>0</v>
      </c>
    </row>
    <row r="40" spans="2:28" s="16" customFormat="1" outlineLevel="1" collapsed="1">
      <c r="B40" s="362" t="str">
        <f>'Global Inputs'!$D$23</f>
        <v>Required $ (Draft CCP)</v>
      </c>
      <c r="C40" s="13"/>
      <c r="D40" s="35" t="str">
        <f>B40</f>
        <v>Required $ (Draft CCP)</v>
      </c>
      <c r="E40" s="25">
        <f t="shared" ca="1" si="13"/>
        <v>0</v>
      </c>
      <c r="F40" s="25">
        <f t="shared" ca="1" si="13"/>
        <v>0</v>
      </c>
      <c r="G40" s="25">
        <f t="shared" ca="1" si="13"/>
        <v>0</v>
      </c>
      <c r="H40" s="25">
        <f t="shared" ca="1" si="13"/>
        <v>0</v>
      </c>
      <c r="I40" s="25">
        <f t="shared" ca="1" si="13"/>
        <v>0</v>
      </c>
      <c r="J40" s="25">
        <f t="shared" ca="1" si="13"/>
        <v>0</v>
      </c>
      <c r="K40" s="25">
        <f t="shared" ca="1" si="13"/>
        <v>0</v>
      </c>
      <c r="L40" s="25">
        <f t="shared" ca="1" si="13"/>
        <v>0</v>
      </c>
      <c r="M40" s="25">
        <f t="shared" ca="1" si="13"/>
        <v>0</v>
      </c>
      <c r="N40" s="36">
        <f t="shared" ca="1" si="13"/>
        <v>0</v>
      </c>
      <c r="P40" s="362" t="str">
        <f>$T$7</f>
        <v>Required $ (Draft CCP)</v>
      </c>
      <c r="R40" s="35" t="str">
        <f>P40</f>
        <v>Required $ (Draft CCP)</v>
      </c>
      <c r="S40" s="28">
        <f t="shared" ref="S40:AB40" ca="1" si="16">SUMIFS(S$14:S$36, $P$14:$P$36, $P40)</f>
        <v>0</v>
      </c>
      <c r="T40" s="28">
        <f t="shared" ca="1" si="16"/>
        <v>0</v>
      </c>
      <c r="U40" s="28">
        <f t="shared" ca="1" si="16"/>
        <v>0</v>
      </c>
      <c r="V40" s="28">
        <f t="shared" ca="1" si="16"/>
        <v>0</v>
      </c>
      <c r="W40" s="28">
        <f t="shared" ca="1" si="16"/>
        <v>0</v>
      </c>
      <c r="X40" s="28">
        <f t="shared" ca="1" si="16"/>
        <v>0</v>
      </c>
      <c r="Y40" s="28">
        <f t="shared" ca="1" si="16"/>
        <v>0</v>
      </c>
      <c r="Z40" s="28">
        <f t="shared" ca="1" si="16"/>
        <v>0</v>
      </c>
      <c r="AA40" s="28">
        <f t="shared" ca="1" si="16"/>
        <v>0</v>
      </c>
      <c r="AB40" s="36">
        <f t="shared" ca="1" si="16"/>
        <v>0</v>
      </c>
    </row>
    <row r="41" spans="2:28" s="16" customFormat="1" ht="16" hidden="1" outlineLevel="2" thickBot="1">
      <c r="C41" s="13"/>
      <c r="D41" s="37" t="s">
        <v>103</v>
      </c>
      <c r="E41" s="38">
        <f t="shared" si="13"/>
        <v>0</v>
      </c>
      <c r="F41" s="38">
        <f t="shared" si="13"/>
        <v>0</v>
      </c>
      <c r="G41" s="38">
        <f t="shared" si="13"/>
        <v>0</v>
      </c>
      <c r="H41" s="38">
        <f t="shared" si="13"/>
        <v>0</v>
      </c>
      <c r="I41" s="38">
        <f t="shared" si="13"/>
        <v>0</v>
      </c>
      <c r="J41" s="38">
        <f t="shared" si="13"/>
        <v>0</v>
      </c>
      <c r="K41" s="38">
        <f t="shared" si="13"/>
        <v>0</v>
      </c>
      <c r="L41" s="38">
        <f t="shared" si="13"/>
        <v>0</v>
      </c>
      <c r="M41" s="38">
        <f t="shared" si="13"/>
        <v>0</v>
      </c>
      <c r="N41" s="39">
        <f t="shared" si="13"/>
        <v>0</v>
      </c>
      <c r="R41" s="37" t="s">
        <v>103</v>
      </c>
      <c r="S41" s="38">
        <f t="shared" ref="S41:AB41" ca="1" si="17">IF(S37&gt;0,S38-S40,IF(S38&gt;0,S38-S40,0))</f>
        <v>0</v>
      </c>
      <c r="T41" s="38">
        <f t="shared" ca="1" si="17"/>
        <v>0</v>
      </c>
      <c r="U41" s="38">
        <f t="shared" ca="1" si="17"/>
        <v>0</v>
      </c>
      <c r="V41" s="38">
        <f t="shared" ca="1" si="17"/>
        <v>0</v>
      </c>
      <c r="W41" s="38">
        <f t="shared" ca="1" si="17"/>
        <v>0</v>
      </c>
      <c r="X41" s="38">
        <f t="shared" ca="1" si="17"/>
        <v>0</v>
      </c>
      <c r="Y41" s="38">
        <f t="shared" ca="1" si="17"/>
        <v>0</v>
      </c>
      <c r="Z41" s="38">
        <f t="shared" ca="1" si="17"/>
        <v>0</v>
      </c>
      <c r="AA41" s="38">
        <f t="shared" si="17"/>
        <v>0</v>
      </c>
      <c r="AB41" s="39">
        <f t="shared" si="17"/>
        <v>0</v>
      </c>
    </row>
    <row r="42" spans="2:28" s="16" customFormat="1" ht="16" outlineLevel="1" collapsed="1" thickBot="1">
      <c r="B42" s="40"/>
      <c r="C42" s="13"/>
      <c r="D42" s="40"/>
      <c r="E42" s="41"/>
      <c r="F42" s="41"/>
      <c r="G42" s="41"/>
      <c r="H42" s="41"/>
      <c r="I42" s="41"/>
      <c r="J42" s="41"/>
      <c r="K42" s="41"/>
      <c r="L42" s="41"/>
      <c r="M42" s="41"/>
      <c r="N42" s="42"/>
      <c r="R42" s="40"/>
      <c r="S42" s="41"/>
      <c r="T42" s="41"/>
      <c r="U42" s="41"/>
      <c r="V42" s="41"/>
      <c r="W42" s="41"/>
      <c r="X42" s="41"/>
      <c r="Y42" s="41"/>
      <c r="Z42" s="41"/>
      <c r="AA42" s="41"/>
      <c r="AB42" s="42"/>
    </row>
    <row r="43" spans="2:28" s="16" customFormat="1" hidden="1" outlineLevel="2">
      <c r="B43" s="361" t="s">
        <v>109</v>
      </c>
      <c r="C43" s="13"/>
      <c r="D43" s="23" t="str">
        <f>B43</f>
        <v>QUANTITIES</v>
      </c>
      <c r="E43" s="525"/>
      <c r="F43" s="526"/>
      <c r="G43" s="526"/>
      <c r="H43" s="526"/>
      <c r="I43" s="526"/>
      <c r="J43" s="526"/>
      <c r="K43" s="526"/>
      <c r="L43" s="526"/>
      <c r="M43" s="526"/>
      <c r="N43" s="527"/>
      <c r="P43" s="361" t="s">
        <v>109</v>
      </c>
      <c r="R43" s="47" t="str">
        <f>P43</f>
        <v>QUANTITIES</v>
      </c>
      <c r="S43" s="48"/>
      <c r="T43" s="49"/>
      <c r="U43" s="49"/>
      <c r="V43" s="49"/>
      <c r="W43" s="49"/>
      <c r="X43" s="49"/>
      <c r="Y43" s="49"/>
      <c r="Z43" s="49"/>
      <c r="AA43" s="49"/>
      <c r="AB43" s="50"/>
    </row>
    <row r="44" spans="2:28" s="16" customFormat="1" hidden="1" outlineLevel="3">
      <c r="B44" s="362" t="str">
        <f>'Global Inputs'!$D$21</f>
        <v>Prior $ (PB17)</v>
      </c>
      <c r="C44" s="13"/>
      <c r="D44" s="24" t="str">
        <f>B44</f>
        <v>Prior $ (PB17)</v>
      </c>
      <c r="E44" s="25"/>
      <c r="F44" s="25"/>
      <c r="G44" s="25"/>
      <c r="H44" s="25"/>
      <c r="I44" s="25"/>
      <c r="J44" s="25"/>
      <c r="K44" s="25"/>
      <c r="L44" s="25"/>
      <c r="M44" s="25"/>
      <c r="N44" s="26"/>
      <c r="P44" s="362" t="str">
        <f>SUBSTITUTE($T$5, "$", "Qty")</f>
        <v>Prior Qty (PB17)</v>
      </c>
      <c r="R44" s="24" t="str">
        <f>P44</f>
        <v>Prior Qty (PB17)</v>
      </c>
      <c r="S44" s="25">
        <f ca="1">SUMPRODUCT(
(Model[[Estimate Type]:[Estimate Type]]= $S$5) *
(Model[[APPN]:[APPN]] = $B37) *
(Model[[PMO / NON PMO]:[PMO / NON PMO]] = "PMO") *
(TY_Years &lt;T$2) *
(TY_Dollars))</f>
        <v>0</v>
      </c>
      <c r="T44" s="25">
        <f ca="1">SUMPRODUCT(
(Model[[Estimate Type]:[Estimate Type]]= $S$5) *
(Model[[APPN]:[APPN]] = $B37) *
(Model[[PMO / NON PMO]:[PMO / NON PMO]] = "PMO") *
(TY_Years =T$2) *
(TY_Dollars))</f>
        <v>0</v>
      </c>
      <c r="U44" s="25">
        <f ca="1">SUMPRODUCT(
(Model[[Estimate Type]:[Estimate Type]]= $S$5) *
(Model[[APPN]:[APPN]] = $B37) *
(Model[[PMO / NON PMO]:[PMO / NON PMO]] = "PMO") *
(TY_Years =U$2) *
(TY_Dollars))</f>
        <v>0</v>
      </c>
      <c r="V44" s="25">
        <f ca="1">SUMPRODUCT(
(Model[[Estimate Type]:[Estimate Type]]= $S$5) *
(Model[[APPN]:[APPN]] = $B37) *
(Model[[PMO / NON PMO]:[PMO / NON PMO]] = "PMO") *
(TY_Years =V$2) *
(TY_Dollars))</f>
        <v>0</v>
      </c>
      <c r="W44" s="25">
        <f ca="1">SUMPRODUCT(
(Model[[Estimate Type]:[Estimate Type]]= $S$5) *
(Model[[APPN]:[APPN]] = $B37) *
(Model[[PMO / NON PMO]:[PMO / NON PMO]] = "PMO") *
(TY_Years =W$2) *
(TY_Dollars))</f>
        <v>0</v>
      </c>
      <c r="X44" s="25">
        <f ca="1">SUMPRODUCT(
(Model[[Estimate Type]:[Estimate Type]]= $S$5) *
(Model[[APPN]:[APPN]] = $B37) *
(Model[[PMO / NON PMO]:[PMO / NON PMO]] = "PMO") *
(TY_Years =X$2) *
(TY_Dollars))</f>
        <v>0</v>
      </c>
      <c r="Y44" s="25">
        <f ca="1">SUMPRODUCT(
(Model[[Estimate Type]:[Estimate Type]]= $S$5) *
(Model[[APPN]:[APPN]] = $B37) *
(Model[[PMO / NON PMO]:[PMO / NON PMO]] = "PMO") *
(TY_Years =Y$2) *
(TY_Dollars))</f>
        <v>0</v>
      </c>
      <c r="Z44" s="25">
        <f ca="1">SUM(U44:Y44)</f>
        <v>0</v>
      </c>
      <c r="AA44" s="25">
        <v>0</v>
      </c>
      <c r="AB44" s="26">
        <v>0</v>
      </c>
    </row>
    <row r="45" spans="2:28" s="16" customFormat="1" hidden="1" outlineLevel="3">
      <c r="B45" s="362" t="str">
        <f>'Global Inputs'!$D$22</f>
        <v>Current $ (POM18)</v>
      </c>
      <c r="C45" s="13"/>
      <c r="D45" s="27" t="str">
        <f>B45</f>
        <v>Current $ (POM18)</v>
      </c>
      <c r="E45" s="28"/>
      <c r="F45" s="28"/>
      <c r="G45" s="28"/>
      <c r="H45" s="28"/>
      <c r="I45" s="28"/>
      <c r="J45" s="28"/>
      <c r="K45" s="29"/>
      <c r="L45" s="28"/>
      <c r="M45" s="28"/>
      <c r="N45" s="30"/>
      <c r="P45" s="362" t="str">
        <f>SUBSTITUTE($T$6, "$", "Qty")</f>
        <v>Current Qty (POM18)</v>
      </c>
      <c r="Q45" s="13"/>
      <c r="R45" s="27" t="str">
        <f>P45</f>
        <v>Current Qty (POM18)</v>
      </c>
      <c r="S45" s="25">
        <f ca="1">SUMPRODUCT(
(Model[[Estimate Type]:[Estimate Type]]= $S$6) *
(Model[[APPN]:[APPN]] = $B37) *
(Model[[PMO / NON PMO]:[PMO / NON PMO]] = "PMO") *
(TY_Years &lt;T$2) *
(TY_Dollars))</f>
        <v>0</v>
      </c>
      <c r="T45" s="25">
        <f ca="1">SUMPRODUCT(
(Model[[Estimate Type]:[Estimate Type]]= $S$6) *
(Model[[APPN]:[APPN]] = $B37) *
(Model[[PMO / NON PMO]:[PMO / NON PMO]] = "PMO") *
(TY_Years =T$2) *
(TY_Dollars))</f>
        <v>0</v>
      </c>
      <c r="U45" s="25">
        <f ca="1">SUMPRODUCT(
(Model[[Estimate Type]:[Estimate Type]]= $S$6) *
(Model[[APPN]:[APPN]] = $B37) *
(Model[[PMO / NON PMO]:[PMO / NON PMO]] = "PMO") *
(TY_Years =U$2) *
(TY_Dollars))</f>
        <v>0</v>
      </c>
      <c r="V45" s="25">
        <f ca="1">SUMPRODUCT(
(Model[[Estimate Type]:[Estimate Type]]= $S$6) *
(Model[[APPN]:[APPN]] = $B37) *
(Model[[PMO / NON PMO]:[PMO / NON PMO]] = "PMO") *
(TY_Years =V$2) *
(TY_Dollars))</f>
        <v>0</v>
      </c>
      <c r="W45" s="25">
        <f ca="1">SUMPRODUCT(
(Model[[Estimate Type]:[Estimate Type]]= $S$6) *
(Model[[APPN]:[APPN]] = $B37) *
(Model[[PMO / NON PMO]:[PMO / NON PMO]] = "PMO") *
(TY_Years =W$2) *
(TY_Dollars))</f>
        <v>0</v>
      </c>
      <c r="X45" s="25">
        <f ca="1">SUMPRODUCT(
(Model[[Estimate Type]:[Estimate Type]]= $S$6) *
(Model[[APPN]:[APPN]] = $B37) *
(Model[[PMO / NON PMO]:[PMO / NON PMO]] = "PMO") *
(TY_Years =X$2) *
(TY_Dollars))</f>
        <v>0</v>
      </c>
      <c r="Y45" s="25">
        <f ca="1">SUMPRODUCT(
(Model[[Estimate Type]:[Estimate Type]]= $S$6) *
(Model[[APPN]:[APPN]] = $B37) *
(Model[[PMO / NON PMO]:[PMO / NON PMO]] = "PMO") *
(TY_Years =Y$2) *
(TY_Dollars))</f>
        <v>0</v>
      </c>
      <c r="Z45" s="28">
        <f ca="1">SUM(U45:Y45)</f>
        <v>0</v>
      </c>
      <c r="AA45" s="28">
        <v>0</v>
      </c>
      <c r="AB45" s="30">
        <v>0</v>
      </c>
    </row>
    <row r="46" spans="2:28" s="16" customFormat="1" ht="16" hidden="1" outlineLevel="3" thickBot="1">
      <c r="C46" s="13"/>
      <c r="D46" s="32" t="s">
        <v>102</v>
      </c>
      <c r="E46" s="33">
        <f t="shared" ref="E46:M46" si="18">E45-E44</f>
        <v>0</v>
      </c>
      <c r="F46" s="33">
        <f t="shared" si="18"/>
        <v>0</v>
      </c>
      <c r="G46" s="33">
        <f t="shared" si="18"/>
        <v>0</v>
      </c>
      <c r="H46" s="33">
        <f t="shared" si="18"/>
        <v>0</v>
      </c>
      <c r="I46" s="33">
        <f t="shared" si="18"/>
        <v>0</v>
      </c>
      <c r="J46" s="33">
        <f t="shared" si="18"/>
        <v>0</v>
      </c>
      <c r="K46" s="33">
        <f t="shared" si="18"/>
        <v>0</v>
      </c>
      <c r="L46" s="33">
        <f t="shared" si="18"/>
        <v>0</v>
      </c>
      <c r="M46" s="33">
        <f t="shared" si="18"/>
        <v>0</v>
      </c>
      <c r="N46" s="34">
        <f>SUM(E46:K46,M46)</f>
        <v>0</v>
      </c>
      <c r="Q46" s="13"/>
      <c r="R46" s="32" t="s">
        <v>102</v>
      </c>
      <c r="S46" s="33">
        <f t="shared" ref="S46:AA46" ca="1" si="19">S45-S44</f>
        <v>0</v>
      </c>
      <c r="T46" s="33">
        <f t="shared" ca="1" si="19"/>
        <v>0</v>
      </c>
      <c r="U46" s="33">
        <f t="shared" ca="1" si="19"/>
        <v>0</v>
      </c>
      <c r="V46" s="33">
        <f t="shared" ca="1" si="19"/>
        <v>0</v>
      </c>
      <c r="W46" s="33">
        <f t="shared" ca="1" si="19"/>
        <v>0</v>
      </c>
      <c r="X46" s="33">
        <f t="shared" ca="1" si="19"/>
        <v>0</v>
      </c>
      <c r="Y46" s="33">
        <f t="shared" ca="1" si="19"/>
        <v>0</v>
      </c>
      <c r="Z46" s="33">
        <f t="shared" ca="1" si="19"/>
        <v>0</v>
      </c>
      <c r="AA46" s="33">
        <f t="shared" si="19"/>
        <v>0</v>
      </c>
      <c r="AB46" s="34">
        <f ca="1">SUM(S46:Y46,AA46)</f>
        <v>0</v>
      </c>
    </row>
    <row r="47" spans="2:28" s="16" customFormat="1" hidden="1" outlineLevel="2" collapsed="1">
      <c r="B47" s="362" t="str">
        <f>'Global Inputs'!$D$23</f>
        <v>Required $ (Draft CCP)</v>
      </c>
      <c r="C47" s="13"/>
      <c r="D47" s="35" t="str">
        <f>B47</f>
        <v>Required $ (Draft CCP)</v>
      </c>
      <c r="E47" s="28"/>
      <c r="F47" s="28"/>
      <c r="G47" s="28"/>
      <c r="H47" s="28"/>
      <c r="I47" s="28"/>
      <c r="J47" s="28"/>
      <c r="K47" s="28"/>
      <c r="L47" s="28"/>
      <c r="M47" s="28"/>
      <c r="N47" s="36"/>
      <c r="P47" s="362" t="str">
        <f>SUBSTITUTE($T$7, "$ ", "")</f>
        <v>Required (Draft CCP)</v>
      </c>
      <c r="R47" s="35" t="str">
        <f>P47</f>
        <v>Required (Draft CCP)</v>
      </c>
      <c r="S47" s="28"/>
      <c r="T47" s="28"/>
      <c r="U47" s="28"/>
      <c r="V47" s="28"/>
      <c r="W47" s="28"/>
      <c r="X47" s="28"/>
      <c r="Y47" s="28"/>
      <c r="Z47" s="28">
        <f>SUM(U47:Y47)</f>
        <v>0</v>
      </c>
      <c r="AA47" s="28"/>
      <c r="AB47" s="36">
        <f>SUM(S47:Y47,AA47)</f>
        <v>0</v>
      </c>
    </row>
    <row r="48" spans="2:28" s="16" customFormat="1" ht="16" hidden="1" outlineLevel="2" thickBot="1">
      <c r="C48" s="13"/>
      <c r="D48" s="37" t="s">
        <v>103</v>
      </c>
      <c r="E48" s="38">
        <f t="shared" ref="E48:M48" si="20">IF(E44&gt;0,E45-E47,IF(E45&gt;0,E45-E47,0))</f>
        <v>0</v>
      </c>
      <c r="F48" s="38">
        <f t="shared" si="20"/>
        <v>0</v>
      </c>
      <c r="G48" s="38">
        <f t="shared" si="20"/>
        <v>0</v>
      </c>
      <c r="H48" s="38">
        <f t="shared" si="20"/>
        <v>0</v>
      </c>
      <c r="I48" s="38">
        <f t="shared" si="20"/>
        <v>0</v>
      </c>
      <c r="J48" s="38">
        <f t="shared" si="20"/>
        <v>0</v>
      </c>
      <c r="K48" s="38">
        <f t="shared" si="20"/>
        <v>0</v>
      </c>
      <c r="L48" s="38">
        <f t="shared" si="20"/>
        <v>0</v>
      </c>
      <c r="M48" s="38">
        <f t="shared" si="20"/>
        <v>0</v>
      </c>
      <c r="N48" s="39">
        <f>SUM(E48:K48,M48)</f>
        <v>0</v>
      </c>
      <c r="Q48" s="13"/>
      <c r="R48" s="37" t="s">
        <v>103</v>
      </c>
      <c r="S48" s="38">
        <f t="shared" ref="S48:AA48" ca="1" si="21">IF(S44&gt;0,S45-S47,IF(S45&gt;0,S45-S47,0))</f>
        <v>0</v>
      </c>
      <c r="T48" s="38">
        <f t="shared" ca="1" si="21"/>
        <v>0</v>
      </c>
      <c r="U48" s="38">
        <f t="shared" ca="1" si="21"/>
        <v>0</v>
      </c>
      <c r="V48" s="38">
        <f t="shared" ca="1" si="21"/>
        <v>0</v>
      </c>
      <c r="W48" s="38">
        <f t="shared" ca="1" si="21"/>
        <v>0</v>
      </c>
      <c r="X48" s="38">
        <f t="shared" ca="1" si="21"/>
        <v>0</v>
      </c>
      <c r="Y48" s="38">
        <f t="shared" ca="1" si="21"/>
        <v>0</v>
      </c>
      <c r="Z48" s="38">
        <f t="shared" ca="1" si="21"/>
        <v>0</v>
      </c>
      <c r="AA48" s="38">
        <f t="shared" si="21"/>
        <v>0</v>
      </c>
      <c r="AB48" s="39">
        <f ca="1">SUM(S48:Y48,AA48)</f>
        <v>0</v>
      </c>
    </row>
    <row r="49" spans="2:28" s="16" customFormat="1" outlineLevel="1">
      <c r="C49" s="13"/>
      <c r="D49" s="51" t="s">
        <v>110</v>
      </c>
      <c r="E49" s="52"/>
      <c r="F49" s="52"/>
      <c r="G49" s="52"/>
      <c r="H49" s="52"/>
      <c r="I49" s="52"/>
      <c r="J49" s="52"/>
      <c r="K49" s="52"/>
      <c r="L49" s="52"/>
      <c r="M49" s="52"/>
      <c r="N49" s="53"/>
      <c r="R49" s="51" t="s">
        <v>110</v>
      </c>
      <c r="S49" s="52"/>
      <c r="T49" s="52"/>
      <c r="U49" s="52"/>
      <c r="V49" s="52"/>
      <c r="W49" s="52"/>
      <c r="X49" s="52"/>
      <c r="Y49" s="52"/>
      <c r="Z49" s="52"/>
      <c r="AA49" s="52"/>
      <c r="AB49" s="53"/>
    </row>
    <row r="50" spans="2:28" s="16" customFormat="1" outlineLevel="1">
      <c r="C50" s="13"/>
      <c r="D50" s="54"/>
      <c r="E50" s="55"/>
      <c r="F50" s="55"/>
      <c r="G50" s="55"/>
      <c r="H50" s="55"/>
      <c r="I50" s="55"/>
      <c r="J50" s="55"/>
      <c r="K50" s="55"/>
      <c r="L50" s="55"/>
      <c r="M50" s="55"/>
      <c r="N50" s="56"/>
      <c r="R50" s="54"/>
      <c r="S50" s="55"/>
      <c r="T50" s="55"/>
      <c r="U50" s="55"/>
      <c r="V50" s="55"/>
      <c r="W50" s="55"/>
      <c r="X50" s="55"/>
      <c r="Y50" s="55"/>
      <c r="Z50" s="55"/>
      <c r="AA50" s="55"/>
      <c r="AB50" s="56"/>
    </row>
    <row r="51" spans="2:28" s="16" customFormat="1" outlineLevel="1">
      <c r="C51" s="13"/>
      <c r="D51" s="54"/>
      <c r="E51" s="55"/>
      <c r="F51" s="55"/>
      <c r="G51" s="55"/>
      <c r="H51" s="55"/>
      <c r="I51" s="55"/>
      <c r="J51" s="55"/>
      <c r="K51" s="55"/>
      <c r="L51" s="55"/>
      <c r="M51" s="55"/>
      <c r="N51" s="56"/>
      <c r="R51" s="54"/>
      <c r="S51" s="55"/>
      <c r="T51" s="55"/>
      <c r="U51" s="55"/>
      <c r="V51" s="55"/>
      <c r="W51" s="55"/>
      <c r="X51" s="55"/>
      <c r="Y51" s="55"/>
      <c r="Z51" s="55"/>
      <c r="AA51" s="55"/>
      <c r="AB51" s="56"/>
    </row>
    <row r="52" spans="2:28" s="16" customFormat="1" outlineLevel="1">
      <c r="C52" s="13"/>
      <c r="D52" s="54" t="s">
        <v>111</v>
      </c>
      <c r="E52" s="55"/>
      <c r="F52" s="55"/>
      <c r="G52" s="55"/>
      <c r="H52" s="55"/>
      <c r="I52" s="55"/>
      <c r="J52" s="55"/>
      <c r="K52" s="55"/>
      <c r="L52" s="55"/>
      <c r="M52" s="55"/>
      <c r="N52" s="56"/>
      <c r="R52" s="54" t="s">
        <v>111</v>
      </c>
      <c r="S52" s="55"/>
      <c r="T52" s="55"/>
      <c r="U52" s="55"/>
      <c r="V52" s="55"/>
      <c r="W52" s="55"/>
      <c r="X52" s="55"/>
      <c r="Y52" s="55"/>
      <c r="Z52" s="55"/>
      <c r="AA52" s="55"/>
      <c r="AB52" s="56"/>
    </row>
    <row r="53" spans="2:28" s="16" customFormat="1" ht="16" outlineLevel="1" thickBot="1">
      <c r="C53" s="13"/>
      <c r="D53" s="57"/>
      <c r="E53" s="58"/>
      <c r="F53" s="58"/>
      <c r="G53" s="58"/>
      <c r="H53" s="58"/>
      <c r="I53" s="58"/>
      <c r="J53" s="58"/>
      <c r="K53" s="58"/>
      <c r="L53" s="58"/>
      <c r="M53" s="58"/>
      <c r="N53" s="59"/>
      <c r="R53" s="57"/>
      <c r="S53" s="58"/>
      <c r="T53" s="58"/>
      <c r="U53" s="58"/>
      <c r="V53" s="58"/>
      <c r="W53" s="58"/>
      <c r="X53" s="58"/>
      <c r="Y53" s="58"/>
      <c r="Z53" s="58"/>
      <c r="AA53" s="58"/>
      <c r="AB53" s="59"/>
    </row>
    <row r="54" spans="2:28" s="16" customFormat="1" outlineLevel="1">
      <c r="C54" s="13"/>
      <c r="D54" s="60"/>
      <c r="R54" s="60"/>
    </row>
    <row r="55" spans="2:28" s="16" customFormat="1" outlineLevel="1">
      <c r="C55" s="13"/>
    </row>
    <row r="56" spans="2:28" s="16" customFormat="1" outlineLevel="1">
      <c r="C56" s="13"/>
      <c r="D56" s="16" t="s">
        <v>112</v>
      </c>
      <c r="R56" s="16" t="s">
        <v>112</v>
      </c>
    </row>
    <row r="57" spans="2:28" s="16" customFormat="1" outlineLevel="1">
      <c r="C57" s="13"/>
      <c r="D57" s="16" t="s">
        <v>113</v>
      </c>
      <c r="R57" s="16" t="s">
        <v>113</v>
      </c>
    </row>
    <row r="58" spans="2:28">
      <c r="B58" s="16"/>
      <c r="C58" s="13"/>
    </row>
    <row r="59" spans="2:28">
      <c r="C59" s="13"/>
    </row>
    <row r="60" spans="2:28">
      <c r="C60" s="13"/>
    </row>
    <row r="61" spans="2:28">
      <c r="C61" s="13"/>
    </row>
    <row r="62" spans="2:28">
      <c r="C62" s="13"/>
    </row>
    <row r="63" spans="2:28">
      <c r="C63" s="13"/>
    </row>
    <row r="64" spans="2:28">
      <c r="C64" s="13"/>
    </row>
    <row r="65" spans="3:3">
      <c r="C65" s="13"/>
    </row>
    <row r="66" spans="3:3">
      <c r="C66" s="13"/>
    </row>
    <row r="67" spans="3:3">
      <c r="C67" s="13"/>
    </row>
    <row r="68" spans="3:3">
      <c r="C68" s="13"/>
    </row>
    <row r="69" spans="3:3">
      <c r="C69" s="13"/>
    </row>
    <row r="70" spans="3:3">
      <c r="C70" s="13"/>
    </row>
    <row r="71" spans="3:3">
      <c r="C71" s="13"/>
    </row>
    <row r="72" spans="3:3">
      <c r="C72" s="13"/>
    </row>
    <row r="73" spans="3:3">
      <c r="C73" s="13"/>
    </row>
  </sheetData>
  <mergeCells count="12">
    <mergeCell ref="S29:AB29"/>
    <mergeCell ref="R13:S13"/>
    <mergeCell ref="T13:AB13"/>
    <mergeCell ref="S15:AB15"/>
    <mergeCell ref="S22:AB22"/>
    <mergeCell ref="E43:N43"/>
    <mergeCell ref="E22:N22"/>
    <mergeCell ref="E29:N29"/>
    <mergeCell ref="E36:N36"/>
    <mergeCell ref="F13:N13"/>
    <mergeCell ref="E15:N15"/>
    <mergeCell ref="D13:E13"/>
  </mergeCells>
  <hyperlinks>
    <hyperlink ref="A1" location="'TOC'!A1" display="TO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4"/>
  </sheetPr>
  <dimension ref="A1:K68"/>
  <sheetViews>
    <sheetView showGridLines="0" zoomScale="70" zoomScaleNormal="70" workbookViewId="0">
      <selection activeCell="C41" sqref="C41"/>
    </sheetView>
  </sheetViews>
  <sheetFormatPr defaultColWidth="9" defaultRowHeight="12.5"/>
  <cols>
    <col min="1" max="1" width="9" style="12"/>
    <col min="2" max="2" width="25.58203125" style="12" customWidth="1"/>
    <col min="3" max="3" width="15.5" style="12" bestFit="1" customWidth="1"/>
    <col min="4" max="4" width="15.33203125" style="12" customWidth="1"/>
    <col min="5" max="5" width="12.58203125" style="12" customWidth="1"/>
    <col min="6" max="6" width="14.33203125" style="12" customWidth="1"/>
    <col min="7" max="7" width="13.75" style="12" bestFit="1" customWidth="1"/>
    <col min="8" max="8" width="15.08203125" style="12" bestFit="1" customWidth="1"/>
    <col min="9" max="9" width="14.75" style="12" bestFit="1" customWidth="1"/>
    <col min="10" max="16384" width="9" style="12"/>
  </cols>
  <sheetData>
    <row r="1" spans="1:11" ht="14.5">
      <c r="A1" s="354" t="s">
        <v>467</v>
      </c>
    </row>
    <row r="2" spans="1:11" ht="14.5">
      <c r="A2" s="354"/>
      <c r="B2" s="354"/>
      <c r="C2" s="354"/>
    </row>
    <row r="3" spans="1:11" ht="15.5">
      <c r="A3" s="354"/>
      <c r="B3" s="359" t="s">
        <v>159</v>
      </c>
      <c r="C3" s="360" t="str">
        <f>'Global Inputs'!C24</f>
        <v>POE</v>
      </c>
    </row>
    <row r="4" spans="1:11" ht="15.5">
      <c r="A4" s="354"/>
      <c r="B4" s="359" t="s">
        <v>555</v>
      </c>
      <c r="C4" s="363"/>
      <c r="D4" s="12" t="s">
        <v>551</v>
      </c>
    </row>
    <row r="5" spans="1:11" ht="15.5">
      <c r="A5" s="354"/>
      <c r="B5" s="359" t="s">
        <v>556</v>
      </c>
      <c r="C5" s="363"/>
      <c r="D5" s="12" t="s">
        <v>551</v>
      </c>
    </row>
    <row r="6" spans="1:11" ht="15.5">
      <c r="A6" s="354"/>
      <c r="B6" s="359" t="s">
        <v>552</v>
      </c>
      <c r="C6" s="360" t="s">
        <v>553</v>
      </c>
      <c r="D6" s="12" t="s">
        <v>554</v>
      </c>
    </row>
    <row r="8" spans="1:11">
      <c r="B8" s="61" t="s">
        <v>115</v>
      </c>
      <c r="C8" s="61"/>
      <c r="D8" s="61"/>
      <c r="E8" s="61"/>
      <c r="F8" s="61"/>
      <c r="G8" s="61"/>
      <c r="H8" s="62"/>
    </row>
    <row r="10" spans="1:11" ht="13" thickBot="1">
      <c r="C10" s="63"/>
      <c r="D10" s="63"/>
      <c r="E10" s="63"/>
      <c r="F10" s="63"/>
      <c r="G10" s="63"/>
      <c r="H10" s="63"/>
      <c r="I10" s="63"/>
    </row>
    <row r="11" spans="1:11" ht="12.75" customHeight="1">
      <c r="B11" s="64"/>
      <c r="C11" s="65"/>
      <c r="D11" s="531" t="s">
        <v>116</v>
      </c>
      <c r="E11" s="532"/>
      <c r="F11" s="531" t="s">
        <v>117</v>
      </c>
      <c r="G11" s="532"/>
      <c r="H11" s="531" t="s">
        <v>118</v>
      </c>
      <c r="I11" s="533"/>
    </row>
    <row r="12" spans="1:11" ht="12.75" customHeight="1">
      <c r="B12" s="66"/>
      <c r="C12" s="67"/>
      <c r="D12" s="534" t="s">
        <v>119</v>
      </c>
      <c r="E12" s="535"/>
      <c r="F12" s="534" t="s">
        <v>119</v>
      </c>
      <c r="G12" s="535"/>
      <c r="H12" s="68" t="s">
        <v>120</v>
      </c>
      <c r="I12" s="69" t="s">
        <v>120</v>
      </c>
    </row>
    <row r="13" spans="1:11" ht="12.75" customHeight="1">
      <c r="B13" s="66"/>
      <c r="C13" s="70" t="s">
        <v>121</v>
      </c>
      <c r="D13" s="534" t="str">
        <f>"("&amp; $C$4&amp; " APB)"</f>
        <v>( APB)</v>
      </c>
      <c r="E13" s="535"/>
      <c r="F13" s="534" t="str">
        <f>"("&amp; $C$5&amp; "APB)"</f>
        <v>(APB)</v>
      </c>
      <c r="G13" s="535"/>
      <c r="H13" s="68" t="s">
        <v>122</v>
      </c>
      <c r="I13" s="69" t="s">
        <v>123</v>
      </c>
    </row>
    <row r="14" spans="1:11" ht="15.5">
      <c r="B14" s="66"/>
      <c r="C14" s="70" t="s">
        <v>124</v>
      </c>
      <c r="D14" s="68" t="s">
        <v>125</v>
      </c>
      <c r="E14" s="71" t="s">
        <v>126</v>
      </c>
      <c r="F14" s="68" t="s">
        <v>125</v>
      </c>
      <c r="G14" s="71" t="s">
        <v>126</v>
      </c>
      <c r="H14" s="68" t="s">
        <v>127</v>
      </c>
      <c r="I14" s="69" t="s">
        <v>127</v>
      </c>
      <c r="K14" s="72"/>
    </row>
    <row r="15" spans="1:11" ht="15.5">
      <c r="B15" s="73" t="s">
        <v>128</v>
      </c>
      <c r="C15" s="74"/>
      <c r="D15" s="75"/>
      <c r="E15" s="76"/>
      <c r="F15" s="75"/>
      <c r="G15" s="76"/>
      <c r="H15" s="77"/>
      <c r="I15" s="78"/>
    </row>
    <row r="16" spans="1:11" ht="15.5">
      <c r="B16" s="79" t="s">
        <v>129</v>
      </c>
      <c r="C16" s="80">
        <f>SUMIFS(Model[Mean Estimate (TY$)], Model[Estimate Type], $C$3, Model[Phase], B16)</f>
        <v>191988598.68739498</v>
      </c>
      <c r="D16" s="81">
        <v>0</v>
      </c>
      <c r="E16" s="82" t="s">
        <v>130</v>
      </c>
      <c r="F16" s="81">
        <v>0</v>
      </c>
      <c r="G16" s="82" t="s">
        <v>130</v>
      </c>
      <c r="H16" s="83"/>
      <c r="I16" s="84"/>
    </row>
    <row r="17" spans="2:9" ht="15.5">
      <c r="B17" s="79" t="s">
        <v>83</v>
      </c>
      <c r="C17" s="80">
        <f>SUMIFS(Model[Mean Estimate (TY$)], Model[Estimate Type], $C$3, Model[Phase], B17)</f>
        <v>0</v>
      </c>
      <c r="D17" s="81">
        <v>0</v>
      </c>
      <c r="E17" s="82" t="s">
        <v>130</v>
      </c>
      <c r="F17" s="81">
        <v>0</v>
      </c>
      <c r="G17" s="82" t="s">
        <v>130</v>
      </c>
      <c r="H17" s="83"/>
      <c r="I17" s="84"/>
    </row>
    <row r="18" spans="2:9" ht="15.5">
      <c r="B18" s="79" t="s">
        <v>106</v>
      </c>
      <c r="C18" s="80">
        <f>SUMIFS(Model[Mean Estimate (TY$)], Model[Estimate Type], $C$3, Model[Phase], B18)</f>
        <v>0</v>
      </c>
      <c r="D18" s="81">
        <v>0</v>
      </c>
      <c r="E18" s="82" t="s">
        <v>130</v>
      </c>
      <c r="F18" s="81">
        <v>0</v>
      </c>
      <c r="G18" s="82" t="s">
        <v>130</v>
      </c>
      <c r="H18" s="83"/>
      <c r="I18" s="84"/>
    </row>
    <row r="19" spans="2:9" ht="15.5">
      <c r="B19" s="79" t="s">
        <v>131</v>
      </c>
      <c r="C19" s="80">
        <f>SUMIFS(Model[Mean Estimate (TY$)], Model[Estimate Type], $C$3, Model[Phase], B19)</f>
        <v>0</v>
      </c>
      <c r="D19" s="81">
        <v>0</v>
      </c>
      <c r="E19" s="82" t="s">
        <v>130</v>
      </c>
      <c r="F19" s="81">
        <v>0</v>
      </c>
      <c r="G19" s="82" t="s">
        <v>130</v>
      </c>
      <c r="H19" s="83"/>
      <c r="I19" s="84"/>
    </row>
    <row r="20" spans="2:9" ht="15.5">
      <c r="B20" s="85" t="s">
        <v>132</v>
      </c>
      <c r="C20" s="86">
        <f>SUM(C16:C19)</f>
        <v>191988598.68739498</v>
      </c>
      <c r="D20" s="87">
        <f>SUM(D16:D19)</f>
        <v>0</v>
      </c>
      <c r="E20" s="82" t="s">
        <v>130</v>
      </c>
      <c r="F20" s="87">
        <f>SUM(F16:F19)</f>
        <v>0</v>
      </c>
      <c r="G20" s="82" t="s">
        <v>130</v>
      </c>
      <c r="H20" s="83"/>
      <c r="I20" s="84"/>
    </row>
    <row r="21" spans="2:9" ht="15.5">
      <c r="B21" s="79" t="s">
        <v>133</v>
      </c>
      <c r="C21" s="80">
        <f>SUMIFS(Model[Mean Estimate (TY$)], Model[Estimate Type], $C$3, Model[Phase], B21) +
SUMIFS(Model[Mean Estimate (TY$)], Model[Estimate Type], $C$3, Model[Phase], "Disposal")</f>
        <v>0</v>
      </c>
      <c r="D21" s="81">
        <v>0</v>
      </c>
      <c r="E21" s="82" t="s">
        <v>130</v>
      </c>
      <c r="F21" s="81">
        <v>0</v>
      </c>
      <c r="G21" s="82" t="s">
        <v>130</v>
      </c>
      <c r="H21" s="83"/>
      <c r="I21" s="84"/>
    </row>
    <row r="22" spans="2:9" ht="15.5">
      <c r="B22" s="85" t="s">
        <v>134</v>
      </c>
      <c r="C22" s="86">
        <f>C21+C20</f>
        <v>191988598.68739498</v>
      </c>
      <c r="D22" s="87">
        <f>D21+D20</f>
        <v>0</v>
      </c>
      <c r="E22" s="88" t="s">
        <v>130</v>
      </c>
      <c r="F22" s="87">
        <f>F21+F20</f>
        <v>0</v>
      </c>
      <c r="G22" s="82" t="s">
        <v>130</v>
      </c>
      <c r="H22" s="83"/>
      <c r="I22" s="84"/>
    </row>
    <row r="23" spans="2:9" ht="15.5">
      <c r="B23" s="89"/>
      <c r="C23" s="90"/>
      <c r="D23" s="91"/>
      <c r="E23" s="92"/>
      <c r="F23" s="91"/>
      <c r="G23" s="92"/>
      <c r="H23" s="83"/>
      <c r="I23" s="84"/>
    </row>
    <row r="24" spans="2:9" ht="15.5">
      <c r="B24" s="79" t="s">
        <v>135</v>
      </c>
      <c r="C24" s="93">
        <f>IFERROR(C20/C42,0)</f>
        <v>95994299.343697488</v>
      </c>
      <c r="D24" s="94">
        <f>IFERROR(D20/D42,0)</f>
        <v>0</v>
      </c>
      <c r="E24" s="95" t="s">
        <v>130</v>
      </c>
      <c r="F24" s="94">
        <f>IFERROR(F20/F42,0)</f>
        <v>0</v>
      </c>
      <c r="G24" s="95" t="s">
        <v>130</v>
      </c>
      <c r="H24" s="83"/>
      <c r="I24" s="84"/>
    </row>
    <row r="25" spans="2:9" ht="15.5">
      <c r="B25" s="79" t="s">
        <v>136</v>
      </c>
      <c r="C25" s="93">
        <f>IFERROR(C17/C41,0)</f>
        <v>0</v>
      </c>
      <c r="D25" s="94">
        <f>IFERROR(D17/D41,0)</f>
        <v>0</v>
      </c>
      <c r="E25" s="95" t="s">
        <v>130</v>
      </c>
      <c r="F25" s="94">
        <f>IFERROR(F17/F41,0)</f>
        <v>0</v>
      </c>
      <c r="G25" s="95" t="s">
        <v>130</v>
      </c>
      <c r="H25" s="83"/>
      <c r="I25" s="84"/>
    </row>
    <row r="26" spans="2:9" ht="15.5">
      <c r="B26" s="96"/>
      <c r="C26" s="97"/>
      <c r="D26" s="98"/>
      <c r="E26" s="99"/>
      <c r="F26" s="98"/>
      <c r="G26" s="99"/>
      <c r="H26" s="100"/>
      <c r="I26" s="101"/>
    </row>
    <row r="27" spans="2:9" ht="15.5">
      <c r="B27" s="73" t="str">
        <f>"Base-Year $M (BY" &amp; $C$6 &amp;")"</f>
        <v>Base-Year $M (BYXXXX)</v>
      </c>
      <c r="C27" s="74"/>
      <c r="D27" s="75"/>
      <c r="E27" s="76"/>
      <c r="F27" s="75"/>
      <c r="G27" s="76"/>
      <c r="H27" s="77"/>
      <c r="I27" s="78"/>
    </row>
    <row r="28" spans="2:9" ht="15.5">
      <c r="B28" s="79" t="s">
        <v>129</v>
      </c>
      <c r="C28" s="80">
        <f>SUMIFS(Model[Mean Estimate (CY14$)], Model[Estimate Type], $C$3, Model[Phase], B28)</f>
        <v>182022647.55358645</v>
      </c>
      <c r="D28" s="81">
        <v>0</v>
      </c>
      <c r="E28" s="82" t="str">
        <f>IF(D28&gt;0, D28*1.1, "N/A")</f>
        <v>N/A</v>
      </c>
      <c r="F28" s="81">
        <v>0</v>
      </c>
      <c r="G28" s="82" t="str">
        <f>IF(F28&gt;0, F28*1.1, "N/A")</f>
        <v>N/A</v>
      </c>
      <c r="H28" s="83"/>
      <c r="I28" s="84"/>
    </row>
    <row r="29" spans="2:9" ht="15.5">
      <c r="B29" s="79" t="s">
        <v>83</v>
      </c>
      <c r="C29" s="80">
        <f>SUMIFS(Model[Mean Estimate (CY14$)], Model[Estimate Type], $C$3, Model[Phase], B29)</f>
        <v>0</v>
      </c>
      <c r="D29" s="81">
        <v>0</v>
      </c>
      <c r="E29" s="82" t="str">
        <f>IF(D29&gt;0, D29*1.1, "N/A")</f>
        <v>N/A</v>
      </c>
      <c r="F29" s="81">
        <v>0</v>
      </c>
      <c r="G29" s="82" t="str">
        <f>IF(F29&gt;0, F29*1.1, "N/A")</f>
        <v>N/A</v>
      </c>
      <c r="H29" s="83"/>
      <c r="I29" s="84"/>
    </row>
    <row r="30" spans="2:9" ht="15.5">
      <c r="B30" s="79" t="s">
        <v>106</v>
      </c>
      <c r="C30" s="80">
        <f>SUMIFS(Model[Mean Estimate (CY14$)], Model[Estimate Type], $C$3, Model[Phase], B30)</f>
        <v>0</v>
      </c>
      <c r="D30" s="81">
        <v>0</v>
      </c>
      <c r="E30" s="82" t="str">
        <f>IF(D30&gt;0, D30*1.1, "N/A")</f>
        <v>N/A</v>
      </c>
      <c r="F30" s="81">
        <v>0</v>
      </c>
      <c r="G30" s="82" t="str">
        <f>IF(F30&gt;0, F30*1.1, "N/A")</f>
        <v>N/A</v>
      </c>
      <c r="H30" s="83"/>
      <c r="I30" s="84"/>
    </row>
    <row r="31" spans="2:9" ht="15.5">
      <c r="B31" s="79" t="s">
        <v>131</v>
      </c>
      <c r="C31" s="80">
        <f>SUMIFS(Model[Mean Estimate (CY14$)], Model[Estimate Type], $C$3, Model[Phase], B31)</f>
        <v>0</v>
      </c>
      <c r="D31" s="81">
        <v>0</v>
      </c>
      <c r="E31" s="82" t="str">
        <f>IF(D31&gt;0, D31*1.1, "N/A")</f>
        <v>N/A</v>
      </c>
      <c r="F31" s="81">
        <v>0</v>
      </c>
      <c r="G31" s="82" t="str">
        <f>IF(F31&gt;0, F31*1.1, "N/A")</f>
        <v>N/A</v>
      </c>
      <c r="H31" s="83"/>
      <c r="I31" s="84"/>
    </row>
    <row r="32" spans="2:9" ht="15.5">
      <c r="B32" s="85" t="s">
        <v>132</v>
      </c>
      <c r="C32" s="86">
        <f>SUM(C28:C31)</f>
        <v>182022647.55358645</v>
      </c>
      <c r="D32" s="87">
        <f>SUM(D28:D31)</f>
        <v>0</v>
      </c>
      <c r="E32" s="82" t="s">
        <v>130</v>
      </c>
      <c r="F32" s="87">
        <f>SUM(F28:F31)</f>
        <v>0</v>
      </c>
      <c r="G32" s="82" t="s">
        <v>130</v>
      </c>
      <c r="H32" s="83"/>
      <c r="I32" s="84"/>
    </row>
    <row r="33" spans="1:9" ht="15.5">
      <c r="B33" s="79" t="s">
        <v>133</v>
      </c>
      <c r="C33" s="80">
        <f>SUMIFS(Model[Mean Estimate (CY14$)], Model[Estimate Type], $C$3, Model[Phase], B33) +
SUMIFS(Model[Mean Estimate (CY14$)], Model[Estimate Type], $C$3, Model[Phase], "Disposal")</f>
        <v>0</v>
      </c>
      <c r="D33" s="81">
        <v>0</v>
      </c>
      <c r="E33" s="82" t="str">
        <f>IF(D33&gt;0, D33*1.1, "N/A")</f>
        <v>N/A</v>
      </c>
      <c r="F33" s="81">
        <v>0</v>
      </c>
      <c r="G33" s="82" t="str">
        <f>IF(F33&gt;0, F33*1.1, "N/A")</f>
        <v>N/A</v>
      </c>
      <c r="H33" s="83"/>
      <c r="I33" s="84"/>
    </row>
    <row r="34" spans="1:9" ht="15.5">
      <c r="B34" s="85" t="s">
        <v>134</v>
      </c>
      <c r="C34" s="86">
        <f>C33+C32</f>
        <v>182022647.55358645</v>
      </c>
      <c r="D34" s="87">
        <f>D33+D32</f>
        <v>0</v>
      </c>
      <c r="E34" s="82" t="s">
        <v>130</v>
      </c>
      <c r="F34" s="87">
        <f>F33+F32</f>
        <v>0</v>
      </c>
      <c r="G34" s="82" t="s">
        <v>130</v>
      </c>
      <c r="H34" s="83"/>
      <c r="I34" s="84"/>
    </row>
    <row r="35" spans="1:9" ht="15.5">
      <c r="B35" s="89"/>
      <c r="C35" s="90"/>
      <c r="D35" s="91"/>
      <c r="E35" s="92"/>
      <c r="F35" s="91"/>
      <c r="G35" s="92"/>
      <c r="H35" s="102"/>
      <c r="I35" s="103"/>
    </row>
    <row r="36" spans="1:9" ht="15.5">
      <c r="B36" s="79" t="s">
        <v>135</v>
      </c>
      <c r="C36" s="93">
        <f>C32/C42</f>
        <v>91011323.776793227</v>
      </c>
      <c r="D36" s="94">
        <f>IFERROR(D32/D42,0)</f>
        <v>0</v>
      </c>
      <c r="E36" s="95">
        <f>D36*1.1</f>
        <v>0</v>
      </c>
      <c r="F36" s="94">
        <f>IFERROR(F32/F42,0)</f>
        <v>0</v>
      </c>
      <c r="G36" s="95">
        <f>F36*1.1</f>
        <v>0</v>
      </c>
      <c r="H36" s="104" t="e">
        <f>(C36-D36)/D36*100</f>
        <v>#DIV/0!</v>
      </c>
      <c r="I36" s="105" t="e">
        <f>(C36-F36)/F36*100</f>
        <v>#DIV/0!</v>
      </c>
    </row>
    <row r="37" spans="1:9" ht="15.5">
      <c r="B37" s="79" t="s">
        <v>136</v>
      </c>
      <c r="C37" s="93">
        <f>C29/C41</f>
        <v>0</v>
      </c>
      <c r="D37" s="94">
        <f>IFERROR(D29/D41,0)</f>
        <v>0</v>
      </c>
      <c r="E37" s="95">
        <f>D37*1.1</f>
        <v>0</v>
      </c>
      <c r="F37" s="94">
        <f>IFERROR(F29/F41,0)</f>
        <v>0</v>
      </c>
      <c r="G37" s="95">
        <f>F37*1.1</f>
        <v>0</v>
      </c>
      <c r="H37" s="104" t="e">
        <f>(C37-D37)/D37*100</f>
        <v>#DIV/0!</v>
      </c>
      <c r="I37" s="105" t="e">
        <f>(C37-F37)/F37*100</f>
        <v>#DIV/0!</v>
      </c>
    </row>
    <row r="38" spans="1:9" ht="15.5">
      <c r="B38" s="96"/>
      <c r="C38" s="106"/>
      <c r="D38" s="98"/>
      <c r="E38" s="99"/>
      <c r="F38" s="98"/>
      <c r="G38" s="99"/>
      <c r="H38" s="107"/>
      <c r="I38" s="108"/>
    </row>
    <row r="39" spans="1:9" ht="15.5">
      <c r="B39" s="73" t="s">
        <v>137</v>
      </c>
      <c r="C39" s="109"/>
      <c r="D39" s="75"/>
      <c r="E39" s="76"/>
      <c r="F39" s="75"/>
      <c r="G39" s="76"/>
      <c r="H39" s="77"/>
      <c r="I39" s="78"/>
    </row>
    <row r="40" spans="1:9" ht="15.5">
      <c r="B40" s="79" t="s">
        <v>129</v>
      </c>
      <c r="C40" s="110">
        <f>Profiles!C9</f>
        <v>1</v>
      </c>
      <c r="D40" s="111">
        <v>0</v>
      </c>
      <c r="E40" s="112" t="s">
        <v>130</v>
      </c>
      <c r="F40" s="111">
        <v>0</v>
      </c>
      <c r="G40" s="112" t="s">
        <v>130</v>
      </c>
      <c r="H40" s="83"/>
      <c r="I40" s="84"/>
    </row>
    <row r="41" spans="1:9" ht="15.5">
      <c r="B41" s="79" t="s">
        <v>83</v>
      </c>
      <c r="C41" s="110">
        <f>Profiles!C12</f>
        <v>1</v>
      </c>
      <c r="D41" s="111">
        <v>0</v>
      </c>
      <c r="E41" s="112" t="s">
        <v>130</v>
      </c>
      <c r="F41" s="111">
        <v>0</v>
      </c>
      <c r="G41" s="112" t="s">
        <v>130</v>
      </c>
      <c r="H41" s="83"/>
      <c r="I41" s="84"/>
    </row>
    <row r="42" spans="1:9" ht="16" thickBot="1">
      <c r="B42" s="113" t="s">
        <v>138</v>
      </c>
      <c r="C42" s="114">
        <f>C41+C40</f>
        <v>2</v>
      </c>
      <c r="D42" s="115">
        <f>D41+D40</f>
        <v>0</v>
      </c>
      <c r="E42" s="116"/>
      <c r="F42" s="115">
        <f>F41+F40</f>
        <v>0</v>
      </c>
      <c r="G42" s="116"/>
      <c r="H42" s="117"/>
      <c r="I42" s="118"/>
    </row>
    <row r="45" spans="1:9">
      <c r="A45" s="119">
        <v>1</v>
      </c>
      <c r="B45" s="119" t="s">
        <v>139</v>
      </c>
    </row>
    <row r="46" spans="1:9">
      <c r="A46" s="119">
        <v>2</v>
      </c>
      <c r="B46" s="119" t="s">
        <v>140</v>
      </c>
    </row>
    <row r="47" spans="1:9">
      <c r="A47" s="119">
        <v>3</v>
      </c>
      <c r="B47" s="119" t="s">
        <v>141</v>
      </c>
    </row>
    <row r="48" spans="1:9">
      <c r="A48" s="119">
        <v>4</v>
      </c>
      <c r="B48" s="119" t="s">
        <v>142</v>
      </c>
    </row>
    <row r="49" spans="1:9">
      <c r="A49" s="119">
        <v>5</v>
      </c>
      <c r="B49" s="119" t="s">
        <v>143</v>
      </c>
    </row>
    <row r="51" spans="1:9">
      <c r="B51" s="119" t="s">
        <v>144</v>
      </c>
    </row>
    <row r="52" spans="1:9">
      <c r="B52" s="119" t="s">
        <v>145</v>
      </c>
    </row>
    <row r="54" spans="1:9" ht="15.5">
      <c r="B54" s="120" t="s">
        <v>146</v>
      </c>
      <c r="C54" s="121"/>
      <c r="D54" s="121"/>
      <c r="E54" s="121"/>
    </row>
    <row r="55" spans="1:9" ht="12.75" customHeight="1">
      <c r="B55" s="530" t="s">
        <v>147</v>
      </c>
      <c r="C55" s="530"/>
      <c r="D55" s="530"/>
      <c r="E55" s="530"/>
      <c r="F55" s="530"/>
      <c r="G55" s="530"/>
      <c r="H55" s="530"/>
      <c r="I55" s="530"/>
    </row>
    <row r="56" spans="1:9">
      <c r="B56" s="530"/>
      <c r="C56" s="530"/>
      <c r="D56" s="530"/>
      <c r="E56" s="530"/>
      <c r="F56" s="530"/>
      <c r="G56" s="530"/>
      <c r="H56" s="530"/>
      <c r="I56" s="530"/>
    </row>
    <row r="57" spans="1:9">
      <c r="B57" s="530"/>
      <c r="C57" s="530"/>
      <c r="D57" s="530"/>
      <c r="E57" s="530"/>
      <c r="F57" s="530"/>
      <c r="G57" s="530"/>
      <c r="H57" s="530"/>
      <c r="I57" s="530"/>
    </row>
    <row r="58" spans="1:9">
      <c r="B58" s="530"/>
      <c r="C58" s="530"/>
      <c r="D58" s="530"/>
      <c r="E58" s="530"/>
      <c r="F58" s="530"/>
      <c r="G58" s="530"/>
      <c r="H58" s="530"/>
      <c r="I58" s="530"/>
    </row>
    <row r="59" spans="1:9" ht="15.5">
      <c r="B59" s="122"/>
      <c r="C59" s="121"/>
      <c r="D59" s="121"/>
      <c r="E59" s="121"/>
    </row>
    <row r="60" spans="1:9" ht="15.5">
      <c r="B60" s="120" t="s">
        <v>148</v>
      </c>
      <c r="C60" s="121"/>
      <c r="D60" s="121"/>
      <c r="E60" s="121"/>
    </row>
    <row r="61" spans="1:9" ht="12.75" customHeight="1">
      <c r="B61" s="530" t="s">
        <v>149</v>
      </c>
      <c r="C61" s="530"/>
      <c r="D61" s="530"/>
      <c r="E61" s="530"/>
      <c r="F61" s="530"/>
      <c r="G61" s="530"/>
      <c r="H61" s="530"/>
      <c r="I61" s="530"/>
    </row>
    <row r="62" spans="1:9">
      <c r="B62" s="530"/>
      <c r="C62" s="530"/>
      <c r="D62" s="530"/>
      <c r="E62" s="530"/>
      <c r="F62" s="530"/>
      <c r="G62" s="530"/>
      <c r="H62" s="530"/>
      <c r="I62" s="530"/>
    </row>
    <row r="63" spans="1:9">
      <c r="B63" s="530"/>
      <c r="C63" s="530"/>
      <c r="D63" s="530"/>
      <c r="E63" s="530"/>
      <c r="F63" s="530"/>
      <c r="G63" s="530"/>
      <c r="H63" s="530"/>
      <c r="I63" s="530"/>
    </row>
    <row r="64" spans="1:9">
      <c r="B64" s="530"/>
      <c r="C64" s="530"/>
      <c r="D64" s="530"/>
      <c r="E64" s="530"/>
      <c r="F64" s="530"/>
      <c r="G64" s="530"/>
      <c r="H64" s="530"/>
      <c r="I64" s="530"/>
    </row>
    <row r="65" spans="2:9" ht="14.5">
      <c r="B65" s="123"/>
      <c r="C65" s="123"/>
      <c r="D65" s="123"/>
      <c r="E65" s="123"/>
      <c r="F65" s="123"/>
      <c r="G65" s="123"/>
      <c r="H65" s="123"/>
      <c r="I65" s="123"/>
    </row>
    <row r="66" spans="2:9" ht="28">
      <c r="G66" s="124" t="s">
        <v>150</v>
      </c>
      <c r="H66" s="125" t="s">
        <v>151</v>
      </c>
      <c r="I66" s="125" t="s">
        <v>152</v>
      </c>
    </row>
    <row r="67" spans="2:9" ht="14">
      <c r="E67" s="126" t="s">
        <v>153</v>
      </c>
      <c r="F67" s="127"/>
      <c r="G67" s="127"/>
      <c r="H67" s="128">
        <v>0.3</v>
      </c>
      <c r="I67" s="128">
        <v>0.15</v>
      </c>
    </row>
    <row r="68" spans="2:9" ht="14">
      <c r="E68" s="126" t="s">
        <v>154</v>
      </c>
      <c r="F68" s="127"/>
      <c r="G68" s="127"/>
      <c r="H68" s="128">
        <v>0.5</v>
      </c>
      <c r="I68" s="128">
        <v>0.25</v>
      </c>
    </row>
  </sheetData>
  <mergeCells count="9">
    <mergeCell ref="B55:I58"/>
    <mergeCell ref="B61:I64"/>
    <mergeCell ref="D11:E11"/>
    <mergeCell ref="F11:G11"/>
    <mergeCell ref="H11:I11"/>
    <mergeCell ref="D12:E12"/>
    <mergeCell ref="F12:G12"/>
    <mergeCell ref="D13:E13"/>
    <mergeCell ref="F13:G13"/>
  </mergeCells>
  <conditionalFormatting sqref="D13:G13">
    <cfRule type="expression" dxfId="9" priority="1">
      <formula>OR($C$4=0, $C$5=0)</formula>
    </cfRule>
  </conditionalFormatting>
  <hyperlinks>
    <hyperlink ref="A1" location="'TOC'!A1" display="TOC"/>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outlinePr summaryBelow="0" summaryRight="0"/>
  </sheetPr>
  <dimension ref="A1:AG270"/>
  <sheetViews>
    <sheetView showGridLines="0" zoomScale="70" zoomScaleNormal="70" workbookViewId="0">
      <selection activeCell="G5" sqref="G5:I5"/>
    </sheetView>
  </sheetViews>
  <sheetFormatPr defaultRowHeight="15.5" outlineLevelRow="2"/>
  <cols>
    <col min="2" max="2" width="13.08203125" customWidth="1"/>
    <col min="3" max="3" width="10.08203125" bestFit="1" customWidth="1"/>
    <col min="4" max="4" width="10.83203125" customWidth="1"/>
    <col min="6" max="6" width="11.08203125" customWidth="1"/>
    <col min="7" max="7" width="12.25" customWidth="1"/>
    <col min="8" max="8" width="11.25" customWidth="1"/>
    <col min="9" max="9" width="11.25" bestFit="1" customWidth="1"/>
    <col min="10" max="10" width="12.08203125" customWidth="1"/>
    <col min="12" max="12" width="2" customWidth="1"/>
    <col min="13" max="13" width="15.83203125" bestFit="1" customWidth="1"/>
    <col min="14" max="14" width="10.08203125" bestFit="1" customWidth="1"/>
    <col min="21" max="21" width="22.08203125" bestFit="1" customWidth="1"/>
    <col min="22" max="22" width="11.83203125" bestFit="1" customWidth="1"/>
    <col min="27" max="28" width="56" style="279" customWidth="1"/>
  </cols>
  <sheetData>
    <row r="1" spans="1:9">
      <c r="A1" s="354" t="s">
        <v>467</v>
      </c>
    </row>
    <row r="3" spans="1:9">
      <c r="A3" s="241" t="s">
        <v>387</v>
      </c>
    </row>
    <row r="4" spans="1:9" outlineLevel="1"/>
    <row r="5" spans="1:9" outlineLevel="1">
      <c r="F5" s="242" t="s">
        <v>388</v>
      </c>
      <c r="G5" s="536" t="s">
        <v>350</v>
      </c>
      <c r="H5" s="536"/>
      <c r="I5" s="536"/>
    </row>
    <row r="6" spans="1:9" outlineLevel="2">
      <c r="A6" s="243"/>
      <c r="F6" s="244" t="s">
        <v>161</v>
      </c>
      <c r="G6" s="537" t="str">
        <f>SUBSTITUTE(SUBSTITUTE(G5, "TY$M PE_", ""), "_Total", "")</f>
        <v>Procurement</v>
      </c>
      <c r="H6" s="537"/>
      <c r="I6" s="537"/>
    </row>
    <row r="7" spans="1:9" outlineLevel="2">
      <c r="A7" s="243"/>
      <c r="F7" s="244" t="s">
        <v>389</v>
      </c>
      <c r="G7" s="538" t="e">
        <f>G6 &amp;" S-Curve
CV = "&amp;LEFT(ROUND(N23,2)&amp;0, 4)</f>
        <v>#N/A</v>
      </c>
      <c r="H7" s="538"/>
      <c r="I7" s="538"/>
    </row>
    <row r="8" spans="1:9" outlineLevel="2">
      <c r="A8" s="243"/>
      <c r="F8" s="244" t="s">
        <v>390</v>
      </c>
      <c r="G8" s="537" t="e">
        <f>ROUND(N21*0.5,-2)</f>
        <v>#N/A</v>
      </c>
      <c r="H8" s="537"/>
      <c r="I8" s="537"/>
    </row>
    <row r="9" spans="1:9" outlineLevel="2">
      <c r="A9" s="243"/>
      <c r="F9" s="244" t="s">
        <v>391</v>
      </c>
      <c r="G9" s="537" t="e">
        <f>IF(ROUND(N21*1.5,-2)=0, 100, ROUND(N21*1.5,-2))</f>
        <v>#N/A</v>
      </c>
      <c r="H9" s="537"/>
      <c r="I9" s="537"/>
    </row>
    <row r="10" spans="1:9" outlineLevel="2">
      <c r="A10" s="243"/>
    </row>
    <row r="11" spans="1:9" outlineLevel="1">
      <c r="A11" s="243"/>
    </row>
    <row r="12" spans="1:9" outlineLevel="1">
      <c r="B12" s="242" t="s">
        <v>392</v>
      </c>
      <c r="C12" s="242" t="s">
        <v>393</v>
      </c>
      <c r="D12" s="242" t="s">
        <v>157</v>
      </c>
    </row>
    <row r="13" spans="1:9" outlineLevel="1">
      <c r="B13" s="245">
        <v>3</v>
      </c>
      <c r="C13" s="246">
        <v>0.05</v>
      </c>
      <c r="D13" s="247" t="e">
        <f>HLOOKUP($G$5, 'Simulation Data'!$22:$43, B13,FALSE)</f>
        <v>#N/A</v>
      </c>
    </row>
    <row r="14" spans="1:9" outlineLevel="1">
      <c r="B14" s="245">
        <v>4</v>
      </c>
      <c r="C14" s="246">
        <v>0.1</v>
      </c>
      <c r="D14" s="247" t="e">
        <f>HLOOKUP($G$5, 'Simulation Data'!$22:$43, B14,FALSE)</f>
        <v>#N/A</v>
      </c>
    </row>
    <row r="15" spans="1:9" outlineLevel="1">
      <c r="B15" s="245">
        <v>5</v>
      </c>
      <c r="C15" s="246">
        <v>0.15</v>
      </c>
      <c r="D15" s="247" t="e">
        <f>HLOOKUP($G$5, 'Simulation Data'!$22:$43, B15,FALSE)</f>
        <v>#N/A</v>
      </c>
    </row>
    <row r="16" spans="1:9" outlineLevel="1">
      <c r="B16" s="245">
        <v>6</v>
      </c>
      <c r="C16" s="246">
        <v>0.2</v>
      </c>
      <c r="D16" s="247" t="e">
        <f>HLOOKUP($G$5, 'Simulation Data'!$22:$43, B16,FALSE)</f>
        <v>#N/A</v>
      </c>
    </row>
    <row r="17" spans="2:16" outlineLevel="1">
      <c r="B17" s="245">
        <v>7</v>
      </c>
      <c r="C17" s="246">
        <v>0.25</v>
      </c>
      <c r="D17" s="247" t="e">
        <f>HLOOKUP($G$5, 'Simulation Data'!$22:$43, B17,FALSE)</f>
        <v>#N/A</v>
      </c>
    </row>
    <row r="18" spans="2:16" outlineLevel="1">
      <c r="B18" s="245">
        <v>8</v>
      </c>
      <c r="C18" s="246">
        <v>0.3</v>
      </c>
      <c r="D18" s="247" t="e">
        <f>HLOOKUP($G$5, 'Simulation Data'!$22:$43, B18,FALSE)</f>
        <v>#N/A</v>
      </c>
    </row>
    <row r="19" spans="2:16" outlineLevel="1">
      <c r="B19" s="245">
        <v>9</v>
      </c>
      <c r="C19" s="246">
        <v>0.35</v>
      </c>
      <c r="D19" s="247" t="e">
        <f>HLOOKUP($G$5, 'Simulation Data'!$22:$43, B19,FALSE)</f>
        <v>#N/A</v>
      </c>
    </row>
    <row r="20" spans="2:16" outlineLevel="1">
      <c r="B20" s="245">
        <v>10</v>
      </c>
      <c r="C20" s="246">
        <v>0.4</v>
      </c>
      <c r="D20" s="247" t="e">
        <f>HLOOKUP($G$5, 'Simulation Data'!$22:$43, B20,FALSE)</f>
        <v>#N/A</v>
      </c>
      <c r="M20" s="242" t="s">
        <v>394</v>
      </c>
      <c r="N20" s="242" t="s">
        <v>395</v>
      </c>
      <c r="P20" s="242" t="s">
        <v>396</v>
      </c>
    </row>
    <row r="21" spans="2:16" outlineLevel="1">
      <c r="B21" s="245">
        <v>11</v>
      </c>
      <c r="C21" s="246">
        <v>0.45</v>
      </c>
      <c r="D21" s="247" t="e">
        <f>HLOOKUP($G$5, 'Simulation Data'!$22:$43, B21,FALSE)</f>
        <v>#N/A</v>
      </c>
      <c r="M21" s="248" t="s">
        <v>332</v>
      </c>
      <c r="N21" s="249" t="e">
        <f>HLOOKUP($G$5, 'Simulation Data'!$4:$19, P21,FALSE)</f>
        <v>#N/A</v>
      </c>
      <c r="P21" s="250">
        <v>4</v>
      </c>
    </row>
    <row r="22" spans="2:16" outlineLevel="1">
      <c r="B22" s="245">
        <v>12</v>
      </c>
      <c r="C22" s="246">
        <v>0.5</v>
      </c>
      <c r="D22" s="247" t="e">
        <f>HLOOKUP($G$5, 'Simulation Data'!$22:$43, B22,FALSE)</f>
        <v>#N/A</v>
      </c>
      <c r="M22" s="248" t="s">
        <v>334</v>
      </c>
      <c r="N22" s="249" t="e">
        <f>HLOOKUP($G$5, 'Simulation Data'!$4:$19, P22,FALSE)</f>
        <v>#N/A</v>
      </c>
      <c r="P22" s="250">
        <v>7</v>
      </c>
    </row>
    <row r="23" spans="2:16" outlineLevel="1">
      <c r="B23" s="245">
        <v>13</v>
      </c>
      <c r="C23" s="246">
        <v>0.55000000000000004</v>
      </c>
      <c r="D23" s="247" t="e">
        <f>HLOOKUP($G$5, 'Simulation Data'!$22:$43, B23,FALSE)</f>
        <v>#N/A</v>
      </c>
      <c r="M23" s="248" t="s">
        <v>363</v>
      </c>
      <c r="N23" s="251" t="e">
        <f>HLOOKUP($G$5, 'Simulation Data'!$4:$19, P23,FALSE)</f>
        <v>#N/A</v>
      </c>
      <c r="P23" s="250">
        <v>11</v>
      </c>
    </row>
    <row r="24" spans="2:16" outlineLevel="1">
      <c r="B24" s="245">
        <v>14</v>
      </c>
      <c r="C24" s="246">
        <v>0.6</v>
      </c>
      <c r="D24" s="247" t="e">
        <f>HLOOKUP($G$5, 'Simulation Data'!$22:$43, B24,FALSE)</f>
        <v>#N/A</v>
      </c>
    </row>
    <row r="25" spans="2:16" outlineLevel="1">
      <c r="B25" s="245">
        <v>15</v>
      </c>
      <c r="C25" s="246">
        <v>0.65</v>
      </c>
      <c r="D25" s="247" t="e">
        <f>HLOOKUP($G$5, 'Simulation Data'!$22:$43, B25,FALSE)</f>
        <v>#N/A</v>
      </c>
    </row>
    <row r="26" spans="2:16" outlineLevel="1">
      <c r="B26" s="245">
        <v>16</v>
      </c>
      <c r="C26" s="246">
        <v>0.7</v>
      </c>
      <c r="D26" s="247" t="e">
        <f>HLOOKUP($G$5, 'Simulation Data'!$22:$43, B26,FALSE)</f>
        <v>#N/A</v>
      </c>
    </row>
    <row r="27" spans="2:16" outlineLevel="1">
      <c r="B27" s="245">
        <v>17</v>
      </c>
      <c r="C27" s="246">
        <v>0.75</v>
      </c>
      <c r="D27" s="247" t="e">
        <f>HLOOKUP($G$5, 'Simulation Data'!$22:$43, B27,FALSE)</f>
        <v>#N/A</v>
      </c>
    </row>
    <row r="28" spans="2:16" outlineLevel="1">
      <c r="B28" s="245">
        <v>18</v>
      </c>
      <c r="C28" s="246">
        <v>0.8</v>
      </c>
      <c r="D28" s="247" t="e">
        <f>HLOOKUP($G$5, 'Simulation Data'!$22:$43, B28,FALSE)</f>
        <v>#N/A</v>
      </c>
    </row>
    <row r="29" spans="2:16" outlineLevel="1">
      <c r="B29" s="245">
        <v>19</v>
      </c>
      <c r="C29" s="246">
        <v>0.85</v>
      </c>
      <c r="D29" s="247" t="e">
        <f>HLOOKUP($G$5, 'Simulation Data'!$22:$43, B29,FALSE)</f>
        <v>#N/A</v>
      </c>
    </row>
    <row r="30" spans="2:16" outlineLevel="1">
      <c r="B30" s="245">
        <v>20</v>
      </c>
      <c r="C30" s="246">
        <v>0.9</v>
      </c>
      <c r="D30" s="247" t="e">
        <f>HLOOKUP($G$5, 'Simulation Data'!$22:$43, B30,FALSE)</f>
        <v>#N/A</v>
      </c>
    </row>
    <row r="31" spans="2:16" outlineLevel="1">
      <c r="B31" s="245">
        <v>21</v>
      </c>
      <c r="C31" s="246">
        <v>0.95</v>
      </c>
      <c r="D31" s="247" t="e">
        <f>HLOOKUP($G$5, 'Simulation Data'!$22:$43, B31,FALSE)</f>
        <v>#N/A</v>
      </c>
    </row>
    <row r="32" spans="2:16" outlineLevel="1"/>
    <row r="33" spans="1:28" s="252" customFormat="1" collapsed="1">
      <c r="A33" s="193" t="s">
        <v>397</v>
      </c>
      <c r="AA33" s="280"/>
      <c r="AB33" s="280"/>
    </row>
    <row r="34" spans="1:28" s="252" customFormat="1" hidden="1" outlineLevel="1" collapsed="1">
      <c r="A34" s="253" t="s">
        <v>82</v>
      </c>
      <c r="AA34" s="280"/>
      <c r="AB34" s="280"/>
    </row>
    <row r="35" spans="1:28" hidden="1" outlineLevel="2"/>
    <row r="36" spans="1:28" hidden="1" outlineLevel="2"/>
    <row r="37" spans="1:28" hidden="1" outlineLevel="2"/>
    <row r="38" spans="1:28" hidden="1" outlineLevel="2"/>
    <row r="39" spans="1:28" hidden="1" outlineLevel="2"/>
    <row r="40" spans="1:28" hidden="1" outlineLevel="2"/>
    <row r="41" spans="1:28" hidden="1" outlineLevel="2"/>
    <row r="42" spans="1:28" hidden="1" outlineLevel="2"/>
    <row r="43" spans="1:28" hidden="1" outlineLevel="2"/>
    <row r="44" spans="1:28" hidden="1" outlineLevel="2"/>
    <row r="45" spans="1:28" hidden="1" outlineLevel="2"/>
    <row r="46" spans="1:28" hidden="1" outlineLevel="2"/>
    <row r="47" spans="1:28" hidden="1" outlineLevel="2"/>
    <row r="48" spans="1:28" hidden="1" outlineLevel="2"/>
    <row r="49" hidden="1" outlineLevel="2"/>
    <row r="50" hidden="1" outlineLevel="2"/>
    <row r="51" hidden="1" outlineLevel="2"/>
    <row r="52" hidden="1" outlineLevel="2"/>
    <row r="53" hidden="1" outlineLevel="2"/>
    <row r="54" hidden="1" outlineLevel="2"/>
    <row r="55" hidden="1" outlineLevel="2"/>
    <row r="56" hidden="1" outlineLevel="2"/>
    <row r="57" hidden="1" outlineLevel="2"/>
    <row r="58" hidden="1" outlineLevel="2"/>
    <row r="59" hidden="1" outlineLevel="2"/>
    <row r="60" hidden="1" outlineLevel="2"/>
    <row r="61" hidden="1" outlineLevel="2"/>
    <row r="62" hidden="1" outlineLevel="2"/>
    <row r="63" hidden="1" outlineLevel="2"/>
    <row r="64" hidden="1" outlineLevel="2"/>
    <row r="65" hidden="1" outlineLevel="2"/>
    <row r="66" hidden="1" outlineLevel="2"/>
    <row r="67" hidden="1" outlineLevel="2"/>
    <row r="68" hidden="1" outlineLevel="2"/>
    <row r="69" hidden="1" outlineLevel="2"/>
    <row r="70" hidden="1" outlineLevel="2"/>
    <row r="71" hidden="1" outlineLevel="2"/>
    <row r="72" hidden="1" outlineLevel="2"/>
    <row r="73" hidden="1" outlineLevel="2"/>
    <row r="74" hidden="1" outlineLevel="2"/>
    <row r="75" hidden="1" outlineLevel="2"/>
    <row r="76" hidden="1" outlineLevel="2"/>
    <row r="77" hidden="1" outlineLevel="2"/>
    <row r="78" hidden="1" outlineLevel="2"/>
    <row r="79" hidden="1" outlineLevel="2"/>
    <row r="80" hidden="1" outlineLevel="2"/>
    <row r="81" spans="1:28" hidden="1" outlineLevel="2"/>
    <row r="82" spans="1:28" hidden="1" outlineLevel="2"/>
    <row r="83" spans="1:28" hidden="1" outlineLevel="2"/>
    <row r="84" spans="1:28" hidden="1" outlineLevel="2"/>
    <row r="85" spans="1:28" hidden="1" outlineLevel="2"/>
    <row r="86" spans="1:28" hidden="1" outlineLevel="2"/>
    <row r="87" spans="1:28" hidden="1" outlineLevel="2"/>
    <row r="88" spans="1:28" hidden="1" outlineLevel="2"/>
    <row r="89" spans="1:28" hidden="1" outlineLevel="2"/>
    <row r="90" spans="1:28" hidden="1" outlineLevel="2"/>
    <row r="91" spans="1:28" hidden="1" outlineLevel="2"/>
    <row r="92" spans="1:28" hidden="1" outlineLevel="2"/>
    <row r="93" spans="1:28" s="252" customFormat="1" hidden="1" outlineLevel="1" collapsed="1">
      <c r="A93" s="253" t="s">
        <v>83</v>
      </c>
      <c r="AA93" s="280"/>
      <c r="AB93" s="280"/>
    </row>
    <row r="94" spans="1:28" s="252" customFormat="1" hidden="1" outlineLevel="2">
      <c r="AA94" s="280"/>
      <c r="AB94" s="280"/>
    </row>
    <row r="95" spans="1:28" s="252" customFormat="1" hidden="1" outlineLevel="2">
      <c r="AA95" s="280"/>
      <c r="AB95" s="280"/>
    </row>
    <row r="96" spans="1:28" s="252" customFormat="1" hidden="1" outlineLevel="2">
      <c r="AA96" s="280"/>
      <c r="AB96" s="280"/>
    </row>
    <row r="97" spans="27:28" s="252" customFormat="1" hidden="1" outlineLevel="2">
      <c r="AA97" s="280"/>
      <c r="AB97" s="280"/>
    </row>
    <row r="98" spans="27:28" s="252" customFormat="1" hidden="1" outlineLevel="2">
      <c r="AA98" s="280"/>
      <c r="AB98" s="280"/>
    </row>
    <row r="99" spans="27:28" s="252" customFormat="1" hidden="1" outlineLevel="2">
      <c r="AA99" s="280"/>
      <c r="AB99" s="280"/>
    </row>
    <row r="100" spans="27:28" s="252" customFormat="1" hidden="1" outlineLevel="2">
      <c r="AA100" s="280"/>
      <c r="AB100" s="280"/>
    </row>
    <row r="101" spans="27:28" s="252" customFormat="1" hidden="1" outlineLevel="2">
      <c r="AA101" s="280"/>
      <c r="AB101" s="280"/>
    </row>
    <row r="102" spans="27:28" s="252" customFormat="1" hidden="1" outlineLevel="2">
      <c r="AA102" s="280"/>
      <c r="AB102" s="280"/>
    </row>
    <row r="103" spans="27:28" s="252" customFormat="1" hidden="1" outlineLevel="2">
      <c r="AA103" s="280"/>
      <c r="AB103" s="280"/>
    </row>
    <row r="104" spans="27:28" s="252" customFormat="1" hidden="1" outlineLevel="2">
      <c r="AA104" s="280"/>
      <c r="AB104" s="280"/>
    </row>
    <row r="105" spans="27:28" s="252" customFormat="1" hidden="1" outlineLevel="2">
      <c r="AA105" s="280"/>
      <c r="AB105" s="280"/>
    </row>
    <row r="106" spans="27:28" s="252" customFormat="1" hidden="1" outlineLevel="2">
      <c r="AA106" s="280"/>
      <c r="AB106" s="280"/>
    </row>
    <row r="107" spans="27:28" s="252" customFormat="1" hidden="1" outlineLevel="2">
      <c r="AA107" s="280"/>
      <c r="AB107" s="280"/>
    </row>
    <row r="108" spans="27:28" s="252" customFormat="1" hidden="1" outlineLevel="2">
      <c r="AA108" s="280"/>
      <c r="AB108" s="280"/>
    </row>
    <row r="109" spans="27:28" s="252" customFormat="1" hidden="1" outlineLevel="2">
      <c r="AA109" s="280"/>
      <c r="AB109" s="280"/>
    </row>
    <row r="110" spans="27:28" s="252" customFormat="1" hidden="1" outlineLevel="2">
      <c r="AA110" s="280"/>
      <c r="AB110" s="280"/>
    </row>
    <row r="111" spans="27:28" s="252" customFormat="1" hidden="1" outlineLevel="2">
      <c r="AA111" s="280"/>
      <c r="AB111" s="280"/>
    </row>
    <row r="112" spans="27:28" s="252" customFormat="1" hidden="1" outlineLevel="2">
      <c r="AA112" s="280"/>
      <c r="AB112" s="280"/>
    </row>
    <row r="113" spans="27:28" s="252" customFormat="1" hidden="1" outlineLevel="2">
      <c r="AA113" s="280"/>
      <c r="AB113" s="280"/>
    </row>
    <row r="114" spans="27:28" s="252" customFormat="1" hidden="1" outlineLevel="2">
      <c r="AA114" s="280"/>
      <c r="AB114" s="280"/>
    </row>
    <row r="115" spans="27:28" s="252" customFormat="1" hidden="1" outlineLevel="2">
      <c r="AA115" s="280"/>
      <c r="AB115" s="280"/>
    </row>
    <row r="116" spans="27:28" s="252" customFormat="1" hidden="1" outlineLevel="2">
      <c r="AA116" s="280"/>
      <c r="AB116" s="280"/>
    </row>
    <row r="117" spans="27:28" s="252" customFormat="1" hidden="1" outlineLevel="2">
      <c r="AA117" s="280"/>
      <c r="AB117" s="280"/>
    </row>
    <row r="118" spans="27:28" s="252" customFormat="1" hidden="1" outlineLevel="2">
      <c r="AA118" s="280"/>
      <c r="AB118" s="280"/>
    </row>
    <row r="119" spans="27:28" s="252" customFormat="1" hidden="1" outlineLevel="2">
      <c r="AA119" s="280"/>
      <c r="AB119" s="280"/>
    </row>
    <row r="120" spans="27:28" hidden="1" outlineLevel="2"/>
    <row r="121" spans="27:28" hidden="1" outlineLevel="2"/>
    <row r="122" spans="27:28" hidden="1" outlineLevel="2"/>
    <row r="123" spans="27:28" hidden="1" outlineLevel="2"/>
    <row r="124" spans="27:28" hidden="1" outlineLevel="2"/>
    <row r="125" spans="27:28" hidden="1" outlineLevel="2"/>
    <row r="126" spans="27:28" hidden="1" outlineLevel="2"/>
    <row r="127" spans="27:28" hidden="1" outlineLevel="2"/>
    <row r="128" spans="27:28" hidden="1" outlineLevel="2"/>
    <row r="129" hidden="1" outlineLevel="2"/>
    <row r="130" hidden="1" outlineLevel="2"/>
    <row r="131" hidden="1" outlineLevel="2"/>
    <row r="132" hidden="1" outlineLevel="2"/>
    <row r="133" hidden="1" outlineLevel="2"/>
    <row r="134" hidden="1" outlineLevel="2"/>
    <row r="135" hidden="1" outlineLevel="2"/>
    <row r="136" hidden="1" outlineLevel="2"/>
    <row r="137" hidden="1" outlineLevel="2"/>
    <row r="138" hidden="1" outlineLevel="2"/>
    <row r="139" hidden="1" outlineLevel="2"/>
    <row r="140" hidden="1" outlineLevel="2"/>
    <row r="141" hidden="1" outlineLevel="2"/>
    <row r="142" hidden="1" outlineLevel="2"/>
    <row r="143" hidden="1" outlineLevel="2"/>
    <row r="144" hidden="1" outlineLevel="2"/>
    <row r="145" spans="1:28" hidden="1" outlineLevel="2"/>
    <row r="146" spans="1:28" hidden="1" outlineLevel="2"/>
    <row r="147" spans="1:28" hidden="1" outlineLevel="2"/>
    <row r="148" spans="1:28" hidden="1" outlineLevel="2"/>
    <row r="149" spans="1:28" hidden="1" outlineLevel="2"/>
    <row r="150" spans="1:28" hidden="1" outlineLevel="2"/>
    <row r="151" spans="1:28" hidden="1" outlineLevel="2"/>
    <row r="152" spans="1:28" s="252" customFormat="1" hidden="1" outlineLevel="2">
      <c r="AA152" s="280"/>
      <c r="AB152" s="280"/>
    </row>
    <row r="153" spans="1:28" s="252" customFormat="1" hidden="1" outlineLevel="1" collapsed="1">
      <c r="A153" s="253" t="s">
        <v>398</v>
      </c>
      <c r="AA153" s="280"/>
      <c r="AB153" s="280"/>
    </row>
    <row r="154" spans="1:28" s="252" customFormat="1" hidden="1" outlineLevel="2">
      <c r="AA154" s="280"/>
      <c r="AB154" s="280"/>
    </row>
    <row r="155" spans="1:28" s="252" customFormat="1" hidden="1" outlineLevel="2">
      <c r="AA155" s="280"/>
      <c r="AB155" s="280"/>
    </row>
    <row r="156" spans="1:28" s="252" customFormat="1" hidden="1" outlineLevel="2">
      <c r="AA156" s="280"/>
      <c r="AB156" s="280"/>
    </row>
    <row r="157" spans="1:28" s="252" customFormat="1" hidden="1" outlineLevel="2">
      <c r="AA157" s="280"/>
      <c r="AB157" s="280"/>
    </row>
    <row r="158" spans="1:28" s="252" customFormat="1" hidden="1" outlineLevel="2">
      <c r="AA158" s="280"/>
      <c r="AB158" s="280"/>
    </row>
    <row r="159" spans="1:28" s="252" customFormat="1" hidden="1" outlineLevel="2">
      <c r="AA159" s="280"/>
      <c r="AB159" s="280"/>
    </row>
    <row r="160" spans="1:28" s="252" customFormat="1" hidden="1" outlineLevel="2">
      <c r="AA160" s="280"/>
      <c r="AB160" s="280"/>
    </row>
    <row r="161" spans="27:28" s="252" customFormat="1" hidden="1" outlineLevel="2">
      <c r="AA161" s="280"/>
      <c r="AB161" s="280"/>
    </row>
    <row r="162" spans="27:28" s="252" customFormat="1" hidden="1" outlineLevel="2">
      <c r="AA162" s="280"/>
      <c r="AB162" s="280"/>
    </row>
    <row r="163" spans="27:28" s="252" customFormat="1" hidden="1" outlineLevel="2">
      <c r="AA163" s="280"/>
      <c r="AB163" s="280"/>
    </row>
    <row r="164" spans="27:28" s="252" customFormat="1" hidden="1" outlineLevel="2">
      <c r="AA164" s="280"/>
      <c r="AB164" s="280"/>
    </row>
    <row r="165" spans="27:28" s="252" customFormat="1" hidden="1" outlineLevel="2">
      <c r="AA165" s="280"/>
      <c r="AB165" s="280"/>
    </row>
    <row r="166" spans="27:28" s="252" customFormat="1" hidden="1" outlineLevel="2">
      <c r="AA166" s="280"/>
      <c r="AB166" s="280"/>
    </row>
    <row r="167" spans="27:28" s="252" customFormat="1" hidden="1" outlineLevel="2">
      <c r="AA167" s="280"/>
      <c r="AB167" s="280"/>
    </row>
    <row r="168" spans="27:28" s="252" customFormat="1" hidden="1" outlineLevel="2">
      <c r="AA168" s="280"/>
      <c r="AB168" s="280"/>
    </row>
    <row r="169" spans="27:28" s="252" customFormat="1" hidden="1" outlineLevel="2">
      <c r="AA169" s="280"/>
      <c r="AB169" s="280"/>
    </row>
    <row r="170" spans="27:28" s="252" customFormat="1" hidden="1" outlineLevel="2">
      <c r="AA170" s="280"/>
      <c r="AB170" s="280"/>
    </row>
    <row r="171" spans="27:28" s="252" customFormat="1" hidden="1" outlineLevel="2">
      <c r="AA171" s="280"/>
      <c r="AB171" s="280"/>
    </row>
    <row r="172" spans="27:28" s="252" customFormat="1" hidden="1" outlineLevel="2">
      <c r="AA172" s="280"/>
      <c r="AB172" s="280"/>
    </row>
    <row r="173" spans="27:28" s="252" customFormat="1" hidden="1" outlineLevel="2">
      <c r="AA173" s="280"/>
      <c r="AB173" s="280"/>
    </row>
    <row r="174" spans="27:28" s="252" customFormat="1" hidden="1" outlineLevel="2">
      <c r="AA174" s="280"/>
      <c r="AB174" s="280"/>
    </row>
    <row r="175" spans="27:28" s="252" customFormat="1" hidden="1" outlineLevel="2">
      <c r="AA175" s="280"/>
      <c r="AB175" s="280"/>
    </row>
    <row r="176" spans="27:28" s="252" customFormat="1" hidden="1" outlineLevel="2">
      <c r="AA176" s="280"/>
      <c r="AB176" s="280"/>
    </row>
    <row r="177" spans="27:28" s="252" customFormat="1" hidden="1" outlineLevel="2">
      <c r="AA177" s="280"/>
      <c r="AB177" s="280"/>
    </row>
    <row r="178" spans="27:28" s="252" customFormat="1" hidden="1" outlineLevel="2">
      <c r="AA178" s="280"/>
      <c r="AB178" s="280"/>
    </row>
    <row r="179" spans="27:28" hidden="1" outlineLevel="2"/>
    <row r="180" spans="27:28" hidden="1" outlineLevel="2"/>
    <row r="181" spans="27:28" hidden="1" outlineLevel="2"/>
    <row r="182" spans="27:28" hidden="1" outlineLevel="2"/>
    <row r="183" spans="27:28" hidden="1" outlineLevel="2"/>
    <row r="184" spans="27:28" hidden="1" outlineLevel="2"/>
    <row r="185" spans="27:28" hidden="1" outlineLevel="2"/>
    <row r="186" spans="27:28" hidden="1" outlineLevel="2"/>
    <row r="187" spans="27:28" hidden="1" outlineLevel="2"/>
    <row r="188" spans="27:28" hidden="1" outlineLevel="2"/>
    <row r="189" spans="27:28" hidden="1" outlineLevel="2"/>
    <row r="190" spans="27:28" hidden="1" outlineLevel="2"/>
    <row r="191" spans="27:28" hidden="1" outlineLevel="2"/>
    <row r="192" spans="27:28" hidden="1" outlineLevel="2"/>
    <row r="193" hidden="1" outlineLevel="2"/>
    <row r="194" hidden="1" outlineLevel="2"/>
    <row r="195" hidden="1" outlineLevel="2"/>
    <row r="196" hidden="1" outlineLevel="2"/>
    <row r="197" hidden="1" outlineLevel="2"/>
    <row r="198" hidden="1" outlineLevel="2"/>
    <row r="199" hidden="1" outlineLevel="2"/>
    <row r="200" hidden="1" outlineLevel="2"/>
    <row r="201" hidden="1" outlineLevel="2"/>
    <row r="202" hidden="1" outlineLevel="2"/>
    <row r="203" hidden="1" outlineLevel="2"/>
    <row r="204" hidden="1" outlineLevel="2"/>
    <row r="205" hidden="1" outlineLevel="2"/>
    <row r="206" hidden="1" outlineLevel="2"/>
    <row r="207" hidden="1" outlineLevel="2"/>
    <row r="208" hidden="1" outlineLevel="2"/>
    <row r="209" spans="1:28" hidden="1" outlineLevel="2"/>
    <row r="210" spans="1:28" hidden="1" outlineLevel="2"/>
    <row r="211" spans="1:28" hidden="1" outlineLevel="2"/>
    <row r="212" spans="1:28" s="252" customFormat="1" hidden="1" outlineLevel="1" collapsed="1">
      <c r="AA212" s="280"/>
      <c r="AB212" s="280"/>
    </row>
    <row r="213" spans="1:28" collapsed="1">
      <c r="A213" s="193" t="s">
        <v>399</v>
      </c>
    </row>
    <row r="214" spans="1:28" hidden="1" outlineLevel="1">
      <c r="A214" s="193"/>
    </row>
    <row r="215" spans="1:28" hidden="1" outlineLevel="1">
      <c r="A215" s="193"/>
    </row>
    <row r="216" spans="1:28" hidden="1" outlineLevel="1">
      <c r="A216" s="193"/>
    </row>
    <row r="217" spans="1:28" ht="46.5" hidden="1" outlineLevel="1">
      <c r="D217" s="376" t="s">
        <v>351</v>
      </c>
      <c r="E217" s="376" t="s">
        <v>352</v>
      </c>
      <c r="F217" s="376" t="s">
        <v>353</v>
      </c>
      <c r="G217" s="376" t="s">
        <v>354</v>
      </c>
      <c r="H217" s="376" t="s">
        <v>355</v>
      </c>
      <c r="I217" s="376" t="s">
        <v>356</v>
      </c>
    </row>
    <row r="218" spans="1:28" hidden="1" outlineLevel="1"/>
    <row r="219" spans="1:28" hidden="1" outlineLevel="1">
      <c r="C219" s="378" t="s">
        <v>569</v>
      </c>
      <c r="D219" s="378">
        <f>Model_First_Year</f>
        <v>2014</v>
      </c>
      <c r="E219" s="378">
        <f>D219+1</f>
        <v>2015</v>
      </c>
      <c r="F219" s="378">
        <f t="shared" ref="F219:H219" si="0">E219+1</f>
        <v>2016</v>
      </c>
      <c r="G219" s="378">
        <f t="shared" si="0"/>
        <v>2017</v>
      </c>
      <c r="H219" s="378">
        <f t="shared" si="0"/>
        <v>2018</v>
      </c>
      <c r="I219" s="378">
        <f>H219+1</f>
        <v>2019</v>
      </c>
    </row>
    <row r="220" spans="1:28" hidden="1" outlineLevel="1">
      <c r="B220" s="374" t="s">
        <v>471</v>
      </c>
      <c r="C220" s="379" t="s">
        <v>471</v>
      </c>
      <c r="D220" s="377">
        <v>9.5681366590861252</v>
      </c>
      <c r="E220" s="377">
        <v>23.698269568739317</v>
      </c>
      <c r="F220" s="377">
        <v>26.921312033259142</v>
      </c>
      <c r="G220" s="377">
        <v>21.208387164499207</v>
      </c>
      <c r="H220" s="377">
        <v>12.666973410310213</v>
      </c>
      <c r="I220" s="377">
        <v>5.9369211641059962</v>
      </c>
    </row>
    <row r="221" spans="1:28" hidden="1" outlineLevel="1">
      <c r="B221" s="375">
        <v>0.15</v>
      </c>
      <c r="C221" s="379" t="s">
        <v>572</v>
      </c>
      <c r="D221" s="373">
        <v>5</v>
      </c>
      <c r="E221" s="373">
        <v>5</v>
      </c>
      <c r="F221" s="373">
        <v>5</v>
      </c>
      <c r="G221" s="373">
        <v>5</v>
      </c>
      <c r="H221" s="373">
        <v>5</v>
      </c>
      <c r="I221" s="373">
        <v>5</v>
      </c>
    </row>
    <row r="222" spans="1:28" hidden="1" outlineLevel="1">
      <c r="B222" s="375">
        <v>0.5</v>
      </c>
      <c r="C222" s="379" t="s">
        <v>570</v>
      </c>
      <c r="D222" s="373">
        <v>10</v>
      </c>
      <c r="E222" s="373">
        <v>10</v>
      </c>
      <c r="F222" s="373">
        <v>10</v>
      </c>
      <c r="G222" s="373">
        <v>10</v>
      </c>
      <c r="H222" s="373">
        <v>10</v>
      </c>
      <c r="I222" s="373">
        <v>10</v>
      </c>
    </row>
    <row r="223" spans="1:28" hidden="1" outlineLevel="1">
      <c r="B223" s="375">
        <v>0.85</v>
      </c>
      <c r="C223" s="379" t="s">
        <v>571</v>
      </c>
      <c r="D223" s="373">
        <v>5</v>
      </c>
      <c r="E223" s="373">
        <v>5</v>
      </c>
      <c r="F223" s="373">
        <v>5</v>
      </c>
      <c r="G223" s="373">
        <v>5</v>
      </c>
      <c r="H223" s="373">
        <v>5</v>
      </c>
      <c r="I223" s="373">
        <v>5</v>
      </c>
    </row>
    <row r="224" spans="1:28" hidden="1" outlineLevel="1"/>
    <row r="225" spans="2:13" hidden="1" outlineLevel="1">
      <c r="C225" s="381" t="s">
        <v>210</v>
      </c>
      <c r="D225" s="380">
        <f>D220+5</f>
        <v>14.568136659086125</v>
      </c>
      <c r="E225" s="380">
        <f t="shared" ref="E225:I225" si="1">E220+5</f>
        <v>28.698269568739317</v>
      </c>
      <c r="F225" s="380">
        <f t="shared" si="1"/>
        <v>31.921312033259142</v>
      </c>
      <c r="G225" s="380">
        <f t="shared" si="1"/>
        <v>26.208387164499207</v>
      </c>
      <c r="H225" s="380">
        <f t="shared" si="1"/>
        <v>17.666973410310213</v>
      </c>
      <c r="I225" s="380">
        <f t="shared" si="1"/>
        <v>10.936921164105996</v>
      </c>
    </row>
    <row r="226" spans="2:13" hidden="1" outlineLevel="1">
      <c r="C226" s="381" t="s">
        <v>182</v>
      </c>
      <c r="D226" s="373"/>
      <c r="E226" s="373"/>
      <c r="F226" s="373"/>
      <c r="G226" s="373"/>
      <c r="H226" s="373"/>
      <c r="I226" s="373"/>
    </row>
    <row r="227" spans="2:13" hidden="1" outlineLevel="1">
      <c r="C227" s="381" t="s">
        <v>332</v>
      </c>
      <c r="D227" s="373"/>
      <c r="E227" s="373"/>
      <c r="F227" s="373"/>
      <c r="G227" s="373"/>
      <c r="H227" s="373"/>
      <c r="I227" s="373"/>
    </row>
    <row r="228" spans="2:13" hidden="1" outlineLevel="1"/>
    <row r="229" spans="2:13" hidden="1" outlineLevel="1"/>
    <row r="230" spans="2:13" hidden="1" outlineLevel="1"/>
    <row r="231" spans="2:13" hidden="1" outlineLevel="1"/>
    <row r="232" spans="2:13" hidden="1" outlineLevel="1"/>
    <row r="233" spans="2:13" hidden="1" outlineLevel="1"/>
    <row r="234" spans="2:13" hidden="1" outlineLevel="1"/>
    <row r="235" spans="2:13" hidden="1" outlineLevel="1"/>
    <row r="236" spans="2:13" hidden="1" outlineLevel="1">
      <c r="B236" s="194"/>
      <c r="C236" s="194"/>
      <c r="D236" s="194"/>
      <c r="E236" s="194"/>
      <c r="F236" s="194"/>
      <c r="G236" s="194"/>
      <c r="H236" s="194"/>
      <c r="I236" s="194"/>
      <c r="J236" s="194"/>
      <c r="K236" s="194"/>
      <c r="L236" s="194"/>
      <c r="M236" s="194"/>
    </row>
    <row r="237" spans="2:13" hidden="1" outlineLevel="1">
      <c r="B237" s="194"/>
      <c r="C237" s="194"/>
      <c r="D237" s="194"/>
      <c r="E237" s="194"/>
      <c r="F237" s="194"/>
      <c r="G237" s="194"/>
      <c r="H237" s="194"/>
      <c r="I237" s="194"/>
      <c r="J237" s="194"/>
      <c r="K237" s="194"/>
      <c r="L237" s="194"/>
      <c r="M237" s="194"/>
    </row>
    <row r="238" spans="2:13" hidden="1" outlineLevel="1">
      <c r="B238" s="194"/>
      <c r="C238" s="194"/>
      <c r="D238" s="194"/>
      <c r="E238" s="194"/>
      <c r="F238" s="194"/>
      <c r="G238" s="194"/>
      <c r="H238" s="194"/>
      <c r="I238" s="194"/>
      <c r="J238" s="194"/>
      <c r="K238" s="194"/>
      <c r="L238" s="194"/>
      <c r="M238" s="194"/>
    </row>
    <row r="239" spans="2:13" hidden="1" outlineLevel="1">
      <c r="B239" s="194"/>
      <c r="C239" s="194"/>
      <c r="D239" s="194"/>
      <c r="E239" s="194"/>
      <c r="F239" s="194"/>
      <c r="G239" s="194"/>
      <c r="H239" s="194"/>
      <c r="I239" s="194"/>
      <c r="J239" s="194"/>
      <c r="K239" s="194"/>
      <c r="L239" s="194"/>
      <c r="M239" s="194"/>
    </row>
    <row r="240" spans="2:13" hidden="1" outlineLevel="1">
      <c r="B240" s="194"/>
      <c r="C240" s="194"/>
      <c r="D240" s="194"/>
      <c r="E240" s="194"/>
      <c r="F240" s="194"/>
      <c r="G240" s="194"/>
      <c r="H240" s="194"/>
      <c r="I240" s="194"/>
      <c r="J240" s="194"/>
      <c r="K240" s="194"/>
      <c r="L240" s="194"/>
      <c r="M240" s="194"/>
    </row>
    <row r="241" spans="2:33" hidden="1" outlineLevel="1">
      <c r="B241" s="194"/>
      <c r="C241" s="194"/>
      <c r="D241" s="194"/>
      <c r="E241" s="194"/>
      <c r="F241" s="194"/>
      <c r="G241" s="194"/>
      <c r="H241" s="194"/>
      <c r="I241" s="194"/>
      <c r="J241" s="194"/>
      <c r="K241" s="194"/>
      <c r="L241" s="194"/>
      <c r="M241" s="194"/>
    </row>
    <row r="242" spans="2:33" hidden="1" outlineLevel="1">
      <c r="B242" s="194"/>
      <c r="C242" s="194"/>
      <c r="D242" s="194"/>
      <c r="E242" s="194"/>
      <c r="F242" s="194"/>
      <c r="G242" s="194"/>
      <c r="H242" s="194"/>
      <c r="I242" s="194"/>
      <c r="J242" s="194"/>
      <c r="K242" s="194"/>
      <c r="L242" s="194"/>
      <c r="M242" s="194"/>
    </row>
    <row r="243" spans="2:33" hidden="1" outlineLevel="1">
      <c r="B243" s="194"/>
      <c r="C243" s="194"/>
      <c r="D243" s="194"/>
      <c r="E243" s="194"/>
      <c r="F243" s="194"/>
      <c r="G243" s="194"/>
      <c r="H243" s="194"/>
      <c r="I243" s="194"/>
      <c r="J243" s="194"/>
      <c r="K243" s="194"/>
      <c r="L243" s="194"/>
      <c r="M243" s="194"/>
    </row>
    <row r="244" spans="2:33" hidden="1" outlineLevel="1">
      <c r="B244" s="194"/>
      <c r="C244" s="194"/>
      <c r="D244" s="194"/>
      <c r="E244" s="194"/>
      <c r="F244" s="194"/>
      <c r="G244" s="194"/>
      <c r="H244" s="194"/>
      <c r="I244" s="194"/>
      <c r="J244" s="194"/>
      <c r="K244" s="194"/>
      <c r="L244" s="194"/>
      <c r="M244" s="194"/>
    </row>
    <row r="245" spans="2:33" hidden="1" outlineLevel="1">
      <c r="B245" s="194"/>
      <c r="C245" s="194"/>
      <c r="D245" s="194"/>
      <c r="E245" s="194"/>
      <c r="F245" s="194"/>
      <c r="G245" s="194"/>
      <c r="H245" s="194"/>
      <c r="I245" s="194"/>
      <c r="J245" s="194"/>
      <c r="K245" s="194"/>
      <c r="L245" s="194"/>
      <c r="M245" s="194"/>
      <c r="AC245" s="196"/>
      <c r="AD245" s="196"/>
      <c r="AE245" s="277"/>
      <c r="AF245" s="194"/>
      <c r="AG245" s="194"/>
    </row>
    <row r="246" spans="2:33" hidden="1" outlineLevel="1">
      <c r="B246" s="194"/>
      <c r="C246" s="194"/>
      <c r="D246" s="194"/>
      <c r="E246" s="194"/>
      <c r="F246" s="194"/>
      <c r="G246" s="194"/>
      <c r="H246" s="194"/>
      <c r="I246" s="194"/>
      <c r="L246" s="194"/>
      <c r="M246" s="194"/>
      <c r="AC246" s="194"/>
      <c r="AD246" s="194"/>
    </row>
    <row r="247" spans="2:33" hidden="1" outlineLevel="1">
      <c r="B247" s="194"/>
      <c r="C247" s="194"/>
      <c r="D247" s="194"/>
      <c r="E247" s="194"/>
      <c r="F247" s="194"/>
      <c r="G247" s="194"/>
      <c r="H247" s="194"/>
      <c r="I247" s="194"/>
      <c r="L247" s="194"/>
      <c r="M247" s="194"/>
      <c r="AC247" s="194"/>
      <c r="AD247" s="194"/>
    </row>
    <row r="248" spans="2:33" hidden="1" outlineLevel="1">
      <c r="B248" s="194"/>
      <c r="C248" s="194"/>
      <c r="D248" s="194"/>
      <c r="E248" s="194"/>
      <c r="F248" s="194"/>
      <c r="G248" s="194"/>
      <c r="H248" s="194"/>
      <c r="I248" s="194"/>
      <c r="L248" s="194"/>
      <c r="M248" s="194"/>
      <c r="AC248" s="194"/>
      <c r="AD248" s="194"/>
    </row>
    <row r="249" spans="2:33" hidden="1" outlineLevel="1">
      <c r="B249" s="194"/>
      <c r="C249" s="194"/>
      <c r="D249" s="194"/>
      <c r="E249" s="194"/>
      <c r="F249" s="194"/>
      <c r="G249" s="194"/>
      <c r="H249" s="194"/>
      <c r="I249" s="194"/>
      <c r="L249" s="194"/>
      <c r="M249" s="194"/>
    </row>
    <row r="250" spans="2:33">
      <c r="B250" s="194"/>
      <c r="C250" s="194"/>
      <c r="D250" s="194"/>
      <c r="E250" s="194"/>
      <c r="F250" s="194"/>
      <c r="G250" s="194"/>
      <c r="H250" s="194"/>
      <c r="I250" s="194"/>
      <c r="L250" s="194"/>
      <c r="M250" s="194"/>
    </row>
    <row r="251" spans="2:33">
      <c r="B251" s="194"/>
      <c r="C251" s="194"/>
      <c r="D251" s="194"/>
      <c r="E251" s="194"/>
      <c r="F251" s="194"/>
      <c r="G251" s="194"/>
      <c r="H251" s="194"/>
      <c r="I251" s="194"/>
      <c r="L251" s="194"/>
      <c r="M251" s="194"/>
      <c r="N251" s="194"/>
      <c r="O251" s="194"/>
      <c r="P251" s="194"/>
      <c r="Q251" s="194"/>
      <c r="R251" s="194"/>
      <c r="S251" s="194"/>
      <c r="T251" s="194"/>
      <c r="U251" s="194"/>
      <c r="V251" s="194"/>
      <c r="W251" s="194"/>
      <c r="X251" s="194"/>
      <c r="Y251" s="194"/>
    </row>
    <row r="252" spans="2:33">
      <c r="B252" s="194"/>
      <c r="C252" s="194"/>
      <c r="D252" s="194"/>
      <c r="E252" s="194"/>
      <c r="F252" s="194"/>
      <c r="G252" s="194"/>
      <c r="H252" s="194"/>
      <c r="I252" s="194"/>
      <c r="L252" s="194"/>
      <c r="M252" s="194"/>
      <c r="N252" s="194"/>
      <c r="O252" s="194"/>
      <c r="P252" s="194"/>
      <c r="Q252" s="194"/>
      <c r="R252" s="194"/>
      <c r="S252" s="194"/>
      <c r="T252" s="194"/>
      <c r="U252" s="194"/>
      <c r="V252" s="194"/>
      <c r="W252" s="194"/>
      <c r="X252" s="194"/>
      <c r="Y252" s="194"/>
    </row>
    <row r="253" spans="2:33">
      <c r="B253" s="194"/>
      <c r="C253" s="194"/>
      <c r="D253" s="194"/>
      <c r="E253" s="194"/>
      <c r="F253" s="194"/>
      <c r="G253" s="194"/>
      <c r="H253" s="194"/>
      <c r="I253" s="194"/>
      <c r="L253" s="194"/>
      <c r="M253" s="194"/>
      <c r="N253" s="276"/>
      <c r="O253" s="194"/>
      <c r="P253" s="194"/>
      <c r="Q253" s="194"/>
      <c r="R253" s="194"/>
      <c r="S253" s="194"/>
      <c r="T253" s="194"/>
      <c r="U253" s="194"/>
      <c r="V253" s="194"/>
      <c r="W253" s="194"/>
      <c r="X253" s="194"/>
      <c r="Y253" s="194"/>
    </row>
    <row r="254" spans="2:33">
      <c r="B254" s="194"/>
      <c r="C254" s="194"/>
      <c r="D254" s="194"/>
      <c r="E254" s="194"/>
      <c r="F254" s="194"/>
      <c r="G254" s="194"/>
      <c r="H254" s="194"/>
      <c r="I254" s="194"/>
      <c r="L254" s="194"/>
      <c r="M254" s="194"/>
      <c r="N254" s="194"/>
      <c r="O254" s="194"/>
      <c r="P254" s="194"/>
      <c r="Q254" s="194"/>
      <c r="R254" s="194"/>
      <c r="S254" s="278"/>
      <c r="T254" s="194"/>
      <c r="U254" s="194"/>
      <c r="V254" s="194"/>
      <c r="W254" s="194"/>
      <c r="X254" s="194"/>
      <c r="Y254" s="194"/>
    </row>
    <row r="255" spans="2:33">
      <c r="B255" s="194"/>
      <c r="C255" s="194"/>
      <c r="D255" s="194"/>
      <c r="E255" s="194"/>
      <c r="F255" s="194"/>
      <c r="G255" s="194"/>
      <c r="H255" s="194"/>
      <c r="I255" s="194"/>
      <c r="L255" s="194"/>
      <c r="M255" s="194"/>
      <c r="N255" s="194"/>
      <c r="O255" s="194"/>
      <c r="P255" s="194"/>
      <c r="Q255" s="194"/>
      <c r="R255" s="194"/>
      <c r="S255" s="194"/>
      <c r="T255" s="194"/>
      <c r="U255" s="194"/>
      <c r="V255" s="194"/>
      <c r="W255" s="194"/>
      <c r="X255" s="194"/>
      <c r="Y255" s="194"/>
    </row>
    <row r="256" spans="2:33">
      <c r="B256" s="194"/>
      <c r="C256" s="194"/>
      <c r="D256" s="194"/>
      <c r="E256" s="194"/>
      <c r="F256" s="194"/>
      <c r="G256" s="194"/>
      <c r="H256" s="194"/>
      <c r="I256" s="194"/>
      <c r="L256" s="194"/>
      <c r="M256" s="194"/>
      <c r="N256" s="194"/>
      <c r="O256" s="194"/>
      <c r="P256" s="194"/>
      <c r="Q256" s="194"/>
      <c r="R256" s="194"/>
      <c r="S256" s="194"/>
      <c r="T256" s="194"/>
      <c r="U256" s="194"/>
      <c r="V256" s="194"/>
      <c r="W256" s="194"/>
      <c r="X256" s="194"/>
      <c r="Y256" s="194"/>
    </row>
    <row r="257" spans="2:25">
      <c r="B257" s="194"/>
      <c r="C257" s="194"/>
      <c r="D257" s="194"/>
      <c r="E257" s="194"/>
      <c r="F257" s="194"/>
      <c r="G257" s="194"/>
      <c r="H257" s="194"/>
      <c r="I257" s="194"/>
      <c r="L257" s="194"/>
      <c r="M257" s="194"/>
      <c r="N257" s="194"/>
      <c r="O257" s="194"/>
      <c r="P257" s="194"/>
      <c r="Q257" s="194"/>
      <c r="R257" s="194"/>
      <c r="S257" s="194"/>
      <c r="T257" s="194"/>
      <c r="U257" s="194"/>
      <c r="V257" s="194"/>
      <c r="W257" s="194"/>
      <c r="X257" s="194"/>
      <c r="Y257" s="194"/>
    </row>
    <row r="258" spans="2:25">
      <c r="B258" s="194"/>
      <c r="C258" s="194"/>
      <c r="D258" s="194"/>
      <c r="E258" s="194"/>
      <c r="F258" s="194"/>
      <c r="G258" s="194"/>
      <c r="H258" s="194"/>
      <c r="I258" s="194"/>
      <c r="L258" s="194"/>
      <c r="M258" s="194"/>
      <c r="N258" s="194"/>
      <c r="O258" s="194"/>
      <c r="P258" s="194"/>
      <c r="Q258" s="194"/>
      <c r="R258" s="194"/>
      <c r="S258" s="194"/>
      <c r="U258" s="194"/>
      <c r="V258" s="194"/>
      <c r="W258" s="194"/>
      <c r="X258" s="194"/>
      <c r="Y258" s="194"/>
    </row>
    <row r="259" spans="2:25">
      <c r="B259" s="194"/>
      <c r="C259" s="194"/>
      <c r="D259" s="194"/>
      <c r="E259" s="194"/>
      <c r="F259" s="194"/>
      <c r="G259" s="194"/>
      <c r="H259" s="194"/>
      <c r="I259" s="194"/>
      <c r="L259" s="194"/>
      <c r="M259" s="194"/>
      <c r="N259" s="194"/>
      <c r="O259" s="194"/>
      <c r="P259" s="194"/>
      <c r="Q259" s="194"/>
      <c r="R259" s="194"/>
      <c r="S259" s="194"/>
      <c r="U259" s="194"/>
      <c r="V259" s="194"/>
      <c r="W259" s="194"/>
      <c r="X259" s="194"/>
      <c r="Y259" s="194"/>
    </row>
    <row r="260" spans="2:25">
      <c r="B260" s="194"/>
      <c r="C260" s="194"/>
      <c r="D260" s="194"/>
      <c r="E260" s="194"/>
      <c r="F260" s="194"/>
      <c r="G260" s="194"/>
      <c r="H260" s="194"/>
      <c r="I260" s="194"/>
      <c r="L260" s="194"/>
      <c r="M260" s="194"/>
      <c r="N260" s="194"/>
      <c r="O260" s="194"/>
      <c r="P260" s="194"/>
      <c r="Q260" s="194"/>
      <c r="R260" s="194"/>
      <c r="S260" s="194"/>
      <c r="U260" s="194"/>
      <c r="V260" s="194"/>
      <c r="W260" s="194"/>
      <c r="X260" s="194"/>
      <c r="Y260" s="194"/>
    </row>
    <row r="261" spans="2:25">
      <c r="B261" s="194"/>
      <c r="C261" s="194"/>
      <c r="D261" s="194"/>
      <c r="E261" s="194"/>
      <c r="F261" s="194"/>
      <c r="G261" s="194"/>
      <c r="H261" s="194"/>
      <c r="I261" s="194"/>
      <c r="L261" s="194"/>
      <c r="M261" s="194"/>
      <c r="N261" s="194"/>
      <c r="O261" s="194"/>
      <c r="P261" s="194"/>
      <c r="Q261" s="194"/>
      <c r="R261" s="194"/>
      <c r="S261" s="194"/>
      <c r="U261" s="194"/>
      <c r="V261" s="194"/>
      <c r="W261" s="194"/>
      <c r="X261" s="194"/>
      <c r="Y261" s="194"/>
    </row>
    <row r="262" spans="2:25">
      <c r="B262" s="194"/>
      <c r="C262" s="194"/>
      <c r="D262" s="194"/>
      <c r="E262" s="194"/>
      <c r="F262" s="194"/>
      <c r="G262" s="194"/>
      <c r="H262" s="194"/>
      <c r="I262" s="194"/>
      <c r="L262" s="194"/>
      <c r="M262" s="194"/>
      <c r="N262" s="194"/>
      <c r="O262" s="194"/>
      <c r="P262" s="194"/>
      <c r="Q262" s="194"/>
      <c r="R262" s="194"/>
      <c r="S262" s="194"/>
      <c r="U262" s="194"/>
      <c r="V262" s="194"/>
      <c r="W262" s="194"/>
      <c r="X262" s="194"/>
      <c r="Y262" s="194"/>
    </row>
    <row r="263" spans="2:25">
      <c r="B263" s="194"/>
      <c r="C263" s="194"/>
      <c r="D263" s="194"/>
      <c r="E263" s="194"/>
      <c r="F263" s="194"/>
      <c r="G263" s="194"/>
      <c r="H263" s="194"/>
      <c r="I263" s="194"/>
      <c r="L263" s="194"/>
      <c r="M263" s="194"/>
      <c r="N263" s="194"/>
      <c r="O263" s="194"/>
      <c r="P263" s="194"/>
      <c r="Q263" s="194"/>
      <c r="R263" s="194"/>
      <c r="S263" s="194"/>
      <c r="U263" s="194"/>
      <c r="V263" s="194"/>
      <c r="W263" s="194"/>
      <c r="X263" s="194"/>
      <c r="Y263" s="194"/>
    </row>
    <row r="264" spans="2:25">
      <c r="B264" s="194"/>
      <c r="C264" s="194"/>
      <c r="D264" s="194"/>
      <c r="E264" s="194"/>
      <c r="F264" s="194"/>
      <c r="G264" s="194"/>
      <c r="H264" s="194"/>
      <c r="I264" s="194"/>
      <c r="L264" s="194"/>
      <c r="M264" s="194"/>
      <c r="N264" s="194"/>
      <c r="O264" s="194"/>
      <c r="P264" s="194"/>
      <c r="Q264" s="194"/>
      <c r="R264" s="194"/>
      <c r="S264" s="194"/>
      <c r="U264" s="194"/>
      <c r="V264" s="194"/>
      <c r="W264" s="194"/>
      <c r="X264" s="194"/>
      <c r="Y264" s="194"/>
    </row>
    <row r="265" spans="2:25">
      <c r="B265" s="194"/>
      <c r="C265" s="194"/>
      <c r="D265" s="194"/>
      <c r="E265" s="194"/>
      <c r="F265" s="194"/>
      <c r="G265" s="194"/>
      <c r="H265" s="194"/>
      <c r="I265" s="194"/>
      <c r="L265" s="194"/>
      <c r="M265" s="194"/>
      <c r="N265" s="194"/>
      <c r="O265" s="194"/>
      <c r="P265" s="194"/>
      <c r="Q265" s="194"/>
      <c r="R265" s="194"/>
      <c r="S265" s="194"/>
      <c r="U265" s="194"/>
      <c r="V265" s="194"/>
      <c r="W265" s="194"/>
      <c r="X265" s="194"/>
      <c r="Y265" s="194"/>
    </row>
    <row r="266" spans="2:25">
      <c r="B266" s="194"/>
      <c r="C266" s="194"/>
      <c r="D266" s="194"/>
      <c r="E266" s="194"/>
      <c r="F266" s="194"/>
      <c r="G266" s="194"/>
      <c r="H266" s="194"/>
      <c r="I266" s="194"/>
      <c r="L266" s="194"/>
      <c r="M266" s="194"/>
      <c r="N266" s="194"/>
      <c r="O266" s="194"/>
      <c r="P266" s="194"/>
      <c r="Q266" s="194"/>
      <c r="R266" s="194"/>
      <c r="S266" s="194"/>
      <c r="U266" s="194"/>
      <c r="V266" s="194"/>
      <c r="W266" s="194"/>
      <c r="X266" s="194"/>
      <c r="Y266" s="194"/>
    </row>
    <row r="267" spans="2:25">
      <c r="B267" s="194"/>
      <c r="C267" s="194"/>
      <c r="D267" s="194"/>
      <c r="E267" s="194"/>
      <c r="F267" s="194"/>
      <c r="G267" s="194"/>
      <c r="H267" s="194"/>
      <c r="I267" s="194"/>
      <c r="L267" s="194"/>
      <c r="M267" s="194"/>
      <c r="N267" s="194"/>
      <c r="O267" s="194"/>
      <c r="P267" s="194"/>
      <c r="Q267" s="194"/>
      <c r="R267" s="194"/>
      <c r="S267" s="194"/>
      <c r="U267" s="194"/>
      <c r="V267" s="194"/>
      <c r="W267" s="194"/>
      <c r="X267" s="194"/>
      <c r="Y267" s="194"/>
    </row>
    <row r="268" spans="2:25">
      <c r="B268" s="194"/>
      <c r="C268" s="194"/>
      <c r="D268" s="194"/>
      <c r="E268" s="194"/>
      <c r="F268" s="194"/>
      <c r="G268" s="194"/>
      <c r="H268" s="194"/>
      <c r="I268" s="194"/>
      <c r="L268" s="194"/>
      <c r="M268" s="194"/>
      <c r="N268" s="194"/>
      <c r="O268" s="194"/>
      <c r="P268" s="194"/>
      <c r="Q268" s="194"/>
      <c r="R268" s="194"/>
      <c r="S268" s="194"/>
      <c r="U268" s="194"/>
      <c r="V268" s="194"/>
      <c r="W268" s="194"/>
      <c r="X268" s="194"/>
      <c r="Y268" s="194"/>
    </row>
    <row r="269" spans="2:25">
      <c r="B269" s="194"/>
      <c r="C269" s="194"/>
      <c r="D269" s="194"/>
      <c r="E269" s="194"/>
      <c r="F269" s="194"/>
      <c r="G269" s="194"/>
      <c r="H269" s="194"/>
      <c r="I269" s="194"/>
      <c r="L269" s="194"/>
      <c r="M269" s="194"/>
      <c r="N269" s="194"/>
      <c r="O269" s="194"/>
      <c r="P269" s="194"/>
      <c r="Q269" s="194"/>
      <c r="R269" s="194"/>
      <c r="S269" s="194"/>
      <c r="T269" s="194"/>
      <c r="U269" s="194"/>
      <c r="V269" s="194"/>
      <c r="W269" s="194"/>
      <c r="X269" s="194"/>
      <c r="Y269" s="194"/>
    </row>
    <row r="270" spans="2:25">
      <c r="B270" s="194"/>
      <c r="C270" s="194"/>
      <c r="D270" s="194"/>
      <c r="E270" s="194"/>
      <c r="F270" s="194"/>
      <c r="G270" s="194"/>
      <c r="H270" s="194"/>
      <c r="I270" s="194"/>
      <c r="L270" s="194"/>
      <c r="M270" s="194"/>
      <c r="N270" s="194"/>
      <c r="O270" s="194"/>
      <c r="P270" s="194"/>
      <c r="Q270" s="194"/>
      <c r="R270" s="194"/>
      <c r="S270" s="194"/>
      <c r="T270" s="194"/>
      <c r="U270" s="194"/>
      <c r="V270" s="194"/>
      <c r="W270" s="194"/>
      <c r="X270" s="194"/>
      <c r="Y270" s="194"/>
    </row>
  </sheetData>
  <mergeCells count="5">
    <mergeCell ref="G5:I5"/>
    <mergeCell ref="G6:I6"/>
    <mergeCell ref="G7:I7"/>
    <mergeCell ref="G8:I8"/>
    <mergeCell ref="G9:I9"/>
  </mergeCells>
  <hyperlinks>
    <hyperlink ref="A1" location="'TOC'!A1" display="TO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'Simulation Data'!$22:$22</xm:f>
          </x14:formula1>
          <xm:sqref>G5:I5</xm:sqref>
        </x14:dataValidation>
        <x14:dataValidation type="list" allowBlank="1" showInputMessage="1" showErrorMessage="1">
          <x14:formula1>
            <xm:f>'Simulation Data'!$22:$22</xm:f>
          </x14:formula1>
          <xm:sqref>D217:I217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W8"/>
  <sheetViews>
    <sheetView showGridLines="0" zoomScale="90" zoomScaleNormal="90" workbookViewId="0">
      <selection sqref="A1:B1"/>
    </sheetView>
  </sheetViews>
  <sheetFormatPr defaultColWidth="9" defaultRowHeight="14.5"/>
  <cols>
    <col min="1" max="1" width="1" style="3" customWidth="1"/>
    <col min="2" max="14" width="9" style="3"/>
    <col min="15" max="15" width="9" style="3" customWidth="1"/>
    <col min="16" max="17" width="9" style="3"/>
    <col min="18" max="21" width="9" style="3" customWidth="1"/>
    <col min="22" max="16384" width="9" style="3"/>
  </cols>
  <sheetData>
    <row r="1" spans="1:23">
      <c r="A1" s="354" t="s">
        <v>467</v>
      </c>
    </row>
    <row r="3" spans="1:23">
      <c r="B3" s="136"/>
      <c r="C3" s="137" t="s">
        <v>183</v>
      </c>
      <c r="D3" s="137"/>
      <c r="E3" s="137"/>
      <c r="F3" s="137"/>
      <c r="G3" s="137"/>
      <c r="H3" s="137"/>
      <c r="I3" s="137"/>
      <c r="J3" s="137"/>
      <c r="K3" s="137"/>
      <c r="L3" s="137"/>
      <c r="M3" s="137"/>
      <c r="N3" s="137"/>
      <c r="O3" s="137"/>
      <c r="P3" s="137"/>
      <c r="Q3" s="137"/>
      <c r="R3" s="137"/>
      <c r="S3" s="137"/>
      <c r="T3" s="137"/>
      <c r="U3" s="137"/>
      <c r="V3" s="137"/>
      <c r="W3" s="138"/>
    </row>
    <row r="4" spans="1:23">
      <c r="B4" s="139"/>
      <c r="C4" s="140"/>
      <c r="D4" s="140"/>
      <c r="E4" s="140"/>
      <c r="F4" s="140"/>
      <c r="G4" s="140"/>
      <c r="H4" s="140"/>
      <c r="I4" s="140"/>
      <c r="J4" s="140"/>
      <c r="K4" s="140"/>
      <c r="L4" s="140"/>
      <c r="M4" s="140"/>
      <c r="N4" s="140"/>
      <c r="O4" s="140"/>
      <c r="P4" s="140"/>
      <c r="Q4" s="140"/>
      <c r="R4" s="140"/>
      <c r="S4" s="140"/>
      <c r="T4" s="140"/>
      <c r="U4" s="140"/>
      <c r="V4" s="140"/>
      <c r="W4" s="141"/>
    </row>
    <row r="5" spans="1:23">
      <c r="B5" s="139"/>
      <c r="C5" s="140" t="s">
        <v>184</v>
      </c>
      <c r="D5" s="140"/>
      <c r="E5" s="140"/>
      <c r="F5" s="140"/>
      <c r="G5" s="140"/>
      <c r="H5" s="140"/>
      <c r="I5" s="140"/>
      <c r="J5" s="140"/>
      <c r="K5" s="140"/>
      <c r="L5" s="140"/>
      <c r="M5" s="140"/>
      <c r="N5" s="140"/>
      <c r="O5" s="140"/>
      <c r="P5" s="140"/>
      <c r="Q5" s="140"/>
      <c r="R5" s="140"/>
      <c r="S5" s="140"/>
      <c r="T5" s="140"/>
      <c r="U5" s="140"/>
      <c r="V5" s="140"/>
      <c r="W5" s="141"/>
    </row>
    <row r="6" spans="1:23">
      <c r="B6" s="139"/>
      <c r="C6" s="140"/>
      <c r="D6" s="140"/>
      <c r="E6" s="140"/>
      <c r="F6" s="140"/>
      <c r="G6" s="140"/>
      <c r="H6" s="140"/>
      <c r="I6" s="140"/>
      <c r="J6" s="142"/>
      <c r="K6" s="140"/>
      <c r="L6" s="140"/>
      <c r="M6" s="140"/>
      <c r="N6" s="140"/>
      <c r="O6" s="140"/>
      <c r="P6" s="140"/>
      <c r="Q6" s="140"/>
      <c r="R6" s="140"/>
      <c r="S6" s="140"/>
      <c r="T6" s="140"/>
      <c r="U6" s="140"/>
      <c r="V6" s="140"/>
      <c r="W6" s="141"/>
    </row>
    <row r="7" spans="1:23">
      <c r="B7" s="139"/>
      <c r="C7" s="143" t="s">
        <v>185</v>
      </c>
      <c r="D7" s="140"/>
      <c r="E7" s="140"/>
      <c r="F7" s="140"/>
      <c r="G7" s="140"/>
      <c r="H7" s="140"/>
      <c r="I7" s="140"/>
      <c r="J7" s="142"/>
      <c r="K7" s="140"/>
      <c r="L7" s="140"/>
      <c r="M7" s="140"/>
      <c r="N7" s="140"/>
      <c r="O7" s="140"/>
      <c r="P7" s="140"/>
      <c r="Q7" s="140"/>
      <c r="R7" s="140"/>
      <c r="S7" s="140"/>
      <c r="T7" s="140"/>
      <c r="U7" s="140"/>
      <c r="V7" s="140"/>
      <c r="W7" s="141"/>
    </row>
    <row r="8" spans="1:23">
      <c r="B8" s="144"/>
      <c r="C8" s="145"/>
      <c r="D8" s="145"/>
      <c r="E8" s="145"/>
      <c r="F8" s="145"/>
      <c r="G8" s="146"/>
      <c r="H8" s="146"/>
      <c r="I8" s="146"/>
      <c r="J8" s="146"/>
      <c r="K8" s="146"/>
      <c r="L8" s="146"/>
      <c r="M8" s="146"/>
      <c r="N8" s="146"/>
      <c r="O8" s="146"/>
      <c r="P8" s="146"/>
      <c r="Q8" s="146"/>
      <c r="R8" s="146"/>
      <c r="S8" s="146"/>
      <c r="T8" s="145"/>
      <c r="U8" s="145"/>
      <c r="V8" s="145"/>
      <c r="W8" s="147"/>
    </row>
  </sheetData>
  <hyperlinks>
    <hyperlink ref="C7" location="TOC!A1" display="Return to TOC."/>
    <hyperlink ref="A1" location="'TOC'!A1" display="TOC"/>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outlinePr summaryBelow="0" summaryRight="0"/>
  </sheetPr>
  <dimension ref="A1:AS58"/>
  <sheetViews>
    <sheetView showGridLines="0" zoomScale="90" zoomScaleNormal="90" workbookViewId="0">
      <selection sqref="A1:XFD1"/>
    </sheetView>
  </sheetViews>
  <sheetFormatPr defaultColWidth="8" defaultRowHeight="15.5" outlineLevelRow="1"/>
  <cols>
    <col min="1" max="1" width="16.5" style="1" customWidth="1"/>
    <col min="2" max="2" width="23.5" style="1" bestFit="1" customWidth="1"/>
    <col min="3" max="3" width="15.08203125" style="1" customWidth="1"/>
    <col min="4" max="4" width="12" style="1" customWidth="1"/>
    <col min="5" max="5" width="11" style="1" customWidth="1"/>
    <col min="6" max="6" width="10.58203125" style="1" customWidth="1"/>
    <col min="7" max="7" width="9.33203125" style="1" bestFit="1" customWidth="1"/>
    <col min="8" max="8" width="7.5" style="1" bestFit="1" customWidth="1"/>
    <col min="9" max="9" width="9.58203125" style="1" customWidth="1"/>
    <col min="10" max="20" width="8.5" style="1" bestFit="1" customWidth="1"/>
    <col min="21" max="30" width="10.08203125" style="1" bestFit="1" customWidth="1"/>
    <col min="31" max="31" width="8.25" style="1" bestFit="1" customWidth="1"/>
    <col min="32" max="32" width="8.08203125" style="1" bestFit="1" customWidth="1"/>
    <col min="33" max="16384" width="8" style="1"/>
  </cols>
  <sheetData>
    <row r="1" spans="1:45">
      <c r="A1" s="354" t="s">
        <v>467</v>
      </c>
    </row>
    <row r="4" spans="1:45">
      <c r="A4" s="131" t="s">
        <v>186</v>
      </c>
      <c r="AJ4" s="148"/>
      <c r="AM4" s="149"/>
      <c r="AQ4" s="150"/>
      <c r="AR4" s="150"/>
      <c r="AS4" s="151"/>
    </row>
    <row r="5" spans="1:45" outlineLevel="1">
      <c r="B5" s="407" t="s">
        <v>187</v>
      </c>
      <c r="C5" s="152" t="s">
        <v>683</v>
      </c>
      <c r="D5" s="153"/>
      <c r="E5" s="153"/>
      <c r="F5" s="153"/>
      <c r="G5" s="154"/>
      <c r="AQ5" s="150"/>
      <c r="AR5" s="150"/>
    </row>
    <row r="6" spans="1:45" ht="15.75" customHeight="1" outlineLevel="1">
      <c r="B6" s="407" t="s">
        <v>188</v>
      </c>
      <c r="C6" s="152" t="s">
        <v>684</v>
      </c>
      <c r="D6" s="153"/>
      <c r="E6" s="153"/>
      <c r="F6" s="153"/>
      <c r="G6" s="154"/>
      <c r="AQ6" s="150"/>
      <c r="AR6" s="150"/>
    </row>
    <row r="7" spans="1:45" ht="15.75" customHeight="1" outlineLevel="1">
      <c r="B7" s="407" t="s">
        <v>189</v>
      </c>
      <c r="C7" s="152" t="s">
        <v>685</v>
      </c>
      <c r="D7" s="153"/>
      <c r="E7" s="153"/>
      <c r="F7" s="153"/>
      <c r="G7" s="154"/>
      <c r="AQ7" s="150"/>
      <c r="AR7" s="150"/>
    </row>
    <row r="8" spans="1:45" ht="15.75" customHeight="1" outlineLevel="1">
      <c r="B8" s="407" t="s">
        <v>190</v>
      </c>
      <c r="C8" s="152" t="s">
        <v>773</v>
      </c>
      <c r="D8" s="153"/>
      <c r="E8" s="153"/>
      <c r="F8" s="153"/>
      <c r="G8" s="154"/>
      <c r="AQ8" s="150"/>
      <c r="AR8" s="150"/>
    </row>
    <row r="9" spans="1:45" ht="15.75" customHeight="1" outlineLevel="1">
      <c r="B9" s="407" t="s">
        <v>191</v>
      </c>
      <c r="C9" s="152" t="s">
        <v>181</v>
      </c>
      <c r="D9" s="153"/>
      <c r="E9" s="153"/>
      <c r="F9" s="153"/>
      <c r="G9" s="154"/>
      <c r="AQ9" s="150"/>
      <c r="AR9" s="150"/>
    </row>
    <row r="10" spans="1:45" ht="15.75" customHeight="1" outlineLevel="1">
      <c r="B10" s="407" t="s">
        <v>0</v>
      </c>
      <c r="C10" s="152">
        <v>2014</v>
      </c>
      <c r="D10" s="153"/>
      <c r="E10" s="153"/>
      <c r="F10" s="153"/>
      <c r="G10" s="154"/>
      <c r="AQ10" s="150"/>
      <c r="AR10" s="150"/>
    </row>
    <row r="11" spans="1:45" ht="15.75" customHeight="1" outlineLevel="1">
      <c r="B11" s="407" t="s">
        <v>192</v>
      </c>
      <c r="C11" s="152" t="s">
        <v>772</v>
      </c>
      <c r="D11" s="153"/>
      <c r="E11" s="153"/>
      <c r="F11" s="153"/>
      <c r="G11" s="154"/>
      <c r="AQ11" s="150"/>
      <c r="AR11" s="150"/>
    </row>
    <row r="12" spans="1:45" ht="15.75" customHeight="1" outlineLevel="1">
      <c r="B12" s="407" t="s">
        <v>193</v>
      </c>
      <c r="C12" s="152">
        <v>2014</v>
      </c>
      <c r="D12" s="153"/>
      <c r="E12" s="153"/>
      <c r="F12" s="153"/>
      <c r="G12" s="154"/>
      <c r="AQ12" s="150"/>
      <c r="AR12" s="150"/>
    </row>
    <row r="13" spans="1:45" ht="15.75" customHeight="1" outlineLevel="1">
      <c r="B13" s="407" t="s">
        <v>194</v>
      </c>
      <c r="C13" s="152">
        <v>2002</v>
      </c>
      <c r="D13" s="153"/>
      <c r="E13" s="153"/>
      <c r="F13" s="153"/>
      <c r="G13" s="154"/>
      <c r="AQ13" s="150"/>
      <c r="AR13" s="150"/>
    </row>
    <row r="14" spans="1:45" ht="15.75" customHeight="1" outlineLevel="1">
      <c r="B14" s="407" t="s">
        <v>195</v>
      </c>
      <c r="C14" s="152">
        <v>2013</v>
      </c>
      <c r="D14" s="153"/>
      <c r="E14" s="153"/>
      <c r="F14" s="153"/>
      <c r="G14" s="154"/>
      <c r="AQ14" s="150"/>
      <c r="AR14" s="150"/>
    </row>
    <row r="15" spans="1:45" outlineLevel="1"/>
    <row r="16" spans="1:45" outlineLevel="1">
      <c r="B16" s="407" t="s">
        <v>196</v>
      </c>
      <c r="C16" s="155">
        <v>1</v>
      </c>
      <c r="D16" s="1" t="s">
        <v>197</v>
      </c>
    </row>
    <row r="17" spans="1:15" outlineLevel="1">
      <c r="B17" s="407" t="s">
        <v>198</v>
      </c>
      <c r="C17" s="155">
        <v>1</v>
      </c>
      <c r="D17" s="1" t="s">
        <v>199</v>
      </c>
    </row>
    <row r="18" spans="1:15" outlineLevel="1">
      <c r="B18" s="407" t="s">
        <v>200</v>
      </c>
      <c r="C18" s="155">
        <v>1</v>
      </c>
      <c r="D18" s="1" t="s">
        <v>199</v>
      </c>
    </row>
    <row r="19" spans="1:15" outlineLevel="1"/>
    <row r="20" spans="1:15">
      <c r="A20" s="131" t="s">
        <v>567</v>
      </c>
    </row>
    <row r="21" spans="1:15" s="16" customFormat="1" outlineLevel="1">
      <c r="B21" s="359" t="s">
        <v>548</v>
      </c>
      <c r="C21" s="360" t="s">
        <v>206</v>
      </c>
      <c r="D21" s="236" t="str">
        <f>"Prior $ (" &amp;C21&amp;")"</f>
        <v>Prior $ (PB17)</v>
      </c>
      <c r="G21" s="236"/>
      <c r="H21" s="236"/>
      <c r="I21" s="236"/>
      <c r="J21" s="236"/>
      <c r="K21" s="236"/>
      <c r="M21" s="236"/>
    </row>
    <row r="22" spans="1:15" s="16" customFormat="1" outlineLevel="1">
      <c r="B22" s="359" t="s">
        <v>549</v>
      </c>
      <c r="C22" s="360" t="s">
        <v>207</v>
      </c>
      <c r="D22" s="236" t="str">
        <f>"Current $ (" &amp;C22&amp;")"</f>
        <v>Current $ (POM18)</v>
      </c>
      <c r="G22" s="236"/>
      <c r="H22" s="236"/>
      <c r="I22" s="236"/>
      <c r="J22" s="236"/>
      <c r="K22" s="236"/>
      <c r="M22" s="236"/>
    </row>
    <row r="23" spans="1:15" s="16" customFormat="1" outlineLevel="1">
      <c r="B23" s="359" t="s">
        <v>208</v>
      </c>
      <c r="C23" s="360" t="s">
        <v>209</v>
      </c>
      <c r="D23" s="236" t="str">
        <f>"Required $ ("&amp;C23&amp;")"</f>
        <v>Required $ (Draft CCP)</v>
      </c>
      <c r="G23" s="236"/>
      <c r="H23" s="236"/>
      <c r="I23" s="236"/>
      <c r="J23" s="236"/>
      <c r="K23" s="236"/>
      <c r="M23" s="236"/>
    </row>
    <row r="24" spans="1:15" s="16" customFormat="1" outlineLevel="1">
      <c r="B24" s="359" t="s">
        <v>159</v>
      </c>
      <c r="C24" s="360" t="s">
        <v>182</v>
      </c>
      <c r="D24" s="236"/>
      <c r="G24" s="236"/>
      <c r="H24" s="236"/>
      <c r="I24" s="236"/>
      <c r="J24" s="236"/>
      <c r="K24" s="236"/>
      <c r="M24" s="236"/>
      <c r="O24" s="15"/>
    </row>
    <row r="25" spans="1:15" outlineLevel="1"/>
    <row r="26" spans="1:15" collapsed="1">
      <c r="A26" s="131" t="s">
        <v>82</v>
      </c>
    </row>
    <row r="27" spans="1:15" hidden="1" outlineLevel="1"/>
    <row r="28" spans="1:15" hidden="1" outlineLevel="1"/>
    <row r="29" spans="1:15" hidden="1" outlineLevel="1"/>
    <row r="30" spans="1:15" hidden="1" outlineLevel="1"/>
    <row r="31" spans="1:15" hidden="1" outlineLevel="1"/>
    <row r="32" spans="1:15" hidden="1" outlineLevel="1"/>
    <row r="33" spans="1:1" hidden="1" outlineLevel="1"/>
    <row r="34" spans="1:1" hidden="1" outlineLevel="1"/>
    <row r="35" spans="1:1" hidden="1" outlineLevel="1"/>
    <row r="36" spans="1:1" hidden="1" outlineLevel="1"/>
    <row r="37" spans="1:1" collapsed="1">
      <c r="A37" s="131" t="s">
        <v>83</v>
      </c>
    </row>
    <row r="38" spans="1:1" hidden="1" outlineLevel="1"/>
    <row r="39" spans="1:1" hidden="1" outlineLevel="1"/>
    <row r="40" spans="1:1" hidden="1" outlineLevel="1"/>
    <row r="41" spans="1:1" hidden="1" outlineLevel="1"/>
    <row r="42" spans="1:1" hidden="1" outlineLevel="1"/>
    <row r="43" spans="1:1" hidden="1" outlineLevel="1"/>
    <row r="44" spans="1:1" hidden="1" outlineLevel="1"/>
    <row r="45" spans="1:1" hidden="1" outlineLevel="1"/>
    <row r="46" spans="1:1" hidden="1" outlineLevel="1"/>
    <row r="47" spans="1:1" hidden="1" outlineLevel="1"/>
    <row r="48" spans="1:1" collapsed="1">
      <c r="A48" s="131" t="s">
        <v>503</v>
      </c>
    </row>
    <row r="49" hidden="1" outlineLevel="1"/>
    <row r="50" hidden="1" outlineLevel="1"/>
    <row r="51" hidden="1" outlineLevel="1"/>
    <row r="52" hidden="1" outlineLevel="1"/>
    <row r="53" hidden="1" outlineLevel="1"/>
    <row r="54" hidden="1" outlineLevel="1"/>
    <row r="55" hidden="1" outlineLevel="1"/>
    <row r="56" hidden="1" outlineLevel="1"/>
    <row r="57" hidden="1" outlineLevel="1"/>
    <row r="58" hidden="1" outlineLevel="1"/>
  </sheetData>
  <hyperlinks>
    <hyperlink ref="A1" location="'TOC'!A1" display="TO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99"/>
    <outlinePr summaryBelow="0" summaryRight="0"/>
  </sheetPr>
  <dimension ref="A2:G19"/>
  <sheetViews>
    <sheetView showGridLines="0" zoomScale="70" zoomScaleNormal="70" workbookViewId="0">
      <selection activeCell="E16" sqref="E16"/>
    </sheetView>
  </sheetViews>
  <sheetFormatPr defaultRowHeight="15.5" outlineLevelRow="1"/>
  <cols>
    <col min="2" max="2" width="8.83203125" bestFit="1" customWidth="1"/>
    <col min="3" max="3" width="19" bestFit="1" customWidth="1"/>
    <col min="4" max="4" width="7.58203125" bestFit="1" customWidth="1"/>
    <col min="5" max="5" width="9.33203125" bestFit="1" customWidth="1"/>
    <col min="6" max="6" width="11.75" bestFit="1" customWidth="1"/>
  </cols>
  <sheetData>
    <row r="2" spans="1:7">
      <c r="A2" t="s">
        <v>580</v>
      </c>
    </row>
    <row r="3" spans="1:7">
      <c r="A3" t="s">
        <v>581</v>
      </c>
    </row>
    <row r="4" spans="1:7" s="1" customFormat="1">
      <c r="A4" s="131" t="s">
        <v>568</v>
      </c>
    </row>
    <row r="5" spans="1:7" s="1" customFormat="1" ht="30" outlineLevel="1">
      <c r="B5" s="195" t="s">
        <v>542</v>
      </c>
      <c r="C5" s="195" t="s">
        <v>161</v>
      </c>
      <c r="D5" s="195" t="s">
        <v>401</v>
      </c>
      <c r="E5" s="195" t="s">
        <v>167</v>
      </c>
      <c r="F5" s="195" t="s">
        <v>400</v>
      </c>
      <c r="G5" s="195" t="s">
        <v>165</v>
      </c>
    </row>
    <row r="6" spans="1:7" s="1" customFormat="1" outlineLevel="1">
      <c r="B6" s="320" t="s">
        <v>181</v>
      </c>
      <c r="C6" s="364" t="s">
        <v>129</v>
      </c>
      <c r="D6" s="405" t="s">
        <v>559</v>
      </c>
      <c r="E6" s="320" t="s">
        <v>101</v>
      </c>
      <c r="F6" s="320" t="s">
        <v>344</v>
      </c>
      <c r="G6" s="320" t="s">
        <v>338</v>
      </c>
    </row>
    <row r="7" spans="1:7" s="1" customFormat="1" outlineLevel="1">
      <c r="B7" s="320" t="s">
        <v>557</v>
      </c>
      <c r="C7" s="364" t="s">
        <v>83</v>
      </c>
      <c r="D7" s="405" t="s">
        <v>560</v>
      </c>
      <c r="E7" s="320" t="s">
        <v>70</v>
      </c>
      <c r="F7" s="320" t="s">
        <v>563</v>
      </c>
      <c r="G7" s="320" t="s">
        <v>582</v>
      </c>
    </row>
    <row r="8" spans="1:7" s="1" customFormat="1" outlineLevel="1">
      <c r="B8" s="320" t="s">
        <v>182</v>
      </c>
      <c r="C8" s="364" t="s">
        <v>106</v>
      </c>
      <c r="D8" s="405" t="s">
        <v>561</v>
      </c>
      <c r="E8" s="320" t="s">
        <v>104</v>
      </c>
    </row>
    <row r="9" spans="1:7" s="1" customFormat="1" outlineLevel="1">
      <c r="B9" s="320" t="s">
        <v>159</v>
      </c>
      <c r="C9" s="364" t="s">
        <v>131</v>
      </c>
      <c r="D9" s="405" t="s">
        <v>562</v>
      </c>
      <c r="E9" s="320" t="s">
        <v>576</v>
      </c>
    </row>
    <row r="10" spans="1:7" s="1" customFormat="1" outlineLevel="1">
      <c r="B10" s="320" t="s">
        <v>206</v>
      </c>
      <c r="C10" s="364" t="s">
        <v>133</v>
      </c>
      <c r="E10" s="320" t="s">
        <v>105</v>
      </c>
    </row>
    <row r="11" spans="1:7" s="1" customFormat="1" outlineLevel="1">
      <c r="B11" s="320" t="s">
        <v>558</v>
      </c>
      <c r="C11" s="320" t="s">
        <v>310</v>
      </c>
      <c r="E11" s="320" t="s">
        <v>577</v>
      </c>
    </row>
    <row r="12" spans="1:7" s="1" customFormat="1" outlineLevel="1">
      <c r="B12" s="320" t="s">
        <v>207</v>
      </c>
      <c r="E12" s="320" t="s">
        <v>71</v>
      </c>
    </row>
    <row r="13" spans="1:7" s="1" customFormat="1" outlineLevel="1">
      <c r="B13" s="320" t="s">
        <v>575</v>
      </c>
      <c r="E13" s="320" t="s">
        <v>73</v>
      </c>
    </row>
    <row r="14" spans="1:7" s="1" customFormat="1" outlineLevel="1">
      <c r="B14" s="160"/>
      <c r="E14" s="320" t="s">
        <v>107</v>
      </c>
    </row>
    <row r="15" spans="1:7" s="1" customFormat="1" outlineLevel="1">
      <c r="B15" s="160"/>
      <c r="E15" s="320" t="s">
        <v>109</v>
      </c>
    </row>
    <row r="16" spans="1:7" s="1" customFormat="1" outlineLevel="1">
      <c r="B16" s="160"/>
    </row>
    <row r="17" spans="2:2" s="1" customFormat="1" outlineLevel="1">
      <c r="B17" s="160"/>
    </row>
    <row r="18" spans="2:2" s="1" customFormat="1" outlineLevel="1">
      <c r="B18" s="160"/>
    </row>
    <row r="19" spans="2:2" s="1" customFormat="1" outlineLevel="1">
      <c r="B19" s="16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99"/>
    <outlinePr summaryBelow="0"/>
    <pageSetUpPr fitToPage="1"/>
  </sheetPr>
  <dimension ref="A1:AB35"/>
  <sheetViews>
    <sheetView showGridLines="0" zoomScale="80" zoomScaleNormal="80" workbookViewId="0">
      <selection activeCell="A26" sqref="A26"/>
    </sheetView>
  </sheetViews>
  <sheetFormatPr defaultColWidth="8" defaultRowHeight="15.5" outlineLevelRow="1"/>
  <cols>
    <col min="1" max="1" width="8" style="1"/>
    <col min="2" max="2" width="14.33203125" style="1" customWidth="1"/>
    <col min="3" max="18" width="7.5" style="1" customWidth="1"/>
    <col min="19" max="43" width="8.33203125" style="1" bestFit="1" customWidth="1"/>
    <col min="44" max="46" width="8.08203125" style="1" bestFit="1" customWidth="1"/>
    <col min="47" max="47" width="11" style="1" bestFit="1" customWidth="1"/>
    <col min="48" max="16384" width="8" style="1"/>
  </cols>
  <sheetData>
    <row r="1" spans="1:28">
      <c r="A1" s="354" t="s">
        <v>467</v>
      </c>
    </row>
    <row r="3" spans="1:28">
      <c r="A3" s="131" t="s">
        <v>215</v>
      </c>
    </row>
    <row r="4" spans="1:28">
      <c r="A4" s="169" t="s">
        <v>216</v>
      </c>
    </row>
    <row r="5" spans="1:28" outlineLevel="1"/>
    <row r="6" spans="1:28" outlineLevel="1">
      <c r="B6" s="285" t="s">
        <v>680</v>
      </c>
    </row>
    <row r="7" spans="1:28" outlineLevel="1">
      <c r="B7" s="285"/>
    </row>
    <row r="8" spans="1:28" outlineLevel="1">
      <c r="B8" s="156" t="s">
        <v>161</v>
      </c>
      <c r="C8" s="157" t="s">
        <v>155</v>
      </c>
      <c r="D8" s="157" t="s">
        <v>477</v>
      </c>
      <c r="E8" s="157">
        <f>Model_First_Year</f>
        <v>2014</v>
      </c>
      <c r="F8" s="157">
        <f>E8+1</f>
        <v>2015</v>
      </c>
      <c r="G8" s="157">
        <f t="shared" ref="G8:R8" si="0">F8+1</f>
        <v>2016</v>
      </c>
      <c r="H8" s="157">
        <f t="shared" si="0"/>
        <v>2017</v>
      </c>
      <c r="I8" s="157">
        <f t="shared" si="0"/>
        <v>2018</v>
      </c>
      <c r="J8" s="157">
        <f t="shared" si="0"/>
        <v>2019</v>
      </c>
      <c r="K8" s="157">
        <f t="shared" si="0"/>
        <v>2020</v>
      </c>
      <c r="L8" s="157">
        <f t="shared" si="0"/>
        <v>2021</v>
      </c>
      <c r="M8" s="157">
        <f t="shared" si="0"/>
        <v>2022</v>
      </c>
      <c r="N8" s="157">
        <f t="shared" si="0"/>
        <v>2023</v>
      </c>
      <c r="O8" s="157">
        <f t="shared" si="0"/>
        <v>2024</v>
      </c>
      <c r="P8" s="157">
        <f t="shared" si="0"/>
        <v>2025</v>
      </c>
      <c r="Q8" s="157">
        <f t="shared" si="0"/>
        <v>2026</v>
      </c>
      <c r="R8" s="157">
        <f t="shared" si="0"/>
        <v>2027</v>
      </c>
      <c r="S8" s="157">
        <f t="shared" ref="S8:AB8" si="1">R8+1</f>
        <v>2028</v>
      </c>
      <c r="T8" s="157">
        <f t="shared" si="1"/>
        <v>2029</v>
      </c>
      <c r="U8" s="157">
        <f t="shared" si="1"/>
        <v>2030</v>
      </c>
      <c r="V8" s="157">
        <f t="shared" si="1"/>
        <v>2031</v>
      </c>
      <c r="W8" s="157">
        <f t="shared" si="1"/>
        <v>2032</v>
      </c>
      <c r="X8" s="157">
        <f t="shared" si="1"/>
        <v>2033</v>
      </c>
      <c r="Y8" s="157">
        <f t="shared" si="1"/>
        <v>2034</v>
      </c>
      <c r="Z8" s="157">
        <f t="shared" si="1"/>
        <v>2035</v>
      </c>
      <c r="AA8" s="157">
        <f t="shared" si="1"/>
        <v>2036</v>
      </c>
      <c r="AB8" s="157">
        <f t="shared" si="1"/>
        <v>2037</v>
      </c>
    </row>
    <row r="9" spans="1:28" outlineLevel="1">
      <c r="B9" s="156" t="s">
        <v>129</v>
      </c>
      <c r="C9" s="201">
        <f t="shared" ref="C9:C14" si="2">SUM(D9:XFD9)</f>
        <v>1</v>
      </c>
      <c r="D9" s="199">
        <v>1</v>
      </c>
      <c r="E9" s="199"/>
      <c r="F9" s="199"/>
      <c r="G9" s="199"/>
      <c r="H9" s="199"/>
      <c r="I9" s="199"/>
      <c r="J9" s="199"/>
      <c r="K9" s="199"/>
      <c r="L9" s="199"/>
      <c r="M9" s="199"/>
      <c r="N9" s="199"/>
      <c r="O9" s="199"/>
      <c r="P9" s="199"/>
      <c r="Q9" s="199"/>
      <c r="R9" s="199"/>
      <c r="S9" s="199"/>
      <c r="T9" s="199"/>
      <c r="U9" s="199"/>
      <c r="V9" s="199"/>
      <c r="W9" s="199"/>
      <c r="X9" s="199"/>
      <c r="Y9" s="199"/>
      <c r="Z9" s="199"/>
      <c r="AA9" s="199"/>
      <c r="AB9" s="199"/>
    </row>
    <row r="10" spans="1:28" outlineLevel="1">
      <c r="B10" s="365" t="s">
        <v>564</v>
      </c>
      <c r="C10" s="201">
        <f t="shared" si="2"/>
        <v>0</v>
      </c>
      <c r="D10" s="320"/>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row>
    <row r="11" spans="1:28" outlineLevel="1">
      <c r="B11" s="365" t="s">
        <v>565</v>
      </c>
      <c r="C11" s="201">
        <f t="shared" si="2"/>
        <v>0</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row>
    <row r="12" spans="1:28" outlineLevel="1">
      <c r="B12" s="156" t="s">
        <v>83</v>
      </c>
      <c r="C12" s="201">
        <f t="shared" si="2"/>
        <v>1</v>
      </c>
      <c r="D12" s="199">
        <v>1</v>
      </c>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row>
    <row r="13" spans="1:28" outlineLevel="1">
      <c r="B13" s="365" t="s">
        <v>559</v>
      </c>
      <c r="C13" s="201">
        <f t="shared" si="2"/>
        <v>0</v>
      </c>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row>
    <row r="14" spans="1:28" outlineLevel="1">
      <c r="B14" s="365" t="s">
        <v>566</v>
      </c>
      <c r="C14" s="201">
        <f t="shared" si="2"/>
        <v>0</v>
      </c>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199"/>
      <c r="AB14" s="199"/>
    </row>
    <row r="15" spans="1:28" outlineLevel="1"/>
    <row r="16" spans="1:28" outlineLevel="1"/>
    <row r="17" spans="1:2" outlineLevel="1"/>
    <row r="18" spans="1:2">
      <c r="A18" s="169" t="s">
        <v>217</v>
      </c>
    </row>
    <row r="19" spans="1:2" outlineLevel="1"/>
    <row r="20" spans="1:2" outlineLevel="1">
      <c r="B20" s="285" t="s">
        <v>681</v>
      </c>
    </row>
    <row r="21" spans="1:2" outlineLevel="1"/>
    <row r="22" spans="1:2" outlineLevel="1"/>
    <row r="23" spans="1:2" outlineLevel="1"/>
    <row r="24" spans="1:2" outlineLevel="1"/>
    <row r="25" spans="1:2" outlineLevel="1"/>
    <row r="26" spans="1:2">
      <c r="A26" s="169" t="s">
        <v>218</v>
      </c>
    </row>
    <row r="27" spans="1:2" outlineLevel="1"/>
    <row r="28" spans="1:2" outlineLevel="1"/>
    <row r="29" spans="1:2" outlineLevel="1"/>
    <row r="30" spans="1:2" outlineLevel="1"/>
    <row r="31" spans="1:2" outlineLevel="1"/>
    <row r="32" spans="1:2" outlineLevel="1"/>
    <row r="33" outlineLevel="1"/>
    <row r="34" outlineLevel="1"/>
    <row r="35" outlineLevel="1"/>
  </sheetData>
  <hyperlinks>
    <hyperlink ref="A1" location="'TOC'!A1" display="TOC"/>
  </hyperlinks>
  <pageMargins left="0.7" right="0.7" top="0.75" bottom="0.75" header="0.3" footer="0.3"/>
  <pageSetup fitToHeight="0"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99"/>
    <outlinePr summaryBelow="0" summaryRight="0"/>
  </sheetPr>
  <dimension ref="A1:AG14"/>
  <sheetViews>
    <sheetView showGridLines="0" zoomScale="70" zoomScaleNormal="70" workbookViewId="0">
      <selection activeCell="E10" sqref="E10"/>
    </sheetView>
  </sheetViews>
  <sheetFormatPr defaultRowHeight="15.5" outlineLevelRow="1"/>
  <cols>
    <col min="1" max="1" width="3.33203125" customWidth="1"/>
    <col min="2" max="2" width="14" bestFit="1" customWidth="1"/>
    <col min="3" max="3" width="10.08203125" bestFit="1" customWidth="1"/>
  </cols>
  <sheetData>
    <row r="1" spans="1:33">
      <c r="A1" s="354" t="s">
        <v>467</v>
      </c>
    </row>
    <row r="2" spans="1:33">
      <c r="A2" s="290" t="s">
        <v>502</v>
      </c>
      <c r="B2" s="287"/>
      <c r="C2" s="287"/>
      <c r="D2" s="287"/>
    </row>
    <row r="3" spans="1:33">
      <c r="A3" s="131" t="s">
        <v>201</v>
      </c>
    </row>
    <row r="4" spans="1:33" s="1" customFormat="1" outlineLevel="1"/>
    <row r="5" spans="1:33" s="1" customFormat="1" outlineLevel="1">
      <c r="B5" s="156" t="s">
        <v>202</v>
      </c>
      <c r="C5" s="156" t="s">
        <v>155</v>
      </c>
      <c r="D5" s="157"/>
      <c r="E5" s="157">
        <f>'Global Inputs'!C13</f>
        <v>2002</v>
      </c>
      <c r="F5" s="157">
        <f t="shared" ref="F5:AG5" si="0">E5+1</f>
        <v>2003</v>
      </c>
      <c r="G5" s="157">
        <f t="shared" si="0"/>
        <v>2004</v>
      </c>
      <c r="H5" s="157">
        <f t="shared" si="0"/>
        <v>2005</v>
      </c>
      <c r="I5" s="157">
        <f t="shared" si="0"/>
        <v>2006</v>
      </c>
      <c r="J5" s="157">
        <f t="shared" si="0"/>
        <v>2007</v>
      </c>
      <c r="K5" s="157">
        <f t="shared" si="0"/>
        <v>2008</v>
      </c>
      <c r="L5" s="157">
        <f t="shared" si="0"/>
        <v>2009</v>
      </c>
      <c r="M5" s="157">
        <f t="shared" si="0"/>
        <v>2010</v>
      </c>
      <c r="N5" s="157">
        <f t="shared" si="0"/>
        <v>2011</v>
      </c>
      <c r="O5" s="157">
        <f t="shared" si="0"/>
        <v>2012</v>
      </c>
      <c r="P5" s="157">
        <f t="shared" si="0"/>
        <v>2013</v>
      </c>
      <c r="Q5" s="157">
        <f t="shared" si="0"/>
        <v>2014</v>
      </c>
      <c r="R5" s="157">
        <f t="shared" si="0"/>
        <v>2015</v>
      </c>
      <c r="S5" s="157">
        <f t="shared" si="0"/>
        <v>2016</v>
      </c>
      <c r="T5" s="157">
        <f t="shared" si="0"/>
        <v>2017</v>
      </c>
      <c r="U5" s="157">
        <f t="shared" si="0"/>
        <v>2018</v>
      </c>
      <c r="V5" s="157">
        <f t="shared" si="0"/>
        <v>2019</v>
      </c>
      <c r="W5" s="157">
        <f t="shared" si="0"/>
        <v>2020</v>
      </c>
      <c r="X5" s="157">
        <f t="shared" si="0"/>
        <v>2021</v>
      </c>
      <c r="Y5" s="157">
        <f t="shared" si="0"/>
        <v>2022</v>
      </c>
      <c r="Z5" s="157">
        <f t="shared" si="0"/>
        <v>2023</v>
      </c>
      <c r="AA5" s="157">
        <f t="shared" si="0"/>
        <v>2024</v>
      </c>
      <c r="AB5" s="157">
        <f t="shared" si="0"/>
        <v>2025</v>
      </c>
      <c r="AC5" s="157">
        <f t="shared" si="0"/>
        <v>2026</v>
      </c>
      <c r="AD5" s="157">
        <f t="shared" si="0"/>
        <v>2027</v>
      </c>
      <c r="AE5" s="157">
        <f t="shared" si="0"/>
        <v>2028</v>
      </c>
      <c r="AF5" s="157">
        <f t="shared" si="0"/>
        <v>2029</v>
      </c>
      <c r="AG5" s="157">
        <f t="shared" si="0"/>
        <v>2030</v>
      </c>
    </row>
    <row r="6" spans="1:33" s="1" customFormat="1" outlineLevel="1">
      <c r="B6" s="156" t="s">
        <v>101</v>
      </c>
      <c r="C6" s="158">
        <f>SUM(E6:AG6)</f>
        <v>0</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row>
    <row r="7" spans="1:33" s="1" customFormat="1" outlineLevel="1">
      <c r="B7" s="156" t="s">
        <v>70</v>
      </c>
      <c r="C7" s="158">
        <f>SUM(E7:AG7)</f>
        <v>0</v>
      </c>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row>
    <row r="8" spans="1:33" s="1" customFormat="1" outlineLevel="1">
      <c r="B8" s="156" t="s">
        <v>106</v>
      </c>
      <c r="C8" s="158">
        <f>SUM(E8:AG8)</f>
        <v>0</v>
      </c>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row>
    <row r="9" spans="1:33" s="1" customFormat="1" outlineLevel="1"/>
    <row r="10" spans="1:33" s="1" customFormat="1" outlineLevel="1">
      <c r="B10" s="156" t="s">
        <v>203</v>
      </c>
      <c r="C10" s="156" t="s">
        <v>155</v>
      </c>
      <c r="D10" s="157"/>
      <c r="E10" s="157">
        <f>E5</f>
        <v>2002</v>
      </c>
      <c r="F10" s="157">
        <f t="shared" ref="F10:X10" si="1">E10+1</f>
        <v>2003</v>
      </c>
      <c r="G10" s="157">
        <f t="shared" si="1"/>
        <v>2004</v>
      </c>
      <c r="H10" s="157">
        <f t="shared" si="1"/>
        <v>2005</v>
      </c>
      <c r="I10" s="157">
        <f t="shared" si="1"/>
        <v>2006</v>
      </c>
      <c r="J10" s="157">
        <f t="shared" si="1"/>
        <v>2007</v>
      </c>
      <c r="K10" s="157">
        <f t="shared" si="1"/>
        <v>2008</v>
      </c>
      <c r="L10" s="157">
        <f t="shared" si="1"/>
        <v>2009</v>
      </c>
      <c r="M10" s="157">
        <f t="shared" si="1"/>
        <v>2010</v>
      </c>
      <c r="N10" s="157">
        <f t="shared" si="1"/>
        <v>2011</v>
      </c>
      <c r="O10" s="157">
        <f t="shared" si="1"/>
        <v>2012</v>
      </c>
      <c r="P10" s="157">
        <f t="shared" si="1"/>
        <v>2013</v>
      </c>
      <c r="Q10" s="157">
        <f t="shared" si="1"/>
        <v>2014</v>
      </c>
      <c r="R10" s="157">
        <f t="shared" si="1"/>
        <v>2015</v>
      </c>
      <c r="S10" s="157">
        <f t="shared" si="1"/>
        <v>2016</v>
      </c>
      <c r="T10" s="157">
        <f t="shared" si="1"/>
        <v>2017</v>
      </c>
      <c r="U10" s="157">
        <f t="shared" si="1"/>
        <v>2018</v>
      </c>
      <c r="V10" s="157">
        <f t="shared" si="1"/>
        <v>2019</v>
      </c>
      <c r="W10" s="157">
        <f t="shared" si="1"/>
        <v>2020</v>
      </c>
      <c r="X10" s="157">
        <f t="shared" si="1"/>
        <v>2021</v>
      </c>
      <c r="Y10" s="157">
        <f t="shared" ref="Y10:AG10" si="2">X10+1</f>
        <v>2022</v>
      </c>
      <c r="Z10" s="157">
        <f t="shared" si="2"/>
        <v>2023</v>
      </c>
      <c r="AA10" s="157">
        <f t="shared" si="2"/>
        <v>2024</v>
      </c>
      <c r="AB10" s="157">
        <f t="shared" si="2"/>
        <v>2025</v>
      </c>
      <c r="AC10" s="157">
        <f t="shared" si="2"/>
        <v>2026</v>
      </c>
      <c r="AD10" s="157">
        <f t="shared" si="2"/>
        <v>2027</v>
      </c>
      <c r="AE10" s="157">
        <f t="shared" si="2"/>
        <v>2028</v>
      </c>
      <c r="AF10" s="157">
        <f t="shared" si="2"/>
        <v>2029</v>
      </c>
      <c r="AG10" s="157">
        <f t="shared" si="2"/>
        <v>2030</v>
      </c>
    </row>
    <row r="11" spans="1:33" s="1" customFormat="1" outlineLevel="1">
      <c r="B11" s="156" t="s">
        <v>101</v>
      </c>
      <c r="C11" s="158">
        <f>SUM(E11:AG11)</f>
        <v>0</v>
      </c>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row>
    <row r="12" spans="1:33" s="1" customFormat="1" outlineLevel="1">
      <c r="B12" s="156" t="s">
        <v>70</v>
      </c>
      <c r="C12" s="158">
        <f>SUM(E12:AG12)</f>
        <v>0</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row>
    <row r="13" spans="1:33" s="1" customFormat="1" outlineLevel="1">
      <c r="B13" s="156" t="s">
        <v>106</v>
      </c>
      <c r="C13" s="158">
        <f>SUM(E13:AG13)</f>
        <v>0</v>
      </c>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row>
    <row r="14" spans="1:33" s="1" customFormat="1" outlineLevel="1">
      <c r="B14" s="160"/>
      <c r="C14" s="160"/>
      <c r="D14" s="160"/>
      <c r="E14" s="160"/>
      <c r="F14" s="160"/>
      <c r="G14" s="160"/>
      <c r="H14" s="160"/>
      <c r="I14" s="160"/>
      <c r="J14" s="160"/>
      <c r="K14" s="160"/>
    </row>
  </sheetData>
  <hyperlinks>
    <hyperlink ref="A1" location="'TOC'!A1" display="TOC"/>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99"/>
  </sheetPr>
  <dimension ref="A1:AX32"/>
  <sheetViews>
    <sheetView showGridLines="0" zoomScale="55" zoomScaleNormal="55" workbookViewId="0">
      <selection activeCell="C6" sqref="C6:AX20"/>
    </sheetView>
  </sheetViews>
  <sheetFormatPr defaultRowHeight="15.5"/>
  <cols>
    <col min="2" max="2" width="11.08203125" customWidth="1"/>
    <col min="3" max="3" width="11.58203125" customWidth="1"/>
    <col min="4" max="4" width="10.5" customWidth="1"/>
    <col min="5" max="5" width="8.25" bestFit="1" customWidth="1"/>
    <col min="6" max="6" width="11.08203125" customWidth="1"/>
    <col min="7" max="7" width="9.5" customWidth="1"/>
    <col min="8" max="8" width="11.75" customWidth="1"/>
    <col min="9" max="9" width="12.25" customWidth="1"/>
    <col min="10" max="10" width="10.83203125" bestFit="1" customWidth="1"/>
    <col min="11" max="11" width="9.5" bestFit="1" customWidth="1"/>
    <col min="12" max="12" width="41.08203125" bestFit="1" customWidth="1"/>
    <col min="13" max="13" width="14.83203125" bestFit="1" customWidth="1"/>
    <col min="14" max="14" width="5.58203125" customWidth="1"/>
  </cols>
  <sheetData>
    <row r="1" spans="1:50">
      <c r="A1" s="354" t="s">
        <v>467</v>
      </c>
      <c r="J1" s="354"/>
    </row>
    <row r="3" spans="1:50">
      <c r="A3" s="131" t="s">
        <v>204</v>
      </c>
    </row>
    <row r="4" spans="1:50" s="1" customFormat="1">
      <c r="B4" s="416" t="s">
        <v>591</v>
      </c>
      <c r="C4" s="417"/>
      <c r="D4" s="417"/>
      <c r="E4" s="417"/>
      <c r="F4" s="417"/>
      <c r="G4" s="417"/>
      <c r="H4" s="418"/>
      <c r="I4"/>
      <c r="J4" s="419" t="s">
        <v>592</v>
      </c>
      <c r="K4" s="420"/>
      <c r="L4" s="420"/>
      <c r="M4" s="420"/>
      <c r="N4" s="421"/>
    </row>
    <row r="5" spans="1:50" s="1" customFormat="1" ht="30">
      <c r="A5" s="131"/>
      <c r="B5" s="408" t="s">
        <v>542</v>
      </c>
      <c r="C5" s="408" t="s">
        <v>158</v>
      </c>
      <c r="D5" s="408" t="s">
        <v>161</v>
      </c>
      <c r="E5" s="408" t="s">
        <v>401</v>
      </c>
      <c r="F5" s="408" t="s">
        <v>167</v>
      </c>
      <c r="G5" s="408" t="s">
        <v>168</v>
      </c>
      <c r="H5" s="408" t="s">
        <v>400</v>
      </c>
      <c r="I5" s="408" t="s">
        <v>165</v>
      </c>
      <c r="J5" s="408" t="s">
        <v>343</v>
      </c>
      <c r="K5" s="413" t="s">
        <v>211</v>
      </c>
      <c r="L5" s="413" t="s">
        <v>212</v>
      </c>
      <c r="M5" s="413" t="s">
        <v>167</v>
      </c>
      <c r="N5" s="413" t="s">
        <v>213</v>
      </c>
      <c r="O5" s="413" t="s">
        <v>155</v>
      </c>
      <c r="P5" s="413" t="s">
        <v>98</v>
      </c>
      <c r="Q5" s="413">
        <f>'Global Inputs'!C13</f>
        <v>2002</v>
      </c>
      <c r="R5" s="413">
        <f t="shared" ref="R5:AX5" si="0">Q5+1</f>
        <v>2003</v>
      </c>
      <c r="S5" s="413">
        <f t="shared" si="0"/>
        <v>2004</v>
      </c>
      <c r="T5" s="413">
        <f t="shared" si="0"/>
        <v>2005</v>
      </c>
      <c r="U5" s="413">
        <f t="shared" si="0"/>
        <v>2006</v>
      </c>
      <c r="V5" s="413">
        <f t="shared" si="0"/>
        <v>2007</v>
      </c>
      <c r="W5" s="413">
        <f t="shared" si="0"/>
        <v>2008</v>
      </c>
      <c r="X5" s="413">
        <f t="shared" si="0"/>
        <v>2009</v>
      </c>
      <c r="Y5" s="413">
        <f t="shared" si="0"/>
        <v>2010</v>
      </c>
      <c r="Z5" s="413">
        <f t="shared" si="0"/>
        <v>2011</v>
      </c>
      <c r="AA5" s="413">
        <f t="shared" si="0"/>
        <v>2012</v>
      </c>
      <c r="AB5" s="413">
        <f t="shared" si="0"/>
        <v>2013</v>
      </c>
      <c r="AC5" s="413">
        <f t="shared" si="0"/>
        <v>2014</v>
      </c>
      <c r="AD5" s="413">
        <f t="shared" si="0"/>
        <v>2015</v>
      </c>
      <c r="AE5" s="413">
        <f t="shared" si="0"/>
        <v>2016</v>
      </c>
      <c r="AF5" s="413">
        <f t="shared" si="0"/>
        <v>2017</v>
      </c>
      <c r="AG5" s="413">
        <f t="shared" si="0"/>
        <v>2018</v>
      </c>
      <c r="AH5" s="413">
        <f t="shared" si="0"/>
        <v>2019</v>
      </c>
      <c r="AI5" s="413">
        <f t="shared" si="0"/>
        <v>2020</v>
      </c>
      <c r="AJ5" s="413">
        <f t="shared" si="0"/>
        <v>2021</v>
      </c>
      <c r="AK5" s="413">
        <f t="shared" si="0"/>
        <v>2022</v>
      </c>
      <c r="AL5" s="413">
        <f t="shared" si="0"/>
        <v>2023</v>
      </c>
      <c r="AM5" s="413">
        <f t="shared" si="0"/>
        <v>2024</v>
      </c>
      <c r="AN5" s="413">
        <f t="shared" si="0"/>
        <v>2025</v>
      </c>
      <c r="AO5" s="413">
        <f t="shared" si="0"/>
        <v>2026</v>
      </c>
      <c r="AP5" s="413">
        <f t="shared" si="0"/>
        <v>2027</v>
      </c>
      <c r="AQ5" s="413">
        <f t="shared" si="0"/>
        <v>2028</v>
      </c>
      <c r="AR5" s="413">
        <f t="shared" si="0"/>
        <v>2029</v>
      </c>
      <c r="AS5" s="413">
        <f t="shared" si="0"/>
        <v>2030</v>
      </c>
      <c r="AT5" s="413">
        <f t="shared" si="0"/>
        <v>2031</v>
      </c>
      <c r="AU5" s="413">
        <f t="shared" si="0"/>
        <v>2032</v>
      </c>
      <c r="AV5" s="413">
        <f t="shared" si="0"/>
        <v>2033</v>
      </c>
      <c r="AW5" s="413">
        <f t="shared" si="0"/>
        <v>2034</v>
      </c>
      <c r="AX5" s="413">
        <f t="shared" si="0"/>
        <v>2035</v>
      </c>
    </row>
    <row r="6" spans="1:50" s="1" customFormat="1">
      <c r="A6" s="131"/>
      <c r="B6" s="156" t="s">
        <v>214</v>
      </c>
      <c r="C6" s="228"/>
      <c r="D6" s="409"/>
      <c r="E6" s="414"/>
      <c r="F6" s="228"/>
      <c r="G6" s="409"/>
      <c r="H6" s="414"/>
      <c r="I6" s="409"/>
      <c r="J6" s="415"/>
      <c r="K6" s="411"/>
      <c r="L6" s="411"/>
      <c r="M6" s="411"/>
      <c r="N6" s="411"/>
      <c r="O6" s="162"/>
      <c r="P6" s="162"/>
      <c r="Q6" s="162"/>
      <c r="R6" s="163"/>
      <c r="S6" s="163"/>
      <c r="T6" s="163"/>
      <c r="U6" s="163"/>
      <c r="V6" s="163"/>
      <c r="W6" s="163"/>
      <c r="X6" s="163"/>
      <c r="Y6" s="163"/>
      <c r="Z6" s="163"/>
      <c r="AA6" s="163"/>
      <c r="AB6" s="163"/>
      <c r="AC6" s="163"/>
      <c r="AD6" s="163"/>
      <c r="AE6" s="163"/>
      <c r="AF6" s="163"/>
      <c r="AG6" s="163"/>
      <c r="AH6" s="163"/>
      <c r="AI6" s="163"/>
      <c r="AJ6" s="164"/>
      <c r="AK6" s="164"/>
      <c r="AL6" s="164"/>
      <c r="AM6" s="164"/>
      <c r="AN6" s="164"/>
      <c r="AO6" s="164"/>
      <c r="AP6" s="164"/>
      <c r="AQ6" s="164"/>
      <c r="AR6" s="164"/>
      <c r="AS6" s="164"/>
      <c r="AT6" s="164"/>
      <c r="AU6" s="164"/>
      <c r="AV6" s="164"/>
      <c r="AW6" s="164"/>
      <c r="AX6" s="164"/>
    </row>
    <row r="7" spans="1:50" s="1" customFormat="1">
      <c r="A7" s="131"/>
      <c r="B7" s="156" t="s">
        <v>214</v>
      </c>
      <c r="C7" s="228"/>
      <c r="D7" s="409"/>
      <c r="E7" s="414"/>
      <c r="F7" s="228"/>
      <c r="G7" s="409"/>
      <c r="H7" s="414"/>
      <c r="I7" s="409"/>
      <c r="J7" s="415"/>
      <c r="K7" s="411"/>
      <c r="L7" s="411"/>
      <c r="M7" s="411"/>
      <c r="N7" s="411"/>
      <c r="O7" s="162"/>
      <c r="P7" s="162"/>
      <c r="Q7" s="162"/>
      <c r="R7" s="163"/>
      <c r="S7" s="163"/>
      <c r="T7" s="163"/>
      <c r="U7" s="163"/>
      <c r="V7" s="163"/>
      <c r="W7" s="163"/>
      <c r="X7" s="163"/>
      <c r="Y7" s="163"/>
      <c r="Z7" s="163"/>
      <c r="AA7" s="163"/>
      <c r="AB7" s="163"/>
      <c r="AC7" s="163"/>
      <c r="AD7" s="163"/>
      <c r="AE7" s="163"/>
      <c r="AF7" s="163"/>
      <c r="AG7" s="163"/>
      <c r="AH7" s="163"/>
      <c r="AI7" s="163"/>
      <c r="AJ7" s="164"/>
      <c r="AK7" s="164"/>
      <c r="AL7" s="164"/>
      <c r="AM7" s="164"/>
      <c r="AN7" s="164"/>
      <c r="AO7" s="164"/>
      <c r="AP7" s="164"/>
      <c r="AQ7" s="164"/>
      <c r="AR7" s="164"/>
      <c r="AS7" s="164"/>
      <c r="AT7" s="164"/>
      <c r="AU7" s="164"/>
      <c r="AV7" s="164"/>
      <c r="AW7" s="164"/>
      <c r="AX7" s="164"/>
    </row>
    <row r="8" spans="1:50" s="1" customFormat="1">
      <c r="A8" s="131"/>
      <c r="B8" s="156" t="s">
        <v>214</v>
      </c>
      <c r="C8" s="228"/>
      <c r="D8" s="409"/>
      <c r="E8" s="414"/>
      <c r="F8" s="228"/>
      <c r="G8" s="409"/>
      <c r="H8" s="414"/>
      <c r="I8" s="409"/>
      <c r="J8" s="415"/>
      <c r="K8" s="411"/>
      <c r="L8" s="411"/>
      <c r="M8" s="411"/>
      <c r="N8" s="411"/>
      <c r="O8" s="162"/>
      <c r="P8" s="162"/>
      <c r="Q8" s="165"/>
      <c r="R8" s="163"/>
      <c r="S8" s="163"/>
      <c r="T8" s="163"/>
      <c r="U8" s="163"/>
      <c r="V8" s="163"/>
      <c r="W8" s="163"/>
      <c r="X8" s="163"/>
      <c r="Y8" s="163"/>
      <c r="Z8" s="163"/>
      <c r="AA8" s="163"/>
      <c r="AB8" s="163"/>
      <c r="AC8" s="163"/>
      <c r="AD8" s="163"/>
      <c r="AE8" s="163"/>
      <c r="AF8" s="163"/>
      <c r="AG8" s="163"/>
      <c r="AH8" s="163"/>
      <c r="AI8" s="163"/>
      <c r="AJ8" s="164"/>
      <c r="AK8" s="164"/>
      <c r="AL8" s="164"/>
      <c r="AM8" s="164"/>
      <c r="AN8" s="164"/>
      <c r="AO8" s="164"/>
      <c r="AP8" s="164"/>
      <c r="AQ8" s="164"/>
      <c r="AR8" s="164"/>
      <c r="AS8" s="164"/>
      <c r="AT8" s="164"/>
      <c r="AU8" s="164"/>
      <c r="AV8" s="164"/>
      <c r="AW8" s="164"/>
      <c r="AX8" s="164"/>
    </row>
    <row r="9" spans="1:50" s="1" customFormat="1">
      <c r="B9" s="156" t="s">
        <v>214</v>
      </c>
      <c r="C9" s="228"/>
      <c r="D9" s="409"/>
      <c r="E9" s="414"/>
      <c r="F9" s="228"/>
      <c r="G9" s="409"/>
      <c r="H9" s="414"/>
      <c r="I9" s="409"/>
      <c r="J9" s="415"/>
      <c r="K9" s="411"/>
      <c r="L9" s="411"/>
      <c r="M9" s="411"/>
      <c r="N9" s="411"/>
      <c r="O9" s="162"/>
      <c r="P9" s="162"/>
      <c r="Q9" s="165"/>
      <c r="R9" s="163"/>
      <c r="S9" s="163"/>
      <c r="T9" s="163"/>
      <c r="U9" s="163"/>
      <c r="V9" s="163"/>
      <c r="W9" s="163"/>
      <c r="X9" s="163"/>
      <c r="Y9" s="163"/>
      <c r="Z9" s="163"/>
      <c r="AA9" s="163"/>
      <c r="AB9" s="163"/>
      <c r="AC9" s="163"/>
      <c r="AD9" s="163"/>
      <c r="AE9" s="163"/>
      <c r="AF9" s="163"/>
      <c r="AG9" s="163"/>
      <c r="AH9" s="163"/>
      <c r="AI9" s="163"/>
      <c r="AJ9" s="164"/>
      <c r="AK9" s="164"/>
      <c r="AL9" s="164"/>
      <c r="AM9" s="164"/>
      <c r="AN9" s="164"/>
      <c r="AO9" s="164"/>
      <c r="AP9" s="164"/>
      <c r="AQ9" s="164"/>
      <c r="AR9" s="164"/>
      <c r="AS9" s="164"/>
      <c r="AT9" s="164"/>
      <c r="AU9" s="164"/>
      <c r="AV9" s="164"/>
      <c r="AW9" s="164"/>
      <c r="AX9" s="164"/>
    </row>
    <row r="10" spans="1:50" s="1" customFormat="1">
      <c r="B10" s="156" t="s">
        <v>214</v>
      </c>
      <c r="C10" s="228"/>
      <c r="D10" s="409"/>
      <c r="E10" s="414"/>
      <c r="F10" s="228"/>
      <c r="G10" s="409"/>
      <c r="H10" s="414"/>
      <c r="I10" s="410"/>
      <c r="J10" s="415"/>
      <c r="K10" s="412"/>
      <c r="L10" s="412"/>
      <c r="M10" s="412"/>
      <c r="N10" s="411"/>
      <c r="O10" s="162"/>
      <c r="P10" s="162"/>
      <c r="Q10" s="162"/>
      <c r="R10" s="166"/>
      <c r="S10" s="166"/>
      <c r="T10" s="166"/>
      <c r="U10" s="166"/>
      <c r="V10" s="166"/>
      <c r="W10" s="166"/>
      <c r="X10" s="166"/>
      <c r="Y10" s="166"/>
      <c r="Z10" s="166"/>
      <c r="AA10" s="166"/>
      <c r="AB10" s="166"/>
      <c r="AC10" s="166"/>
      <c r="AD10" s="166"/>
      <c r="AE10" s="166"/>
      <c r="AF10" s="166"/>
      <c r="AG10" s="166"/>
      <c r="AH10" s="166"/>
      <c r="AI10" s="166"/>
      <c r="AJ10" s="164"/>
      <c r="AK10" s="199"/>
      <c r="AL10" s="199"/>
      <c r="AM10" s="199"/>
      <c r="AN10" s="199"/>
      <c r="AO10" s="199"/>
      <c r="AP10" s="199"/>
      <c r="AQ10" s="199"/>
      <c r="AR10" s="199"/>
      <c r="AS10" s="199"/>
      <c r="AT10" s="199"/>
      <c r="AU10" s="199"/>
      <c r="AV10" s="199"/>
      <c r="AW10" s="199"/>
      <c r="AX10" s="199"/>
    </row>
    <row r="11" spans="1:50" s="1" customFormat="1">
      <c r="B11" s="156" t="s">
        <v>206</v>
      </c>
      <c r="C11" s="228"/>
      <c r="D11" s="409"/>
      <c r="E11" s="414"/>
      <c r="F11" s="228"/>
      <c r="G11" s="409"/>
      <c r="H11" s="414"/>
      <c r="I11" s="409"/>
      <c r="J11" s="415"/>
      <c r="K11" s="411"/>
      <c r="L11" s="411"/>
      <c r="M11" s="411"/>
      <c r="N11" s="411"/>
      <c r="O11" s="162"/>
      <c r="P11" s="162"/>
      <c r="Q11" s="164"/>
      <c r="R11" s="162"/>
      <c r="S11" s="162"/>
      <c r="T11" s="162"/>
      <c r="U11" s="162"/>
      <c r="V11" s="162"/>
      <c r="W11" s="162"/>
      <c r="X11" s="162"/>
      <c r="Y11" s="162"/>
      <c r="Z11" s="162"/>
      <c r="AA11" s="162"/>
      <c r="AB11" s="162"/>
      <c r="AC11" s="162"/>
      <c r="AD11" s="162"/>
      <c r="AE11" s="162"/>
      <c r="AF11" s="162"/>
      <c r="AG11" s="162"/>
      <c r="AH11" s="162"/>
      <c r="AI11" s="162"/>
      <c r="AJ11" s="162"/>
      <c r="AK11" s="164"/>
      <c r="AL11" s="164"/>
      <c r="AM11" s="164"/>
      <c r="AN11" s="164"/>
      <c r="AO11" s="164"/>
      <c r="AP11" s="164"/>
      <c r="AQ11" s="164"/>
      <c r="AR11" s="164"/>
      <c r="AS11" s="164"/>
      <c r="AT11" s="164"/>
      <c r="AU11" s="164"/>
      <c r="AV11" s="164"/>
      <c r="AW11" s="164"/>
      <c r="AX11" s="164"/>
    </row>
    <row r="12" spans="1:50" s="1" customFormat="1">
      <c r="B12" s="156" t="s">
        <v>206</v>
      </c>
      <c r="C12" s="228"/>
      <c r="D12" s="409"/>
      <c r="E12" s="414"/>
      <c r="F12" s="228"/>
      <c r="G12" s="409"/>
      <c r="H12" s="414"/>
      <c r="I12" s="409"/>
      <c r="J12" s="415"/>
      <c r="K12" s="411"/>
      <c r="L12" s="411"/>
      <c r="M12" s="411"/>
      <c r="N12" s="411"/>
      <c r="O12" s="162"/>
      <c r="P12" s="162"/>
      <c r="Q12" s="164"/>
      <c r="R12" s="162"/>
      <c r="S12" s="162"/>
      <c r="T12" s="162"/>
      <c r="U12" s="162"/>
      <c r="V12" s="162"/>
      <c r="W12" s="162"/>
      <c r="X12" s="162"/>
      <c r="Y12" s="162"/>
      <c r="Z12" s="162"/>
      <c r="AA12" s="162"/>
      <c r="AB12" s="162"/>
      <c r="AC12" s="162"/>
      <c r="AD12" s="162"/>
      <c r="AE12" s="162"/>
      <c r="AF12" s="162"/>
      <c r="AG12" s="162"/>
      <c r="AH12" s="162"/>
      <c r="AI12" s="162"/>
      <c r="AJ12" s="162"/>
      <c r="AK12" s="164"/>
      <c r="AL12" s="164"/>
      <c r="AM12" s="164"/>
      <c r="AN12" s="164"/>
      <c r="AO12" s="164"/>
      <c r="AP12" s="164"/>
      <c r="AQ12" s="164"/>
      <c r="AR12" s="164"/>
      <c r="AS12" s="164"/>
      <c r="AT12" s="164"/>
      <c r="AU12" s="164"/>
      <c r="AV12" s="164"/>
      <c r="AW12" s="164"/>
      <c r="AX12" s="164"/>
    </row>
    <row r="13" spans="1:50" s="1" customFormat="1">
      <c r="B13" s="156" t="s">
        <v>206</v>
      </c>
      <c r="C13" s="228"/>
      <c r="D13" s="409"/>
      <c r="E13" s="414"/>
      <c r="F13" s="228"/>
      <c r="G13" s="409"/>
      <c r="H13" s="414"/>
      <c r="I13" s="409"/>
      <c r="J13" s="415"/>
      <c r="K13" s="411"/>
      <c r="L13" s="411"/>
      <c r="M13" s="411"/>
      <c r="N13" s="411"/>
      <c r="O13" s="162"/>
      <c r="P13" s="162"/>
      <c r="Q13" s="167"/>
      <c r="R13" s="162"/>
      <c r="S13" s="162"/>
      <c r="T13" s="162"/>
      <c r="U13" s="162"/>
      <c r="V13" s="162"/>
      <c r="W13" s="162"/>
      <c r="X13" s="162"/>
      <c r="Y13" s="162"/>
      <c r="Z13" s="162"/>
      <c r="AA13" s="162"/>
      <c r="AB13" s="162"/>
      <c r="AC13" s="162"/>
      <c r="AD13" s="162"/>
      <c r="AE13" s="162"/>
      <c r="AF13" s="162"/>
      <c r="AG13" s="162"/>
      <c r="AH13" s="162"/>
      <c r="AI13" s="162"/>
      <c r="AJ13" s="162"/>
      <c r="AK13" s="164"/>
      <c r="AL13" s="164"/>
      <c r="AM13" s="164"/>
      <c r="AN13" s="164"/>
      <c r="AO13" s="164"/>
      <c r="AP13" s="164"/>
      <c r="AQ13" s="164"/>
      <c r="AR13" s="164"/>
      <c r="AS13" s="164"/>
      <c r="AT13" s="164"/>
      <c r="AU13" s="164"/>
      <c r="AV13" s="164"/>
      <c r="AW13" s="164"/>
      <c r="AX13" s="164"/>
    </row>
    <row r="14" spans="1:50" s="1" customFormat="1">
      <c r="B14" s="156" t="s">
        <v>206</v>
      </c>
      <c r="C14" s="228"/>
      <c r="D14" s="409"/>
      <c r="E14" s="414"/>
      <c r="F14" s="228"/>
      <c r="G14" s="409"/>
      <c r="H14" s="414"/>
      <c r="I14" s="409"/>
      <c r="J14" s="415"/>
      <c r="K14" s="411"/>
      <c r="L14" s="411"/>
      <c r="M14" s="411"/>
      <c r="N14" s="411"/>
      <c r="O14" s="162"/>
      <c r="P14" s="162"/>
      <c r="Q14" s="167"/>
      <c r="R14" s="162"/>
      <c r="S14" s="162"/>
      <c r="T14" s="162"/>
      <c r="U14" s="162"/>
      <c r="V14" s="162"/>
      <c r="W14" s="162"/>
      <c r="X14" s="162"/>
      <c r="Y14" s="162"/>
      <c r="Z14" s="162"/>
      <c r="AA14" s="162"/>
      <c r="AB14" s="162"/>
      <c r="AC14" s="162"/>
      <c r="AD14" s="162"/>
      <c r="AE14" s="162"/>
      <c r="AF14" s="162"/>
      <c r="AG14" s="162"/>
      <c r="AH14" s="162"/>
      <c r="AI14" s="162"/>
      <c r="AJ14" s="162"/>
      <c r="AK14" s="164"/>
      <c r="AL14" s="164"/>
      <c r="AM14" s="164"/>
      <c r="AN14" s="164"/>
      <c r="AO14" s="164"/>
      <c r="AP14" s="164"/>
      <c r="AQ14" s="164"/>
      <c r="AR14" s="164"/>
      <c r="AS14" s="164"/>
      <c r="AT14" s="164"/>
      <c r="AU14" s="164"/>
      <c r="AV14" s="164"/>
      <c r="AW14" s="164"/>
      <c r="AX14" s="164"/>
    </row>
    <row r="15" spans="1:50" s="1" customFormat="1">
      <c r="B15" s="156" t="s">
        <v>206</v>
      </c>
      <c r="C15" s="228"/>
      <c r="D15" s="409"/>
      <c r="E15" s="414"/>
      <c r="F15" s="228"/>
      <c r="G15" s="409"/>
      <c r="H15" s="414"/>
      <c r="I15" s="409"/>
      <c r="J15" s="415"/>
      <c r="K15" s="412"/>
      <c r="L15" s="412"/>
      <c r="M15" s="412"/>
      <c r="N15" s="411"/>
      <c r="O15" s="162"/>
      <c r="P15" s="162"/>
      <c r="Q15" s="164"/>
      <c r="R15" s="162"/>
      <c r="S15" s="162"/>
      <c r="T15" s="162"/>
      <c r="U15" s="162"/>
      <c r="V15" s="162"/>
      <c r="W15" s="162"/>
      <c r="X15" s="162"/>
      <c r="Y15" s="162"/>
      <c r="Z15" s="162"/>
      <c r="AA15" s="162"/>
      <c r="AB15" s="162"/>
      <c r="AC15" s="162"/>
      <c r="AD15" s="162"/>
      <c r="AE15" s="162"/>
      <c r="AF15" s="162"/>
      <c r="AG15" s="162"/>
      <c r="AH15" s="162"/>
      <c r="AI15" s="162"/>
      <c r="AJ15" s="162"/>
      <c r="AK15" s="199"/>
      <c r="AL15" s="199"/>
      <c r="AM15" s="199"/>
      <c r="AN15" s="199"/>
      <c r="AO15" s="199"/>
      <c r="AP15" s="199"/>
      <c r="AQ15" s="199"/>
      <c r="AR15" s="199"/>
      <c r="AS15" s="199"/>
      <c r="AT15" s="199"/>
      <c r="AU15" s="199"/>
      <c r="AV15" s="199"/>
      <c r="AW15" s="199"/>
      <c r="AX15" s="199"/>
    </row>
    <row r="16" spans="1:50" s="1" customFormat="1">
      <c r="B16" s="156" t="s">
        <v>207</v>
      </c>
      <c r="C16" s="228"/>
      <c r="D16" s="409"/>
      <c r="E16" s="414"/>
      <c r="F16" s="228"/>
      <c r="G16" s="409"/>
      <c r="H16" s="414"/>
      <c r="I16" s="409"/>
      <c r="J16" s="415"/>
      <c r="K16" s="411"/>
      <c r="L16" s="411"/>
      <c r="M16" s="411"/>
      <c r="N16" s="411"/>
      <c r="O16" s="162"/>
      <c r="P16" s="162"/>
      <c r="Q16" s="164"/>
      <c r="R16" s="162"/>
      <c r="S16" s="162"/>
      <c r="T16" s="162"/>
      <c r="U16" s="162"/>
      <c r="V16" s="162"/>
      <c r="W16" s="162"/>
      <c r="X16" s="162"/>
      <c r="Y16" s="162"/>
      <c r="Z16" s="162"/>
      <c r="AA16" s="162"/>
      <c r="AB16" s="162"/>
      <c r="AC16" s="162"/>
      <c r="AD16" s="162"/>
      <c r="AE16" s="162"/>
      <c r="AF16" s="162"/>
      <c r="AG16" s="162"/>
      <c r="AH16" s="162"/>
      <c r="AI16" s="162"/>
      <c r="AJ16" s="162"/>
      <c r="AK16" s="162"/>
      <c r="AL16" s="162"/>
      <c r="AM16" s="164"/>
      <c r="AN16" s="164"/>
      <c r="AO16" s="164"/>
      <c r="AP16" s="164"/>
      <c r="AQ16" s="164"/>
      <c r="AR16" s="164"/>
      <c r="AS16" s="164"/>
      <c r="AT16" s="164"/>
      <c r="AU16" s="164"/>
      <c r="AV16" s="164"/>
      <c r="AW16" s="164"/>
      <c r="AX16" s="164"/>
    </row>
    <row r="17" spans="1:50" s="1" customFormat="1">
      <c r="B17" s="156" t="s">
        <v>207</v>
      </c>
      <c r="C17" s="228"/>
      <c r="D17" s="409"/>
      <c r="E17" s="414"/>
      <c r="F17" s="228"/>
      <c r="G17" s="409"/>
      <c r="H17" s="414"/>
      <c r="I17" s="409"/>
      <c r="J17" s="415"/>
      <c r="K17" s="411"/>
      <c r="L17" s="411"/>
      <c r="M17" s="411"/>
      <c r="N17" s="411"/>
      <c r="O17" s="162"/>
      <c r="P17" s="162"/>
      <c r="Q17" s="164"/>
      <c r="R17" s="162"/>
      <c r="S17" s="162"/>
      <c r="T17" s="162"/>
      <c r="U17" s="162"/>
      <c r="V17" s="162"/>
      <c r="W17" s="162"/>
      <c r="X17" s="162"/>
      <c r="Y17" s="162"/>
      <c r="Z17" s="162"/>
      <c r="AA17" s="162"/>
      <c r="AB17" s="162"/>
      <c r="AC17" s="162"/>
      <c r="AD17" s="162"/>
      <c r="AE17" s="162"/>
      <c r="AF17" s="162"/>
      <c r="AG17" s="162"/>
      <c r="AH17" s="162"/>
      <c r="AI17" s="162"/>
      <c r="AJ17" s="162"/>
      <c r="AK17" s="162"/>
      <c r="AL17" s="162"/>
      <c r="AM17" s="164"/>
      <c r="AN17" s="164"/>
      <c r="AO17" s="164"/>
      <c r="AP17" s="164"/>
      <c r="AQ17" s="164"/>
      <c r="AR17" s="164"/>
      <c r="AS17" s="164"/>
      <c r="AT17" s="164"/>
      <c r="AU17" s="164"/>
      <c r="AV17" s="164"/>
      <c r="AW17" s="164"/>
      <c r="AX17" s="164"/>
    </row>
    <row r="18" spans="1:50" s="1" customFormat="1">
      <c r="B18" s="156" t="s">
        <v>207</v>
      </c>
      <c r="C18" s="228"/>
      <c r="D18" s="409"/>
      <c r="E18" s="414"/>
      <c r="F18" s="228"/>
      <c r="G18" s="409"/>
      <c r="H18" s="414"/>
      <c r="I18" s="409"/>
      <c r="J18" s="415"/>
      <c r="K18" s="411"/>
      <c r="L18" s="411"/>
      <c r="M18" s="411"/>
      <c r="N18" s="411"/>
      <c r="O18" s="162"/>
      <c r="P18" s="162"/>
      <c r="Q18" s="167"/>
      <c r="R18" s="162"/>
      <c r="S18" s="162"/>
      <c r="T18" s="162"/>
      <c r="U18" s="162"/>
      <c r="V18" s="162"/>
      <c r="W18" s="162"/>
      <c r="X18" s="162"/>
      <c r="Y18" s="162"/>
      <c r="Z18" s="162"/>
      <c r="AA18" s="162"/>
      <c r="AB18" s="162"/>
      <c r="AC18" s="162"/>
      <c r="AD18" s="162"/>
      <c r="AE18" s="162"/>
      <c r="AF18" s="162"/>
      <c r="AG18" s="162"/>
      <c r="AH18" s="162"/>
      <c r="AI18" s="162"/>
      <c r="AJ18" s="162"/>
      <c r="AK18" s="162"/>
      <c r="AL18" s="162"/>
      <c r="AM18" s="164"/>
      <c r="AN18" s="164"/>
      <c r="AO18" s="164"/>
      <c r="AP18" s="164"/>
      <c r="AQ18" s="164"/>
      <c r="AR18" s="164"/>
      <c r="AS18" s="164"/>
      <c r="AT18" s="164"/>
      <c r="AU18" s="164"/>
      <c r="AV18" s="164"/>
      <c r="AW18" s="164"/>
      <c r="AX18" s="164"/>
    </row>
    <row r="19" spans="1:50" s="1" customFormat="1">
      <c r="B19" s="156" t="s">
        <v>207</v>
      </c>
      <c r="C19" s="228"/>
      <c r="D19" s="409"/>
      <c r="E19" s="414"/>
      <c r="F19" s="228"/>
      <c r="G19" s="409"/>
      <c r="H19" s="414"/>
      <c r="I19" s="409"/>
      <c r="J19" s="415"/>
      <c r="K19" s="411"/>
      <c r="L19" s="411"/>
      <c r="M19" s="411"/>
      <c r="N19" s="411"/>
      <c r="O19" s="162"/>
      <c r="P19" s="162"/>
      <c r="Q19" s="167"/>
      <c r="R19" s="162"/>
      <c r="S19" s="162"/>
      <c r="T19" s="162"/>
      <c r="U19" s="162"/>
      <c r="V19" s="162"/>
      <c r="W19" s="162"/>
      <c r="X19" s="162"/>
      <c r="Y19" s="162"/>
      <c r="Z19" s="162"/>
      <c r="AA19" s="162"/>
      <c r="AB19" s="162"/>
      <c r="AC19" s="162"/>
      <c r="AD19" s="162"/>
      <c r="AE19" s="162"/>
      <c r="AF19" s="162"/>
      <c r="AG19" s="162"/>
      <c r="AH19" s="162"/>
      <c r="AI19" s="162"/>
      <c r="AJ19" s="162"/>
      <c r="AK19" s="162"/>
      <c r="AL19" s="162"/>
      <c r="AM19" s="164"/>
      <c r="AN19" s="164"/>
      <c r="AO19" s="164"/>
      <c r="AP19" s="164"/>
      <c r="AQ19" s="164"/>
      <c r="AR19" s="164"/>
      <c r="AS19" s="164"/>
      <c r="AT19" s="164"/>
      <c r="AU19" s="164"/>
      <c r="AV19" s="164"/>
      <c r="AW19" s="164"/>
      <c r="AX19" s="164"/>
    </row>
    <row r="20" spans="1:50" s="1" customFormat="1">
      <c r="B20" s="156" t="s">
        <v>207</v>
      </c>
      <c r="C20" s="228"/>
      <c r="D20" s="409"/>
      <c r="E20" s="414"/>
      <c r="F20" s="228"/>
      <c r="G20" s="409"/>
      <c r="H20" s="414"/>
      <c r="I20" s="409"/>
      <c r="J20" s="415"/>
      <c r="K20" s="412"/>
      <c r="L20" s="412"/>
      <c r="M20" s="412"/>
      <c r="N20" s="411"/>
      <c r="O20" s="162"/>
      <c r="P20" s="162"/>
      <c r="Q20" s="164"/>
      <c r="R20" s="162"/>
      <c r="S20" s="162"/>
      <c r="T20" s="162"/>
      <c r="U20" s="162"/>
      <c r="V20" s="162"/>
      <c r="W20" s="162"/>
      <c r="X20" s="162"/>
      <c r="Y20" s="162"/>
      <c r="Z20" s="162"/>
      <c r="AA20" s="162"/>
      <c r="AB20" s="162"/>
      <c r="AC20" s="162"/>
      <c r="AD20" s="162"/>
      <c r="AE20" s="162"/>
      <c r="AF20" s="162"/>
      <c r="AG20" s="162"/>
      <c r="AH20" s="162"/>
      <c r="AI20" s="162"/>
      <c r="AJ20" s="162"/>
      <c r="AK20" s="168"/>
      <c r="AL20" s="168"/>
      <c r="AM20" s="199"/>
      <c r="AN20" s="199"/>
      <c r="AO20" s="199"/>
      <c r="AP20" s="199"/>
      <c r="AQ20" s="199"/>
      <c r="AR20" s="199"/>
      <c r="AS20" s="199"/>
      <c r="AT20" s="199"/>
      <c r="AU20" s="199"/>
      <c r="AV20" s="199"/>
      <c r="AW20" s="199"/>
      <c r="AX20" s="199"/>
    </row>
    <row r="21" spans="1:50" s="1" customFormat="1"/>
    <row r="22" spans="1:50" s="1" customFormat="1">
      <c r="AS22" s="161"/>
      <c r="AT22" s="161"/>
      <c r="AU22" s="161"/>
      <c r="AV22" s="161"/>
      <c r="AW22" s="161"/>
    </row>
    <row r="23" spans="1:50" s="1" customFormat="1">
      <c r="AS23" s="161"/>
      <c r="AT23" s="161"/>
      <c r="AU23" s="161"/>
      <c r="AV23" s="161"/>
      <c r="AW23" s="161"/>
    </row>
    <row r="24" spans="1:50" s="1" customFormat="1">
      <c r="AS24" s="161"/>
      <c r="AT24" s="161"/>
      <c r="AU24" s="161"/>
      <c r="AV24" s="161"/>
      <c r="AW24" s="161"/>
    </row>
    <row r="25" spans="1:50" s="1" customFormat="1">
      <c r="AS25" s="161"/>
      <c r="AT25" s="161"/>
      <c r="AU25" s="161"/>
      <c r="AV25" s="161"/>
      <c r="AW25" s="161"/>
    </row>
    <row r="26" spans="1:50" s="1" customFormat="1"/>
    <row r="27" spans="1:50" s="1" customFormat="1"/>
    <row r="28" spans="1:50">
      <c r="A28" s="1"/>
      <c r="J28" s="1"/>
    </row>
    <row r="29" spans="1:50">
      <c r="A29" s="1"/>
      <c r="J29" s="1"/>
    </row>
    <row r="30" spans="1:50">
      <c r="A30" s="1"/>
      <c r="J30" s="1"/>
    </row>
    <row r="31" spans="1:50">
      <c r="A31" s="1"/>
      <c r="J31" s="1"/>
    </row>
    <row r="32" spans="1:50">
      <c r="A32" s="1"/>
      <c r="J32" s="1"/>
    </row>
  </sheetData>
  <hyperlinks>
    <hyperlink ref="A1" location="'TOC'!A1" display="TOC"/>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99"/>
    <outlinePr summaryBelow="0" summaryRight="0"/>
  </sheetPr>
  <dimension ref="A1:DY89"/>
  <sheetViews>
    <sheetView showGridLines="0" zoomScale="70" zoomScaleNormal="70" workbookViewId="0">
      <selection activeCell="B31" sqref="B31:BS31"/>
    </sheetView>
  </sheetViews>
  <sheetFormatPr defaultColWidth="8" defaultRowHeight="15.5" outlineLevelRow="2"/>
  <cols>
    <col min="1" max="1" width="3.83203125" style="194" customWidth="1"/>
    <col min="2" max="2" width="29.33203125" style="194" customWidth="1"/>
    <col min="3" max="7" width="16.33203125" style="194" customWidth="1"/>
    <col min="8" max="8" width="18.5" style="194" customWidth="1"/>
    <col min="9" max="9" width="14.25" style="194" customWidth="1"/>
    <col min="10" max="11" width="15.5" style="194" customWidth="1"/>
    <col min="12" max="12" width="15.83203125" style="194" customWidth="1"/>
    <col min="13" max="13" width="17.5" style="194" customWidth="1"/>
    <col min="14" max="22" width="17.08203125" style="194" customWidth="1"/>
    <col min="23" max="23" width="23.75" style="194" bestFit="1" customWidth="1"/>
    <col min="24" max="62" width="17.08203125" style="194" customWidth="1"/>
    <col min="63" max="63" width="16.75" style="194" bestFit="1" customWidth="1"/>
    <col min="64" max="64" width="17.08203125" style="194" bestFit="1" customWidth="1"/>
    <col min="65" max="65" width="16.75" style="194" customWidth="1"/>
    <col min="66" max="128" width="12.83203125" style="194" customWidth="1"/>
    <col min="129" max="129" width="13.25" style="194" customWidth="1"/>
    <col min="130" max="132" width="14.25" style="194" bestFit="1" customWidth="1"/>
    <col min="133" max="16384" width="8" style="194"/>
  </cols>
  <sheetData>
    <row r="1" spans="1:15">
      <c r="A1" s="354" t="s">
        <v>467</v>
      </c>
    </row>
    <row r="2" spans="1:15">
      <c r="A2" s="292"/>
    </row>
    <row r="3" spans="1:15">
      <c r="A3" s="193" t="s">
        <v>311</v>
      </c>
    </row>
    <row r="4" spans="1:15" outlineLevel="1">
      <c r="B4" s="193" t="s">
        <v>156</v>
      </c>
    </row>
    <row r="5" spans="1:15" ht="30.5" outlineLevel="1">
      <c r="B5" s="426" t="s">
        <v>593</v>
      </c>
      <c r="C5" s="426" t="s">
        <v>594</v>
      </c>
      <c r="D5" s="427" t="s">
        <v>595</v>
      </c>
      <c r="E5" s="426" t="s">
        <v>596</v>
      </c>
      <c r="F5" s="426" t="s">
        <v>312</v>
      </c>
      <c r="G5" s="426" t="s">
        <v>597</v>
      </c>
      <c r="H5" s="301">
        <v>2017</v>
      </c>
      <c r="I5" s="301">
        <v>2018</v>
      </c>
      <c r="J5" s="301">
        <v>2019</v>
      </c>
      <c r="K5" s="301">
        <v>2020</v>
      </c>
      <c r="L5" s="301">
        <v>2021</v>
      </c>
      <c r="M5" s="301">
        <v>2022</v>
      </c>
      <c r="N5" s="301">
        <v>2023</v>
      </c>
      <c r="O5" s="301">
        <v>2024</v>
      </c>
    </row>
    <row r="6" spans="1:15" outlineLevel="1">
      <c r="B6" s="423"/>
      <c r="C6" s="424"/>
      <c r="D6" s="425"/>
      <c r="E6" s="424"/>
      <c r="F6" s="424"/>
      <c r="G6" s="424"/>
      <c r="H6" s="229"/>
      <c r="I6" s="229"/>
      <c r="J6" s="229"/>
      <c r="K6" s="229"/>
      <c r="L6" s="229"/>
      <c r="M6" s="229"/>
      <c r="N6" s="229"/>
      <c r="O6" s="229"/>
    </row>
    <row r="7" spans="1:15" outlineLevel="1">
      <c r="B7" s="423"/>
      <c r="C7" s="424"/>
      <c r="D7" s="425"/>
      <c r="E7" s="424"/>
      <c r="F7" s="424"/>
      <c r="G7" s="424"/>
      <c r="H7" s="229"/>
      <c r="I7" s="229"/>
      <c r="J7" s="229"/>
      <c r="K7" s="229"/>
      <c r="L7" s="229"/>
      <c r="M7" s="229"/>
      <c r="N7" s="229"/>
      <c r="O7" s="229"/>
    </row>
    <row r="8" spans="1:15" outlineLevel="1">
      <c r="B8" s="423"/>
      <c r="C8" s="424"/>
      <c r="D8" s="425"/>
      <c r="E8" s="424"/>
      <c r="F8" s="424"/>
      <c r="G8" s="424"/>
      <c r="H8" s="229"/>
      <c r="I8" s="229"/>
      <c r="J8" s="229"/>
      <c r="K8" s="229"/>
      <c r="L8" s="229"/>
      <c r="M8" s="229"/>
      <c r="N8" s="229"/>
      <c r="O8" s="229"/>
    </row>
    <row r="9" spans="1:15" outlineLevel="1">
      <c r="B9" s="423"/>
      <c r="C9" s="424"/>
      <c r="D9" s="425"/>
      <c r="E9" s="424"/>
      <c r="F9" s="424"/>
      <c r="G9" s="424"/>
      <c r="H9" s="229"/>
      <c r="I9" s="229"/>
      <c r="J9" s="229"/>
      <c r="K9" s="229"/>
      <c r="L9" s="229"/>
      <c r="M9" s="229"/>
      <c r="N9" s="229"/>
      <c r="O9" s="229"/>
    </row>
    <row r="10" spans="1:15" outlineLevel="1">
      <c r="B10" s="423"/>
      <c r="C10" s="424"/>
      <c r="D10" s="425"/>
      <c r="E10" s="424"/>
      <c r="F10" s="424"/>
      <c r="G10" s="424"/>
      <c r="H10" s="229"/>
      <c r="I10" s="229"/>
      <c r="J10" s="229"/>
      <c r="K10" s="229"/>
      <c r="L10" s="229"/>
      <c r="M10" s="229"/>
      <c r="N10" s="229"/>
      <c r="O10" s="229"/>
    </row>
    <row r="11" spans="1:15" outlineLevel="1">
      <c r="B11" s="423"/>
      <c r="C11" s="424"/>
      <c r="D11" s="425"/>
      <c r="E11" s="424"/>
      <c r="F11" s="424"/>
      <c r="G11" s="424"/>
      <c r="H11" s="229"/>
      <c r="I11" s="229"/>
      <c r="J11" s="229"/>
      <c r="K11" s="229"/>
      <c r="L11" s="229"/>
      <c r="M11" s="229"/>
      <c r="N11" s="229"/>
      <c r="O11" s="229"/>
    </row>
    <row r="12" spans="1:15" outlineLevel="1">
      <c r="B12" s="273"/>
      <c r="C12" s="273"/>
      <c r="D12" s="273"/>
      <c r="E12" s="273"/>
      <c r="F12" s="273"/>
      <c r="G12" s="273"/>
      <c r="H12" s="231"/>
      <c r="I12" s="231"/>
      <c r="J12" s="231"/>
      <c r="K12" s="231"/>
      <c r="L12" s="231"/>
      <c r="M12" s="231"/>
      <c r="N12" s="231"/>
      <c r="O12" s="231"/>
    </row>
    <row r="13" spans="1:15" customFormat="1" outlineLevel="1"/>
    <row r="14" spans="1:15">
      <c r="A14" s="238" t="s">
        <v>313</v>
      </c>
      <c r="B14" s="273"/>
      <c r="C14" s="293"/>
      <c r="D14" s="293"/>
      <c r="E14" s="293"/>
      <c r="F14" s="293"/>
      <c r="G14" s="293"/>
      <c r="H14" s="293"/>
      <c r="I14" s="293"/>
    </row>
    <row r="15" spans="1:15" outlineLevel="1">
      <c r="A15" s="294"/>
      <c r="B15" s="273"/>
      <c r="C15" s="293"/>
      <c r="D15" s="293"/>
      <c r="E15" s="293"/>
      <c r="F15" s="293"/>
      <c r="G15" s="293"/>
      <c r="H15" s="293"/>
      <c r="I15" s="293"/>
      <c r="J15" s="293"/>
    </row>
    <row r="16" spans="1:15" outlineLevel="1">
      <c r="A16" s="273"/>
      <c r="B16" s="273"/>
      <c r="C16" s="293"/>
      <c r="D16" s="293"/>
      <c r="E16" s="293"/>
      <c r="F16" s="293"/>
      <c r="G16" s="293"/>
      <c r="H16" s="293"/>
      <c r="I16" s="293"/>
      <c r="J16" s="293"/>
    </row>
    <row r="17" spans="1:129">
      <c r="A17" s="193" t="s">
        <v>314</v>
      </c>
    </row>
    <row r="18" spans="1:129" ht="31.5" customHeight="1" outlineLevel="1">
      <c r="A18" s="540"/>
      <c r="B18" s="540"/>
      <c r="C18" s="540"/>
      <c r="D18" s="540"/>
      <c r="E18" s="540"/>
      <c r="F18" s="540"/>
      <c r="G18" s="540"/>
    </row>
    <row r="19" spans="1:129" outlineLevel="1">
      <c r="A19" s="295"/>
    </row>
    <row r="20" spans="1:129">
      <c r="A20" s="193" t="s">
        <v>315</v>
      </c>
      <c r="D20" s="289"/>
      <c r="E20" s="289"/>
      <c r="F20" s="289"/>
      <c r="G20" s="289"/>
      <c r="H20" s="289"/>
      <c r="I20" s="289"/>
    </row>
    <row r="21" spans="1:129" outlineLevel="1">
      <c r="A21" s="295"/>
    </row>
    <row r="22" spans="1:129" outlineLevel="1">
      <c r="A22" s="295"/>
    </row>
    <row r="23" spans="1:129" outlineLevel="1">
      <c r="A23" s="295"/>
    </row>
    <row r="24" spans="1:129" outlineLevel="1">
      <c r="A24" s="295"/>
      <c r="B24" s="273"/>
      <c r="C24" s="296"/>
      <c r="D24" s="296"/>
      <c r="E24" s="297"/>
      <c r="F24" s="296"/>
      <c r="G24" s="297"/>
    </row>
    <row r="25" spans="1:129">
      <c r="A25" s="193" t="s">
        <v>316</v>
      </c>
    </row>
    <row r="26" spans="1:129" outlineLevel="2">
      <c r="A26" s="193"/>
    </row>
    <row r="27" spans="1:129" outlineLevel="2">
      <c r="B27" s="284" t="s">
        <v>317</v>
      </c>
      <c r="C27" s="284" t="s">
        <v>1</v>
      </c>
      <c r="D27" s="284" t="s">
        <v>2</v>
      </c>
      <c r="E27" s="284" t="s">
        <v>3</v>
      </c>
      <c r="F27" s="284" t="s">
        <v>4</v>
      </c>
      <c r="G27" s="284" t="s">
        <v>5</v>
      </c>
      <c r="H27" s="284" t="s">
        <v>6</v>
      </c>
      <c r="I27" s="284" t="s">
        <v>7</v>
      </c>
      <c r="J27" s="284" t="s">
        <v>8</v>
      </c>
      <c r="K27" s="284" t="s">
        <v>9</v>
      </c>
      <c r="L27" s="284" t="s">
        <v>10</v>
      </c>
      <c r="M27" s="284" t="s">
        <v>11</v>
      </c>
      <c r="N27" s="284" t="s">
        <v>12</v>
      </c>
      <c r="O27" s="284" t="s">
        <v>13</v>
      </c>
      <c r="P27" s="284" t="s">
        <v>14</v>
      </c>
      <c r="Q27" s="284" t="s">
        <v>15</v>
      </c>
      <c r="R27" s="284" t="s">
        <v>16</v>
      </c>
      <c r="S27" s="284" t="s">
        <v>17</v>
      </c>
      <c r="T27" s="284" t="s">
        <v>18</v>
      </c>
      <c r="U27" s="284" t="s">
        <v>19</v>
      </c>
      <c r="V27" s="284" t="s">
        <v>20</v>
      </c>
      <c r="W27" s="284" t="s">
        <v>21</v>
      </c>
      <c r="X27" s="284" t="s">
        <v>22</v>
      </c>
      <c r="Y27" s="284" t="s">
        <v>23</v>
      </c>
      <c r="Z27" s="284" t="s">
        <v>24</v>
      </c>
      <c r="AA27" s="284" t="s">
        <v>25</v>
      </c>
      <c r="AB27" s="284" t="s">
        <v>26</v>
      </c>
      <c r="AC27" s="284" t="s">
        <v>27</v>
      </c>
      <c r="AD27" s="284" t="s">
        <v>28</v>
      </c>
      <c r="AE27" s="284" t="s">
        <v>29</v>
      </c>
      <c r="AF27" s="284" t="s">
        <v>30</v>
      </c>
      <c r="AG27" s="284" t="s">
        <v>31</v>
      </c>
      <c r="AH27" s="284" t="s">
        <v>32</v>
      </c>
      <c r="AI27" s="284" t="s">
        <v>33</v>
      </c>
      <c r="AJ27" s="284" t="s">
        <v>34</v>
      </c>
      <c r="AK27" s="284" t="s">
        <v>35</v>
      </c>
      <c r="AL27" s="284" t="s">
        <v>36</v>
      </c>
      <c r="AM27" s="284" t="s">
        <v>37</v>
      </c>
      <c r="AN27" s="284" t="s">
        <v>38</v>
      </c>
      <c r="AO27" s="284" t="s">
        <v>39</v>
      </c>
      <c r="AP27" s="284" t="s">
        <v>40</v>
      </c>
      <c r="AQ27" s="284" t="s">
        <v>41</v>
      </c>
      <c r="AR27" s="284" t="s">
        <v>42</v>
      </c>
      <c r="AS27" s="284" t="s">
        <v>43</v>
      </c>
      <c r="AT27" s="284" t="s">
        <v>44</v>
      </c>
      <c r="AU27" s="284" t="s">
        <v>45</v>
      </c>
      <c r="AV27" s="284" t="s">
        <v>46</v>
      </c>
      <c r="AW27" s="284" t="s">
        <v>47</v>
      </c>
      <c r="AX27" s="284" t="s">
        <v>48</v>
      </c>
      <c r="AY27" s="284" t="s">
        <v>49</v>
      </c>
      <c r="AZ27" s="284" t="s">
        <v>50</v>
      </c>
      <c r="BA27" s="284" t="s">
        <v>51</v>
      </c>
      <c r="BB27" s="284" t="s">
        <v>52</v>
      </c>
      <c r="BC27" s="284" t="s">
        <v>53</v>
      </c>
      <c r="BD27" s="284" t="s">
        <v>54</v>
      </c>
      <c r="BE27" s="284" t="s">
        <v>55</v>
      </c>
      <c r="BF27" s="284" t="s">
        <v>56</v>
      </c>
      <c r="BG27" s="284" t="s">
        <v>57</v>
      </c>
      <c r="BH27" s="284" t="s">
        <v>58</v>
      </c>
      <c r="BI27" s="284" t="s">
        <v>59</v>
      </c>
      <c r="BJ27" s="284" t="s">
        <v>60</v>
      </c>
      <c r="BK27" s="284" t="s">
        <v>61</v>
      </c>
      <c r="BL27" s="284" t="s">
        <v>62</v>
      </c>
      <c r="BM27" s="284" t="s">
        <v>63</v>
      </c>
      <c r="BN27" s="284" t="s">
        <v>64</v>
      </c>
      <c r="BO27" s="284" t="s">
        <v>65</v>
      </c>
      <c r="BP27" s="284" t="s">
        <v>66</v>
      </c>
      <c r="BQ27" s="284" t="s">
        <v>67</v>
      </c>
      <c r="BR27" s="284" t="s">
        <v>68</v>
      </c>
      <c r="BS27" s="284" t="s">
        <v>69</v>
      </c>
    </row>
    <row r="28" spans="1:129" outlineLevel="2">
      <c r="B28" s="298"/>
      <c r="C28" s="299"/>
      <c r="D28" s="299"/>
      <c r="E28" s="299"/>
      <c r="F28" s="299"/>
      <c r="G28" s="299"/>
      <c r="H28" s="299"/>
      <c r="I28" s="299"/>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299"/>
      <c r="BL28" s="299"/>
      <c r="BM28" s="299"/>
      <c r="BN28" s="299"/>
      <c r="BO28" s="299"/>
      <c r="BP28" s="299"/>
      <c r="BQ28" s="299"/>
      <c r="BR28" s="299"/>
      <c r="BS28" s="299"/>
    </row>
    <row r="29" spans="1:129" outlineLevel="2">
      <c r="A29" s="295"/>
      <c r="B29" s="295"/>
    </row>
    <row r="30" spans="1:129" outlineLevel="2">
      <c r="B30" s="284" t="s">
        <v>318</v>
      </c>
      <c r="C30" s="284" t="s">
        <v>1</v>
      </c>
      <c r="D30" s="284" t="s">
        <v>2</v>
      </c>
      <c r="E30" s="284" t="s">
        <v>3</v>
      </c>
      <c r="F30" s="284" t="s">
        <v>4</v>
      </c>
      <c r="G30" s="284" t="s">
        <v>5</v>
      </c>
      <c r="H30" s="284" t="s">
        <v>6</v>
      </c>
      <c r="I30" s="284" t="s">
        <v>7</v>
      </c>
      <c r="J30" s="284" t="s">
        <v>8</v>
      </c>
      <c r="K30" s="284" t="s">
        <v>9</v>
      </c>
      <c r="L30" s="284" t="s">
        <v>10</v>
      </c>
      <c r="M30" s="284" t="s">
        <v>11</v>
      </c>
      <c r="N30" s="284" t="s">
        <v>12</v>
      </c>
      <c r="O30" s="284" t="s">
        <v>13</v>
      </c>
      <c r="P30" s="284" t="s">
        <v>14</v>
      </c>
      <c r="Q30" s="284" t="s">
        <v>15</v>
      </c>
      <c r="R30" s="284" t="s">
        <v>16</v>
      </c>
      <c r="S30" s="284" t="s">
        <v>17</v>
      </c>
      <c r="T30" s="284" t="s">
        <v>18</v>
      </c>
      <c r="U30" s="284" t="s">
        <v>19</v>
      </c>
      <c r="V30" s="284" t="s">
        <v>20</v>
      </c>
      <c r="W30" s="284" t="s">
        <v>21</v>
      </c>
      <c r="X30" s="284" t="s">
        <v>22</v>
      </c>
      <c r="Y30" s="284" t="s">
        <v>23</v>
      </c>
      <c r="Z30" s="284" t="s">
        <v>24</v>
      </c>
      <c r="AA30" s="284" t="s">
        <v>25</v>
      </c>
      <c r="AB30" s="284" t="s">
        <v>26</v>
      </c>
      <c r="AC30" s="284" t="s">
        <v>27</v>
      </c>
      <c r="AD30" s="284" t="s">
        <v>28</v>
      </c>
      <c r="AE30" s="284" t="s">
        <v>29</v>
      </c>
      <c r="AF30" s="284" t="s">
        <v>30</v>
      </c>
      <c r="AG30" s="284" t="s">
        <v>31</v>
      </c>
      <c r="AH30" s="284" t="s">
        <v>32</v>
      </c>
      <c r="AI30" s="284" t="s">
        <v>33</v>
      </c>
      <c r="AJ30" s="284" t="s">
        <v>34</v>
      </c>
      <c r="AK30" s="284" t="s">
        <v>35</v>
      </c>
      <c r="AL30" s="284" t="s">
        <v>36</v>
      </c>
      <c r="AM30" s="284" t="s">
        <v>37</v>
      </c>
      <c r="AN30" s="284" t="s">
        <v>38</v>
      </c>
      <c r="AO30" s="284" t="s">
        <v>39</v>
      </c>
      <c r="AP30" s="284" t="s">
        <v>40</v>
      </c>
      <c r="AQ30" s="284" t="s">
        <v>41</v>
      </c>
      <c r="AR30" s="284" t="s">
        <v>42</v>
      </c>
      <c r="AS30" s="284" t="s">
        <v>43</v>
      </c>
      <c r="AT30" s="284" t="s">
        <v>44</v>
      </c>
      <c r="AU30" s="284" t="s">
        <v>45</v>
      </c>
      <c r="AV30" s="284" t="s">
        <v>46</v>
      </c>
      <c r="AW30" s="284" t="s">
        <v>47</v>
      </c>
      <c r="AX30" s="284" t="s">
        <v>48</v>
      </c>
      <c r="AY30" s="284" t="s">
        <v>49</v>
      </c>
      <c r="AZ30" s="284" t="s">
        <v>50</v>
      </c>
      <c r="BA30" s="284" t="s">
        <v>51</v>
      </c>
      <c r="BB30" s="284" t="s">
        <v>52</v>
      </c>
      <c r="BC30" s="284" t="s">
        <v>53</v>
      </c>
      <c r="BD30" s="284" t="s">
        <v>54</v>
      </c>
      <c r="BE30" s="284" t="s">
        <v>55</v>
      </c>
      <c r="BF30" s="284" t="s">
        <v>56</v>
      </c>
      <c r="BG30" s="284" t="s">
        <v>57</v>
      </c>
      <c r="BH30" s="284" t="s">
        <v>58</v>
      </c>
      <c r="BI30" s="284" t="s">
        <v>59</v>
      </c>
      <c r="BJ30" s="284" t="s">
        <v>60</v>
      </c>
      <c r="BK30" s="284" t="s">
        <v>61</v>
      </c>
      <c r="BL30" s="284" t="s">
        <v>62</v>
      </c>
      <c r="BM30" s="284" t="s">
        <v>63</v>
      </c>
      <c r="BN30" s="284" t="s">
        <v>64</v>
      </c>
      <c r="BO30" s="284" t="s">
        <v>65</v>
      </c>
      <c r="BP30" s="284" t="s">
        <v>66</v>
      </c>
      <c r="BQ30" s="284" t="s">
        <v>67</v>
      </c>
      <c r="BR30" s="284" t="s">
        <v>68</v>
      </c>
      <c r="BS30" s="284" t="s">
        <v>69</v>
      </c>
    </row>
    <row r="31" spans="1:129" outlineLevel="2">
      <c r="B31" s="298"/>
      <c r="C31" s="299"/>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299"/>
      <c r="BL31" s="299"/>
      <c r="BM31" s="299"/>
      <c r="BN31" s="299"/>
      <c r="BO31" s="299"/>
      <c r="BP31" s="299"/>
      <c r="BQ31" s="299"/>
      <c r="BR31" s="299"/>
      <c r="BS31" s="299"/>
    </row>
    <row r="32" spans="1:129" outlineLevel="2">
      <c r="B32" s="297"/>
      <c r="C32" s="300"/>
      <c r="D32" s="300"/>
      <c r="E32" s="300"/>
      <c r="F32" s="300"/>
      <c r="G32" s="300"/>
      <c r="H32" s="300"/>
      <c r="I32" s="300"/>
      <c r="J32" s="300"/>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c r="BD32" s="300"/>
      <c r="BE32" s="300"/>
      <c r="BF32" s="300"/>
      <c r="BG32" s="300"/>
      <c r="BH32" s="300"/>
      <c r="BI32" s="300"/>
      <c r="BJ32" s="300"/>
      <c r="BK32" s="300"/>
      <c r="BL32" s="300"/>
      <c r="BM32" s="300"/>
      <c r="BN32" s="300"/>
      <c r="BO32" s="300"/>
      <c r="BP32" s="300"/>
      <c r="BQ32" s="300"/>
      <c r="BR32" s="300"/>
      <c r="BS32" s="300"/>
      <c r="CU32" s="300"/>
      <c r="CV32" s="300"/>
      <c r="CW32" s="300"/>
      <c r="CX32" s="300"/>
      <c r="CY32" s="300"/>
      <c r="CZ32" s="300"/>
      <c r="DA32" s="300"/>
      <c r="DB32" s="300"/>
      <c r="DC32" s="300"/>
      <c r="DD32" s="300"/>
      <c r="DE32" s="300"/>
      <c r="DF32" s="300"/>
      <c r="DG32" s="300"/>
      <c r="DH32" s="300"/>
      <c r="DI32" s="300"/>
      <c r="DJ32" s="300"/>
      <c r="DK32" s="300"/>
      <c r="DL32" s="300"/>
      <c r="DM32" s="300"/>
      <c r="DN32" s="300"/>
      <c r="DO32" s="300"/>
      <c r="DP32" s="300"/>
      <c r="DQ32" s="300"/>
      <c r="DR32" s="300"/>
      <c r="DS32" s="300"/>
      <c r="DT32" s="300"/>
      <c r="DU32" s="300"/>
      <c r="DV32" s="300"/>
      <c r="DW32" s="300"/>
      <c r="DX32" s="300"/>
      <c r="DY32" s="300"/>
    </row>
    <row r="33" spans="1:1">
      <c r="A33" s="193" t="s">
        <v>319</v>
      </c>
    </row>
    <row r="34" spans="1:1" outlineLevel="1">
      <c r="A34" s="295" t="s">
        <v>499</v>
      </c>
    </row>
    <row r="35" spans="1:1" outlineLevel="2">
      <c r="A35" s="295"/>
    </row>
    <row r="36" spans="1:1" outlineLevel="2">
      <c r="A36" s="295"/>
    </row>
    <row r="37" spans="1:1" outlineLevel="2">
      <c r="A37" s="295"/>
    </row>
    <row r="38" spans="1:1" outlineLevel="2">
      <c r="A38" s="295"/>
    </row>
    <row r="39" spans="1:1" outlineLevel="2">
      <c r="A39" s="295"/>
    </row>
    <row r="40" spans="1:1" outlineLevel="2">
      <c r="A40" s="295"/>
    </row>
    <row r="41" spans="1:1" outlineLevel="1">
      <c r="A41" s="295" t="s">
        <v>500</v>
      </c>
    </row>
    <row r="42" spans="1:1" outlineLevel="2">
      <c r="A42" s="295"/>
    </row>
    <row r="43" spans="1:1" outlineLevel="2">
      <c r="A43" s="295"/>
    </row>
    <row r="44" spans="1:1" outlineLevel="2">
      <c r="A44" s="295"/>
    </row>
    <row r="45" spans="1:1" outlineLevel="2">
      <c r="A45" s="295"/>
    </row>
    <row r="46" spans="1:1" outlineLevel="2">
      <c r="A46" s="295"/>
    </row>
    <row r="47" spans="1:1" outlineLevel="2">
      <c r="A47" s="295"/>
    </row>
    <row r="48" spans="1:1" customFormat="1" outlineLevel="1"/>
    <row r="49" spans="1:19">
      <c r="A49" s="193" t="s">
        <v>507</v>
      </c>
    </row>
    <row r="50" spans="1:19" outlineLevel="1">
      <c r="A50" s="193"/>
    </row>
    <row r="51" spans="1:19" outlineLevel="1">
      <c r="A51" s="193"/>
    </row>
    <row r="52" spans="1:19" outlineLevel="1">
      <c r="A52" s="193"/>
    </row>
    <row r="53" spans="1:19" outlineLevel="1">
      <c r="A53" s="193"/>
    </row>
    <row r="54" spans="1:19" outlineLevel="1">
      <c r="A54" s="193"/>
    </row>
    <row r="55" spans="1:19" outlineLevel="1">
      <c r="A55" s="193"/>
    </row>
    <row r="56" spans="1:19" outlineLevel="1">
      <c r="A56" s="193"/>
    </row>
    <row r="57" spans="1:19" outlineLevel="1">
      <c r="A57" s="193"/>
    </row>
    <row r="58" spans="1:19" outlineLevel="1" collapsed="1">
      <c r="A58" s="193"/>
      <c r="B58" s="193"/>
      <c r="C58" s="193"/>
      <c r="D58" s="193"/>
      <c r="E58" s="193"/>
      <c r="F58" s="193"/>
      <c r="G58" s="193"/>
      <c r="H58" s="193"/>
      <c r="I58" s="193"/>
      <c r="J58" s="193"/>
      <c r="K58" s="193"/>
      <c r="L58" s="193"/>
      <c r="M58" s="193"/>
      <c r="N58" s="193"/>
      <c r="O58" s="193"/>
      <c r="P58" s="193"/>
      <c r="Q58" s="193"/>
      <c r="R58" s="193"/>
      <c r="S58" s="193"/>
    </row>
    <row r="59" spans="1:19" outlineLevel="1">
      <c r="A59" s="193"/>
      <c r="B59" s="193"/>
      <c r="C59" s="193"/>
      <c r="D59" s="193"/>
      <c r="E59" s="193"/>
      <c r="F59" s="193"/>
      <c r="G59" s="193"/>
      <c r="H59" s="193"/>
      <c r="I59" s="193"/>
      <c r="J59" s="193"/>
      <c r="K59" s="193"/>
      <c r="L59" s="193"/>
      <c r="M59" s="193"/>
      <c r="N59" s="193"/>
      <c r="O59" s="193"/>
      <c r="P59" s="193"/>
      <c r="Q59" s="193"/>
      <c r="R59" s="193"/>
      <c r="S59" s="193"/>
    </row>
    <row r="60" spans="1:19" outlineLevel="1">
      <c r="A60" s="193"/>
      <c r="B60" s="193"/>
      <c r="C60" s="193"/>
      <c r="D60" s="193"/>
      <c r="E60" s="193"/>
      <c r="F60" s="193"/>
      <c r="G60" s="193"/>
      <c r="H60" s="193"/>
      <c r="I60" s="193"/>
      <c r="J60" s="193"/>
      <c r="K60" s="193"/>
      <c r="L60" s="193"/>
      <c r="M60" s="193"/>
      <c r="N60" s="193"/>
      <c r="O60" s="193"/>
      <c r="P60" s="193"/>
      <c r="Q60" s="193"/>
      <c r="R60" s="193"/>
      <c r="S60" s="193"/>
    </row>
    <row r="61" spans="1:19" outlineLevel="1">
      <c r="A61" s="193"/>
      <c r="B61" s="193"/>
      <c r="C61" s="193"/>
      <c r="D61" s="193"/>
      <c r="E61" s="193"/>
      <c r="F61" s="193"/>
      <c r="G61" s="193"/>
      <c r="H61" s="193"/>
      <c r="I61" s="193"/>
      <c r="J61" s="193"/>
      <c r="K61" s="193"/>
      <c r="L61" s="193"/>
      <c r="M61" s="193"/>
      <c r="N61" s="193"/>
      <c r="O61" s="193"/>
      <c r="P61" s="193"/>
      <c r="Q61" s="193"/>
      <c r="R61" s="193"/>
      <c r="S61" s="193"/>
    </row>
    <row r="62" spans="1:19">
      <c r="A62" s="193" t="s">
        <v>320</v>
      </c>
    </row>
    <row r="63" spans="1:19" outlineLevel="1">
      <c r="A63" s="193"/>
      <c r="B63" s="193"/>
      <c r="C63" s="193"/>
      <c r="D63" s="193"/>
    </row>
    <row r="64" spans="1:19" ht="49.5" customHeight="1" outlineLevel="1">
      <c r="A64" s="193"/>
      <c r="B64" s="302" t="s">
        <v>179</v>
      </c>
      <c r="C64" s="302" t="s">
        <v>324</v>
      </c>
      <c r="D64" s="302" t="s">
        <v>326</v>
      </c>
      <c r="E64" s="302" t="s">
        <v>327</v>
      </c>
      <c r="F64" s="302" t="s">
        <v>329</v>
      </c>
      <c r="G64" s="302" t="s">
        <v>330</v>
      </c>
      <c r="H64" s="302" t="s">
        <v>333</v>
      </c>
      <c r="I64" s="302" t="s">
        <v>496</v>
      </c>
      <c r="J64" s="302" t="s">
        <v>335</v>
      </c>
      <c r="K64" s="422" t="s">
        <v>508</v>
      </c>
      <c r="L64" s="422" t="s">
        <v>509</v>
      </c>
      <c r="M64" s="541" t="s">
        <v>514</v>
      </c>
      <c r="N64" s="541"/>
      <c r="O64" s="541"/>
    </row>
    <row r="65" spans="1:15" ht="56.25" customHeight="1" outlineLevel="1">
      <c r="A65" s="193"/>
      <c r="B65" s="306"/>
      <c r="C65" s="308"/>
      <c r="D65" s="306"/>
      <c r="E65" s="307"/>
      <c r="F65" s="309"/>
      <c r="G65" s="309"/>
      <c r="H65" s="309"/>
      <c r="I65" s="303"/>
      <c r="J65" s="310"/>
      <c r="K65" s="322"/>
      <c r="L65" s="322"/>
      <c r="M65" s="539" t="s">
        <v>515</v>
      </c>
      <c r="N65" s="539"/>
      <c r="O65" s="539"/>
    </row>
    <row r="66" spans="1:15" outlineLevel="1">
      <c r="A66" s="193"/>
      <c r="B66" s="306"/>
      <c r="C66" s="308"/>
      <c r="D66" s="306"/>
      <c r="E66" s="307"/>
      <c r="F66" s="309"/>
      <c r="G66" s="309"/>
      <c r="H66" s="309"/>
      <c r="I66" s="303"/>
      <c r="J66" s="310"/>
      <c r="K66" s="322"/>
      <c r="L66" s="322"/>
      <c r="M66" s="539"/>
      <c r="N66" s="539"/>
      <c r="O66" s="539"/>
    </row>
    <row r="67" spans="1:15" outlineLevel="1">
      <c r="A67" s="193"/>
      <c r="B67" s="306"/>
      <c r="C67" s="308"/>
      <c r="D67" s="306"/>
      <c r="E67" s="307"/>
      <c r="F67" s="309"/>
      <c r="G67" s="309"/>
      <c r="H67" s="311"/>
      <c r="I67" s="311"/>
      <c r="J67" s="310"/>
      <c r="K67" s="322"/>
      <c r="L67" s="322"/>
      <c r="M67" s="539"/>
      <c r="N67" s="539"/>
      <c r="O67" s="539"/>
    </row>
    <row r="68" spans="1:15" outlineLevel="1">
      <c r="A68" s="193"/>
      <c r="B68" s="306"/>
      <c r="C68" s="308"/>
      <c r="D68" s="306"/>
      <c r="E68" s="307"/>
      <c r="F68" s="309"/>
      <c r="G68" s="309"/>
      <c r="H68" s="309"/>
      <c r="I68" s="303"/>
      <c r="J68" s="310"/>
      <c r="K68" s="322"/>
      <c r="L68" s="322"/>
      <c r="M68" s="539"/>
      <c r="N68" s="539"/>
      <c r="O68" s="539"/>
    </row>
    <row r="69" spans="1:15" outlineLevel="1">
      <c r="A69" s="193"/>
      <c r="B69" s="306"/>
      <c r="C69" s="308"/>
      <c r="D69" s="306"/>
      <c r="E69" s="307"/>
      <c r="F69" s="309"/>
      <c r="G69" s="309"/>
      <c r="H69" s="309"/>
      <c r="I69" s="303"/>
      <c r="J69" s="310"/>
      <c r="K69" s="322"/>
      <c r="L69" s="322"/>
      <c r="M69" s="539"/>
      <c r="N69" s="539"/>
      <c r="O69" s="539"/>
    </row>
    <row r="70" spans="1:15" outlineLevel="1">
      <c r="A70" s="193"/>
      <c r="B70" s="306"/>
      <c r="C70" s="308"/>
      <c r="D70" s="306"/>
      <c r="E70" s="307"/>
      <c r="F70" s="309"/>
      <c r="G70" s="309"/>
      <c r="H70" s="309"/>
      <c r="I70" s="303"/>
      <c r="J70" s="310"/>
      <c r="K70" s="322"/>
      <c r="L70" s="322"/>
      <c r="M70" s="539"/>
      <c r="N70" s="539"/>
      <c r="O70" s="539"/>
    </row>
    <row r="71" spans="1:15" outlineLevel="1">
      <c r="A71" s="193"/>
      <c r="B71" s="306"/>
      <c r="C71" s="312"/>
      <c r="D71" s="306"/>
      <c r="E71" s="307"/>
      <c r="F71" s="309"/>
      <c r="G71" s="309"/>
      <c r="H71" s="309"/>
      <c r="I71" s="313"/>
      <c r="J71" s="310"/>
      <c r="K71" s="322"/>
      <c r="L71" s="322"/>
      <c r="M71" s="539"/>
      <c r="N71" s="539"/>
      <c r="O71" s="539"/>
    </row>
    <row r="72" spans="1:15" outlineLevel="1">
      <c r="A72" s="193"/>
      <c r="B72" s="306"/>
      <c r="C72" s="312"/>
      <c r="D72" s="306"/>
      <c r="E72" s="307"/>
      <c r="F72" s="309"/>
      <c r="G72" s="309"/>
      <c r="H72" s="309"/>
      <c r="I72" s="313"/>
      <c r="J72" s="310"/>
      <c r="K72" s="322"/>
      <c r="L72" s="322"/>
      <c r="M72" s="539"/>
      <c r="N72" s="539"/>
      <c r="O72" s="539"/>
    </row>
    <row r="73" spans="1:15" outlineLevel="1">
      <c r="A73" s="193"/>
      <c r="B73" s="306"/>
      <c r="C73" s="312"/>
      <c r="D73" s="306"/>
      <c r="E73" s="307"/>
      <c r="F73" s="309"/>
      <c r="G73" s="309"/>
      <c r="H73" s="309"/>
      <c r="I73" s="313"/>
      <c r="J73" s="310"/>
      <c r="K73" s="322"/>
      <c r="L73" s="322"/>
      <c r="M73" s="539"/>
      <c r="N73" s="539"/>
      <c r="O73" s="539"/>
    </row>
    <row r="74" spans="1:15" outlineLevel="1">
      <c r="A74" s="193"/>
      <c r="B74" s="306"/>
      <c r="C74" s="314"/>
      <c r="D74" s="306"/>
      <c r="E74" s="307"/>
      <c r="F74" s="315"/>
      <c r="G74" s="315"/>
      <c r="H74" s="316"/>
      <c r="I74" s="317"/>
      <c r="J74" s="310"/>
      <c r="K74" s="323"/>
      <c r="L74" s="323"/>
      <c r="M74" s="539"/>
      <c r="N74" s="539"/>
      <c r="O74" s="539"/>
    </row>
    <row r="75" spans="1:15" ht="15" customHeight="1" outlineLevel="1">
      <c r="N75" s="318"/>
    </row>
    <row r="76" spans="1:15">
      <c r="A76" s="193" t="s">
        <v>321</v>
      </c>
      <c r="G76" s="304"/>
    </row>
    <row r="77" spans="1:15" outlineLevel="1">
      <c r="A77" s="295" t="s">
        <v>497</v>
      </c>
    </row>
    <row r="78" spans="1:15" outlineLevel="2"/>
    <row r="79" spans="1:15" outlineLevel="2"/>
    <row r="80" spans="1:15" outlineLevel="2"/>
    <row r="81" spans="1:1" outlineLevel="2"/>
    <row r="82" spans="1:1" outlineLevel="2"/>
    <row r="83" spans="1:1" outlineLevel="1">
      <c r="A83" s="295" t="s">
        <v>498</v>
      </c>
    </row>
    <row r="84" spans="1:1" outlineLevel="2"/>
    <row r="85" spans="1:1" outlineLevel="2"/>
    <row r="86" spans="1:1" outlineLevel="2"/>
    <row r="87" spans="1:1" outlineLevel="2"/>
    <row r="88" spans="1:1" outlineLevel="2"/>
    <row r="89" spans="1:1" outlineLevel="1"/>
  </sheetData>
  <mergeCells count="12">
    <mergeCell ref="M74:O74"/>
    <mergeCell ref="A18:G18"/>
    <mergeCell ref="M64:O64"/>
    <mergeCell ref="M65:O65"/>
    <mergeCell ref="M66:O66"/>
    <mergeCell ref="M67:O67"/>
    <mergeCell ref="M68:O68"/>
    <mergeCell ref="M69:O69"/>
    <mergeCell ref="M70:O70"/>
    <mergeCell ref="M71:O71"/>
    <mergeCell ref="M72:O72"/>
    <mergeCell ref="M73:O73"/>
  </mergeCells>
  <dataValidations count="5">
    <dataValidation type="list" showInputMessage="1" showErrorMessage="1" sqref="G6:G11">
      <formula1>list_PMO</formula1>
    </dataValidation>
    <dataValidation type="list" showInputMessage="1" showErrorMessage="1" sqref="D6:D11">
      <formula1>list_Service</formula1>
    </dataValidation>
    <dataValidation type="list" showInputMessage="1" showErrorMessage="1" sqref="C6:C11">
      <formula1>list_Phase</formula1>
    </dataValidation>
    <dataValidation type="list" showInputMessage="1" showErrorMessage="1" sqref="E6:E11">
      <formula1>list_APPN</formula1>
    </dataValidation>
    <dataValidation type="list" showInputMessage="1" showErrorMessage="1" sqref="F6:F11">
      <formula1>#REF!</formula1>
    </dataValidation>
  </dataValidations>
  <hyperlinks>
    <hyperlink ref="A1" location="'TOC'!A1" display="TOC"/>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outlinePr summaryBelow="0" summaryRight="0"/>
  </sheetPr>
  <dimension ref="A1:Z129"/>
  <sheetViews>
    <sheetView showGridLines="0" zoomScale="70" zoomScaleNormal="70" zoomScaleSheetLayoutView="85" workbookViewId="0">
      <selection activeCell="B28" sqref="B28:C29"/>
    </sheetView>
  </sheetViews>
  <sheetFormatPr defaultColWidth="8" defaultRowHeight="15.5" outlineLevelRow="1"/>
  <cols>
    <col min="1" max="1" width="5" customWidth="1"/>
    <col min="2" max="2" width="11.25" style="1" customWidth="1"/>
    <col min="3" max="3" width="8.75" style="1" customWidth="1"/>
    <col min="4" max="4" width="17.08203125" style="1" customWidth="1"/>
    <col min="5" max="5" width="24.25" style="1" bestFit="1" customWidth="1"/>
    <col min="6" max="6" width="15" style="1" customWidth="1"/>
    <col min="7" max="7" width="25" style="1" customWidth="1"/>
    <col min="8" max="8" width="16.75" style="1" customWidth="1"/>
    <col min="9" max="9" width="9.33203125" style="1" customWidth="1"/>
    <col min="10" max="13" width="9" style="1" customWidth="1"/>
    <col min="14" max="14" width="10.83203125" style="1" customWidth="1"/>
    <col min="15" max="17" width="9" style="1" customWidth="1"/>
    <col min="18" max="18" width="60.75" style="1" customWidth="1"/>
    <col min="19" max="19" width="8.75" style="1" customWidth="1"/>
    <col min="20" max="20" width="53.33203125" style="1" customWidth="1"/>
    <col min="21" max="16384" width="8" style="1"/>
  </cols>
  <sheetData>
    <row r="1" spans="1:10">
      <c r="A1" s="354" t="s">
        <v>467</v>
      </c>
    </row>
    <row r="3" spans="1:10" ht="16" thickBot="1">
      <c r="A3" s="193" t="s">
        <v>516</v>
      </c>
      <c r="B3" s="194"/>
      <c r="C3" s="194"/>
      <c r="D3" s="194"/>
      <c r="E3" s="194"/>
      <c r="F3" s="194"/>
      <c r="G3" s="194"/>
      <c r="H3" s="194"/>
      <c r="I3" s="281"/>
      <c r="J3" s="281"/>
    </row>
    <row r="4" spans="1:10" ht="30.5" outlineLevel="1" thickBot="1">
      <c r="A4" s="194"/>
      <c r="B4" s="194"/>
      <c r="C4" s="194"/>
      <c r="D4" s="332" t="s">
        <v>312</v>
      </c>
      <c r="E4" s="333" t="s">
        <v>517</v>
      </c>
      <c r="F4" s="332" t="s">
        <v>538</v>
      </c>
      <c r="G4" s="334"/>
      <c r="H4" s="332" t="s">
        <v>518</v>
      </c>
      <c r="I4" s="196" t="s">
        <v>519</v>
      </c>
    </row>
    <row r="5" spans="1:10" outlineLevel="1">
      <c r="A5" s="194"/>
      <c r="B5" s="194"/>
      <c r="C5" s="194"/>
      <c r="D5" s="335">
        <v>1</v>
      </c>
      <c r="E5" s="336" t="s">
        <v>520</v>
      </c>
      <c r="F5" s="339">
        <v>10000</v>
      </c>
      <c r="G5" s="337">
        <f ca="1">_xll.CB.GetRunPrefsFN(D5)</f>
        <v>10000</v>
      </c>
      <c r="H5" s="338">
        <v>10000</v>
      </c>
      <c r="I5" s="196"/>
    </row>
    <row r="6" spans="1:10" outlineLevel="1">
      <c r="A6" s="194"/>
      <c r="B6" s="194"/>
      <c r="C6" s="194"/>
      <c r="D6" s="340">
        <v>2</v>
      </c>
      <c r="E6" s="321" t="s">
        <v>521</v>
      </c>
      <c r="F6" s="343" t="b">
        <v>1</v>
      </c>
      <c r="G6" s="341" t="b">
        <f ca="1">_xll.CB.GetRunPrefsFN(D6)</f>
        <v>1</v>
      </c>
      <c r="H6" s="342" t="b">
        <v>1</v>
      </c>
      <c r="I6" s="196"/>
    </row>
    <row r="7" spans="1:10" outlineLevel="1">
      <c r="A7" s="194"/>
      <c r="B7" s="194"/>
      <c r="C7" s="194"/>
      <c r="D7" s="340">
        <v>4</v>
      </c>
      <c r="E7" s="321" t="s">
        <v>522</v>
      </c>
      <c r="F7" s="343" t="b">
        <v>1</v>
      </c>
      <c r="G7" s="341" t="b">
        <f ca="1">_xll.CB.GetRunPrefsFN(D7)</f>
        <v>0</v>
      </c>
      <c r="H7" s="342" t="b">
        <v>1</v>
      </c>
      <c r="I7" s="196"/>
    </row>
    <row r="8" spans="1:10" outlineLevel="1">
      <c r="A8" s="194"/>
      <c r="B8" s="194"/>
      <c r="C8" s="194"/>
      <c r="D8" s="340">
        <v>31</v>
      </c>
      <c r="E8" s="321" t="s">
        <v>523</v>
      </c>
      <c r="F8" s="343">
        <v>622277</v>
      </c>
      <c r="G8" s="341">
        <f ca="1">_xll.CB.GetRunPrefsFN(D8)</f>
        <v>999</v>
      </c>
      <c r="H8" s="342">
        <v>622277</v>
      </c>
      <c r="I8" s="196" t="s">
        <v>524</v>
      </c>
    </row>
    <row r="9" spans="1:10" outlineLevel="1">
      <c r="A9" s="194"/>
      <c r="B9" s="194"/>
      <c r="C9" s="194"/>
      <c r="D9" s="340">
        <v>7</v>
      </c>
      <c r="E9" s="321" t="s">
        <v>525</v>
      </c>
      <c r="F9" s="343" t="b">
        <v>1</v>
      </c>
      <c r="G9" s="341" t="b">
        <f ca="1">_xll.CB.GetRunPrefsFN(D9)</f>
        <v>0</v>
      </c>
      <c r="H9" s="342" t="b">
        <v>1</v>
      </c>
      <c r="I9" s="196"/>
    </row>
    <row r="10" spans="1:10" outlineLevel="1">
      <c r="A10" s="194"/>
      <c r="B10" s="194"/>
      <c r="C10" s="194"/>
      <c r="D10" s="340">
        <v>8</v>
      </c>
      <c r="E10" s="321" t="s">
        <v>526</v>
      </c>
      <c r="F10" s="343">
        <v>10000</v>
      </c>
      <c r="G10" s="341">
        <f ca="1">_xll.CB.GetRunPrefsFN(D10)</f>
        <v>500</v>
      </c>
      <c r="H10" s="342">
        <v>10000</v>
      </c>
      <c r="I10" s="196" t="s">
        <v>527</v>
      </c>
    </row>
    <row r="11" spans="1:10" outlineLevel="1">
      <c r="A11" s="194"/>
      <c r="B11" s="194"/>
      <c r="C11" s="194"/>
      <c r="D11" s="340">
        <v>10</v>
      </c>
      <c r="E11" s="321" t="s">
        <v>528</v>
      </c>
      <c r="F11" s="343" t="b">
        <v>0</v>
      </c>
      <c r="G11" s="341" t="b">
        <f ca="1">_xll.CB.GetRunPrefsFN(D11)</f>
        <v>0</v>
      </c>
      <c r="H11" s="342" t="b">
        <v>0</v>
      </c>
      <c r="I11" s="281"/>
    </row>
    <row r="12" spans="1:10" outlineLevel="1">
      <c r="A12" s="194"/>
      <c r="B12" s="194"/>
      <c r="C12" s="194"/>
      <c r="D12" s="340">
        <v>26</v>
      </c>
      <c r="E12" s="321" t="s">
        <v>529</v>
      </c>
      <c r="F12" s="343" t="b">
        <v>1</v>
      </c>
      <c r="G12" s="341" t="b">
        <f ca="1">_xll.CB.GetRunPrefsFN(D12)</f>
        <v>0</v>
      </c>
      <c r="H12" s="342" t="b">
        <v>1</v>
      </c>
      <c r="I12" s="281"/>
    </row>
    <row r="13" spans="1:10" outlineLevel="1">
      <c r="A13" s="194"/>
      <c r="B13" s="194"/>
      <c r="C13" s="194"/>
      <c r="D13" s="340">
        <v>27</v>
      </c>
      <c r="E13" s="321" t="s">
        <v>530</v>
      </c>
      <c r="F13" s="343" t="b">
        <v>1</v>
      </c>
      <c r="G13" s="341" t="b">
        <f ca="1">_xll.CB.GetRunPrefsFN(D13)</f>
        <v>0</v>
      </c>
      <c r="H13" s="342" t="b">
        <v>1</v>
      </c>
      <c r="I13" s="281"/>
    </row>
    <row r="14" spans="1:10" outlineLevel="1">
      <c r="A14" s="194"/>
      <c r="B14" s="194"/>
      <c r="C14" s="194"/>
      <c r="D14" s="340">
        <v>28</v>
      </c>
      <c r="E14" s="321" t="s">
        <v>531</v>
      </c>
      <c r="F14" s="343" t="b">
        <v>1</v>
      </c>
      <c r="G14" s="341" t="b">
        <f ca="1">_xll.CB.GetRunPrefsFN(D14)</f>
        <v>0</v>
      </c>
      <c r="H14" s="342" t="b">
        <v>1</v>
      </c>
      <c r="I14" s="281"/>
    </row>
    <row r="15" spans="1:10" outlineLevel="1">
      <c r="A15" s="194"/>
      <c r="B15" s="194"/>
      <c r="C15" s="194"/>
      <c r="D15" s="340">
        <v>29</v>
      </c>
      <c r="E15" s="321" t="str">
        <f ca="1">CHOOSE(G15,"Extreme", "Normal", "Demo")&amp;" Speed Set"</f>
        <v>Extreme Speed Set</v>
      </c>
      <c r="F15" s="343">
        <v>2</v>
      </c>
      <c r="G15" s="341">
        <f ca="1">_xll.CB.GetRunPrefsFN(D15)</f>
        <v>1</v>
      </c>
      <c r="H15" s="342">
        <v>2</v>
      </c>
      <c r="I15" s="281"/>
    </row>
    <row r="16" spans="1:10" outlineLevel="1">
      <c r="A16" s="194"/>
      <c r="B16" s="194"/>
      <c r="C16" s="194"/>
      <c r="D16" s="340">
        <v>40</v>
      </c>
      <c r="E16" s="321" t="s">
        <v>532</v>
      </c>
      <c r="F16" s="343" t="b">
        <v>1</v>
      </c>
      <c r="G16" s="341" t="b">
        <f ca="1">_xll.CB.GetRunPrefsFN(D16)</f>
        <v>1</v>
      </c>
      <c r="H16" s="342" t="b">
        <v>0</v>
      </c>
      <c r="I16" s="281"/>
    </row>
    <row r="17" spans="1:26" outlineLevel="1">
      <c r="A17" s="194"/>
      <c r="B17" s="194"/>
      <c r="C17" s="194"/>
      <c r="D17" s="340">
        <v>46</v>
      </c>
      <c r="E17" s="321" t="s">
        <v>533</v>
      </c>
      <c r="F17" s="343">
        <v>95</v>
      </c>
      <c r="G17" s="341">
        <f ca="1">_xll.CB.GetRunPrefsFN(D17)</f>
        <v>95</v>
      </c>
      <c r="H17" s="342">
        <v>95</v>
      </c>
      <c r="I17" s="281"/>
    </row>
    <row r="18" spans="1:26" outlineLevel="1">
      <c r="A18" s="194"/>
      <c r="B18" s="194"/>
      <c r="C18" s="194"/>
      <c r="D18" s="340">
        <v>47</v>
      </c>
      <c r="E18" s="321" t="s">
        <v>534</v>
      </c>
      <c r="F18" s="343" t="b">
        <v>0</v>
      </c>
      <c r="G18" s="341" t="b">
        <f ca="1">_xll.CB.GetRunPrefsFN(D18)</f>
        <v>0</v>
      </c>
      <c r="H18" s="342" t="b">
        <v>0</v>
      </c>
      <c r="I18" s="281"/>
    </row>
    <row r="19" spans="1:26" outlineLevel="1">
      <c r="A19" s="194"/>
      <c r="B19" s="194"/>
      <c r="C19" s="194"/>
      <c r="D19" s="340">
        <v>48</v>
      </c>
      <c r="E19" s="321" t="str">
        <f ca="1">"Label Prob as: "&amp;IF(G19=FALSE, "xx%","Pxx")</f>
        <v>Label Prob as: xx%</v>
      </c>
      <c r="F19" s="343" t="b">
        <v>0</v>
      </c>
      <c r="G19" s="341" t="b">
        <f ca="1">_xll.CB.GetRunPrefsFN(D19)</f>
        <v>0</v>
      </c>
      <c r="H19" s="342" t="b">
        <v>0</v>
      </c>
      <c r="I19" s="281"/>
    </row>
    <row r="20" spans="1:26" outlineLevel="1">
      <c r="A20" s="194"/>
      <c r="B20" s="194"/>
      <c r="C20" s="194"/>
      <c r="D20" s="340">
        <v>49</v>
      </c>
      <c r="E20" s="321" t="s">
        <v>535</v>
      </c>
      <c r="F20" s="343" t="b">
        <v>1</v>
      </c>
      <c r="G20" s="341" t="b">
        <f ca="1">_xll.CB.GetRunPrefsFN(D20)</f>
        <v>1</v>
      </c>
      <c r="H20" s="342" t="b">
        <v>1</v>
      </c>
      <c r="I20" s="281"/>
    </row>
    <row r="21" spans="1:26" outlineLevel="1">
      <c r="A21" s="194"/>
      <c r="B21" s="194"/>
      <c r="C21" s="194"/>
      <c r="D21" s="340">
        <v>50</v>
      </c>
      <c r="E21" s="321" t="s">
        <v>536</v>
      </c>
      <c r="F21" s="343" t="b">
        <v>1</v>
      </c>
      <c r="G21" s="341" t="b">
        <f ca="1">_xll.CB.GetRunPrefsFN(D21)</f>
        <v>1</v>
      </c>
      <c r="H21" s="342" t="b">
        <v>1</v>
      </c>
      <c r="I21" s="281"/>
    </row>
    <row r="22" spans="1:26" ht="16" outlineLevel="1" thickBot="1">
      <c r="A22" s="194"/>
      <c r="B22" s="194"/>
      <c r="C22" s="194"/>
      <c r="D22" s="344">
        <v>51</v>
      </c>
      <c r="E22" s="345" t="s">
        <v>537</v>
      </c>
      <c r="F22" s="348" t="b">
        <v>1</v>
      </c>
      <c r="G22" s="346" t="b">
        <f ca="1">_xll.CB.GetRunPrefsFN(D22)</f>
        <v>1</v>
      </c>
      <c r="H22" s="347" t="b">
        <v>1</v>
      </c>
      <c r="I22" s="281"/>
    </row>
    <row r="23" spans="1:26" customFormat="1" outlineLevel="1"/>
    <row r="24" spans="1:26" customFormat="1">
      <c r="A24" s="193" t="s">
        <v>539</v>
      </c>
    </row>
    <row r="25" spans="1:26" outlineLevel="1">
      <c r="A25" s="1"/>
    </row>
    <row r="26" spans="1:26" s="330" customFormat="1" ht="30" outlineLevel="1">
      <c r="B26" s="198" t="s">
        <v>322</v>
      </c>
      <c r="C26" s="198" t="s">
        <v>323</v>
      </c>
      <c r="D26" s="198" t="s">
        <v>161</v>
      </c>
      <c r="E26" s="198" t="s">
        <v>325</v>
      </c>
      <c r="F26" s="198" t="s">
        <v>590</v>
      </c>
      <c r="G26" s="198" t="s">
        <v>326</v>
      </c>
      <c r="H26" s="198" t="s">
        <v>327</v>
      </c>
      <c r="I26" s="198" t="s">
        <v>329</v>
      </c>
      <c r="J26" s="198" t="s">
        <v>330</v>
      </c>
      <c r="K26" s="198" t="s">
        <v>331</v>
      </c>
      <c r="L26" s="198" t="s">
        <v>332</v>
      </c>
      <c r="M26" s="198" t="s">
        <v>333</v>
      </c>
      <c r="N26" s="198" t="s">
        <v>334</v>
      </c>
      <c r="O26" s="198" t="s">
        <v>335</v>
      </c>
      <c r="P26" s="326" t="s">
        <v>508</v>
      </c>
      <c r="Q26" s="326" t="s">
        <v>509</v>
      </c>
      <c r="R26" s="198" t="s">
        <v>514</v>
      </c>
      <c r="S26" s="1"/>
    </row>
    <row r="27" spans="1:26" ht="46.5" outlineLevel="1">
      <c r="A27" s="1"/>
      <c r="B27" s="199" t="s">
        <v>336</v>
      </c>
      <c r="C27" s="199" t="s">
        <v>246</v>
      </c>
      <c r="D27" s="200"/>
      <c r="E27" s="199"/>
      <c r="F27" s="202"/>
      <c r="G27" s="199"/>
      <c r="H27" s="201"/>
      <c r="I27" s="135"/>
      <c r="J27" s="135"/>
      <c r="K27" s="135"/>
      <c r="L27" s="135"/>
      <c r="M27" s="199"/>
      <c r="N27" s="135"/>
      <c r="O27" s="135"/>
      <c r="P27" s="325"/>
      <c r="Q27" s="325"/>
      <c r="R27" s="331" t="s">
        <v>515</v>
      </c>
      <c r="U27" s="1" t="str">
        <f t="shared" ref="U27:X29" si="0">IF(I27&lt;&gt;0, I$26&amp; ": " &amp;ROUND(I27, 2), "")</f>
        <v/>
      </c>
      <c r="V27" s="1" t="str">
        <f t="shared" si="0"/>
        <v/>
      </c>
      <c r="W27" s="1" t="str">
        <f t="shared" si="0"/>
        <v/>
      </c>
      <c r="X27" s="1" t="str">
        <f t="shared" si="0"/>
        <v/>
      </c>
      <c r="Y27" s="1" t="str">
        <f>IF(N27&lt;&gt;0, M$26&amp; ": " &amp;ROUND(N27, 2), "")</f>
        <v/>
      </c>
      <c r="Z27" s="1" t="str">
        <f>IF(O27&lt;&gt;0, N$26&amp; ": " &amp;ROUND(O27, 2), "")</f>
        <v/>
      </c>
    </row>
    <row r="28" spans="1:26" outlineLevel="1">
      <c r="A28" s="1"/>
      <c r="B28" s="199"/>
      <c r="C28" s="199"/>
      <c r="D28" s="200"/>
      <c r="E28" s="199"/>
      <c r="F28" s="202"/>
      <c r="G28" s="199"/>
      <c r="H28" s="201"/>
      <c r="I28" s="135"/>
      <c r="J28" s="135"/>
      <c r="K28" s="135"/>
      <c r="L28" s="135"/>
      <c r="M28" s="199"/>
      <c r="N28" s="135"/>
      <c r="O28" s="135"/>
      <c r="P28" s="325"/>
      <c r="Q28" s="325"/>
      <c r="R28" s="199"/>
      <c r="U28" s="1" t="str">
        <f t="shared" si="0"/>
        <v/>
      </c>
      <c r="V28" s="1" t="str">
        <f t="shared" si="0"/>
        <v/>
      </c>
      <c r="W28" s="1" t="str">
        <f t="shared" si="0"/>
        <v/>
      </c>
      <c r="X28" s="1" t="str">
        <f t="shared" si="0"/>
        <v/>
      </c>
      <c r="Y28" s="1" t="str">
        <f>IF(M28&lt;&gt;0, M$26&amp; ": " &amp;ROUND(M28, 2), "")</f>
        <v/>
      </c>
      <c r="Z28" s="1" t="str">
        <f>IF(N28&lt;&gt;0, N$26&amp; ": " &amp;ROUND(N28, 2), "")</f>
        <v/>
      </c>
    </row>
    <row r="29" spans="1:26" outlineLevel="1">
      <c r="A29" s="1"/>
      <c r="B29" s="199"/>
      <c r="C29" s="199"/>
      <c r="D29" s="200"/>
      <c r="E29" s="199"/>
      <c r="F29" s="202"/>
      <c r="G29" s="199"/>
      <c r="H29" s="201"/>
      <c r="I29" s="135"/>
      <c r="J29" s="135"/>
      <c r="K29" s="135"/>
      <c r="L29" s="135"/>
      <c r="M29" s="199"/>
      <c r="N29" s="135"/>
      <c r="O29" s="135"/>
      <c r="P29" s="325"/>
      <c r="Q29" s="325"/>
      <c r="R29" s="199"/>
      <c r="U29" s="1" t="str">
        <f t="shared" si="0"/>
        <v/>
      </c>
      <c r="V29" s="1" t="str">
        <f t="shared" si="0"/>
        <v/>
      </c>
      <c r="W29" s="1" t="str">
        <f t="shared" si="0"/>
        <v/>
      </c>
      <c r="X29" s="1" t="str">
        <f t="shared" si="0"/>
        <v/>
      </c>
      <c r="Y29" s="1" t="str">
        <f>IF(M29&lt;&gt;0, M$26&amp; ": " &amp;ROUND(M29, 2), "")</f>
        <v/>
      </c>
      <c r="Z29" s="1" t="str">
        <f>IF(N29&lt;&gt;0, N$26&amp; ": " &amp;ROUND(N29, 2), "")</f>
        <v/>
      </c>
    </row>
    <row r="30" spans="1:26" outlineLevel="1">
      <c r="A30" s="1"/>
      <c r="B30" s="199"/>
      <c r="C30" s="199"/>
      <c r="D30" s="200"/>
      <c r="E30" s="199"/>
      <c r="F30" s="202"/>
      <c r="G30" s="199"/>
      <c r="H30" s="201"/>
      <c r="I30" s="135"/>
      <c r="J30" s="135"/>
      <c r="K30" s="135"/>
      <c r="L30" s="135"/>
      <c r="M30" s="199"/>
      <c r="N30" s="135"/>
      <c r="O30" s="135"/>
      <c r="P30" s="325"/>
      <c r="Q30" s="325"/>
      <c r="R30" s="199"/>
      <c r="U30" s="1" t="str">
        <f>IF(I30&lt;&gt;0, I$26&amp; ": " &amp;ROUND(I30, 2), "")</f>
        <v/>
      </c>
    </row>
    <row r="31" spans="1:26" outlineLevel="1">
      <c r="A31" s="1"/>
      <c r="B31" s="199"/>
      <c r="C31" s="199"/>
      <c r="D31" s="200"/>
      <c r="E31" s="199"/>
      <c r="F31" s="202"/>
      <c r="G31" s="199"/>
      <c r="H31" s="201"/>
      <c r="I31" s="135"/>
      <c r="J31" s="135"/>
      <c r="K31" s="135"/>
      <c r="L31" s="135"/>
      <c r="M31" s="199"/>
      <c r="N31" s="135"/>
      <c r="O31" s="135"/>
      <c r="P31" s="325"/>
      <c r="Q31" s="325"/>
      <c r="R31" s="199"/>
    </row>
    <row r="32" spans="1:26" outlineLevel="1">
      <c r="A32" s="1"/>
      <c r="B32" s="199"/>
      <c r="C32" s="199"/>
      <c r="D32" s="200"/>
      <c r="E32" s="199"/>
      <c r="F32" s="202"/>
      <c r="G32" s="199"/>
      <c r="H32" s="201"/>
      <c r="I32" s="135"/>
      <c r="J32" s="135"/>
      <c r="K32" s="135"/>
      <c r="L32" s="135"/>
      <c r="M32" s="199"/>
      <c r="N32" s="135"/>
      <c r="O32" s="135"/>
      <c r="P32" s="325"/>
      <c r="Q32" s="325"/>
      <c r="R32" s="199"/>
    </row>
    <row r="33" spans="1:18" outlineLevel="1">
      <c r="A33" s="1"/>
      <c r="B33" s="199"/>
      <c r="C33" s="199"/>
      <c r="D33" s="200"/>
      <c r="E33" s="199"/>
      <c r="F33" s="202"/>
      <c r="G33" s="199"/>
      <c r="H33" s="201"/>
      <c r="I33" s="135"/>
      <c r="J33" s="135"/>
      <c r="K33" s="135"/>
      <c r="L33" s="135"/>
      <c r="M33" s="199"/>
      <c r="N33" s="135"/>
      <c r="O33" s="135"/>
      <c r="P33" s="325"/>
      <c r="Q33" s="325"/>
      <c r="R33" s="199"/>
    </row>
    <row r="34" spans="1:18" outlineLevel="1">
      <c r="A34" s="1"/>
      <c r="B34" s="199"/>
      <c r="C34" s="199"/>
      <c r="D34" s="200"/>
      <c r="E34" s="199"/>
      <c r="F34" s="202"/>
      <c r="G34" s="199"/>
      <c r="H34" s="201"/>
      <c r="I34" s="135"/>
      <c r="J34" s="135"/>
      <c r="K34" s="135"/>
      <c r="L34" s="135"/>
      <c r="M34" s="199"/>
      <c r="N34" s="135"/>
      <c r="O34" s="135"/>
      <c r="P34" s="325"/>
      <c r="Q34" s="325"/>
      <c r="R34" s="199"/>
    </row>
    <row r="35" spans="1:18" outlineLevel="1">
      <c r="A35" s="1"/>
      <c r="B35" s="199"/>
      <c r="C35" s="199"/>
      <c r="D35" s="200"/>
      <c r="E35" s="199"/>
      <c r="F35" s="202"/>
      <c r="G35" s="199"/>
      <c r="H35" s="201"/>
      <c r="I35" s="135"/>
      <c r="J35" s="135"/>
      <c r="K35" s="135"/>
      <c r="L35" s="135"/>
      <c r="M35" s="199"/>
      <c r="N35" s="135"/>
      <c r="O35" s="135"/>
      <c r="P35" s="325"/>
      <c r="Q35" s="325"/>
      <c r="R35" s="199"/>
    </row>
    <row r="36" spans="1:18" outlineLevel="1">
      <c r="A36" s="1"/>
      <c r="B36" s="199"/>
      <c r="C36" s="199"/>
      <c r="D36" s="200"/>
      <c r="E36" s="199"/>
      <c r="F36" s="203"/>
      <c r="G36" s="199"/>
      <c r="H36" s="201"/>
      <c r="I36" s="204"/>
      <c r="J36" s="204"/>
      <c r="K36" s="204"/>
      <c r="L36" s="204"/>
      <c r="M36" s="199"/>
      <c r="N36" s="204"/>
      <c r="O36" s="135"/>
      <c r="P36" s="325"/>
      <c r="Q36" s="325"/>
      <c r="R36" s="199"/>
    </row>
    <row r="37" spans="1:18" outlineLevel="1">
      <c r="A37" s="1"/>
      <c r="B37" s="199"/>
      <c r="C37" s="199"/>
      <c r="D37" s="200"/>
      <c r="E37" s="199"/>
      <c r="F37" s="203"/>
      <c r="G37" s="199"/>
      <c r="H37" s="201"/>
      <c r="I37" s="204"/>
      <c r="J37" s="204"/>
      <c r="K37" s="204"/>
      <c r="L37" s="204"/>
      <c r="M37" s="199"/>
      <c r="N37" s="204"/>
      <c r="O37" s="135"/>
      <c r="P37" s="325"/>
      <c r="Q37" s="325"/>
      <c r="R37" s="199"/>
    </row>
    <row r="38" spans="1:18" outlineLevel="1">
      <c r="A38" s="1"/>
      <c r="B38" s="199"/>
      <c r="C38" s="199"/>
      <c r="D38" s="200"/>
      <c r="E38" s="199"/>
      <c r="F38" s="203"/>
      <c r="G38" s="199"/>
      <c r="H38" s="201"/>
      <c r="I38" s="204"/>
      <c r="J38" s="204"/>
      <c r="K38" s="204"/>
      <c r="L38" s="204"/>
      <c r="M38" s="199"/>
      <c r="N38" s="204"/>
      <c r="O38" s="135"/>
      <c r="P38" s="325"/>
      <c r="Q38" s="325"/>
      <c r="R38" s="199"/>
    </row>
    <row r="39" spans="1:18" outlineLevel="1">
      <c r="A39" s="1"/>
      <c r="B39" s="199"/>
      <c r="C39" s="199"/>
      <c r="D39" s="200"/>
      <c r="E39" s="199"/>
      <c r="F39" s="203"/>
      <c r="G39" s="199"/>
      <c r="H39" s="201"/>
      <c r="I39" s="204"/>
      <c r="J39" s="204"/>
      <c r="K39" s="204"/>
      <c r="L39" s="204"/>
      <c r="M39" s="199"/>
      <c r="N39" s="204"/>
      <c r="O39" s="135"/>
      <c r="P39" s="325"/>
      <c r="Q39" s="325"/>
      <c r="R39" s="199"/>
    </row>
    <row r="40" spans="1:18" outlineLevel="1">
      <c r="A40" s="1"/>
      <c r="B40" s="199"/>
      <c r="C40" s="199"/>
      <c r="D40" s="200"/>
      <c r="E40" s="199"/>
      <c r="F40" s="203"/>
      <c r="G40" s="199"/>
      <c r="H40" s="201"/>
      <c r="I40" s="204"/>
      <c r="J40" s="204"/>
      <c r="K40" s="204"/>
      <c r="L40" s="204"/>
      <c r="M40" s="199"/>
      <c r="N40" s="204"/>
      <c r="O40" s="135"/>
      <c r="P40" s="325"/>
      <c r="Q40" s="325"/>
      <c r="R40" s="199"/>
    </row>
    <row r="41" spans="1:18" outlineLevel="1">
      <c r="A41" s="1"/>
      <c r="B41" s="199"/>
      <c r="C41" s="199"/>
      <c r="D41" s="200"/>
      <c r="E41" s="199"/>
      <c r="F41" s="203"/>
      <c r="G41" s="199"/>
      <c r="H41" s="201"/>
      <c r="I41" s="204"/>
      <c r="J41" s="204"/>
      <c r="K41" s="204"/>
      <c r="L41" s="204"/>
      <c r="M41" s="199"/>
      <c r="N41" s="204"/>
      <c r="O41" s="135"/>
      <c r="P41" s="325"/>
      <c r="Q41" s="325"/>
      <c r="R41" s="199"/>
    </row>
    <row r="42" spans="1:18" outlineLevel="1">
      <c r="A42" s="1"/>
      <c r="B42" s="199"/>
      <c r="C42" s="199"/>
      <c r="D42" s="200"/>
      <c r="E42" s="199"/>
      <c r="F42" s="203"/>
      <c r="G42" s="199"/>
      <c r="H42" s="201"/>
      <c r="I42" s="204"/>
      <c r="J42" s="204"/>
      <c r="K42" s="204"/>
      <c r="L42" s="204"/>
      <c r="M42" s="199"/>
      <c r="N42" s="204"/>
      <c r="O42" s="135"/>
      <c r="P42" s="325"/>
      <c r="Q42" s="325"/>
      <c r="R42" s="199"/>
    </row>
    <row r="43" spans="1:18" outlineLevel="1">
      <c r="A43" s="1"/>
      <c r="B43" s="199"/>
      <c r="C43" s="199"/>
      <c r="D43" s="200"/>
      <c r="E43" s="199"/>
      <c r="F43" s="203"/>
      <c r="G43" s="199"/>
      <c r="H43" s="201"/>
      <c r="I43" s="204"/>
      <c r="J43" s="204"/>
      <c r="K43" s="204"/>
      <c r="L43" s="204"/>
      <c r="M43" s="199"/>
      <c r="N43" s="204"/>
      <c r="O43" s="135"/>
      <c r="P43" s="325"/>
      <c r="Q43" s="325"/>
      <c r="R43" s="199"/>
    </row>
    <row r="44" spans="1:18" outlineLevel="1">
      <c r="A44" s="1"/>
      <c r="B44" s="199"/>
      <c r="C44" s="199"/>
      <c r="D44" s="200"/>
      <c r="E44" s="199"/>
      <c r="F44" s="203"/>
      <c r="G44" s="199"/>
      <c r="H44" s="201"/>
      <c r="I44" s="204"/>
      <c r="J44" s="204"/>
      <c r="K44" s="204"/>
      <c r="L44" s="204"/>
      <c r="M44" s="199"/>
      <c r="N44" s="204"/>
      <c r="O44" s="135"/>
      <c r="P44" s="325"/>
      <c r="Q44" s="325"/>
      <c r="R44" s="199"/>
    </row>
    <row r="45" spans="1:18" outlineLevel="1">
      <c r="A45" s="1"/>
      <c r="B45" s="199"/>
      <c r="C45" s="199"/>
      <c r="D45" s="200"/>
      <c r="E45" s="199"/>
      <c r="F45" s="203"/>
      <c r="G45" s="199"/>
      <c r="H45" s="201"/>
      <c r="I45" s="204"/>
      <c r="J45" s="204"/>
      <c r="K45" s="204"/>
      <c r="L45" s="204"/>
      <c r="M45" s="199"/>
      <c r="N45" s="204"/>
      <c r="O45" s="135"/>
      <c r="P45" s="325"/>
      <c r="Q45" s="325"/>
      <c r="R45" s="199"/>
    </row>
    <row r="46" spans="1:18" outlineLevel="1">
      <c r="A46" s="1"/>
      <c r="B46" s="199"/>
      <c r="C46" s="199"/>
      <c r="D46" s="200"/>
      <c r="E46" s="199"/>
      <c r="F46" s="203"/>
      <c r="G46" s="199"/>
      <c r="H46" s="201"/>
      <c r="I46" s="204"/>
      <c r="J46" s="204"/>
      <c r="K46" s="204"/>
      <c r="L46" s="204"/>
      <c r="M46" s="199"/>
      <c r="N46" s="204"/>
      <c r="O46" s="135"/>
      <c r="P46" s="325"/>
      <c r="Q46" s="325"/>
      <c r="R46" s="199"/>
    </row>
    <row r="47" spans="1:18" outlineLevel="1">
      <c r="A47" s="1"/>
      <c r="B47" s="199"/>
      <c r="C47" s="199"/>
      <c r="D47" s="200"/>
      <c r="E47" s="199"/>
      <c r="F47" s="203"/>
      <c r="G47" s="199"/>
      <c r="H47" s="201"/>
      <c r="I47" s="205"/>
      <c r="J47" s="205"/>
      <c r="K47" s="205"/>
      <c r="L47" s="204"/>
      <c r="M47" s="199"/>
      <c r="N47" s="204"/>
      <c r="O47" s="135"/>
      <c r="P47" s="325"/>
      <c r="Q47" s="325"/>
      <c r="R47" s="199"/>
    </row>
    <row r="48" spans="1:18" outlineLevel="1">
      <c r="A48" s="1"/>
      <c r="B48" s="199"/>
      <c r="C48" s="199"/>
      <c r="D48" s="200"/>
      <c r="E48" s="199"/>
      <c r="F48" s="207"/>
      <c r="G48" s="206"/>
      <c r="H48" s="6"/>
      <c r="I48" s="208"/>
      <c r="J48" s="208"/>
      <c r="K48" s="208"/>
      <c r="L48" s="208"/>
      <c r="M48" s="208"/>
      <c r="N48" s="208"/>
      <c r="O48" s="209"/>
      <c r="P48" s="327"/>
      <c r="Q48" s="327"/>
      <c r="R48" s="199"/>
    </row>
    <row r="49" spans="1:18" outlineLevel="1">
      <c r="A49" s="1"/>
      <c r="B49" s="199"/>
      <c r="C49" s="199"/>
      <c r="D49" s="200"/>
      <c r="E49" s="199"/>
      <c r="F49" s="207"/>
      <c r="G49" s="206"/>
      <c r="H49" s="6"/>
      <c r="I49" s="208"/>
      <c r="J49" s="208"/>
      <c r="K49" s="208"/>
      <c r="L49" s="208"/>
      <c r="M49" s="208"/>
      <c r="N49" s="208"/>
      <c r="O49" s="209"/>
      <c r="P49" s="327"/>
      <c r="Q49" s="327"/>
      <c r="R49" s="199"/>
    </row>
    <row r="50" spans="1:18" outlineLevel="1">
      <c r="A50" s="1"/>
      <c r="B50" s="199"/>
      <c r="C50" s="199"/>
      <c r="D50" s="200"/>
      <c r="E50" s="199"/>
      <c r="F50" s="207"/>
      <c r="G50" s="206"/>
      <c r="H50" s="6"/>
      <c r="I50" s="208"/>
      <c r="J50" s="208"/>
      <c r="K50" s="208"/>
      <c r="L50" s="208"/>
      <c r="M50" s="208"/>
      <c r="N50" s="208"/>
      <c r="O50" s="209"/>
      <c r="P50" s="327"/>
      <c r="Q50" s="327"/>
      <c r="R50" s="199"/>
    </row>
    <row r="51" spans="1:18" outlineLevel="1">
      <c r="A51" s="1"/>
      <c r="B51" s="199"/>
      <c r="C51" s="199"/>
      <c r="D51" s="200"/>
      <c r="E51" s="199"/>
      <c r="F51" s="207"/>
      <c r="G51" s="206"/>
      <c r="H51" s="6"/>
      <c r="I51" s="208"/>
      <c r="J51" s="208"/>
      <c r="K51" s="208"/>
      <c r="L51" s="208"/>
      <c r="M51" s="208"/>
      <c r="N51" s="208"/>
      <c r="O51" s="209"/>
      <c r="P51" s="327"/>
      <c r="Q51" s="327"/>
      <c r="R51" s="199"/>
    </row>
    <row r="52" spans="1:18" outlineLevel="1">
      <c r="A52" s="1"/>
      <c r="B52" s="199"/>
      <c r="C52" s="199"/>
      <c r="D52" s="200"/>
      <c r="E52" s="199"/>
      <c r="F52" s="207"/>
      <c r="G52" s="206"/>
      <c r="H52" s="6"/>
      <c r="I52" s="208"/>
      <c r="J52" s="208"/>
      <c r="K52" s="208"/>
      <c r="L52" s="208"/>
      <c r="M52" s="208"/>
      <c r="N52" s="208"/>
      <c r="O52" s="209"/>
      <c r="P52" s="327"/>
      <c r="Q52" s="327"/>
      <c r="R52" s="199"/>
    </row>
    <row r="53" spans="1:18" outlineLevel="1">
      <c r="A53" s="1"/>
      <c r="B53" s="199"/>
      <c r="C53" s="199"/>
      <c r="D53" s="200"/>
      <c r="E53" s="199"/>
      <c r="F53" s="207"/>
      <c r="G53" s="206"/>
      <c r="H53" s="6"/>
      <c r="I53" s="208"/>
      <c r="J53" s="208"/>
      <c r="K53" s="208"/>
      <c r="L53" s="208"/>
      <c r="M53" s="208"/>
      <c r="N53" s="208"/>
      <c r="O53" s="209"/>
      <c r="P53" s="327"/>
      <c r="Q53" s="327"/>
      <c r="R53" s="199"/>
    </row>
    <row r="54" spans="1:18" outlineLevel="1">
      <c r="A54" s="1"/>
      <c r="B54" s="199"/>
      <c r="C54" s="199"/>
      <c r="D54" s="200"/>
      <c r="E54" s="199"/>
      <c r="F54" s="207"/>
      <c r="G54" s="206"/>
      <c r="H54" s="6"/>
      <c r="I54" s="208"/>
      <c r="J54" s="208"/>
      <c r="K54" s="208"/>
      <c r="L54" s="208"/>
      <c r="M54" s="208"/>
      <c r="N54" s="208"/>
      <c r="O54" s="209"/>
      <c r="P54" s="327"/>
      <c r="Q54" s="327"/>
      <c r="R54" s="199"/>
    </row>
    <row r="55" spans="1:18" outlineLevel="1">
      <c r="A55" s="1"/>
      <c r="B55" s="199"/>
      <c r="C55" s="199"/>
      <c r="D55" s="200"/>
      <c r="E55" s="199"/>
      <c r="F55" s="207"/>
      <c r="G55" s="206"/>
      <c r="H55" s="6"/>
      <c r="I55" s="208"/>
      <c r="J55" s="208"/>
      <c r="K55" s="208"/>
      <c r="L55" s="208"/>
      <c r="M55" s="208"/>
      <c r="N55" s="208"/>
      <c r="O55" s="209"/>
      <c r="P55" s="327"/>
      <c r="Q55" s="327"/>
      <c r="R55" s="199"/>
    </row>
    <row r="56" spans="1:18" outlineLevel="1">
      <c r="A56" s="1"/>
      <c r="B56" s="199"/>
      <c r="C56" s="199"/>
      <c r="D56" s="200"/>
      <c r="E56" s="199"/>
      <c r="F56" s="210"/>
      <c r="G56" s="206"/>
      <c r="H56" s="6"/>
      <c r="I56" s="211"/>
      <c r="J56" s="211"/>
      <c r="K56" s="211"/>
      <c r="L56" s="211"/>
      <c r="M56" s="211"/>
      <c r="N56" s="211"/>
      <c r="O56" s="212"/>
      <c r="P56" s="328"/>
      <c r="Q56" s="328"/>
      <c r="R56" s="199"/>
    </row>
    <row r="57" spans="1:18" outlineLevel="1">
      <c r="A57" s="1"/>
      <c r="B57" s="199"/>
      <c r="C57" s="199"/>
      <c r="D57" s="200"/>
      <c r="E57" s="199"/>
      <c r="F57" s="210"/>
      <c r="G57" s="206"/>
      <c r="H57" s="6"/>
      <c r="I57" s="211"/>
      <c r="J57" s="211"/>
      <c r="K57" s="211"/>
      <c r="L57" s="211"/>
      <c r="M57" s="211"/>
      <c r="N57" s="211"/>
      <c r="O57" s="212"/>
      <c r="P57" s="328"/>
      <c r="Q57" s="328"/>
      <c r="R57" s="199"/>
    </row>
    <row r="58" spans="1:18" outlineLevel="1">
      <c r="A58" s="1"/>
      <c r="B58" s="199"/>
      <c r="C58" s="199"/>
      <c r="D58" s="200"/>
      <c r="E58" s="199"/>
      <c r="F58" s="210"/>
      <c r="G58" s="206"/>
      <c r="H58" s="6"/>
      <c r="I58" s="211"/>
      <c r="J58" s="211"/>
      <c r="K58" s="211"/>
      <c r="L58" s="211"/>
      <c r="M58" s="211"/>
      <c r="N58" s="211"/>
      <c r="O58" s="212"/>
      <c r="P58" s="328"/>
      <c r="Q58" s="328"/>
      <c r="R58" s="199"/>
    </row>
    <row r="59" spans="1:18" outlineLevel="1">
      <c r="A59" s="1"/>
      <c r="B59" s="199"/>
      <c r="C59" s="199"/>
      <c r="D59" s="200"/>
      <c r="E59" s="199"/>
      <c r="F59" s="210"/>
      <c r="G59" s="206"/>
      <c r="H59" s="6"/>
      <c r="I59" s="213"/>
      <c r="J59" s="213"/>
      <c r="K59" s="213"/>
      <c r="L59" s="211"/>
      <c r="M59" s="211"/>
      <c r="N59" s="211"/>
      <c r="O59" s="212"/>
      <c r="P59" s="328"/>
      <c r="Q59" s="328"/>
      <c r="R59" s="199"/>
    </row>
    <row r="60" spans="1:18" outlineLevel="1">
      <c r="A60" s="1"/>
      <c r="B60" s="199"/>
      <c r="C60" s="199"/>
      <c r="D60" s="200"/>
      <c r="E60" s="199"/>
      <c r="F60" s="210"/>
      <c r="G60" s="206"/>
      <c r="H60" s="6"/>
      <c r="I60" s="211"/>
      <c r="J60" s="211"/>
      <c r="K60" s="211"/>
      <c r="L60" s="211"/>
      <c r="M60" s="211"/>
      <c r="N60" s="211"/>
      <c r="O60" s="212"/>
      <c r="P60" s="328"/>
      <c r="Q60" s="328"/>
      <c r="R60" s="199"/>
    </row>
    <row r="61" spans="1:18" outlineLevel="1">
      <c r="A61" s="1"/>
      <c r="B61" s="199"/>
      <c r="C61" s="199"/>
      <c r="D61" s="200"/>
      <c r="E61" s="199"/>
      <c r="F61" s="210"/>
      <c r="G61" s="206"/>
      <c r="H61" s="6"/>
      <c r="I61" s="211"/>
      <c r="J61" s="211"/>
      <c r="K61" s="211"/>
      <c r="L61" s="211"/>
      <c r="M61" s="211"/>
      <c r="N61" s="211"/>
      <c r="O61" s="212"/>
      <c r="P61" s="328"/>
      <c r="Q61" s="328"/>
      <c r="R61" s="199"/>
    </row>
    <row r="62" spans="1:18" outlineLevel="1">
      <c r="A62" s="1"/>
      <c r="B62" s="199"/>
      <c r="C62" s="199"/>
      <c r="D62" s="200"/>
      <c r="E62" s="199"/>
      <c r="F62" s="210"/>
      <c r="G62" s="206"/>
      <c r="H62" s="6"/>
      <c r="I62" s="211"/>
      <c r="J62" s="211"/>
      <c r="K62" s="211"/>
      <c r="L62" s="211"/>
      <c r="M62" s="211"/>
      <c r="N62" s="211"/>
      <c r="O62" s="212"/>
      <c r="P62" s="328"/>
      <c r="Q62" s="328"/>
      <c r="R62" s="199"/>
    </row>
    <row r="63" spans="1:18" outlineLevel="1">
      <c r="A63" s="1"/>
      <c r="B63" s="199"/>
      <c r="C63" s="199"/>
      <c r="D63" s="200"/>
      <c r="E63" s="199"/>
      <c r="F63" s="210"/>
      <c r="G63" s="206"/>
      <c r="H63" s="6"/>
      <c r="I63" s="211"/>
      <c r="J63" s="211"/>
      <c r="K63" s="211"/>
      <c r="L63" s="211"/>
      <c r="M63" s="211"/>
      <c r="N63" s="211"/>
      <c r="O63" s="212"/>
      <c r="P63" s="328"/>
      <c r="Q63" s="328"/>
      <c r="R63" s="199"/>
    </row>
    <row r="64" spans="1:18" outlineLevel="1">
      <c r="A64" s="1"/>
      <c r="B64" s="199"/>
      <c r="C64" s="199"/>
      <c r="D64" s="200"/>
      <c r="E64" s="199"/>
      <c r="F64" s="214"/>
      <c r="G64" s="206"/>
      <c r="H64" s="6"/>
      <c r="I64" s="215"/>
      <c r="J64" s="215"/>
      <c r="K64" s="215"/>
      <c r="L64" s="215"/>
      <c r="M64" s="215"/>
      <c r="N64" s="215"/>
      <c r="O64" s="212"/>
      <c r="P64" s="328"/>
      <c r="Q64" s="328"/>
      <c r="R64" s="199"/>
    </row>
    <row r="65" spans="1:18" outlineLevel="1">
      <c r="A65" s="1"/>
      <c r="B65" s="199"/>
      <c r="C65" s="199"/>
      <c r="D65" s="200"/>
      <c r="E65" s="199"/>
      <c r="F65" s="217"/>
      <c r="G65" s="206"/>
      <c r="H65" s="216"/>
      <c r="I65" s="206"/>
      <c r="J65" s="206"/>
      <c r="K65" s="206"/>
      <c r="L65" s="206"/>
      <c r="M65" s="206"/>
      <c r="N65" s="218"/>
      <c r="O65" s="206"/>
      <c r="P65" s="329"/>
      <c r="Q65" s="329"/>
      <c r="R65" s="199"/>
    </row>
    <row r="66" spans="1:18" outlineLevel="1">
      <c r="A66" s="1"/>
      <c r="B66" s="199"/>
      <c r="C66" s="199"/>
      <c r="D66" s="200"/>
      <c r="E66" s="199"/>
      <c r="F66" s="217"/>
      <c r="G66" s="206"/>
      <c r="H66" s="216"/>
      <c r="I66" s="206"/>
      <c r="J66" s="206"/>
      <c r="K66" s="206"/>
      <c r="L66" s="206"/>
      <c r="M66" s="206"/>
      <c r="N66" s="218"/>
      <c r="O66" s="206"/>
      <c r="P66" s="329"/>
      <c r="Q66" s="329"/>
      <c r="R66" s="199"/>
    </row>
    <row r="67" spans="1:18" outlineLevel="1">
      <c r="A67" s="1"/>
      <c r="B67" s="199"/>
      <c r="C67" s="199"/>
      <c r="D67" s="200"/>
      <c r="E67" s="199"/>
      <c r="F67" s="219"/>
      <c r="G67" s="206"/>
      <c r="H67" s="216"/>
      <c r="I67" s="206"/>
      <c r="J67" s="206"/>
      <c r="K67" s="206"/>
      <c r="L67" s="206"/>
      <c r="M67" s="206"/>
      <c r="N67" s="218"/>
      <c r="O67" s="206"/>
      <c r="P67" s="329"/>
      <c r="Q67" s="329"/>
      <c r="R67" s="199"/>
    </row>
    <row r="68" spans="1:18" outlineLevel="1">
      <c r="A68" s="1"/>
      <c r="B68" s="199"/>
      <c r="C68" s="199"/>
      <c r="D68" s="200"/>
      <c r="E68" s="199"/>
      <c r="F68" s="217"/>
      <c r="G68" s="206"/>
      <c r="H68" s="216"/>
      <c r="I68" s="206"/>
      <c r="J68" s="206"/>
      <c r="K68" s="206"/>
      <c r="L68" s="206"/>
      <c r="M68" s="206"/>
      <c r="N68" s="218"/>
      <c r="O68" s="206"/>
      <c r="P68" s="329"/>
      <c r="Q68" s="329"/>
      <c r="R68" s="199"/>
    </row>
    <row r="69" spans="1:18" outlineLevel="1">
      <c r="A69" s="1"/>
      <c r="B69" s="199"/>
      <c r="C69" s="199"/>
      <c r="D69" s="200"/>
      <c r="E69" s="199"/>
      <c r="F69" s="219"/>
      <c r="G69" s="206"/>
      <c r="H69" s="216"/>
      <c r="I69" s="206"/>
      <c r="J69" s="206"/>
      <c r="K69" s="206"/>
      <c r="L69" s="206"/>
      <c r="M69" s="206"/>
      <c r="N69" s="218"/>
      <c r="O69" s="206"/>
      <c r="P69" s="329"/>
      <c r="Q69" s="329"/>
      <c r="R69" s="199"/>
    </row>
    <row r="70" spans="1:18" outlineLevel="1">
      <c r="A70" s="1"/>
      <c r="B70" s="199"/>
      <c r="C70" s="199"/>
      <c r="D70" s="200"/>
      <c r="E70" s="199"/>
      <c r="F70" s="217"/>
      <c r="G70" s="206"/>
      <c r="H70" s="206"/>
      <c r="I70" s="206"/>
      <c r="J70" s="206"/>
      <c r="K70" s="206"/>
      <c r="L70" s="206"/>
      <c r="M70" s="206"/>
      <c r="N70" s="218"/>
      <c r="O70" s="206"/>
      <c r="P70" s="329"/>
      <c r="Q70" s="329"/>
      <c r="R70" s="199"/>
    </row>
    <row r="71" spans="1:18" outlineLevel="1">
      <c r="A71" s="1"/>
      <c r="B71" s="199"/>
      <c r="C71" s="199"/>
      <c r="D71" s="200"/>
      <c r="E71" s="199"/>
      <c r="F71" s="217"/>
      <c r="G71" s="206"/>
      <c r="H71" s="206"/>
      <c r="I71" s="206"/>
      <c r="J71" s="206"/>
      <c r="K71" s="206"/>
      <c r="L71" s="206"/>
      <c r="M71" s="206"/>
      <c r="N71" s="206"/>
      <c r="O71" s="206"/>
      <c r="P71" s="329"/>
      <c r="Q71" s="329"/>
      <c r="R71" s="199"/>
    </row>
    <row r="72" spans="1:18" outlineLevel="1">
      <c r="A72" s="1"/>
      <c r="B72" s="199"/>
      <c r="C72" s="199"/>
      <c r="D72" s="200"/>
      <c r="E72" s="199"/>
      <c r="F72" s="217"/>
      <c r="G72" s="206"/>
      <c r="H72" s="206"/>
      <c r="I72" s="206"/>
      <c r="J72" s="206"/>
      <c r="K72" s="206"/>
      <c r="L72" s="206"/>
      <c r="M72" s="206"/>
      <c r="N72" s="206"/>
      <c r="O72" s="206"/>
      <c r="P72" s="329"/>
      <c r="Q72" s="329"/>
      <c r="R72" s="199"/>
    </row>
    <row r="73" spans="1:18" outlineLevel="1">
      <c r="A73" s="1"/>
      <c r="B73" s="199"/>
      <c r="C73" s="199"/>
      <c r="D73" s="200"/>
      <c r="E73" s="199"/>
      <c r="F73" s="217"/>
      <c r="G73" s="206"/>
      <c r="H73" s="206"/>
      <c r="I73" s="206"/>
      <c r="J73" s="206"/>
      <c r="K73" s="206"/>
      <c r="L73" s="206"/>
      <c r="M73" s="206"/>
      <c r="N73" s="206"/>
      <c r="O73" s="206"/>
      <c r="P73" s="329"/>
      <c r="Q73" s="329"/>
      <c r="R73" s="199"/>
    </row>
    <row r="74" spans="1:18" outlineLevel="1">
      <c r="A74" s="1"/>
      <c r="B74" s="199"/>
      <c r="C74" s="199"/>
      <c r="D74" s="200"/>
      <c r="E74" s="199"/>
      <c r="F74" s="214"/>
      <c r="G74" s="206"/>
      <c r="H74" s="6"/>
      <c r="I74" s="215"/>
      <c r="J74" s="215"/>
      <c r="K74" s="215"/>
      <c r="L74" s="215"/>
      <c r="M74" s="215"/>
      <c r="N74" s="215"/>
      <c r="O74" s="212"/>
      <c r="P74" s="328"/>
      <c r="Q74" s="328"/>
      <c r="R74" s="199"/>
    </row>
    <row r="75" spans="1:18" outlineLevel="1">
      <c r="A75" s="1"/>
      <c r="B75" s="199"/>
      <c r="C75" s="199"/>
      <c r="D75" s="200"/>
      <c r="E75" s="199"/>
      <c r="F75" s="214"/>
      <c r="G75" s="206"/>
      <c r="H75" s="6"/>
      <c r="I75" s="215"/>
      <c r="J75" s="215"/>
      <c r="K75" s="215"/>
      <c r="L75" s="215"/>
      <c r="M75" s="215"/>
      <c r="N75" s="215"/>
      <c r="O75" s="212"/>
      <c r="P75" s="328"/>
      <c r="Q75" s="328"/>
      <c r="R75" s="199"/>
    </row>
    <row r="76" spans="1:18" outlineLevel="1">
      <c r="A76" s="1"/>
      <c r="B76" s="199"/>
      <c r="C76" s="199"/>
      <c r="D76" s="200"/>
      <c r="E76" s="199"/>
      <c r="F76" s="214"/>
      <c r="G76" s="206"/>
      <c r="H76" s="6"/>
      <c r="I76" s="215"/>
      <c r="J76" s="215"/>
      <c r="K76" s="215"/>
      <c r="L76" s="215"/>
      <c r="M76" s="215"/>
      <c r="N76" s="215"/>
      <c r="O76" s="212"/>
      <c r="P76" s="328"/>
      <c r="Q76" s="328"/>
      <c r="R76" s="199"/>
    </row>
    <row r="77" spans="1:18" outlineLevel="1">
      <c r="A77" s="1"/>
      <c r="B77" s="199"/>
      <c r="C77" s="199"/>
      <c r="D77" s="200"/>
      <c r="E77" s="199"/>
      <c r="F77" s="214"/>
      <c r="G77" s="206"/>
      <c r="H77" s="6"/>
      <c r="I77" s="215"/>
      <c r="J77" s="215"/>
      <c r="K77" s="215"/>
      <c r="L77" s="215"/>
      <c r="M77" s="215"/>
      <c r="N77" s="215"/>
      <c r="O77" s="212"/>
      <c r="P77" s="328"/>
      <c r="Q77" s="328"/>
      <c r="R77" s="199"/>
    </row>
    <row r="78" spans="1:18" outlineLevel="1">
      <c r="A78" s="1"/>
      <c r="B78" s="199"/>
      <c r="C78" s="199"/>
      <c r="D78" s="200"/>
      <c r="E78" s="199"/>
      <c r="F78" s="214"/>
      <c r="G78" s="206"/>
      <c r="H78" s="6"/>
      <c r="I78" s="215"/>
      <c r="J78" s="215"/>
      <c r="K78" s="215"/>
      <c r="L78" s="215"/>
      <c r="M78" s="215"/>
      <c r="N78" s="215"/>
      <c r="O78" s="212"/>
      <c r="P78" s="328"/>
      <c r="Q78" s="328"/>
      <c r="R78" s="199"/>
    </row>
    <row r="79" spans="1:18" outlineLevel="1">
      <c r="A79" s="1"/>
      <c r="B79" s="199"/>
      <c r="C79" s="199"/>
      <c r="D79" s="200"/>
      <c r="E79" s="199"/>
      <c r="F79" s="214"/>
      <c r="G79" s="206"/>
      <c r="H79" s="6"/>
      <c r="I79" s="215"/>
      <c r="J79" s="215"/>
      <c r="K79" s="215"/>
      <c r="L79" s="215"/>
      <c r="M79" s="215"/>
      <c r="N79" s="215"/>
      <c r="O79" s="212"/>
      <c r="P79" s="328"/>
      <c r="Q79" s="328"/>
      <c r="R79" s="199"/>
    </row>
    <row r="80" spans="1:18" outlineLevel="1">
      <c r="A80" s="1"/>
      <c r="B80" s="199"/>
      <c r="C80" s="199"/>
      <c r="D80" s="200"/>
      <c r="E80" s="199"/>
      <c r="F80" s="214"/>
      <c r="G80" s="206"/>
      <c r="H80" s="6"/>
      <c r="I80" s="215"/>
      <c r="J80" s="215"/>
      <c r="K80" s="215"/>
      <c r="L80" s="215"/>
      <c r="M80" s="215"/>
      <c r="N80" s="215"/>
      <c r="O80" s="212"/>
      <c r="P80" s="328"/>
      <c r="Q80" s="328"/>
      <c r="R80" s="199"/>
    </row>
    <row r="81" spans="1:18" outlineLevel="1">
      <c r="A81" s="1"/>
      <c r="B81" s="199"/>
      <c r="C81" s="199"/>
      <c r="D81" s="200"/>
      <c r="E81" s="199"/>
      <c r="F81" s="214"/>
      <c r="G81" s="206"/>
      <c r="H81" s="6"/>
      <c r="I81" s="215"/>
      <c r="J81" s="215"/>
      <c r="K81" s="215"/>
      <c r="L81" s="215"/>
      <c r="M81" s="215"/>
      <c r="N81" s="215"/>
      <c r="O81" s="212"/>
      <c r="P81" s="328"/>
      <c r="Q81" s="328"/>
      <c r="R81" s="199"/>
    </row>
    <row r="82" spans="1:18" outlineLevel="1">
      <c r="A82" s="1"/>
      <c r="B82" s="199"/>
      <c r="C82" s="199"/>
      <c r="D82" s="200"/>
      <c r="E82" s="199"/>
      <c r="F82" s="214"/>
      <c r="G82" s="206"/>
      <c r="H82" s="6"/>
      <c r="I82" s="215"/>
      <c r="J82" s="215"/>
      <c r="K82" s="215"/>
      <c r="L82" s="215"/>
      <c r="M82" s="215"/>
      <c r="N82" s="215"/>
      <c r="O82" s="212"/>
      <c r="P82" s="328"/>
      <c r="Q82" s="328"/>
      <c r="R82" s="199"/>
    </row>
    <row r="83" spans="1:18" outlineLevel="1">
      <c r="A83" s="1"/>
      <c r="B83" s="199"/>
      <c r="C83" s="199"/>
      <c r="D83" s="200"/>
      <c r="E83" s="199"/>
      <c r="F83" s="214"/>
      <c r="G83" s="206"/>
      <c r="H83" s="6"/>
      <c r="I83" s="215"/>
      <c r="J83" s="215"/>
      <c r="K83" s="215"/>
      <c r="L83" s="215"/>
      <c r="M83" s="215"/>
      <c r="N83" s="215"/>
      <c r="O83" s="212"/>
      <c r="P83" s="328"/>
      <c r="Q83" s="328"/>
      <c r="R83" s="199"/>
    </row>
    <row r="84" spans="1:18" outlineLevel="1">
      <c r="A84" s="1"/>
      <c r="B84" s="199"/>
      <c r="C84" s="199"/>
      <c r="D84" s="200"/>
      <c r="E84" s="199"/>
      <c r="F84" s="214"/>
      <c r="G84" s="206"/>
      <c r="H84" s="6"/>
      <c r="I84" s="215"/>
      <c r="J84" s="215"/>
      <c r="K84" s="215"/>
      <c r="L84" s="215"/>
      <c r="M84" s="215"/>
      <c r="N84" s="215"/>
      <c r="O84" s="212"/>
      <c r="P84" s="328"/>
      <c r="Q84" s="328"/>
      <c r="R84" s="199"/>
    </row>
    <row r="85" spans="1:18" outlineLevel="1">
      <c r="A85" s="1"/>
      <c r="B85" s="199"/>
      <c r="C85" s="199"/>
      <c r="D85" s="200"/>
      <c r="E85" s="199"/>
      <c r="F85" s="214"/>
      <c r="G85" s="206"/>
      <c r="H85" s="6"/>
      <c r="I85" s="215"/>
      <c r="J85" s="215"/>
      <c r="K85" s="215"/>
      <c r="L85" s="215"/>
      <c r="M85" s="215"/>
      <c r="N85" s="215"/>
      <c r="O85" s="212"/>
      <c r="P85" s="328"/>
      <c r="Q85" s="328"/>
      <c r="R85" s="199"/>
    </row>
    <row r="86" spans="1:18" outlineLevel="1">
      <c r="A86" s="1"/>
      <c r="B86" s="199"/>
      <c r="C86" s="199"/>
      <c r="D86" s="200"/>
      <c r="E86" s="199"/>
      <c r="F86" s="214"/>
      <c r="G86" s="206"/>
      <c r="H86" s="6"/>
      <c r="I86" s="215"/>
      <c r="J86" s="215"/>
      <c r="K86" s="215"/>
      <c r="L86" s="215"/>
      <c r="M86" s="215"/>
      <c r="N86" s="215"/>
      <c r="O86" s="212"/>
      <c r="P86" s="328"/>
      <c r="Q86" s="328"/>
      <c r="R86" s="199"/>
    </row>
    <row r="87" spans="1:18" outlineLevel="1">
      <c r="A87" s="1"/>
      <c r="B87" s="199"/>
      <c r="C87" s="199"/>
      <c r="D87" s="200"/>
      <c r="E87" s="199"/>
      <c r="F87" s="214"/>
      <c r="G87" s="206"/>
      <c r="H87" s="6"/>
      <c r="I87" s="215"/>
      <c r="J87" s="215"/>
      <c r="K87" s="215"/>
      <c r="L87" s="215"/>
      <c r="M87" s="215"/>
      <c r="N87" s="215"/>
      <c r="O87" s="212"/>
      <c r="P87" s="328"/>
      <c r="Q87" s="328"/>
      <c r="R87" s="199"/>
    </row>
    <row r="88" spans="1:18" outlineLevel="1">
      <c r="A88" s="1"/>
      <c r="B88" s="199"/>
      <c r="C88" s="199"/>
      <c r="D88" s="200"/>
      <c r="E88" s="199"/>
      <c r="F88" s="214"/>
      <c r="G88" s="206"/>
      <c r="H88" s="6"/>
      <c r="I88" s="215"/>
      <c r="J88" s="215"/>
      <c r="K88" s="215"/>
      <c r="L88" s="215"/>
      <c r="M88" s="215"/>
      <c r="N88" s="215"/>
      <c r="O88" s="212"/>
      <c r="P88" s="328"/>
      <c r="Q88" s="328"/>
      <c r="R88" s="199"/>
    </row>
    <row r="89" spans="1:18" outlineLevel="1">
      <c r="A89" s="1"/>
      <c r="B89" s="199"/>
      <c r="C89" s="199"/>
      <c r="D89" s="200"/>
      <c r="E89" s="199"/>
      <c r="F89" s="214"/>
      <c r="G89" s="206"/>
      <c r="H89" s="6"/>
      <c r="I89" s="215"/>
      <c r="J89" s="215"/>
      <c r="K89" s="215"/>
      <c r="L89" s="215"/>
      <c r="M89" s="215"/>
      <c r="N89" s="215"/>
      <c r="O89" s="212"/>
      <c r="P89" s="328"/>
      <c r="Q89" s="328"/>
      <c r="R89" s="199"/>
    </row>
    <row r="90" spans="1:18" outlineLevel="1">
      <c r="A90" s="1"/>
      <c r="B90" s="199"/>
      <c r="C90" s="199"/>
      <c r="D90" s="200"/>
      <c r="E90" s="199"/>
      <c r="F90" s="214"/>
      <c r="G90" s="206"/>
      <c r="H90" s="6"/>
      <c r="I90" s="215"/>
      <c r="J90" s="215"/>
      <c r="K90" s="215"/>
      <c r="L90" s="215"/>
      <c r="M90" s="215"/>
      <c r="N90" s="215"/>
      <c r="O90" s="212"/>
      <c r="P90" s="328"/>
      <c r="Q90" s="328"/>
      <c r="R90" s="199"/>
    </row>
    <row r="91" spans="1:18" outlineLevel="1">
      <c r="A91" s="1"/>
      <c r="B91" s="199"/>
      <c r="C91" s="199"/>
      <c r="D91" s="200"/>
      <c r="E91" s="199"/>
      <c r="F91" s="214"/>
      <c r="G91" s="206"/>
      <c r="H91" s="6"/>
      <c r="I91" s="215"/>
      <c r="J91" s="215"/>
      <c r="K91" s="215"/>
      <c r="L91" s="215"/>
      <c r="M91" s="215"/>
      <c r="N91" s="215"/>
      <c r="O91" s="212"/>
      <c r="P91" s="328"/>
      <c r="Q91" s="328"/>
      <c r="R91" s="199"/>
    </row>
    <row r="92" spans="1:18" outlineLevel="1">
      <c r="A92" s="1"/>
      <c r="B92" s="199"/>
      <c r="C92" s="199"/>
      <c r="D92" s="200"/>
      <c r="E92" s="199"/>
      <c r="F92" s="214"/>
      <c r="G92" s="206"/>
      <c r="H92" s="6"/>
      <c r="I92" s="215"/>
      <c r="J92" s="215"/>
      <c r="K92" s="215"/>
      <c r="L92" s="215"/>
      <c r="M92" s="215"/>
      <c r="N92" s="215"/>
      <c r="O92" s="212"/>
      <c r="P92" s="328"/>
      <c r="Q92" s="328"/>
      <c r="R92" s="199"/>
    </row>
    <row r="93" spans="1:18" outlineLevel="1">
      <c r="A93" s="1"/>
      <c r="B93" s="199"/>
      <c r="C93" s="199"/>
      <c r="D93" s="200"/>
      <c r="E93" s="199"/>
      <c r="F93" s="214"/>
      <c r="G93" s="206"/>
      <c r="H93" s="6"/>
      <c r="I93" s="215"/>
      <c r="J93" s="215"/>
      <c r="K93" s="215"/>
      <c r="L93" s="215"/>
      <c r="M93" s="215"/>
      <c r="N93" s="215"/>
      <c r="O93" s="212"/>
      <c r="P93" s="328"/>
      <c r="Q93" s="328"/>
      <c r="R93" s="199"/>
    </row>
    <row r="94" spans="1:18" outlineLevel="1">
      <c r="A94" s="1"/>
      <c r="B94" s="199"/>
      <c r="C94" s="199"/>
      <c r="D94" s="200"/>
      <c r="E94" s="199"/>
      <c r="F94" s="214"/>
      <c r="G94" s="206"/>
      <c r="H94" s="6"/>
      <c r="I94" s="215"/>
      <c r="J94" s="215"/>
      <c r="K94" s="215"/>
      <c r="L94" s="215"/>
      <c r="M94" s="215"/>
      <c r="N94" s="215"/>
      <c r="O94" s="212"/>
      <c r="P94" s="328"/>
      <c r="Q94" s="328"/>
      <c r="R94" s="199"/>
    </row>
    <row r="95" spans="1:18" outlineLevel="1">
      <c r="A95" s="1"/>
      <c r="B95" s="199"/>
      <c r="C95" s="199"/>
      <c r="D95" s="200"/>
      <c r="E95" s="199"/>
      <c r="F95" s="214"/>
      <c r="G95" s="206"/>
      <c r="H95" s="6"/>
      <c r="I95" s="215"/>
      <c r="J95" s="215"/>
      <c r="K95" s="215"/>
      <c r="L95" s="215"/>
      <c r="M95" s="215"/>
      <c r="N95" s="215"/>
      <c r="O95" s="212"/>
      <c r="P95" s="328"/>
      <c r="Q95" s="328"/>
      <c r="R95" s="199"/>
    </row>
    <row r="96" spans="1:18" outlineLevel="1">
      <c r="A96" s="1"/>
      <c r="B96" s="199"/>
      <c r="C96" s="199"/>
      <c r="D96" s="200"/>
      <c r="E96" s="199"/>
      <c r="F96" s="214"/>
      <c r="G96" s="206"/>
      <c r="H96" s="6"/>
      <c r="I96" s="215"/>
      <c r="J96" s="215"/>
      <c r="K96" s="215"/>
      <c r="L96" s="215"/>
      <c r="M96" s="215"/>
      <c r="N96" s="215"/>
      <c r="O96" s="212"/>
      <c r="P96" s="328"/>
      <c r="Q96" s="328"/>
      <c r="R96" s="199"/>
    </row>
    <row r="97" spans="1:19" outlineLevel="1">
      <c r="A97" s="1"/>
      <c r="B97" s="199"/>
      <c r="C97" s="199"/>
      <c r="D97" s="200"/>
      <c r="E97" s="199"/>
      <c r="F97" s="214"/>
      <c r="G97" s="206"/>
      <c r="H97" s="6"/>
      <c r="I97" s="215"/>
      <c r="J97" s="215"/>
      <c r="K97" s="215"/>
      <c r="L97" s="215"/>
      <c r="M97" s="215"/>
      <c r="N97" s="215"/>
      <c r="O97" s="212"/>
      <c r="P97" s="328"/>
      <c r="Q97" s="328"/>
      <c r="R97" s="199"/>
    </row>
    <row r="98" spans="1:19" outlineLevel="1">
      <c r="A98" s="1"/>
      <c r="B98" s="199"/>
      <c r="C98" s="199"/>
      <c r="D98" s="200"/>
      <c r="E98" s="199"/>
      <c r="F98" s="214"/>
      <c r="G98" s="206"/>
      <c r="H98" s="6"/>
      <c r="I98" s="215"/>
      <c r="J98" s="215"/>
      <c r="K98" s="215"/>
      <c r="L98" s="215"/>
      <c r="M98" s="215"/>
      <c r="N98" s="215"/>
      <c r="O98" s="212"/>
      <c r="P98" s="328"/>
      <c r="Q98" s="328"/>
      <c r="R98" s="199"/>
    </row>
    <row r="99" spans="1:19" outlineLevel="1">
      <c r="A99" s="1"/>
      <c r="B99" s="199"/>
      <c r="C99" s="199"/>
      <c r="D99" s="200"/>
      <c r="E99" s="199"/>
      <c r="F99" s="214"/>
      <c r="G99" s="206"/>
      <c r="H99" s="6"/>
      <c r="I99" s="215"/>
      <c r="J99" s="215"/>
      <c r="K99" s="215"/>
      <c r="L99" s="215"/>
      <c r="M99" s="215"/>
      <c r="N99" s="215"/>
      <c r="O99" s="212"/>
      <c r="P99" s="328"/>
      <c r="Q99" s="328"/>
      <c r="R99" s="199"/>
    </row>
    <row r="100" spans="1:19" outlineLevel="1">
      <c r="A100" s="1"/>
      <c r="B100" s="199"/>
      <c r="C100" s="199"/>
      <c r="D100" s="200"/>
      <c r="E100" s="199"/>
      <c r="F100" s="214"/>
      <c r="G100" s="206"/>
      <c r="H100" s="6"/>
      <c r="I100" s="215"/>
      <c r="J100" s="215"/>
      <c r="K100" s="215"/>
      <c r="L100" s="215"/>
      <c r="M100" s="215"/>
      <c r="N100" s="215"/>
      <c r="O100" s="212"/>
      <c r="P100" s="328"/>
      <c r="Q100" s="328"/>
      <c r="R100" s="199"/>
    </row>
    <row r="101" spans="1:19" outlineLevel="1">
      <c r="A101" s="1"/>
      <c r="B101" s="199"/>
      <c r="C101" s="199"/>
      <c r="D101" s="200"/>
      <c r="E101" s="199"/>
      <c r="F101" s="214"/>
      <c r="G101" s="206"/>
      <c r="H101" s="6"/>
      <c r="I101" s="215"/>
      <c r="J101" s="215"/>
      <c r="K101" s="215"/>
      <c r="L101" s="215"/>
      <c r="M101" s="215"/>
      <c r="N101" s="215"/>
      <c r="O101" s="212"/>
      <c r="P101" s="328"/>
      <c r="Q101" s="328"/>
      <c r="R101" s="199"/>
    </row>
    <row r="102" spans="1:19" outlineLevel="1">
      <c r="A102" s="1"/>
      <c r="B102" s="199"/>
      <c r="C102" s="199"/>
      <c r="D102" s="200"/>
      <c r="E102" s="199"/>
      <c r="F102" s="214"/>
      <c r="G102" s="206"/>
      <c r="H102" s="6"/>
      <c r="I102" s="215"/>
      <c r="J102" s="215"/>
      <c r="K102" s="215"/>
      <c r="L102" s="215"/>
      <c r="M102" s="215"/>
      <c r="N102" s="215"/>
      <c r="O102" s="212"/>
      <c r="P102" s="328"/>
      <c r="Q102" s="328"/>
      <c r="R102" s="199"/>
    </row>
    <row r="103" spans="1:19" outlineLevel="1">
      <c r="A103" s="1"/>
      <c r="B103" s="199"/>
      <c r="C103" s="199"/>
      <c r="D103" s="200"/>
      <c r="E103" s="199"/>
      <c r="F103" s="214"/>
      <c r="G103" s="206"/>
      <c r="H103" s="6"/>
      <c r="I103" s="215"/>
      <c r="J103" s="215"/>
      <c r="K103" s="215"/>
      <c r="L103" s="215"/>
      <c r="M103" s="215"/>
      <c r="N103" s="215"/>
      <c r="O103" s="212"/>
      <c r="P103" s="328"/>
      <c r="Q103" s="328"/>
      <c r="R103" s="199"/>
    </row>
    <row r="104" spans="1:19" outlineLevel="1">
      <c r="A104" s="1"/>
      <c r="B104" s="199"/>
      <c r="C104" s="199"/>
      <c r="D104" s="200"/>
      <c r="E104" s="199"/>
      <c r="F104" s="214"/>
      <c r="G104" s="206"/>
      <c r="H104" s="6"/>
      <c r="I104" s="215"/>
      <c r="J104" s="215"/>
      <c r="K104" s="215"/>
      <c r="L104" s="215"/>
      <c r="M104" s="215"/>
      <c r="N104" s="215"/>
      <c r="O104" s="212"/>
      <c r="P104" s="328"/>
      <c r="Q104" s="328"/>
      <c r="R104" s="199"/>
    </row>
    <row r="105" spans="1:19" outlineLevel="1">
      <c r="A105" s="1"/>
      <c r="B105" s="199"/>
      <c r="C105" s="199"/>
      <c r="D105" s="200"/>
      <c r="E105" s="199"/>
      <c r="F105" s="214"/>
      <c r="G105" s="206"/>
      <c r="H105" s="6"/>
      <c r="I105" s="215"/>
      <c r="J105" s="215"/>
      <c r="K105" s="215"/>
      <c r="L105" s="215"/>
      <c r="M105" s="215"/>
      <c r="N105" s="215"/>
      <c r="O105" s="212"/>
      <c r="P105" s="328"/>
      <c r="Q105" s="328"/>
      <c r="R105" s="199"/>
    </row>
    <row r="106" spans="1:19" outlineLevel="1">
      <c r="A106" s="1"/>
      <c r="B106" s="199"/>
      <c r="C106" s="199"/>
      <c r="D106" s="200"/>
      <c r="E106" s="199"/>
      <c r="F106" s="214"/>
      <c r="G106" s="206"/>
      <c r="H106" s="6"/>
      <c r="I106" s="215"/>
      <c r="J106" s="215"/>
      <c r="K106" s="215"/>
      <c r="L106" s="215"/>
      <c r="M106" s="215"/>
      <c r="N106" s="215"/>
      <c r="O106" s="212"/>
      <c r="P106" s="328"/>
      <c r="Q106" s="328"/>
      <c r="R106" s="199"/>
    </row>
    <row r="107" spans="1:19" s="194" customFormat="1">
      <c r="A107" s="193" t="s">
        <v>540</v>
      </c>
      <c r="I107" s="281"/>
      <c r="J107" s="281"/>
      <c r="K107" s="281"/>
      <c r="L107" s="281"/>
      <c r="M107" s="281"/>
      <c r="N107" s="281"/>
      <c r="O107" s="281"/>
      <c r="P107" s="281"/>
      <c r="Q107" s="281"/>
      <c r="R107" s="281"/>
    </row>
    <row r="108" spans="1:19" s="194" customFormat="1" outlineLevel="1">
      <c r="A108" s="193"/>
      <c r="I108" s="281"/>
      <c r="J108" s="281"/>
      <c r="K108" s="281"/>
      <c r="L108" s="281"/>
      <c r="M108" s="281"/>
      <c r="N108" s="281"/>
      <c r="O108" s="281"/>
      <c r="P108" s="281"/>
      <c r="Q108" s="281"/>
      <c r="R108" s="281"/>
    </row>
    <row r="109" spans="1:19" s="194" customFormat="1" ht="30" outlineLevel="1">
      <c r="B109" s="198" t="s">
        <v>322</v>
      </c>
      <c r="C109" s="198" t="s">
        <v>323</v>
      </c>
      <c r="D109" s="198" t="s">
        <v>161</v>
      </c>
      <c r="E109" s="198" t="s">
        <v>325</v>
      </c>
      <c r="F109" s="198" t="s">
        <v>328</v>
      </c>
      <c r="G109" s="198" t="s">
        <v>326</v>
      </c>
      <c r="H109" s="198" t="s">
        <v>327</v>
      </c>
      <c r="I109" s="198" t="s">
        <v>329</v>
      </c>
      <c r="J109" s="198" t="s">
        <v>330</v>
      </c>
      <c r="K109" s="198" t="s">
        <v>331</v>
      </c>
      <c r="L109" s="198" t="s">
        <v>332</v>
      </c>
      <c r="M109" s="198" t="s">
        <v>333</v>
      </c>
      <c r="N109" s="198" t="s">
        <v>334</v>
      </c>
      <c r="O109" s="198" t="s">
        <v>335</v>
      </c>
      <c r="P109" s="326" t="s">
        <v>508</v>
      </c>
      <c r="Q109" s="326" t="s">
        <v>509</v>
      </c>
      <c r="R109" s="198" t="s">
        <v>514</v>
      </c>
    </row>
    <row r="110" spans="1:19" outlineLevel="1">
      <c r="B110" s="349"/>
      <c r="C110" s="349"/>
      <c r="D110" s="349"/>
      <c r="E110" s="349"/>
      <c r="F110" s="349"/>
      <c r="G110" s="349"/>
      <c r="H110" s="349"/>
      <c r="I110" s="349"/>
      <c r="J110" s="349"/>
      <c r="K110" s="349"/>
      <c r="L110" s="349"/>
      <c r="M110" s="349"/>
      <c r="N110" s="349"/>
      <c r="O110" s="349"/>
      <c r="P110" s="349"/>
      <c r="Q110" s="349"/>
      <c r="R110" s="349"/>
      <c r="S110" s="194"/>
    </row>
    <row r="111" spans="1:19" outlineLevel="1">
      <c r="B111" s="349"/>
      <c r="C111" s="349"/>
      <c r="D111" s="349"/>
      <c r="E111" s="349"/>
      <c r="F111" s="349"/>
      <c r="G111" s="349"/>
      <c r="H111" s="349"/>
      <c r="I111" s="349"/>
      <c r="J111" s="349"/>
      <c r="K111" s="349"/>
      <c r="L111" s="349"/>
      <c r="M111" s="349"/>
      <c r="N111" s="349"/>
      <c r="O111" s="349"/>
      <c r="P111" s="349"/>
      <c r="Q111" s="349"/>
      <c r="R111" s="349"/>
      <c r="S111" s="194"/>
    </row>
    <row r="112" spans="1:19" outlineLevel="1">
      <c r="B112" s="349"/>
      <c r="C112" s="349"/>
      <c r="D112" s="349"/>
      <c r="E112" s="349"/>
      <c r="F112" s="349"/>
      <c r="G112" s="349"/>
      <c r="H112" s="349"/>
      <c r="I112" s="349"/>
      <c r="J112" s="349"/>
      <c r="K112" s="349"/>
      <c r="L112" s="349"/>
      <c r="M112" s="349"/>
      <c r="N112" s="349"/>
      <c r="O112" s="349"/>
      <c r="P112" s="349"/>
      <c r="Q112" s="349"/>
      <c r="R112" s="349"/>
    </row>
    <row r="113" spans="2:18" outlineLevel="1">
      <c r="B113" s="349"/>
      <c r="C113" s="349"/>
      <c r="D113" s="349"/>
      <c r="E113" s="349"/>
      <c r="F113" s="349"/>
      <c r="G113" s="349"/>
      <c r="H113" s="349"/>
      <c r="I113" s="349"/>
      <c r="J113" s="349"/>
      <c r="K113" s="349"/>
      <c r="L113" s="349"/>
      <c r="M113" s="349"/>
      <c r="N113" s="349"/>
      <c r="O113" s="349"/>
      <c r="P113" s="349"/>
      <c r="Q113" s="349"/>
      <c r="R113" s="349"/>
    </row>
    <row r="114" spans="2:18" outlineLevel="1">
      <c r="B114" s="349"/>
      <c r="C114" s="349"/>
      <c r="D114" s="349"/>
      <c r="E114" s="349"/>
      <c r="F114" s="349"/>
      <c r="G114" s="349"/>
      <c r="H114" s="349"/>
      <c r="I114" s="349"/>
      <c r="J114" s="349"/>
      <c r="K114" s="349"/>
      <c r="L114" s="349"/>
      <c r="M114" s="349"/>
      <c r="N114" s="349"/>
      <c r="O114" s="349"/>
      <c r="P114" s="349"/>
      <c r="Q114" s="349"/>
      <c r="R114" s="349"/>
    </row>
    <row r="115" spans="2:18" outlineLevel="1">
      <c r="B115" s="349"/>
      <c r="C115" s="349"/>
      <c r="D115" s="349"/>
      <c r="E115" s="349"/>
      <c r="F115" s="349"/>
      <c r="G115" s="349"/>
      <c r="H115" s="349"/>
      <c r="I115" s="349"/>
      <c r="J115" s="349"/>
      <c r="K115" s="349"/>
      <c r="L115" s="349"/>
      <c r="M115" s="349"/>
      <c r="N115" s="349"/>
      <c r="O115" s="349"/>
      <c r="P115" s="349"/>
      <c r="Q115" s="349"/>
      <c r="R115" s="349"/>
    </row>
    <row r="116" spans="2:18" outlineLevel="1">
      <c r="B116" s="349"/>
      <c r="C116" s="349"/>
      <c r="D116" s="349"/>
      <c r="E116" s="349"/>
      <c r="F116" s="349"/>
      <c r="G116" s="349"/>
      <c r="H116" s="349"/>
      <c r="I116" s="349"/>
      <c r="J116" s="349"/>
      <c r="K116" s="349"/>
      <c r="L116" s="349"/>
      <c r="M116" s="349"/>
      <c r="N116" s="349"/>
      <c r="O116" s="349"/>
      <c r="P116" s="349"/>
      <c r="Q116" s="349"/>
      <c r="R116" s="349"/>
    </row>
    <row r="117" spans="2:18" outlineLevel="1">
      <c r="B117" s="349"/>
      <c r="C117" s="349"/>
      <c r="D117" s="349"/>
      <c r="E117" s="349"/>
      <c r="F117" s="349"/>
      <c r="G117" s="349"/>
      <c r="H117" s="349"/>
      <c r="I117" s="349"/>
      <c r="J117" s="349"/>
      <c r="K117" s="349"/>
      <c r="L117" s="349"/>
      <c r="M117" s="349"/>
      <c r="N117" s="349"/>
      <c r="O117" s="349"/>
      <c r="P117" s="349"/>
      <c r="Q117" s="349"/>
      <c r="R117" s="349"/>
    </row>
    <row r="118" spans="2:18" outlineLevel="1">
      <c r="B118" s="349"/>
      <c r="C118" s="349"/>
      <c r="D118" s="349"/>
      <c r="E118" s="349"/>
      <c r="F118" s="349"/>
      <c r="G118" s="349"/>
      <c r="H118" s="349"/>
      <c r="I118" s="349"/>
      <c r="J118" s="349"/>
      <c r="K118" s="349"/>
      <c r="L118" s="349"/>
      <c r="M118" s="349"/>
      <c r="N118" s="349"/>
      <c r="O118" s="349"/>
      <c r="P118" s="349"/>
      <c r="Q118" s="349"/>
      <c r="R118" s="349"/>
    </row>
    <row r="119" spans="2:18" outlineLevel="1">
      <c r="B119" s="349"/>
      <c r="C119" s="349"/>
      <c r="D119" s="349"/>
      <c r="E119" s="349"/>
      <c r="F119" s="349"/>
      <c r="G119" s="349"/>
      <c r="H119" s="349"/>
      <c r="I119" s="349"/>
      <c r="J119" s="349"/>
      <c r="K119" s="349"/>
      <c r="L119" s="349"/>
      <c r="M119" s="349"/>
      <c r="N119" s="349"/>
      <c r="O119" s="349"/>
      <c r="P119" s="349"/>
      <c r="Q119" s="349"/>
      <c r="R119" s="349"/>
    </row>
    <row r="120" spans="2:18" outlineLevel="1">
      <c r="B120" s="349"/>
      <c r="C120" s="349"/>
      <c r="D120" s="349"/>
      <c r="E120" s="349"/>
      <c r="F120" s="349"/>
      <c r="G120" s="349"/>
      <c r="H120" s="349"/>
      <c r="I120" s="349"/>
      <c r="J120" s="349"/>
      <c r="K120" s="349"/>
      <c r="L120" s="349"/>
      <c r="M120" s="349"/>
      <c r="N120" s="349"/>
      <c r="O120" s="349"/>
      <c r="P120" s="349"/>
      <c r="Q120" s="349"/>
      <c r="R120" s="349"/>
    </row>
    <row r="121" spans="2:18" outlineLevel="1">
      <c r="B121" s="349"/>
      <c r="C121" s="349"/>
      <c r="D121" s="349"/>
      <c r="E121" s="349"/>
      <c r="F121" s="349"/>
      <c r="G121" s="349"/>
      <c r="H121" s="349"/>
      <c r="I121" s="349"/>
      <c r="J121" s="349"/>
      <c r="K121" s="349"/>
      <c r="L121" s="349"/>
      <c r="M121" s="349"/>
      <c r="N121" s="349"/>
      <c r="O121" s="349"/>
      <c r="P121" s="349"/>
      <c r="Q121" s="349"/>
      <c r="R121" s="349"/>
    </row>
    <row r="122" spans="2:18" outlineLevel="1">
      <c r="B122" s="349"/>
      <c r="C122" s="349"/>
      <c r="D122" s="349"/>
      <c r="E122" s="349"/>
      <c r="F122" s="349"/>
      <c r="G122" s="349"/>
      <c r="H122" s="349"/>
      <c r="I122" s="349"/>
      <c r="J122" s="349"/>
      <c r="K122" s="349"/>
      <c r="L122" s="349"/>
      <c r="M122" s="349"/>
      <c r="N122" s="349"/>
      <c r="O122" s="349"/>
      <c r="P122" s="349"/>
      <c r="Q122" s="349"/>
      <c r="R122" s="349"/>
    </row>
    <row r="123" spans="2:18" outlineLevel="1">
      <c r="B123" s="349"/>
      <c r="C123" s="349"/>
      <c r="D123" s="349"/>
      <c r="E123" s="349"/>
      <c r="F123" s="349"/>
      <c r="G123" s="349"/>
      <c r="H123" s="349"/>
      <c r="I123" s="349"/>
      <c r="J123" s="349"/>
      <c r="K123" s="349"/>
      <c r="L123" s="349"/>
      <c r="M123" s="349"/>
      <c r="N123" s="349"/>
      <c r="O123" s="349"/>
      <c r="P123" s="349"/>
      <c r="Q123" s="349"/>
      <c r="R123" s="349"/>
    </row>
    <row r="124" spans="2:18" outlineLevel="1">
      <c r="B124" s="349"/>
      <c r="C124" s="349"/>
      <c r="D124" s="349"/>
      <c r="E124" s="349"/>
      <c r="F124" s="349"/>
      <c r="G124" s="349"/>
      <c r="H124" s="349"/>
      <c r="I124" s="349"/>
      <c r="J124" s="349"/>
      <c r="K124" s="349"/>
      <c r="L124" s="349"/>
      <c r="M124" s="349"/>
      <c r="N124" s="349"/>
      <c r="O124" s="349"/>
      <c r="P124" s="349"/>
      <c r="Q124" s="349"/>
      <c r="R124" s="349"/>
    </row>
    <row r="125" spans="2:18" outlineLevel="1">
      <c r="B125" s="349"/>
      <c r="C125" s="349"/>
      <c r="D125" s="349"/>
      <c r="E125" s="349"/>
      <c r="F125" s="349"/>
      <c r="G125" s="349"/>
      <c r="H125" s="349"/>
      <c r="I125" s="349"/>
      <c r="J125" s="349"/>
      <c r="K125" s="349"/>
      <c r="L125" s="349"/>
      <c r="M125" s="349"/>
      <c r="N125" s="349"/>
      <c r="O125" s="349"/>
      <c r="P125" s="349"/>
      <c r="Q125" s="349"/>
      <c r="R125" s="349"/>
    </row>
    <row r="126" spans="2:18" outlineLevel="1">
      <c r="B126" s="349"/>
      <c r="C126" s="349"/>
      <c r="D126" s="349"/>
      <c r="E126" s="349"/>
      <c r="F126" s="349"/>
      <c r="G126" s="349"/>
      <c r="H126" s="349"/>
      <c r="I126" s="349"/>
      <c r="J126" s="349"/>
      <c r="K126" s="349"/>
      <c r="L126" s="349"/>
      <c r="M126" s="349"/>
      <c r="N126" s="349"/>
      <c r="O126" s="349"/>
      <c r="P126" s="349"/>
      <c r="Q126" s="349"/>
      <c r="R126" s="349"/>
    </row>
    <row r="127" spans="2:18" outlineLevel="1">
      <c r="B127" s="349"/>
      <c r="C127" s="349"/>
      <c r="D127" s="349"/>
      <c r="E127" s="349"/>
      <c r="F127" s="349"/>
      <c r="G127" s="349"/>
      <c r="H127" s="349"/>
      <c r="I127" s="349"/>
      <c r="J127" s="349"/>
      <c r="K127" s="349"/>
      <c r="L127" s="349"/>
      <c r="M127" s="349"/>
      <c r="N127" s="349"/>
      <c r="O127" s="349"/>
      <c r="P127" s="349"/>
      <c r="Q127" s="349"/>
      <c r="R127" s="349"/>
    </row>
    <row r="128" spans="2:18" outlineLevel="1">
      <c r="B128" s="349"/>
      <c r="C128" s="349"/>
      <c r="D128" s="349"/>
      <c r="E128" s="349"/>
      <c r="F128" s="349"/>
      <c r="G128" s="349"/>
      <c r="H128" s="349"/>
      <c r="I128" s="349"/>
      <c r="J128" s="349"/>
      <c r="K128" s="349"/>
      <c r="L128" s="349"/>
      <c r="M128" s="349"/>
      <c r="N128" s="349"/>
      <c r="O128" s="349"/>
      <c r="P128" s="349"/>
      <c r="Q128" s="349"/>
      <c r="R128" s="349"/>
    </row>
    <row r="129" spans="2:18" outlineLevel="1">
      <c r="B129" s="349"/>
      <c r="C129" s="349"/>
      <c r="D129" s="349"/>
      <c r="E129" s="349"/>
      <c r="F129" s="349"/>
      <c r="G129" s="349"/>
      <c r="H129" s="349"/>
      <c r="I129" s="349"/>
      <c r="J129" s="349"/>
      <c r="K129" s="349"/>
      <c r="L129" s="349"/>
      <c r="M129" s="349"/>
      <c r="N129" s="349"/>
      <c r="O129" s="349"/>
      <c r="P129" s="349"/>
      <c r="Q129" s="349"/>
      <c r="R129" s="349"/>
    </row>
  </sheetData>
  <conditionalFormatting sqref="G5:G22">
    <cfRule type="expression" dxfId="8" priority="20">
      <formula>$G5&lt;&gt;$F5</formula>
    </cfRule>
  </conditionalFormatting>
  <hyperlinks>
    <hyperlink ref="A1" location="'TOC'!A1" display="TOC"/>
  </hyperlink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outlinePr summaryBelow="0" summaryRight="0"/>
  </sheetPr>
  <dimension ref="A1:A83"/>
  <sheetViews>
    <sheetView showGridLines="0" zoomScale="70" zoomScaleNormal="70" workbookViewId="0"/>
  </sheetViews>
  <sheetFormatPr defaultRowHeight="15.5" outlineLevelRow="1"/>
  <sheetData>
    <row r="1" spans="1:1">
      <c r="A1" s="354" t="s">
        <v>467</v>
      </c>
    </row>
    <row r="3" spans="1:1" s="1" customFormat="1">
      <c r="A3" s="193" t="s">
        <v>541</v>
      </c>
    </row>
    <row r="4" spans="1:1" s="1" customFormat="1" outlineLevel="1">
      <c r="A4"/>
    </row>
    <row r="5" spans="1:1" s="1" customFormat="1" outlineLevel="1">
      <c r="A5"/>
    </row>
    <row r="6" spans="1:1" s="1" customFormat="1" outlineLevel="1">
      <c r="A6"/>
    </row>
    <row r="7" spans="1:1" s="1" customFormat="1" outlineLevel="1">
      <c r="A7"/>
    </row>
    <row r="8" spans="1:1" s="1" customFormat="1" outlineLevel="1">
      <c r="A8"/>
    </row>
    <row r="9" spans="1:1" s="1" customFormat="1" outlineLevel="1">
      <c r="A9"/>
    </row>
    <row r="10" spans="1:1" s="1" customFormat="1" outlineLevel="1">
      <c r="A10"/>
    </row>
    <row r="11" spans="1:1" s="1" customFormat="1" outlineLevel="1">
      <c r="A11"/>
    </row>
    <row r="12" spans="1:1" s="1" customFormat="1" outlineLevel="1">
      <c r="A12"/>
    </row>
    <row r="13" spans="1:1" s="1" customFormat="1" outlineLevel="1">
      <c r="A13"/>
    </row>
    <row r="14" spans="1:1" s="1" customFormat="1" outlineLevel="1">
      <c r="A14"/>
    </row>
    <row r="15" spans="1:1" s="1" customFormat="1" outlineLevel="1">
      <c r="A15"/>
    </row>
    <row r="16" spans="1:1" s="1" customFormat="1" outlineLevel="1">
      <c r="A16"/>
    </row>
    <row r="17" spans="1:1" s="1" customFormat="1" outlineLevel="1">
      <c r="A17"/>
    </row>
    <row r="18" spans="1:1" s="1" customFormat="1" outlineLevel="1">
      <c r="A18"/>
    </row>
    <row r="19" spans="1:1" s="1" customFormat="1" outlineLevel="1">
      <c r="A19"/>
    </row>
    <row r="20" spans="1:1" s="1" customFormat="1" outlineLevel="1">
      <c r="A20"/>
    </row>
    <row r="21" spans="1:1" s="1" customFormat="1" outlineLevel="1">
      <c r="A21"/>
    </row>
    <row r="22" spans="1:1" s="1" customFormat="1" outlineLevel="1">
      <c r="A22"/>
    </row>
    <row r="23" spans="1:1" s="1" customFormat="1" outlineLevel="1">
      <c r="A23"/>
    </row>
    <row r="24" spans="1:1" s="1" customFormat="1" outlineLevel="1">
      <c r="A24"/>
    </row>
    <row r="25" spans="1:1" s="1" customFormat="1" outlineLevel="1">
      <c r="A25"/>
    </row>
    <row r="26" spans="1:1" s="1" customFormat="1" outlineLevel="1">
      <c r="A26"/>
    </row>
    <row r="27" spans="1:1" s="1" customFormat="1" outlineLevel="1">
      <c r="A27"/>
    </row>
    <row r="28" spans="1:1" s="1" customFormat="1" outlineLevel="1">
      <c r="A28"/>
    </row>
    <row r="29" spans="1:1" s="1" customFormat="1" outlineLevel="1">
      <c r="A29"/>
    </row>
    <row r="30" spans="1:1" s="1" customFormat="1" outlineLevel="1">
      <c r="A30"/>
    </row>
    <row r="31" spans="1:1" s="1" customFormat="1" outlineLevel="1">
      <c r="A31"/>
    </row>
    <row r="32" spans="1:1" s="1" customFormat="1" outlineLevel="1">
      <c r="A32"/>
    </row>
    <row r="33" spans="1:1" s="1" customFormat="1" outlineLevel="1">
      <c r="A33"/>
    </row>
    <row r="34" spans="1:1" s="1" customFormat="1" outlineLevel="1">
      <c r="A34"/>
    </row>
    <row r="35" spans="1:1" s="1" customFormat="1" outlineLevel="1">
      <c r="A35"/>
    </row>
    <row r="36" spans="1:1" s="1" customFormat="1" outlineLevel="1">
      <c r="A36"/>
    </row>
    <row r="37" spans="1:1" s="1" customFormat="1" outlineLevel="1">
      <c r="A37"/>
    </row>
    <row r="38" spans="1:1" s="1" customFormat="1" outlineLevel="1">
      <c r="A38"/>
    </row>
    <row r="39" spans="1:1" s="1" customFormat="1" outlineLevel="1">
      <c r="A39"/>
    </row>
    <row r="40" spans="1:1" s="1" customFormat="1" outlineLevel="1">
      <c r="A40"/>
    </row>
    <row r="41" spans="1:1" s="1" customFormat="1" outlineLevel="1">
      <c r="A41"/>
    </row>
    <row r="42" spans="1:1" s="1" customFormat="1" outlineLevel="1">
      <c r="A42"/>
    </row>
    <row r="43" spans="1:1" s="1" customFormat="1" outlineLevel="1">
      <c r="A43"/>
    </row>
    <row r="44" spans="1:1" s="1" customFormat="1" outlineLevel="1">
      <c r="A44"/>
    </row>
    <row r="45" spans="1:1" s="1" customFormat="1" outlineLevel="1">
      <c r="A45"/>
    </row>
    <row r="46" spans="1:1" s="1" customFormat="1" outlineLevel="1">
      <c r="A46"/>
    </row>
    <row r="47" spans="1:1" s="1" customFormat="1" outlineLevel="1">
      <c r="A47"/>
    </row>
    <row r="48" spans="1:1" s="1" customFormat="1" outlineLevel="1">
      <c r="A48"/>
    </row>
    <row r="49" spans="1:1" s="1" customFormat="1" outlineLevel="1">
      <c r="A49"/>
    </row>
    <row r="50" spans="1:1" s="1" customFormat="1" outlineLevel="1">
      <c r="A50"/>
    </row>
    <row r="51" spans="1:1" s="1" customFormat="1" outlineLevel="1">
      <c r="A51"/>
    </row>
    <row r="52" spans="1:1" s="1" customFormat="1" outlineLevel="1">
      <c r="A52"/>
    </row>
    <row r="53" spans="1:1" s="1" customFormat="1" outlineLevel="1">
      <c r="A53"/>
    </row>
    <row r="54" spans="1:1" s="1" customFormat="1" outlineLevel="1">
      <c r="A54"/>
    </row>
    <row r="55" spans="1:1" s="1" customFormat="1" outlineLevel="1">
      <c r="A55"/>
    </row>
    <row r="56" spans="1:1" s="1" customFormat="1" outlineLevel="1">
      <c r="A56"/>
    </row>
    <row r="57" spans="1:1" s="1" customFormat="1" outlineLevel="1">
      <c r="A57"/>
    </row>
    <row r="58" spans="1:1" s="1" customFormat="1" outlineLevel="1">
      <c r="A58"/>
    </row>
    <row r="59" spans="1:1" s="1" customFormat="1" outlineLevel="1">
      <c r="A59"/>
    </row>
    <row r="60" spans="1:1" s="1" customFormat="1" outlineLevel="1">
      <c r="A60"/>
    </row>
    <row r="61" spans="1:1" s="1" customFormat="1" outlineLevel="1">
      <c r="A61"/>
    </row>
    <row r="62" spans="1:1" s="1" customFormat="1" outlineLevel="1">
      <c r="A62"/>
    </row>
    <row r="63" spans="1:1" s="1" customFormat="1" outlineLevel="1">
      <c r="A63"/>
    </row>
    <row r="64" spans="1:1" s="1" customFormat="1" outlineLevel="1">
      <c r="A64"/>
    </row>
    <row r="65" spans="1:1" s="1" customFormat="1" outlineLevel="1">
      <c r="A65"/>
    </row>
    <row r="66" spans="1:1" s="1" customFormat="1" outlineLevel="1">
      <c r="A66"/>
    </row>
    <row r="67" spans="1:1" s="1" customFormat="1" outlineLevel="1">
      <c r="A67"/>
    </row>
    <row r="68" spans="1:1" s="1" customFormat="1" outlineLevel="1">
      <c r="A68"/>
    </row>
    <row r="69" spans="1:1" s="1" customFormat="1" outlineLevel="1">
      <c r="A69"/>
    </row>
    <row r="70" spans="1:1" s="1" customFormat="1" outlineLevel="1">
      <c r="A70"/>
    </row>
    <row r="71" spans="1:1" s="1" customFormat="1" outlineLevel="1">
      <c r="A71"/>
    </row>
    <row r="72" spans="1:1" s="1" customFormat="1" outlineLevel="1">
      <c r="A72"/>
    </row>
    <row r="73" spans="1:1" s="1" customFormat="1" outlineLevel="1">
      <c r="A73"/>
    </row>
    <row r="74" spans="1:1" s="1" customFormat="1" outlineLevel="1">
      <c r="A74"/>
    </row>
    <row r="75" spans="1:1" s="1" customFormat="1" outlineLevel="1">
      <c r="A75"/>
    </row>
    <row r="76" spans="1:1" s="1" customFormat="1" outlineLevel="1">
      <c r="A76"/>
    </row>
    <row r="77" spans="1:1" s="1" customFormat="1" outlineLevel="1">
      <c r="A77"/>
    </row>
    <row r="78" spans="1:1" s="1" customFormat="1" outlineLevel="1">
      <c r="A78"/>
    </row>
    <row r="79" spans="1:1" s="1" customFormat="1" outlineLevel="1">
      <c r="A79"/>
    </row>
    <row r="80" spans="1:1" s="1" customFormat="1" outlineLevel="1">
      <c r="A80"/>
    </row>
    <row r="81" spans="1:1" s="1" customFormat="1" outlineLevel="1">
      <c r="A81"/>
    </row>
    <row r="82" spans="1:1" s="1" customFormat="1" outlineLevel="1">
      <c r="A82"/>
    </row>
    <row r="83" spans="1:1" s="1" customFormat="1">
      <c r="A83"/>
    </row>
  </sheetData>
  <hyperlinks>
    <hyperlink ref="A1" location="'TOC'!A1" display="TO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0.14999847407452621"/>
  </sheetPr>
  <dimension ref="A1:W8"/>
  <sheetViews>
    <sheetView showGridLines="0" zoomScale="90" zoomScaleNormal="90" workbookViewId="0">
      <selection activeCell="B1" sqref="A1:B1"/>
    </sheetView>
  </sheetViews>
  <sheetFormatPr defaultColWidth="8" defaultRowHeight="14.5"/>
  <cols>
    <col min="1" max="1" width="1" style="3" customWidth="1"/>
    <col min="2" max="16384" width="8" style="3"/>
  </cols>
  <sheetData>
    <row r="1" spans="1:23">
      <c r="A1" s="354" t="s">
        <v>467</v>
      </c>
    </row>
    <row r="2" spans="1:23" ht="5.5" customHeight="1"/>
    <row r="3" spans="1:23">
      <c r="B3" s="136"/>
      <c r="C3" s="137" t="s">
        <v>746</v>
      </c>
      <c r="D3" s="137"/>
      <c r="E3" s="137"/>
      <c r="F3" s="137"/>
      <c r="G3" s="137"/>
      <c r="H3" s="137"/>
      <c r="I3" s="137"/>
      <c r="J3" s="137"/>
      <c r="K3" s="137"/>
      <c r="L3" s="137"/>
      <c r="M3" s="137"/>
      <c r="N3" s="137"/>
      <c r="O3" s="137"/>
      <c r="P3" s="137"/>
      <c r="Q3" s="137"/>
      <c r="R3" s="137"/>
      <c r="S3" s="137"/>
      <c r="T3" s="137"/>
      <c r="U3" s="137"/>
      <c r="V3" s="137"/>
      <c r="W3" s="138"/>
    </row>
    <row r="4" spans="1:23">
      <c r="B4" s="139"/>
      <c r="C4" s="140"/>
      <c r="D4" s="140"/>
      <c r="E4" s="140"/>
      <c r="F4" s="140"/>
      <c r="G4" s="140"/>
      <c r="H4" s="140"/>
      <c r="I4" s="140"/>
      <c r="J4" s="140"/>
      <c r="K4" s="140"/>
      <c r="L4" s="140"/>
      <c r="M4" s="140"/>
      <c r="N4" s="140"/>
      <c r="O4" s="140"/>
      <c r="P4" s="140"/>
      <c r="Q4" s="140"/>
      <c r="R4" s="140"/>
      <c r="S4" s="140"/>
      <c r="T4" s="140"/>
      <c r="U4" s="140"/>
      <c r="V4" s="140"/>
      <c r="W4" s="141"/>
    </row>
    <row r="5" spans="1:23">
      <c r="B5" s="139"/>
      <c r="C5" s="140" t="s">
        <v>184</v>
      </c>
      <c r="D5" s="140"/>
      <c r="E5" s="140"/>
      <c r="F5" s="140"/>
      <c r="G5" s="140"/>
      <c r="H5" s="140"/>
      <c r="I5" s="140"/>
      <c r="J5" s="140"/>
      <c r="K5" s="140"/>
      <c r="L5" s="140"/>
      <c r="M5" s="140"/>
      <c r="N5" s="140"/>
      <c r="O5" s="140"/>
      <c r="P5" s="140"/>
      <c r="Q5" s="140"/>
      <c r="R5" s="140"/>
      <c r="S5" s="140"/>
      <c r="T5" s="140"/>
      <c r="U5" s="140"/>
      <c r="V5" s="140"/>
      <c r="W5" s="141"/>
    </row>
    <row r="6" spans="1:23">
      <c r="B6" s="139"/>
      <c r="C6" s="140"/>
      <c r="D6" s="140"/>
      <c r="E6" s="140"/>
      <c r="F6" s="140"/>
      <c r="G6" s="140"/>
      <c r="H6" s="140"/>
      <c r="I6" s="140"/>
      <c r="J6" s="142"/>
      <c r="K6" s="140"/>
      <c r="L6" s="140"/>
      <c r="M6" s="140"/>
      <c r="N6" s="140"/>
      <c r="O6" s="140"/>
      <c r="P6" s="140"/>
      <c r="Q6" s="140"/>
      <c r="R6" s="140"/>
      <c r="S6" s="140"/>
      <c r="T6" s="140"/>
      <c r="U6" s="140"/>
      <c r="V6" s="140"/>
      <c r="W6" s="141"/>
    </row>
    <row r="7" spans="1:23">
      <c r="B7" s="139"/>
      <c r="C7" s="143" t="s">
        <v>185</v>
      </c>
      <c r="D7" s="140"/>
      <c r="E7" s="140"/>
      <c r="F7" s="140"/>
      <c r="G7" s="140"/>
      <c r="H7" s="140"/>
      <c r="I7" s="140"/>
      <c r="J7" s="142"/>
      <c r="K7" s="140"/>
      <c r="L7" s="140"/>
      <c r="M7" s="140"/>
      <c r="N7" s="140"/>
      <c r="O7" s="140"/>
      <c r="P7" s="140"/>
      <c r="Q7" s="140"/>
      <c r="R7" s="140"/>
      <c r="S7" s="140"/>
      <c r="T7" s="140"/>
      <c r="U7" s="140"/>
      <c r="V7" s="140"/>
      <c r="W7" s="141"/>
    </row>
    <row r="8" spans="1:23">
      <c r="B8" s="144"/>
      <c r="C8" s="145"/>
      <c r="D8" s="145"/>
      <c r="E8" s="145"/>
      <c r="F8" s="145"/>
      <c r="G8" s="146"/>
      <c r="H8" s="146"/>
      <c r="I8" s="146"/>
      <c r="J8" s="146"/>
      <c r="K8" s="146"/>
      <c r="L8" s="146"/>
      <c r="M8" s="146"/>
      <c r="N8" s="146"/>
      <c r="O8" s="146"/>
      <c r="P8" s="146"/>
      <c r="Q8" s="146"/>
      <c r="R8" s="146"/>
      <c r="S8" s="146"/>
      <c r="T8" s="145"/>
      <c r="U8" s="145"/>
      <c r="V8" s="145"/>
      <c r="W8" s="147"/>
    </row>
  </sheetData>
  <hyperlinks>
    <hyperlink ref="C7" location="TOC!A1" display="Return to TOC."/>
    <hyperlink ref="A1" location="'TOC'!A1" display="TO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outlinePr summaryBelow="0" summaryRight="0"/>
  </sheetPr>
  <dimension ref="A1:EA65"/>
  <sheetViews>
    <sheetView showGridLines="0" zoomScale="90" zoomScaleNormal="90" workbookViewId="0">
      <selection activeCell="A2" sqref="A2:XFD2"/>
    </sheetView>
  </sheetViews>
  <sheetFormatPr defaultColWidth="7.58203125" defaultRowHeight="15.5" outlineLevelRow="2"/>
  <cols>
    <col min="1" max="1" width="1.5" style="194" customWidth="1"/>
    <col min="2" max="2" width="34.58203125" style="194" customWidth="1"/>
    <col min="3" max="56" width="13.58203125" style="194" customWidth="1"/>
    <col min="57"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
        <v>155</v>
      </c>
      <c r="D4" s="446">
        <f>Model_First_Year</f>
        <v>2014</v>
      </c>
      <c r="E4" s="446">
        <f>D4+1</f>
        <v>2015</v>
      </c>
      <c r="F4" s="446">
        <f t="shared" ref="F4:AZ4" si="0">E4+1</f>
        <v>2016</v>
      </c>
      <c r="G4" s="446">
        <f t="shared" si="0"/>
        <v>2017</v>
      </c>
      <c r="H4" s="446">
        <f t="shared" si="0"/>
        <v>2018</v>
      </c>
      <c r="I4" s="446">
        <f t="shared" si="0"/>
        <v>2019</v>
      </c>
      <c r="J4" s="446">
        <f t="shared" si="0"/>
        <v>2020</v>
      </c>
      <c r="K4" s="446">
        <f t="shared" si="0"/>
        <v>2021</v>
      </c>
      <c r="L4" s="446">
        <f t="shared" si="0"/>
        <v>2022</v>
      </c>
      <c r="M4" s="446">
        <f t="shared" si="0"/>
        <v>2023</v>
      </c>
      <c r="N4" s="446">
        <f t="shared" si="0"/>
        <v>2024</v>
      </c>
      <c r="O4" s="446">
        <f t="shared" si="0"/>
        <v>2025</v>
      </c>
      <c r="P4" s="446">
        <f t="shared" si="0"/>
        <v>2026</v>
      </c>
      <c r="Q4" s="446">
        <f t="shared" si="0"/>
        <v>2027</v>
      </c>
      <c r="R4" s="446">
        <f t="shared" si="0"/>
        <v>2028</v>
      </c>
      <c r="S4" s="446">
        <f t="shared" si="0"/>
        <v>2029</v>
      </c>
      <c r="T4" s="446">
        <f t="shared" si="0"/>
        <v>2030</v>
      </c>
      <c r="U4" s="446">
        <f t="shared" si="0"/>
        <v>2031</v>
      </c>
      <c r="V4" s="446">
        <f t="shared" si="0"/>
        <v>2032</v>
      </c>
      <c r="W4" s="446">
        <f t="shared" si="0"/>
        <v>2033</v>
      </c>
      <c r="X4" s="446">
        <f t="shared" si="0"/>
        <v>2034</v>
      </c>
      <c r="Y4" s="446">
        <f t="shared" si="0"/>
        <v>2035</v>
      </c>
      <c r="Z4" s="446">
        <f t="shared" si="0"/>
        <v>2036</v>
      </c>
      <c r="AA4" s="446">
        <f t="shared" si="0"/>
        <v>2037</v>
      </c>
      <c r="AB4" s="446">
        <f t="shared" si="0"/>
        <v>2038</v>
      </c>
      <c r="AC4" s="446">
        <f t="shared" si="0"/>
        <v>2039</v>
      </c>
      <c r="AD4" s="446">
        <f t="shared" si="0"/>
        <v>2040</v>
      </c>
      <c r="AE4" s="446">
        <f t="shared" si="0"/>
        <v>2041</v>
      </c>
      <c r="AF4" s="446">
        <f t="shared" si="0"/>
        <v>2042</v>
      </c>
      <c r="AG4" s="446">
        <f t="shared" si="0"/>
        <v>2043</v>
      </c>
      <c r="AH4" s="446">
        <f t="shared" si="0"/>
        <v>2044</v>
      </c>
      <c r="AI4" s="446">
        <f t="shared" si="0"/>
        <v>2045</v>
      </c>
      <c r="AJ4" s="446">
        <f t="shared" si="0"/>
        <v>2046</v>
      </c>
      <c r="AK4" s="446">
        <f t="shared" si="0"/>
        <v>2047</v>
      </c>
      <c r="AL4" s="446">
        <f t="shared" si="0"/>
        <v>2048</v>
      </c>
      <c r="AM4" s="446">
        <f t="shared" si="0"/>
        <v>2049</v>
      </c>
      <c r="AN4" s="446">
        <f t="shared" si="0"/>
        <v>2050</v>
      </c>
      <c r="AO4" s="446">
        <f t="shared" si="0"/>
        <v>2051</v>
      </c>
      <c r="AP4" s="446">
        <f t="shared" si="0"/>
        <v>2052</v>
      </c>
      <c r="AQ4" s="446">
        <f t="shared" si="0"/>
        <v>2053</v>
      </c>
      <c r="AR4" s="446">
        <f t="shared" si="0"/>
        <v>2054</v>
      </c>
      <c r="AS4" s="446">
        <f t="shared" si="0"/>
        <v>2055</v>
      </c>
      <c r="AT4" s="446">
        <f t="shared" si="0"/>
        <v>2056</v>
      </c>
      <c r="AU4" s="446">
        <f t="shared" si="0"/>
        <v>2057</v>
      </c>
      <c r="AV4" s="446">
        <f t="shared" si="0"/>
        <v>2058</v>
      </c>
      <c r="AW4" s="446">
        <f t="shared" si="0"/>
        <v>2059</v>
      </c>
      <c r="AX4" s="446">
        <f t="shared" si="0"/>
        <v>2060</v>
      </c>
      <c r="AY4" s="446">
        <f t="shared" si="0"/>
        <v>2061</v>
      </c>
      <c r="AZ4" s="446">
        <f t="shared" si="0"/>
        <v>2062</v>
      </c>
    </row>
    <row r="5" spans="1:52" outlineLevel="1">
      <c r="B5" s="321" t="s">
        <v>714</v>
      </c>
      <c r="C5" s="486">
        <f>SUM(D5:AZ5)</f>
        <v>12000000</v>
      </c>
      <c r="D5" s="486">
        <f t="shared" ref="D5:AI5" si="1">D44</f>
        <v>1998904.1095890412</v>
      </c>
      <c r="E5" s="486">
        <f t="shared" si="1"/>
        <v>2400000</v>
      </c>
      <c r="F5" s="486">
        <f t="shared" si="1"/>
        <v>2400000</v>
      </c>
      <c r="G5" s="486">
        <f t="shared" si="1"/>
        <v>2400000</v>
      </c>
      <c r="H5" s="486">
        <f t="shared" si="1"/>
        <v>2400000</v>
      </c>
      <c r="I5" s="486">
        <f t="shared" si="1"/>
        <v>401095.89041095891</v>
      </c>
      <c r="J5" s="486">
        <f t="shared" si="1"/>
        <v>0</v>
      </c>
      <c r="K5" s="486">
        <f t="shared" si="1"/>
        <v>0</v>
      </c>
      <c r="L5" s="486">
        <f t="shared" si="1"/>
        <v>0</v>
      </c>
      <c r="M5" s="486">
        <f t="shared" si="1"/>
        <v>0</v>
      </c>
      <c r="N5" s="486">
        <f t="shared" si="1"/>
        <v>0</v>
      </c>
      <c r="O5" s="486">
        <f t="shared" si="1"/>
        <v>0</v>
      </c>
      <c r="P5" s="486">
        <f t="shared" si="1"/>
        <v>0</v>
      </c>
      <c r="Q5" s="486">
        <f t="shared" si="1"/>
        <v>0</v>
      </c>
      <c r="R5" s="486">
        <f t="shared" si="1"/>
        <v>0</v>
      </c>
      <c r="S5" s="486">
        <f t="shared" si="1"/>
        <v>0</v>
      </c>
      <c r="T5" s="486">
        <f t="shared" si="1"/>
        <v>0</v>
      </c>
      <c r="U5" s="486">
        <f t="shared" si="1"/>
        <v>0</v>
      </c>
      <c r="V5" s="486">
        <f t="shared" si="1"/>
        <v>0</v>
      </c>
      <c r="W5" s="486">
        <f t="shared" si="1"/>
        <v>0</v>
      </c>
      <c r="X5" s="486">
        <f t="shared" si="1"/>
        <v>0</v>
      </c>
      <c r="Y5" s="486">
        <f t="shared" si="1"/>
        <v>0</v>
      </c>
      <c r="Z5" s="486">
        <f t="shared" si="1"/>
        <v>0</v>
      </c>
      <c r="AA5" s="486">
        <f t="shared" si="1"/>
        <v>0</v>
      </c>
      <c r="AB5" s="486">
        <f t="shared" si="1"/>
        <v>0</v>
      </c>
      <c r="AC5" s="486">
        <f t="shared" si="1"/>
        <v>0</v>
      </c>
      <c r="AD5" s="486">
        <f t="shared" si="1"/>
        <v>0</v>
      </c>
      <c r="AE5" s="486">
        <f t="shared" si="1"/>
        <v>0</v>
      </c>
      <c r="AF5" s="486">
        <f t="shared" si="1"/>
        <v>0</v>
      </c>
      <c r="AG5" s="486">
        <f t="shared" si="1"/>
        <v>0</v>
      </c>
      <c r="AH5" s="486">
        <f t="shared" si="1"/>
        <v>0</v>
      </c>
      <c r="AI5" s="486">
        <f t="shared" si="1"/>
        <v>0</v>
      </c>
      <c r="AJ5" s="486">
        <f t="shared" ref="AJ5:AZ5" si="2">AJ44</f>
        <v>0</v>
      </c>
      <c r="AK5" s="486">
        <f t="shared" si="2"/>
        <v>0</v>
      </c>
      <c r="AL5" s="486">
        <f t="shared" si="2"/>
        <v>0</v>
      </c>
      <c r="AM5" s="486">
        <f t="shared" si="2"/>
        <v>0</v>
      </c>
      <c r="AN5" s="486">
        <f t="shared" si="2"/>
        <v>0</v>
      </c>
      <c r="AO5" s="447">
        <f t="shared" si="2"/>
        <v>0</v>
      </c>
      <c r="AP5" s="447">
        <f t="shared" si="2"/>
        <v>0</v>
      </c>
      <c r="AQ5" s="447">
        <f t="shared" si="2"/>
        <v>0</v>
      </c>
      <c r="AR5" s="447">
        <f t="shared" si="2"/>
        <v>0</v>
      </c>
      <c r="AS5" s="447">
        <f t="shared" si="2"/>
        <v>0</v>
      </c>
      <c r="AT5" s="447">
        <f t="shared" si="2"/>
        <v>0</v>
      </c>
      <c r="AU5" s="447">
        <f t="shared" si="2"/>
        <v>0</v>
      </c>
      <c r="AV5" s="447">
        <f t="shared" si="2"/>
        <v>0</v>
      </c>
      <c r="AW5" s="447">
        <f t="shared" si="2"/>
        <v>0</v>
      </c>
      <c r="AX5" s="447">
        <f t="shared" si="2"/>
        <v>0</v>
      </c>
      <c r="AY5" s="447">
        <f t="shared" si="2"/>
        <v>0</v>
      </c>
      <c r="AZ5" s="447">
        <f t="shared" si="2"/>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I8" si="3">D4</f>
        <v>2014</v>
      </c>
      <c r="E8" s="446">
        <f t="shared" si="3"/>
        <v>2015</v>
      </c>
      <c r="F8" s="446">
        <f t="shared" si="3"/>
        <v>2016</v>
      </c>
      <c r="G8" s="446">
        <f t="shared" si="3"/>
        <v>2017</v>
      </c>
      <c r="H8" s="446">
        <f t="shared" si="3"/>
        <v>2018</v>
      </c>
      <c r="I8" s="446">
        <f t="shared" si="3"/>
        <v>2019</v>
      </c>
      <c r="J8" s="446">
        <f t="shared" si="3"/>
        <v>2020</v>
      </c>
      <c r="K8" s="446">
        <f t="shared" si="3"/>
        <v>2021</v>
      </c>
      <c r="L8" s="446">
        <f t="shared" si="3"/>
        <v>2022</v>
      </c>
      <c r="M8" s="446">
        <f t="shared" si="3"/>
        <v>2023</v>
      </c>
      <c r="N8" s="446">
        <f t="shared" si="3"/>
        <v>2024</v>
      </c>
      <c r="O8" s="446">
        <f t="shared" si="3"/>
        <v>2025</v>
      </c>
      <c r="P8" s="446">
        <f t="shared" si="3"/>
        <v>2026</v>
      </c>
      <c r="Q8" s="446">
        <f t="shared" si="3"/>
        <v>2027</v>
      </c>
      <c r="R8" s="446">
        <f t="shared" si="3"/>
        <v>2028</v>
      </c>
      <c r="S8" s="446">
        <f t="shared" si="3"/>
        <v>2029</v>
      </c>
      <c r="T8" s="446">
        <f t="shared" si="3"/>
        <v>2030</v>
      </c>
      <c r="U8" s="446">
        <f t="shared" si="3"/>
        <v>2031</v>
      </c>
      <c r="V8" s="446">
        <f t="shared" si="3"/>
        <v>2032</v>
      </c>
      <c r="W8" s="446">
        <f t="shared" si="3"/>
        <v>2033</v>
      </c>
      <c r="X8" s="446">
        <f t="shared" si="3"/>
        <v>2034</v>
      </c>
      <c r="Y8" s="446">
        <f t="shared" si="3"/>
        <v>2035</v>
      </c>
      <c r="Z8" s="446">
        <f t="shared" si="3"/>
        <v>2036</v>
      </c>
      <c r="AA8" s="446">
        <f t="shared" si="3"/>
        <v>2037</v>
      </c>
      <c r="AB8" s="446">
        <f t="shared" si="3"/>
        <v>2038</v>
      </c>
      <c r="AC8" s="446">
        <f t="shared" si="3"/>
        <v>2039</v>
      </c>
      <c r="AD8" s="446">
        <f t="shared" si="3"/>
        <v>2040</v>
      </c>
      <c r="AE8" s="446">
        <f t="shared" si="3"/>
        <v>2041</v>
      </c>
      <c r="AF8" s="446">
        <f t="shared" si="3"/>
        <v>2042</v>
      </c>
      <c r="AG8" s="446">
        <f t="shared" si="3"/>
        <v>2043</v>
      </c>
      <c r="AH8" s="446">
        <f t="shared" si="3"/>
        <v>2044</v>
      </c>
      <c r="AI8" s="446">
        <f t="shared" si="3"/>
        <v>2045</v>
      </c>
      <c r="AJ8" s="446">
        <f t="shared" ref="AJ8:AZ8" si="4">AJ4</f>
        <v>2046</v>
      </c>
      <c r="AK8" s="446">
        <f t="shared" si="4"/>
        <v>2047</v>
      </c>
      <c r="AL8" s="446">
        <f t="shared" si="4"/>
        <v>2048</v>
      </c>
      <c r="AM8" s="446">
        <f t="shared" si="4"/>
        <v>2049</v>
      </c>
      <c r="AN8" s="446">
        <f t="shared" si="4"/>
        <v>2050</v>
      </c>
      <c r="AO8" s="446">
        <f t="shared" si="4"/>
        <v>2051</v>
      </c>
      <c r="AP8" s="446">
        <f t="shared" si="4"/>
        <v>2052</v>
      </c>
      <c r="AQ8" s="446">
        <f t="shared" si="4"/>
        <v>2053</v>
      </c>
      <c r="AR8" s="446">
        <f t="shared" si="4"/>
        <v>2054</v>
      </c>
      <c r="AS8" s="446">
        <f t="shared" si="4"/>
        <v>2055</v>
      </c>
      <c r="AT8" s="446">
        <f t="shared" si="4"/>
        <v>2056</v>
      </c>
      <c r="AU8" s="446">
        <f t="shared" si="4"/>
        <v>2057</v>
      </c>
      <c r="AV8" s="446">
        <f t="shared" si="4"/>
        <v>2058</v>
      </c>
      <c r="AW8" s="446">
        <f t="shared" si="4"/>
        <v>2059</v>
      </c>
      <c r="AX8" s="446">
        <f t="shared" si="4"/>
        <v>2060</v>
      </c>
      <c r="AY8" s="446">
        <f t="shared" si="4"/>
        <v>2061</v>
      </c>
      <c r="AZ8" s="446">
        <f t="shared" si="4"/>
        <v>2062</v>
      </c>
    </row>
    <row r="9" spans="1:52" outlineLevel="1">
      <c r="B9" s="321" t="s">
        <v>714</v>
      </c>
      <c r="C9" s="486">
        <f>SUM(D9:AZ9)</f>
        <v>12650622.825332934</v>
      </c>
      <c r="D9" s="486">
        <f t="shared" ref="D9:AI9" si="5">D5*C22</f>
        <v>2027163.7625917436</v>
      </c>
      <c r="E9" s="486">
        <f t="shared" si="5"/>
        <v>2477393.4975524913</v>
      </c>
      <c r="F9" s="486">
        <f t="shared" si="5"/>
        <v>2521646.535901499</v>
      </c>
      <c r="G9" s="486">
        <f t="shared" si="5"/>
        <v>2566891.186196534</v>
      </c>
      <c r="H9" s="486">
        <f t="shared" si="5"/>
        <v>2612992.849326842</v>
      </c>
      <c r="I9" s="486">
        <f t="shared" si="5"/>
        <v>444534.99376382516</v>
      </c>
      <c r="J9" s="486">
        <f t="shared" si="5"/>
        <v>0</v>
      </c>
      <c r="K9" s="486">
        <f t="shared" si="5"/>
        <v>0</v>
      </c>
      <c r="L9" s="486">
        <f t="shared" si="5"/>
        <v>0</v>
      </c>
      <c r="M9" s="486">
        <f t="shared" si="5"/>
        <v>0</v>
      </c>
      <c r="N9" s="486">
        <f t="shared" si="5"/>
        <v>0</v>
      </c>
      <c r="O9" s="486">
        <f t="shared" si="5"/>
        <v>0</v>
      </c>
      <c r="P9" s="486">
        <f t="shared" si="5"/>
        <v>0</v>
      </c>
      <c r="Q9" s="486">
        <f t="shared" si="5"/>
        <v>0</v>
      </c>
      <c r="R9" s="486">
        <f t="shared" si="5"/>
        <v>0</v>
      </c>
      <c r="S9" s="486">
        <f t="shared" si="5"/>
        <v>0</v>
      </c>
      <c r="T9" s="486">
        <f t="shared" si="5"/>
        <v>0</v>
      </c>
      <c r="U9" s="486">
        <f t="shared" si="5"/>
        <v>0</v>
      </c>
      <c r="V9" s="486">
        <f t="shared" si="5"/>
        <v>0</v>
      </c>
      <c r="W9" s="486">
        <f t="shared" si="5"/>
        <v>0</v>
      </c>
      <c r="X9" s="486">
        <f t="shared" si="5"/>
        <v>0</v>
      </c>
      <c r="Y9" s="486">
        <f t="shared" si="5"/>
        <v>0</v>
      </c>
      <c r="Z9" s="486">
        <f t="shared" si="5"/>
        <v>0</v>
      </c>
      <c r="AA9" s="486">
        <f t="shared" si="5"/>
        <v>0</v>
      </c>
      <c r="AB9" s="486">
        <f t="shared" si="5"/>
        <v>0</v>
      </c>
      <c r="AC9" s="486">
        <f t="shared" si="5"/>
        <v>0</v>
      </c>
      <c r="AD9" s="486">
        <f t="shared" si="5"/>
        <v>0</v>
      </c>
      <c r="AE9" s="486">
        <f t="shared" si="5"/>
        <v>0</v>
      </c>
      <c r="AF9" s="486">
        <f t="shared" si="5"/>
        <v>0</v>
      </c>
      <c r="AG9" s="486">
        <f t="shared" si="5"/>
        <v>0</v>
      </c>
      <c r="AH9" s="486">
        <f t="shared" si="5"/>
        <v>0</v>
      </c>
      <c r="AI9" s="486">
        <f t="shared" si="5"/>
        <v>0</v>
      </c>
      <c r="AJ9" s="486">
        <f t="shared" ref="AJ9:AZ9" si="6">AJ5*AI22</f>
        <v>0</v>
      </c>
      <c r="AK9" s="486">
        <f t="shared" si="6"/>
        <v>0</v>
      </c>
      <c r="AL9" s="486">
        <f t="shared" si="6"/>
        <v>0</v>
      </c>
      <c r="AM9" s="486">
        <f t="shared" si="6"/>
        <v>0</v>
      </c>
      <c r="AN9" s="447">
        <f t="shared" si="6"/>
        <v>0</v>
      </c>
      <c r="AO9" s="447">
        <f t="shared" si="6"/>
        <v>0</v>
      </c>
      <c r="AP9" s="447">
        <f t="shared" si="6"/>
        <v>0</v>
      </c>
      <c r="AQ9" s="447">
        <f t="shared" si="6"/>
        <v>0</v>
      </c>
      <c r="AR9" s="447">
        <f t="shared" si="6"/>
        <v>0</v>
      </c>
      <c r="AS9" s="447">
        <f t="shared" si="6"/>
        <v>0</v>
      </c>
      <c r="AT9" s="447">
        <f t="shared" si="6"/>
        <v>0</v>
      </c>
      <c r="AU9" s="447">
        <f t="shared" si="6"/>
        <v>0</v>
      </c>
      <c r="AV9" s="447">
        <f t="shared" si="6"/>
        <v>0</v>
      </c>
      <c r="AW9" s="447">
        <f t="shared" si="6"/>
        <v>0</v>
      </c>
      <c r="AX9" s="447">
        <f t="shared" si="6"/>
        <v>0</v>
      </c>
      <c r="AY9" s="447">
        <f t="shared" si="6"/>
        <v>0</v>
      </c>
      <c r="AZ9" s="447">
        <f t="shared" si="6"/>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713</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703</v>
      </c>
    </row>
    <row r="19" spans="1:131" outlineLevel="1">
      <c r="A19" s="295"/>
      <c r="B19" s="273"/>
      <c r="C19" s="296"/>
      <c r="D19" s="296"/>
      <c r="E19" s="297"/>
      <c r="F19" s="296"/>
      <c r="G19" s="297"/>
    </row>
    <row r="20" spans="1:131">
      <c r="A20" s="193" t="s">
        <v>316</v>
      </c>
    </row>
    <row r="21" spans="1:131" outlineLevel="2">
      <c r="B21" s="440" t="s">
        <v>718</v>
      </c>
      <c r="C21" s="440">
        <v>2014</v>
      </c>
      <c r="D21" s="440">
        <f>C21+1</f>
        <v>2015</v>
      </c>
      <c r="E21" s="440">
        <f t="shared" ref="E21:BD21" si="7">D21+1</f>
        <v>2016</v>
      </c>
      <c r="F21" s="440">
        <f t="shared" si="7"/>
        <v>2017</v>
      </c>
      <c r="G21" s="440">
        <f t="shared" si="7"/>
        <v>2018</v>
      </c>
      <c r="H21" s="440">
        <f t="shared" si="7"/>
        <v>2019</v>
      </c>
      <c r="I21" s="440">
        <f t="shared" si="7"/>
        <v>2020</v>
      </c>
      <c r="J21" s="440">
        <f t="shared" si="7"/>
        <v>2021</v>
      </c>
      <c r="K21" s="440">
        <f t="shared" si="7"/>
        <v>2022</v>
      </c>
      <c r="L21" s="440">
        <f t="shared" si="7"/>
        <v>2023</v>
      </c>
      <c r="M21" s="440">
        <f t="shared" si="7"/>
        <v>2024</v>
      </c>
      <c r="N21" s="440">
        <f t="shared" si="7"/>
        <v>2025</v>
      </c>
      <c r="O21" s="440">
        <f t="shared" si="7"/>
        <v>2026</v>
      </c>
      <c r="P21" s="440">
        <f t="shared" si="7"/>
        <v>2027</v>
      </c>
      <c r="Q21" s="440">
        <f t="shared" si="7"/>
        <v>2028</v>
      </c>
      <c r="R21" s="440">
        <f t="shared" si="7"/>
        <v>2029</v>
      </c>
      <c r="S21" s="440">
        <f t="shared" si="7"/>
        <v>2030</v>
      </c>
      <c r="T21" s="440">
        <f t="shared" si="7"/>
        <v>2031</v>
      </c>
      <c r="U21" s="440">
        <f t="shared" si="7"/>
        <v>2032</v>
      </c>
      <c r="V21" s="440">
        <f t="shared" si="7"/>
        <v>2033</v>
      </c>
      <c r="W21" s="440">
        <f t="shared" si="7"/>
        <v>2034</v>
      </c>
      <c r="X21" s="440">
        <f t="shared" si="7"/>
        <v>2035</v>
      </c>
      <c r="Y21" s="440">
        <f t="shared" si="7"/>
        <v>2036</v>
      </c>
      <c r="Z21" s="440">
        <f t="shared" si="7"/>
        <v>2037</v>
      </c>
      <c r="AA21" s="440">
        <f t="shared" si="7"/>
        <v>2038</v>
      </c>
      <c r="AB21" s="440">
        <f t="shared" si="7"/>
        <v>2039</v>
      </c>
      <c r="AC21" s="440">
        <f t="shared" si="7"/>
        <v>2040</v>
      </c>
      <c r="AD21" s="440">
        <f t="shared" si="7"/>
        <v>2041</v>
      </c>
      <c r="AE21" s="440">
        <f t="shared" si="7"/>
        <v>2042</v>
      </c>
      <c r="AF21" s="440">
        <f t="shared" si="7"/>
        <v>2043</v>
      </c>
      <c r="AG21" s="440">
        <f t="shared" si="7"/>
        <v>2044</v>
      </c>
      <c r="AH21" s="440">
        <f t="shared" si="7"/>
        <v>2045</v>
      </c>
      <c r="AI21" s="440">
        <f t="shared" si="7"/>
        <v>2046</v>
      </c>
      <c r="AJ21" s="440">
        <f t="shared" si="7"/>
        <v>2047</v>
      </c>
      <c r="AK21" s="440">
        <f t="shared" si="7"/>
        <v>2048</v>
      </c>
      <c r="AL21" s="440">
        <f t="shared" si="7"/>
        <v>2049</v>
      </c>
      <c r="AM21" s="440">
        <f t="shared" si="7"/>
        <v>2050</v>
      </c>
      <c r="AN21" s="440">
        <f t="shared" si="7"/>
        <v>2051</v>
      </c>
      <c r="AO21" s="440">
        <f t="shared" si="7"/>
        <v>2052</v>
      </c>
      <c r="AP21" s="440">
        <f t="shared" si="7"/>
        <v>2053</v>
      </c>
      <c r="AQ21" s="440">
        <f t="shared" si="7"/>
        <v>2054</v>
      </c>
      <c r="AR21" s="440">
        <f t="shared" si="7"/>
        <v>2055</v>
      </c>
      <c r="AS21" s="440">
        <f t="shared" si="7"/>
        <v>2056</v>
      </c>
      <c r="AT21" s="440">
        <f t="shared" si="7"/>
        <v>2057</v>
      </c>
      <c r="AU21" s="440">
        <f t="shared" si="7"/>
        <v>2058</v>
      </c>
      <c r="AV21" s="440">
        <f t="shared" si="7"/>
        <v>2059</v>
      </c>
      <c r="AW21" s="440">
        <f t="shared" si="7"/>
        <v>2060</v>
      </c>
      <c r="AX21" s="440">
        <f t="shared" si="7"/>
        <v>2061</v>
      </c>
      <c r="AY21" s="440">
        <f t="shared" si="7"/>
        <v>2062</v>
      </c>
      <c r="AZ21" s="440">
        <f t="shared" si="7"/>
        <v>2063</v>
      </c>
      <c r="BA21" s="440">
        <f t="shared" si="7"/>
        <v>2064</v>
      </c>
      <c r="BB21" s="440">
        <f t="shared" si="7"/>
        <v>2065</v>
      </c>
      <c r="BC21" s="440">
        <f t="shared" si="7"/>
        <v>2066</v>
      </c>
      <c r="BD21" s="440">
        <f t="shared" si="7"/>
        <v>2067</v>
      </c>
    </row>
    <row r="22" spans="1:131" outlineLevel="2">
      <c r="B22" s="448" t="s">
        <v>712</v>
      </c>
      <c r="C22" s="449">
        <v>1.0141375731167577</v>
      </c>
      <c r="D22" s="449">
        <v>1.0322472906468714</v>
      </c>
      <c r="E22" s="449">
        <v>1.0506860566256246</v>
      </c>
      <c r="F22" s="449">
        <v>1.0695379942485559</v>
      </c>
      <c r="G22" s="449">
        <v>1.0887470205528509</v>
      </c>
      <c r="H22" s="449">
        <v>1.1083010431953291</v>
      </c>
      <c r="I22" s="449">
        <v>1.1282062583501846</v>
      </c>
      <c r="J22" s="449">
        <v>1.1484689734756457</v>
      </c>
      <c r="K22" s="449">
        <v>1.1690956093126152</v>
      </c>
      <c r="L22" s="449">
        <v>1.1900927019192138</v>
      </c>
      <c r="M22" s="449">
        <v>1.2114669047419762</v>
      </c>
      <c r="N22" s="449">
        <v>1.2332249907240662</v>
      </c>
      <c r="O22" s="449">
        <v>1.2553738544514983</v>
      </c>
      <c r="P22" s="449">
        <v>1.2779205143378769</v>
      </c>
      <c r="Q22" s="449">
        <v>1.3008721148482989</v>
      </c>
      <c r="R22" s="449">
        <v>1.3242359287632992</v>
      </c>
      <c r="S22" s="449">
        <v>1.3480193594833814</v>
      </c>
      <c r="T22" s="449">
        <v>1.3722299433749892</v>
      </c>
      <c r="U22" s="449">
        <v>1.3968753521585719</v>
      </c>
      <c r="V22" s="449">
        <v>1.4219633953395792</v>
      </c>
      <c r="W22" s="449">
        <v>1.4475020226830706</v>
      </c>
      <c r="X22" s="449">
        <v>1.4734993267328127</v>
      </c>
      <c r="Y22" s="449"/>
      <c r="Z22" s="449"/>
      <c r="AA22" s="449"/>
      <c r="AB22" s="449"/>
      <c r="AC22" s="449"/>
      <c r="AD22" s="449"/>
      <c r="AE22" s="449"/>
      <c r="AF22" s="449"/>
      <c r="AG22" s="449"/>
      <c r="AH22" s="449"/>
      <c r="AI22" s="449"/>
      <c r="AJ22" s="449"/>
      <c r="AK22" s="449"/>
      <c r="AL22" s="449"/>
      <c r="AM22" s="449"/>
      <c r="AN22" s="449"/>
      <c r="AO22" s="449"/>
      <c r="AP22" s="449"/>
      <c r="AQ22" s="449"/>
      <c r="AR22" s="449"/>
      <c r="AS22" s="449"/>
      <c r="AT22" s="449"/>
      <c r="AU22" s="449"/>
      <c r="AV22" s="449"/>
      <c r="AW22" s="449"/>
      <c r="AX22" s="449"/>
      <c r="AY22" s="449"/>
      <c r="AZ22" s="449"/>
      <c r="BA22" s="449"/>
      <c r="BB22" s="449"/>
      <c r="BC22" s="449"/>
      <c r="BD22" s="449"/>
    </row>
    <row r="23" spans="1:131" outlineLevel="2">
      <c r="B23" s="297"/>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c r="BD23" s="300"/>
      <c r="BE23" s="300"/>
      <c r="BF23" s="300"/>
      <c r="BG23" s="300"/>
      <c r="BH23" s="300"/>
      <c r="BI23" s="300"/>
      <c r="BJ23" s="300"/>
      <c r="BK23" s="300"/>
      <c r="BL23" s="300"/>
      <c r="BM23" s="300"/>
      <c r="BN23" s="300"/>
      <c r="BO23" s="300"/>
      <c r="BP23" s="300"/>
      <c r="BQ23" s="300"/>
      <c r="BR23" s="300"/>
      <c r="BS23" s="300"/>
      <c r="BT23" s="300"/>
      <c r="BU23" s="300"/>
      <c r="CW23" s="300"/>
      <c r="CX23" s="300"/>
      <c r="CY23" s="300"/>
      <c r="CZ23" s="300"/>
      <c r="DA23" s="300"/>
      <c r="DB23" s="300"/>
      <c r="DC23" s="300"/>
      <c r="DD23" s="300"/>
      <c r="DE23" s="300"/>
      <c r="DF23" s="300"/>
      <c r="DG23" s="300"/>
      <c r="DH23" s="300"/>
      <c r="DI23" s="300"/>
      <c r="DJ23" s="300"/>
      <c r="DK23" s="300"/>
      <c r="DL23" s="300"/>
      <c r="DM23" s="300"/>
      <c r="DN23" s="300"/>
      <c r="DO23" s="300"/>
      <c r="DP23" s="300"/>
      <c r="DQ23" s="300"/>
      <c r="DR23" s="300"/>
      <c r="DS23" s="300"/>
      <c r="DT23" s="300"/>
      <c r="DU23" s="300"/>
      <c r="DV23" s="300"/>
      <c r="DW23" s="300"/>
      <c r="DX23" s="300"/>
      <c r="DY23" s="300"/>
      <c r="DZ23" s="300"/>
      <c r="EA23" s="300"/>
    </row>
    <row r="24" spans="1:131">
      <c r="A24" s="193" t="s">
        <v>319</v>
      </c>
    </row>
    <row r="25" spans="1:131" outlineLevel="1">
      <c r="A25" s="295" t="s">
        <v>499</v>
      </c>
    </row>
    <row r="26" spans="1:131" outlineLevel="2">
      <c r="A26" s="295"/>
      <c r="B26" s="295" t="s">
        <v>710</v>
      </c>
    </row>
    <row r="27" spans="1:131" outlineLevel="1">
      <c r="A27" s="295" t="s">
        <v>500</v>
      </c>
    </row>
    <row r="28" spans="1:131" outlineLevel="2">
      <c r="A28" s="295"/>
      <c r="B28" s="295" t="s">
        <v>711</v>
      </c>
    </row>
    <row r="29" spans="1:131" customFormat="1" outlineLevel="1"/>
    <row r="30" spans="1:131">
      <c r="A30" s="193" t="s">
        <v>507</v>
      </c>
      <c r="H30" s="305"/>
    </row>
    <row r="31" spans="1:131" outlineLevel="1">
      <c r="A31" s="193"/>
      <c r="B31" s="194" t="s">
        <v>704</v>
      </c>
      <c r="H31" s="305"/>
    </row>
    <row r="32" spans="1:131" outlineLevel="2">
      <c r="A32" s="193"/>
      <c r="B32" s="295" t="s">
        <v>715</v>
      </c>
      <c r="C32" s="453">
        <v>200000</v>
      </c>
      <c r="H32" s="305"/>
    </row>
    <row r="33" spans="1:25" outlineLevel="2">
      <c r="A33" s="193"/>
      <c r="C33" s="451"/>
      <c r="H33" s="305"/>
    </row>
    <row r="34" spans="1:25" outlineLevel="1">
      <c r="A34" s="193"/>
      <c r="B34" s="194" t="s">
        <v>705</v>
      </c>
      <c r="C34" s="451"/>
      <c r="H34" s="305"/>
    </row>
    <row r="35" spans="1:25" outlineLevel="2">
      <c r="A35" s="193"/>
      <c r="B35" s="295" t="s">
        <v>716</v>
      </c>
      <c r="C35" s="452">
        <v>60</v>
      </c>
      <c r="D35" s="193"/>
      <c r="E35" s="193"/>
      <c r="F35" s="193"/>
      <c r="G35" s="193"/>
      <c r="H35" s="193"/>
      <c r="I35" s="193"/>
      <c r="J35" s="193"/>
      <c r="K35" s="193"/>
      <c r="L35" s="193"/>
      <c r="M35" s="193"/>
      <c r="N35" s="193"/>
      <c r="O35" s="193"/>
      <c r="P35" s="193"/>
      <c r="Q35" s="193"/>
      <c r="R35" s="193"/>
      <c r="S35" s="193"/>
      <c r="T35" s="193"/>
      <c r="U35" s="193"/>
    </row>
    <row r="36" spans="1:25" outlineLevel="2">
      <c r="A36" s="193"/>
      <c r="B36" s="295"/>
      <c r="C36" s="452"/>
      <c r="D36" s="193"/>
      <c r="E36" s="193"/>
      <c r="F36" s="193"/>
      <c r="G36" s="193"/>
      <c r="H36" s="193"/>
      <c r="I36" s="193"/>
      <c r="J36" s="193"/>
      <c r="K36" s="193"/>
      <c r="L36" s="193"/>
      <c r="M36" s="193"/>
      <c r="N36" s="193"/>
      <c r="O36" s="193"/>
      <c r="P36" s="193"/>
      <c r="Q36" s="193"/>
      <c r="R36" s="193"/>
      <c r="S36" s="193"/>
      <c r="T36" s="193"/>
      <c r="U36" s="193"/>
    </row>
    <row r="37" spans="1:25" outlineLevel="1">
      <c r="A37" s="193"/>
      <c r="B37" s="194" t="s">
        <v>706</v>
      </c>
      <c r="C37" s="452"/>
      <c r="D37" s="193"/>
      <c r="E37" s="193"/>
      <c r="F37" s="193"/>
      <c r="G37" s="193"/>
      <c r="H37" s="193"/>
      <c r="I37" s="193"/>
      <c r="J37" s="193"/>
      <c r="K37" s="193"/>
      <c r="L37" s="193"/>
      <c r="M37" s="193"/>
      <c r="N37" s="193"/>
      <c r="O37" s="193"/>
      <c r="P37" s="193"/>
      <c r="Q37" s="193"/>
      <c r="R37" s="193"/>
      <c r="S37" s="193"/>
      <c r="T37" s="193"/>
      <c r="U37" s="193"/>
    </row>
    <row r="38" spans="1:25" outlineLevel="2">
      <c r="A38" s="193"/>
      <c r="B38" s="295" t="s">
        <v>742</v>
      </c>
      <c r="C38" s="453">
        <f>C35*C32</f>
        <v>12000000</v>
      </c>
      <c r="D38" s="193"/>
      <c r="E38" s="193"/>
      <c r="F38" s="193"/>
      <c r="G38" s="193"/>
      <c r="H38" s="193"/>
      <c r="I38" s="193"/>
      <c r="J38" s="193"/>
      <c r="K38" s="193"/>
      <c r="L38" s="193"/>
      <c r="M38" s="193"/>
      <c r="N38" s="193"/>
      <c r="O38" s="193"/>
      <c r="P38" s="193"/>
      <c r="Q38" s="193"/>
      <c r="R38" s="193"/>
      <c r="S38" s="193"/>
      <c r="T38" s="193"/>
      <c r="U38" s="193"/>
    </row>
    <row r="39" spans="1:25" outlineLevel="2">
      <c r="A39" s="193"/>
      <c r="B39" s="295"/>
      <c r="C39" s="453"/>
      <c r="D39" s="193"/>
      <c r="E39" s="193"/>
      <c r="F39" s="193"/>
      <c r="G39" s="193"/>
      <c r="H39" s="193"/>
      <c r="I39" s="193"/>
      <c r="J39" s="193"/>
      <c r="K39" s="193"/>
      <c r="L39" s="193"/>
      <c r="M39" s="193"/>
      <c r="N39" s="193"/>
      <c r="O39" s="193"/>
      <c r="P39" s="193"/>
      <c r="Q39" s="193"/>
      <c r="R39" s="193"/>
      <c r="S39" s="193"/>
      <c r="T39" s="193"/>
      <c r="U39" s="193"/>
    </row>
    <row r="40" spans="1:25" outlineLevel="1">
      <c r="A40" s="193"/>
      <c r="B40" s="194" t="s">
        <v>707</v>
      </c>
      <c r="C40" s="453"/>
      <c r="D40" s="193"/>
      <c r="E40" s="193"/>
      <c r="F40" s="193"/>
      <c r="G40" s="193"/>
      <c r="H40" s="193"/>
      <c r="I40" s="193"/>
      <c r="J40" s="193"/>
      <c r="K40" s="193"/>
      <c r="L40" s="193"/>
      <c r="M40" s="193"/>
      <c r="N40" s="193"/>
      <c r="O40" s="193"/>
      <c r="P40" s="193"/>
      <c r="Q40" s="193"/>
      <c r="R40" s="193"/>
      <c r="S40" s="193"/>
      <c r="T40" s="193"/>
      <c r="U40" s="193"/>
    </row>
    <row r="41" spans="1:25" outlineLevel="2">
      <c r="A41" s="193"/>
      <c r="B41" s="295" t="s">
        <v>792</v>
      </c>
      <c r="C41" s="453"/>
      <c r="D41" s="193"/>
      <c r="E41" s="193"/>
      <c r="F41" s="193"/>
      <c r="G41" s="193"/>
      <c r="H41" s="193"/>
      <c r="I41" s="193"/>
      <c r="J41" s="193"/>
      <c r="K41" s="193"/>
      <c r="L41" s="193"/>
      <c r="M41" s="193"/>
      <c r="N41" s="193"/>
      <c r="O41" s="193"/>
      <c r="P41" s="193"/>
      <c r="Q41" s="193"/>
      <c r="R41" s="193"/>
      <c r="S41" s="193"/>
      <c r="T41" s="193"/>
      <c r="U41" s="193"/>
    </row>
    <row r="42" spans="1:25" outlineLevel="2">
      <c r="A42" s="193"/>
      <c r="B42" s="454" t="s">
        <v>326</v>
      </c>
      <c r="C42" s="454" t="s">
        <v>155</v>
      </c>
      <c r="D42" s="454">
        <v>2014</v>
      </c>
      <c r="E42" s="454">
        <v>2015</v>
      </c>
      <c r="F42" s="454">
        <v>2016</v>
      </c>
      <c r="G42" s="454">
        <v>2017</v>
      </c>
      <c r="H42" s="454">
        <v>2018</v>
      </c>
      <c r="I42" s="454">
        <v>2019</v>
      </c>
      <c r="J42" s="454">
        <v>2020</v>
      </c>
      <c r="K42" s="454">
        <v>2021</v>
      </c>
      <c r="L42" s="454">
        <v>2022</v>
      </c>
      <c r="M42" s="454">
        <v>2023</v>
      </c>
      <c r="N42" s="454">
        <v>2024</v>
      </c>
      <c r="O42" s="454">
        <v>2025</v>
      </c>
      <c r="P42" s="454">
        <v>2026</v>
      </c>
      <c r="Q42" s="454">
        <v>2027</v>
      </c>
      <c r="R42" s="454">
        <v>2028</v>
      </c>
      <c r="S42" s="454">
        <v>2029</v>
      </c>
      <c r="T42" s="454">
        <v>2030</v>
      </c>
      <c r="U42" s="454">
        <v>2031</v>
      </c>
      <c r="V42" s="454">
        <v>2032</v>
      </c>
      <c r="W42" s="454">
        <v>2033</v>
      </c>
      <c r="X42" s="454">
        <v>2034</v>
      </c>
      <c r="Y42" s="454">
        <v>2035</v>
      </c>
    </row>
    <row r="43" spans="1:25" outlineLevel="2">
      <c r="A43" s="193"/>
      <c r="B43" s="455" t="s">
        <v>708</v>
      </c>
      <c r="C43" s="450">
        <f>SUM(D43:Y43)</f>
        <v>5</v>
      </c>
      <c r="D43" s="456">
        <v>0.83287671232876714</v>
      </c>
      <c r="E43" s="456">
        <v>1</v>
      </c>
      <c r="F43" s="456">
        <v>1</v>
      </c>
      <c r="G43" s="456">
        <v>1</v>
      </c>
      <c r="H43" s="456">
        <v>1</v>
      </c>
      <c r="I43" s="456">
        <v>0.16712328767123288</v>
      </c>
      <c r="J43" s="456">
        <v>0</v>
      </c>
      <c r="K43" s="456">
        <v>0</v>
      </c>
      <c r="L43" s="456">
        <v>0</v>
      </c>
      <c r="M43" s="456">
        <v>0</v>
      </c>
      <c r="N43" s="456">
        <v>0</v>
      </c>
      <c r="O43" s="456">
        <v>0</v>
      </c>
      <c r="P43" s="456">
        <v>0</v>
      </c>
      <c r="Q43" s="456">
        <v>0</v>
      </c>
      <c r="R43" s="456">
        <v>0</v>
      </c>
      <c r="S43" s="456">
        <v>0</v>
      </c>
      <c r="T43" s="456">
        <v>0</v>
      </c>
      <c r="U43" s="456">
        <v>0</v>
      </c>
      <c r="V43" s="456">
        <v>0</v>
      </c>
      <c r="W43" s="456">
        <v>0</v>
      </c>
      <c r="X43" s="456">
        <v>0</v>
      </c>
      <c r="Y43" s="456">
        <v>0</v>
      </c>
    </row>
    <row r="44" spans="1:25" outlineLevel="2">
      <c r="A44" s="193"/>
      <c r="B44" s="455" t="s">
        <v>743</v>
      </c>
      <c r="C44" s="457">
        <f>SUM(D44:Y44)</f>
        <v>12000000</v>
      </c>
      <c r="D44" s="457">
        <f>$C$38/$C$35*12*D43</f>
        <v>1998904.1095890412</v>
      </c>
      <c r="E44" s="457">
        <f t="shared" ref="E44:Y44" si="8">$C$38/$C$35*12*E43</f>
        <v>2400000</v>
      </c>
      <c r="F44" s="457">
        <f t="shared" si="8"/>
        <v>2400000</v>
      </c>
      <c r="G44" s="457">
        <f t="shared" si="8"/>
        <v>2400000</v>
      </c>
      <c r="H44" s="457">
        <f t="shared" si="8"/>
        <v>2400000</v>
      </c>
      <c r="I44" s="457">
        <f t="shared" si="8"/>
        <v>401095.89041095891</v>
      </c>
      <c r="J44" s="457">
        <f t="shared" si="8"/>
        <v>0</v>
      </c>
      <c r="K44" s="457">
        <f t="shared" si="8"/>
        <v>0</v>
      </c>
      <c r="L44" s="457">
        <f t="shared" si="8"/>
        <v>0</v>
      </c>
      <c r="M44" s="457">
        <f t="shared" si="8"/>
        <v>0</v>
      </c>
      <c r="N44" s="457">
        <f t="shared" si="8"/>
        <v>0</v>
      </c>
      <c r="O44" s="457">
        <f t="shared" si="8"/>
        <v>0</v>
      </c>
      <c r="P44" s="457">
        <f t="shared" si="8"/>
        <v>0</v>
      </c>
      <c r="Q44" s="457">
        <f t="shared" si="8"/>
        <v>0</v>
      </c>
      <c r="R44" s="457">
        <f t="shared" si="8"/>
        <v>0</v>
      </c>
      <c r="S44" s="457">
        <f t="shared" si="8"/>
        <v>0</v>
      </c>
      <c r="T44" s="457">
        <f t="shared" si="8"/>
        <v>0</v>
      </c>
      <c r="U44" s="457">
        <f t="shared" si="8"/>
        <v>0</v>
      </c>
      <c r="V44" s="457">
        <f t="shared" si="8"/>
        <v>0</v>
      </c>
      <c r="W44" s="457">
        <f t="shared" si="8"/>
        <v>0</v>
      </c>
      <c r="X44" s="457">
        <f t="shared" si="8"/>
        <v>0</v>
      </c>
      <c r="Y44" s="457">
        <f t="shared" si="8"/>
        <v>0</v>
      </c>
    </row>
    <row r="45" spans="1:25" ht="15" customHeight="1" outlineLevel="1">
      <c r="P45" s="318"/>
    </row>
    <row r="46" spans="1:25">
      <c r="A46" s="193" t="s">
        <v>321</v>
      </c>
      <c r="G46" s="304"/>
      <c r="H46" s="304"/>
    </row>
    <row r="47" spans="1:25" outlineLevel="1">
      <c r="A47" s="295" t="s">
        <v>497</v>
      </c>
    </row>
    <row r="48" spans="1:25" ht="16.5" customHeight="1" outlineLevel="2">
      <c r="A48" s="295"/>
    </row>
    <row r="49" spans="1:1" ht="16.5" customHeight="1" outlineLevel="2">
      <c r="A49" s="295"/>
    </row>
    <row r="50" spans="1:1" ht="16.5" customHeight="1" outlineLevel="2">
      <c r="A50" s="295"/>
    </row>
    <row r="51" spans="1:1" ht="16.5" customHeight="1" outlineLevel="2">
      <c r="A51" s="295"/>
    </row>
    <row r="52" spans="1:1" ht="16.5" customHeight="1" outlineLevel="2">
      <c r="A52" s="295"/>
    </row>
    <row r="53" spans="1:1" ht="16.5" customHeight="1" outlineLevel="2">
      <c r="A53" s="295"/>
    </row>
    <row r="54" spans="1:1" ht="16.5" customHeight="1" outlineLevel="2">
      <c r="A54" s="295"/>
    </row>
    <row r="55" spans="1:1" ht="16.5" customHeight="1" outlineLevel="2">
      <c r="A55" s="295"/>
    </row>
    <row r="56" spans="1:1" ht="16.5" customHeight="1" outlineLevel="2">
      <c r="A56" s="295"/>
    </row>
    <row r="57" spans="1:1" ht="16.5" customHeight="1" outlineLevel="2">
      <c r="A57" s="295"/>
    </row>
    <row r="58" spans="1:1" ht="16.5" customHeight="1" outlineLevel="2">
      <c r="A58" s="295"/>
    </row>
    <row r="59" spans="1:1" ht="16.5" customHeight="1" outlineLevel="2">
      <c r="A59" s="295"/>
    </row>
    <row r="60" spans="1:1" ht="16.5" customHeight="1" outlineLevel="2"/>
    <row r="61" spans="1:1" ht="16.5" customHeight="1" outlineLevel="2"/>
    <row r="62" spans="1:1" ht="16.5" customHeight="1" outlineLevel="2"/>
    <row r="63" spans="1:1" ht="16.5" customHeight="1" outlineLevel="2"/>
    <row r="64" spans="1:1" ht="16.5" customHeight="1" outlineLevel="2"/>
    <row r="65" outlineLevel="1"/>
  </sheetData>
  <mergeCells count="1">
    <mergeCell ref="A15:G15"/>
  </mergeCells>
  <dataValidations count="1">
    <dataValidation type="list" allowBlank="1" showInputMessage="1" showErrorMessage="1" sqref="A3">
      <formula1>"Base Year (BY), Then Year (TY)"</formula1>
    </dataValidation>
  </dataValidation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14999847407452621"/>
    <outlinePr summaryBelow="0" summaryRight="0"/>
  </sheetPr>
  <dimension ref="A1:EA89"/>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0"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
        <v>739</v>
      </c>
      <c r="C5" s="447">
        <f>SUM(D5:AZ5)</f>
        <v>2944306.7376679685</v>
      </c>
      <c r="D5" s="447">
        <f>D65</f>
        <v>0</v>
      </c>
      <c r="E5" s="447">
        <f t="shared" ref="E5:AZ5" si="0">E65</f>
        <v>0</v>
      </c>
      <c r="F5" s="447">
        <f t="shared" si="0"/>
        <v>678472.51465697936</v>
      </c>
      <c r="G5" s="447">
        <f t="shared" si="0"/>
        <v>2265834.2230109889</v>
      </c>
      <c r="H5" s="447">
        <f t="shared" si="0"/>
        <v>0</v>
      </c>
      <c r="I5" s="447">
        <f t="shared" si="0"/>
        <v>0</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
        <v>739</v>
      </c>
      <c r="C9" s="447">
        <f>SUM(D9:AZ9)</f>
        <v>3136257.401132721</v>
      </c>
      <c r="D9" s="447">
        <f>D5*C23</f>
        <v>0</v>
      </c>
      <c r="E9" s="447">
        <f t="shared" ref="E9:AZ9" si="2">E5*D23</f>
        <v>0</v>
      </c>
      <c r="F9" s="447">
        <f t="shared" si="2"/>
        <v>712861.61095381295</v>
      </c>
      <c r="G9" s="447">
        <f t="shared" si="2"/>
        <v>2423395.790178908</v>
      </c>
      <c r="H9" s="447">
        <f t="shared" si="2"/>
        <v>0</v>
      </c>
      <c r="I9" s="447">
        <f t="shared" si="2"/>
        <v>0</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717</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756</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719</v>
      </c>
    </row>
    <row r="28" spans="1:131" outlineLevel="2">
      <c r="A28" s="295"/>
    </row>
    <row r="29" spans="1:131" outlineLevel="1">
      <c r="A29" s="295" t="s">
        <v>500</v>
      </c>
    </row>
    <row r="30" spans="1:131" outlineLevel="2">
      <c r="A30" s="295"/>
      <c r="B30" s="194" t="s">
        <v>744</v>
      </c>
    </row>
    <row r="31" spans="1:131" outlineLevel="2">
      <c r="A31" s="295"/>
    </row>
    <row r="32" spans="1:131" outlineLevel="1">
      <c r="A32" s="295" t="s">
        <v>735</v>
      </c>
    </row>
    <row r="33" spans="1:25" outlineLevel="2">
      <c r="A33" s="295"/>
      <c r="B33" s="194" t="s">
        <v>736</v>
      </c>
    </row>
    <row r="34" spans="1:25" customFormat="1" outlineLevel="2"/>
    <row r="35" spans="1:25">
      <c r="A35" s="193" t="s">
        <v>507</v>
      </c>
      <c r="H35" s="305"/>
    </row>
    <row r="36" spans="1:25" outlineLevel="1">
      <c r="A36" s="193"/>
      <c r="H36" s="305"/>
    </row>
    <row r="37" spans="1:25" outlineLevel="1">
      <c r="A37" s="193"/>
      <c r="B37" s="194" t="s">
        <v>720</v>
      </c>
      <c r="H37" s="305"/>
    </row>
    <row r="38" spans="1:25" outlineLevel="2">
      <c r="A38" s="193"/>
      <c r="B38" s="295" t="s">
        <v>722</v>
      </c>
      <c r="C38" s="289">
        <v>5</v>
      </c>
      <c r="H38" s="305"/>
    </row>
    <row r="39" spans="1:25" outlineLevel="2">
      <c r="A39" s="193"/>
      <c r="C39" s="289"/>
      <c r="H39" s="305"/>
    </row>
    <row r="40" spans="1:25" outlineLevel="1">
      <c r="A40" s="193"/>
      <c r="B40" s="194" t="s">
        <v>721</v>
      </c>
      <c r="C40" s="289"/>
      <c r="H40" s="305"/>
    </row>
    <row r="41" spans="1:25" outlineLevel="2">
      <c r="A41" s="193"/>
      <c r="B41" s="295" t="s">
        <v>723</v>
      </c>
      <c r="C41" s="289">
        <v>1.8</v>
      </c>
      <c r="H41" s="305"/>
    </row>
    <row r="42" spans="1:25" outlineLevel="2">
      <c r="A42" s="193"/>
      <c r="C42" s="289"/>
      <c r="H42" s="305"/>
    </row>
    <row r="43" spans="1:25" outlineLevel="2">
      <c r="A43" s="193"/>
      <c r="B43" s="194" t="s">
        <v>706</v>
      </c>
      <c r="C43" s="289"/>
      <c r="H43" s="305"/>
    </row>
    <row r="44" spans="1:25" outlineLevel="2">
      <c r="A44" s="193"/>
      <c r="B44" s="295" t="s">
        <v>732</v>
      </c>
      <c r="C44" s="452">
        <v>0.9</v>
      </c>
      <c r="H44" s="305"/>
    </row>
    <row r="45" spans="1:25" outlineLevel="2">
      <c r="A45" s="193"/>
      <c r="C45" s="289"/>
      <c r="H45" s="305"/>
    </row>
    <row r="46" spans="1:25" outlineLevel="1">
      <c r="A46" s="193"/>
      <c r="B46" s="194" t="s">
        <v>707</v>
      </c>
      <c r="H46" s="305"/>
    </row>
    <row r="47" spans="1:25" outlineLevel="2">
      <c r="A47" s="193"/>
      <c r="B47" s="295" t="s">
        <v>731</v>
      </c>
      <c r="H47" s="305"/>
    </row>
    <row r="48" spans="1:25" outlineLevel="2">
      <c r="A48" s="193"/>
      <c r="B48" s="471" t="s">
        <v>724</v>
      </c>
      <c r="C48" s="478">
        <v>-0.15200309344504997</v>
      </c>
      <c r="D48" s="474">
        <v>2014</v>
      </c>
      <c r="E48" s="474">
        <v>2015</v>
      </c>
      <c r="F48" s="474">
        <v>2016</v>
      </c>
      <c r="G48" s="474">
        <v>2017</v>
      </c>
      <c r="H48" s="474">
        <v>2018</v>
      </c>
      <c r="I48" s="474">
        <v>2019</v>
      </c>
      <c r="J48" s="474">
        <v>2020</v>
      </c>
      <c r="K48" s="474">
        <v>2021</v>
      </c>
      <c r="L48" s="474">
        <v>2022</v>
      </c>
      <c r="M48" s="474">
        <v>2023</v>
      </c>
      <c r="N48" s="474">
        <v>2024</v>
      </c>
      <c r="O48" s="474">
        <v>2025</v>
      </c>
      <c r="P48" s="474">
        <v>2026</v>
      </c>
      <c r="Q48" s="474">
        <v>2027</v>
      </c>
      <c r="R48" s="474">
        <v>2028</v>
      </c>
      <c r="S48" s="474">
        <v>2029</v>
      </c>
      <c r="T48" s="474">
        <v>2030</v>
      </c>
      <c r="U48" s="474">
        <v>2031</v>
      </c>
      <c r="V48" s="474">
        <v>2032</v>
      </c>
      <c r="W48" s="474">
        <v>2033</v>
      </c>
      <c r="X48" s="474">
        <v>2034</v>
      </c>
      <c r="Y48" s="475">
        <v>2035</v>
      </c>
    </row>
    <row r="49" spans="1:25" outlineLevel="2">
      <c r="A49" s="193"/>
      <c r="B49" s="471" t="s">
        <v>725</v>
      </c>
      <c r="C49" s="479">
        <v>5</v>
      </c>
      <c r="D49" s="474">
        <v>0</v>
      </c>
      <c r="E49" s="474">
        <v>0</v>
      </c>
      <c r="F49" s="474">
        <v>1</v>
      </c>
      <c r="G49" s="474">
        <v>4</v>
      </c>
      <c r="H49" s="474">
        <v>0</v>
      </c>
      <c r="I49" s="474">
        <v>0</v>
      </c>
      <c r="J49" s="474">
        <v>0</v>
      </c>
      <c r="K49" s="474">
        <v>0</v>
      </c>
      <c r="L49" s="474">
        <v>0</v>
      </c>
      <c r="M49" s="474">
        <v>0</v>
      </c>
      <c r="N49" s="474">
        <v>0</v>
      </c>
      <c r="O49" s="474">
        <v>0</v>
      </c>
      <c r="P49" s="474">
        <v>0</v>
      </c>
      <c r="Q49" s="474">
        <v>0</v>
      </c>
      <c r="R49" s="474">
        <v>0</v>
      </c>
      <c r="S49" s="474">
        <v>0</v>
      </c>
      <c r="T49" s="474">
        <v>0</v>
      </c>
      <c r="U49" s="474">
        <v>0</v>
      </c>
      <c r="V49" s="474">
        <v>0</v>
      </c>
      <c r="W49" s="474">
        <v>0</v>
      </c>
      <c r="X49" s="474">
        <v>0</v>
      </c>
      <c r="Y49" s="475">
        <v>0</v>
      </c>
    </row>
    <row r="50" spans="1:25" outlineLevel="2">
      <c r="A50" s="193"/>
      <c r="B50" s="465" t="s">
        <v>726</v>
      </c>
      <c r="C50" s="480"/>
      <c r="D50" s="458">
        <v>0</v>
      </c>
      <c r="E50" s="458">
        <v>0</v>
      </c>
      <c r="F50" s="458">
        <v>1</v>
      </c>
      <c r="G50" s="458">
        <v>5</v>
      </c>
      <c r="H50" s="458">
        <v>5</v>
      </c>
      <c r="I50" s="458">
        <v>5</v>
      </c>
      <c r="J50" s="458">
        <v>5</v>
      </c>
      <c r="K50" s="458">
        <v>5</v>
      </c>
      <c r="L50" s="458">
        <v>5</v>
      </c>
      <c r="M50" s="458">
        <v>5</v>
      </c>
      <c r="N50" s="458">
        <v>5</v>
      </c>
      <c r="O50" s="458">
        <v>5</v>
      </c>
      <c r="P50" s="458">
        <v>5</v>
      </c>
      <c r="Q50" s="458">
        <v>5</v>
      </c>
      <c r="R50" s="458">
        <v>5</v>
      </c>
      <c r="S50" s="458">
        <v>5</v>
      </c>
      <c r="T50" s="458">
        <v>5</v>
      </c>
      <c r="U50" s="458">
        <v>5</v>
      </c>
      <c r="V50" s="458">
        <v>5</v>
      </c>
      <c r="W50" s="458">
        <v>5</v>
      </c>
      <c r="X50" s="458">
        <v>5</v>
      </c>
      <c r="Y50" s="466">
        <v>5</v>
      </c>
    </row>
    <row r="51" spans="1:25" outlineLevel="2">
      <c r="A51" s="193"/>
      <c r="B51" s="468" t="s">
        <v>727</v>
      </c>
      <c r="C51" s="481"/>
      <c r="D51" s="476">
        <v>0</v>
      </c>
      <c r="E51" s="476">
        <v>0</v>
      </c>
      <c r="F51" s="476">
        <v>0</v>
      </c>
      <c r="G51" s="476">
        <v>1</v>
      </c>
      <c r="H51" s="476">
        <v>5</v>
      </c>
      <c r="I51" s="476">
        <v>5</v>
      </c>
      <c r="J51" s="476">
        <v>5</v>
      </c>
      <c r="K51" s="476">
        <v>5</v>
      </c>
      <c r="L51" s="476">
        <v>5</v>
      </c>
      <c r="M51" s="476">
        <v>5</v>
      </c>
      <c r="N51" s="476">
        <v>5</v>
      </c>
      <c r="O51" s="476">
        <v>5</v>
      </c>
      <c r="P51" s="476">
        <v>5</v>
      </c>
      <c r="Q51" s="476">
        <v>5</v>
      </c>
      <c r="R51" s="476">
        <v>5</v>
      </c>
      <c r="S51" s="476">
        <v>5</v>
      </c>
      <c r="T51" s="476">
        <v>5</v>
      </c>
      <c r="U51" s="476">
        <v>5</v>
      </c>
      <c r="V51" s="476">
        <v>5</v>
      </c>
      <c r="W51" s="476">
        <v>5</v>
      </c>
      <c r="X51" s="476">
        <v>5</v>
      </c>
      <c r="Y51" s="477">
        <v>5</v>
      </c>
    </row>
    <row r="52" spans="1:25" outlineLevel="2">
      <c r="A52" s="193"/>
      <c r="B52" s="471" t="s">
        <v>728</v>
      </c>
      <c r="C52" s="482">
        <v>4.3396109261058928</v>
      </c>
      <c r="D52" s="472">
        <v>0</v>
      </c>
      <c r="E52" s="472">
        <v>0</v>
      </c>
      <c r="F52" s="472">
        <v>1</v>
      </c>
      <c r="G52" s="472">
        <v>3.3396109261058928</v>
      </c>
      <c r="H52" s="472">
        <v>0</v>
      </c>
      <c r="I52" s="472">
        <v>0</v>
      </c>
      <c r="J52" s="472">
        <v>0</v>
      </c>
      <c r="K52" s="472">
        <v>0</v>
      </c>
      <c r="L52" s="472">
        <v>0</v>
      </c>
      <c r="M52" s="472">
        <v>0</v>
      </c>
      <c r="N52" s="472">
        <v>0</v>
      </c>
      <c r="O52" s="472">
        <v>0</v>
      </c>
      <c r="P52" s="472">
        <v>0</v>
      </c>
      <c r="Q52" s="472">
        <v>0</v>
      </c>
      <c r="R52" s="472">
        <v>0</v>
      </c>
      <c r="S52" s="472">
        <v>0</v>
      </c>
      <c r="T52" s="472">
        <v>0</v>
      </c>
      <c r="U52" s="472">
        <v>0</v>
      </c>
      <c r="V52" s="472">
        <v>0</v>
      </c>
      <c r="W52" s="472">
        <v>0</v>
      </c>
      <c r="X52" s="472">
        <v>0</v>
      </c>
      <c r="Y52" s="473">
        <v>0</v>
      </c>
    </row>
    <row r="53" spans="1:25" outlineLevel="2">
      <c r="A53" s="193"/>
      <c r="B53" s="465" t="s">
        <v>729</v>
      </c>
      <c r="C53" s="483"/>
      <c r="D53" s="459">
        <v>0</v>
      </c>
      <c r="E53" s="459">
        <v>0</v>
      </c>
      <c r="F53" s="459">
        <f t="shared" ref="F53:Y53" si="3">IF(OR(EMD_ProtoQtyPrior=0,EMD_ProtoQtyPrior=EMD_ProtoQtyTot),0,((EMD_ProtoQtyCum^(EMD_SlopeExp+1)-EMD_ProtoQtyPrior^(EMD_SlopeExp+1))/(EMD_SlopeExp+1)+(EMD_ProtoQtyCum^EMD_SlopeExp-EMD_ProtoQtyPrior^EMD_SlopeExp)/2+(EMD_ProtoQtyCum^(EMD_SlopeExp-1)-EMD_ProtoQtyPrior^(EMD_SlopeExp-1))*EMD_SlopeExp/12))</f>
        <v>0</v>
      </c>
      <c r="G53" s="459">
        <f t="shared" si="3"/>
        <v>3.3396109261058928</v>
      </c>
      <c r="H53" s="459">
        <f t="shared" si="3"/>
        <v>0</v>
      </c>
      <c r="I53" s="459">
        <f t="shared" si="3"/>
        <v>0</v>
      </c>
      <c r="J53" s="459">
        <f t="shared" si="3"/>
        <v>0</v>
      </c>
      <c r="K53" s="459">
        <f t="shared" si="3"/>
        <v>0</v>
      </c>
      <c r="L53" s="459">
        <f t="shared" si="3"/>
        <v>0</v>
      </c>
      <c r="M53" s="459">
        <f t="shared" si="3"/>
        <v>0</v>
      </c>
      <c r="N53" s="459">
        <f t="shared" si="3"/>
        <v>0</v>
      </c>
      <c r="O53" s="459">
        <f t="shared" si="3"/>
        <v>0</v>
      </c>
      <c r="P53" s="459">
        <f t="shared" si="3"/>
        <v>0</v>
      </c>
      <c r="Q53" s="459">
        <f t="shared" si="3"/>
        <v>0</v>
      </c>
      <c r="R53" s="459">
        <f t="shared" si="3"/>
        <v>0</v>
      </c>
      <c r="S53" s="459">
        <f t="shared" si="3"/>
        <v>0</v>
      </c>
      <c r="T53" s="459">
        <f t="shared" si="3"/>
        <v>0</v>
      </c>
      <c r="U53" s="459">
        <f t="shared" si="3"/>
        <v>0</v>
      </c>
      <c r="V53" s="459">
        <f t="shared" si="3"/>
        <v>0</v>
      </c>
      <c r="W53" s="459">
        <f t="shared" si="3"/>
        <v>0</v>
      </c>
      <c r="X53" s="459">
        <f t="shared" si="3"/>
        <v>0</v>
      </c>
      <c r="Y53" s="467">
        <f t="shared" si="3"/>
        <v>0</v>
      </c>
    </row>
    <row r="54" spans="1:25" outlineLevel="2">
      <c r="A54" s="193"/>
      <c r="B54" s="468" t="s">
        <v>730</v>
      </c>
      <c r="C54" s="484"/>
      <c r="D54" s="469">
        <v>0</v>
      </c>
      <c r="E54" s="469">
        <v>0</v>
      </c>
      <c r="F54" s="469">
        <v>1</v>
      </c>
      <c r="G54" s="469">
        <v>0</v>
      </c>
      <c r="H54" s="469">
        <v>0</v>
      </c>
      <c r="I54" s="469">
        <v>0</v>
      </c>
      <c r="J54" s="469">
        <v>0</v>
      </c>
      <c r="K54" s="469">
        <v>0</v>
      </c>
      <c r="L54" s="469">
        <v>0</v>
      </c>
      <c r="M54" s="469">
        <v>0</v>
      </c>
      <c r="N54" s="469">
        <v>0</v>
      </c>
      <c r="O54" s="469">
        <v>0</v>
      </c>
      <c r="P54" s="469">
        <v>0</v>
      </c>
      <c r="Q54" s="469">
        <v>0</v>
      </c>
      <c r="R54" s="469">
        <v>0</v>
      </c>
      <c r="S54" s="469">
        <v>0</v>
      </c>
      <c r="T54" s="469">
        <v>0</v>
      </c>
      <c r="U54" s="469">
        <v>0</v>
      </c>
      <c r="V54" s="469">
        <v>0</v>
      </c>
      <c r="W54" s="469">
        <v>0</v>
      </c>
      <c r="X54" s="469">
        <v>0</v>
      </c>
      <c r="Y54" s="470">
        <v>0</v>
      </c>
    </row>
    <row r="55" spans="1:25" outlineLevel="2">
      <c r="A55" s="193"/>
      <c r="B55" s="460"/>
      <c r="C55" s="460"/>
      <c r="D55" s="460"/>
      <c r="E55" s="460"/>
      <c r="F55" s="460"/>
      <c r="G55" s="460"/>
      <c r="H55" s="460"/>
      <c r="I55" s="460"/>
      <c r="J55" s="460"/>
      <c r="K55" s="460"/>
      <c r="L55" s="460"/>
      <c r="M55" s="460"/>
      <c r="N55" s="460"/>
      <c r="O55" s="460"/>
      <c r="P55" s="460"/>
      <c r="Q55" s="460"/>
      <c r="R55" s="460"/>
      <c r="S55" s="460"/>
      <c r="T55" s="460"/>
      <c r="U55" s="460"/>
      <c r="V55" s="460"/>
      <c r="W55" s="460"/>
      <c r="X55" s="460"/>
      <c r="Y55" s="460"/>
    </row>
    <row r="56" spans="1:25" outlineLevel="1">
      <c r="A56" s="193"/>
      <c r="B56" s="461" t="s">
        <v>733</v>
      </c>
      <c r="C56" s="460"/>
      <c r="D56" s="460"/>
      <c r="E56" s="460"/>
      <c r="F56" s="460"/>
      <c r="G56" s="460"/>
      <c r="H56" s="460"/>
      <c r="I56" s="460"/>
      <c r="J56" s="460"/>
      <c r="K56" s="460"/>
      <c r="L56" s="460"/>
      <c r="M56" s="460"/>
      <c r="N56" s="460"/>
      <c r="O56" s="460"/>
      <c r="P56" s="460"/>
      <c r="Q56" s="460"/>
      <c r="R56" s="460"/>
      <c r="S56" s="460"/>
      <c r="T56" s="460"/>
      <c r="U56" s="460"/>
      <c r="V56" s="460"/>
      <c r="W56" s="460"/>
      <c r="X56" s="460"/>
      <c r="Y56" s="460"/>
    </row>
    <row r="57" spans="1:25" outlineLevel="2">
      <c r="A57" s="193"/>
      <c r="B57" s="461" t="s">
        <v>737</v>
      </c>
      <c r="C57" s="460"/>
      <c r="D57" s="460"/>
      <c r="E57" s="460"/>
      <c r="F57" s="460"/>
      <c r="G57" s="460"/>
      <c r="H57" s="460"/>
      <c r="I57" s="460"/>
      <c r="J57" s="460"/>
      <c r="K57" s="460"/>
      <c r="L57" s="460"/>
      <c r="M57" s="460"/>
      <c r="N57" s="460"/>
      <c r="O57" s="460"/>
      <c r="P57" s="460"/>
      <c r="Q57" s="460"/>
      <c r="R57" s="460"/>
      <c r="S57" s="460"/>
      <c r="T57" s="460"/>
      <c r="U57" s="460"/>
      <c r="V57" s="460"/>
      <c r="W57" s="460"/>
      <c r="X57" s="460"/>
      <c r="Y57" s="460"/>
    </row>
    <row r="58" spans="1:25" outlineLevel="2">
      <c r="A58" s="193"/>
      <c r="B58" s="460" t="s">
        <v>740</v>
      </c>
      <c r="C58" s="463">
        <f>376.929174809433*1000</f>
        <v>376929.174809433</v>
      </c>
      <c r="D58" s="460"/>
      <c r="E58" s="460"/>
      <c r="F58" s="460"/>
      <c r="G58" s="460"/>
      <c r="H58" s="460"/>
      <c r="I58" s="460"/>
      <c r="J58" s="460"/>
      <c r="K58" s="460"/>
      <c r="L58" s="460"/>
      <c r="M58" s="460"/>
      <c r="N58" s="460"/>
      <c r="O58" s="460"/>
      <c r="P58" s="460"/>
      <c r="Q58" s="460"/>
      <c r="R58" s="460"/>
      <c r="S58" s="460"/>
      <c r="T58" s="460"/>
      <c r="U58" s="460"/>
      <c r="V58" s="460"/>
      <c r="W58" s="460"/>
      <c r="X58" s="460"/>
      <c r="Y58" s="460"/>
    </row>
    <row r="59" spans="1:25" outlineLevel="2">
      <c r="A59" s="193"/>
      <c r="B59" s="464" t="str">
        <f>B41</f>
        <v xml:space="preserve">Production to EMD Step Factor </v>
      </c>
      <c r="C59" s="485">
        <f>C41</f>
        <v>1.8</v>
      </c>
      <c r="D59" s="460"/>
      <c r="E59" s="460"/>
      <c r="F59" s="460"/>
      <c r="G59" s="460"/>
      <c r="H59" s="460"/>
      <c r="I59" s="460"/>
      <c r="J59" s="460"/>
      <c r="K59" s="460"/>
      <c r="L59" s="460"/>
      <c r="M59" s="460"/>
      <c r="N59" s="460"/>
      <c r="O59" s="460"/>
      <c r="P59" s="460"/>
      <c r="Q59" s="460"/>
      <c r="R59" s="460"/>
      <c r="S59" s="460"/>
      <c r="T59" s="460"/>
      <c r="U59" s="460"/>
      <c r="V59" s="460"/>
      <c r="W59" s="460"/>
      <c r="X59" s="460"/>
      <c r="Y59" s="460"/>
    </row>
    <row r="60" spans="1:25" outlineLevel="2">
      <c r="A60" s="193"/>
      <c r="B60" s="460" t="s">
        <v>738</v>
      </c>
      <c r="C60" s="463">
        <f>C58*C59</f>
        <v>678472.51465697936</v>
      </c>
      <c r="D60" s="460"/>
      <c r="E60" s="460"/>
      <c r="F60" s="460"/>
      <c r="G60" s="460"/>
      <c r="H60" s="460"/>
      <c r="I60" s="460"/>
      <c r="J60" s="460"/>
      <c r="K60" s="460"/>
      <c r="L60" s="460"/>
      <c r="M60" s="460"/>
      <c r="N60" s="460"/>
      <c r="O60" s="460"/>
      <c r="P60" s="460"/>
      <c r="Q60" s="460"/>
      <c r="R60" s="460"/>
      <c r="S60" s="460"/>
      <c r="T60" s="460"/>
      <c r="U60" s="460"/>
      <c r="V60" s="460"/>
      <c r="W60" s="460"/>
      <c r="X60" s="460"/>
      <c r="Y60" s="460"/>
    </row>
    <row r="61" spans="1:25" outlineLevel="2">
      <c r="A61" s="193"/>
      <c r="B61" s="460"/>
      <c r="C61" s="460"/>
      <c r="D61" s="460"/>
      <c r="E61" s="460"/>
      <c r="F61" s="460"/>
      <c r="G61" s="460"/>
      <c r="H61" s="460"/>
      <c r="I61" s="460"/>
      <c r="J61" s="460"/>
      <c r="K61" s="460"/>
      <c r="L61" s="460"/>
      <c r="M61" s="460"/>
      <c r="N61" s="460"/>
      <c r="O61" s="460"/>
      <c r="P61" s="460"/>
      <c r="Q61" s="460"/>
      <c r="R61" s="460"/>
      <c r="S61" s="460"/>
      <c r="T61" s="460"/>
      <c r="U61" s="460"/>
      <c r="V61" s="460"/>
      <c r="W61" s="460"/>
      <c r="X61" s="460"/>
      <c r="Y61" s="460"/>
    </row>
    <row r="62" spans="1:25" outlineLevel="1">
      <c r="A62" s="193"/>
      <c r="B62" s="194" t="s">
        <v>734</v>
      </c>
      <c r="C62" s="460"/>
      <c r="D62" s="460"/>
      <c r="E62" s="460"/>
      <c r="F62" s="460"/>
      <c r="G62" s="460"/>
      <c r="H62" s="460"/>
      <c r="I62" s="460"/>
      <c r="J62" s="460"/>
      <c r="K62" s="460"/>
      <c r="L62" s="460"/>
      <c r="M62" s="460"/>
      <c r="N62" s="460"/>
      <c r="O62" s="460"/>
      <c r="P62" s="460"/>
      <c r="Q62" s="460"/>
      <c r="R62" s="460"/>
      <c r="S62" s="460"/>
      <c r="T62" s="460"/>
      <c r="U62" s="460"/>
      <c r="V62" s="460"/>
      <c r="W62" s="460"/>
      <c r="X62" s="460"/>
      <c r="Y62" s="460"/>
    </row>
    <row r="63" spans="1:25" outlineLevel="2">
      <c r="A63" s="193"/>
      <c r="B63" s="462" t="s">
        <v>745</v>
      </c>
      <c r="C63" s="460"/>
      <c r="D63" s="460"/>
      <c r="E63" s="460"/>
      <c r="F63" s="460"/>
      <c r="G63" s="460"/>
      <c r="H63" s="460"/>
      <c r="I63" s="460"/>
      <c r="J63" s="460"/>
      <c r="K63" s="460"/>
      <c r="L63" s="460"/>
      <c r="M63" s="460"/>
      <c r="N63" s="460"/>
      <c r="O63" s="460"/>
      <c r="P63" s="460"/>
      <c r="Q63" s="460"/>
      <c r="R63" s="460"/>
      <c r="S63" s="460"/>
      <c r="T63" s="460"/>
      <c r="U63" s="460"/>
      <c r="V63" s="460"/>
      <c r="W63" s="460"/>
      <c r="X63" s="460"/>
      <c r="Y63" s="460"/>
    </row>
    <row r="64" spans="1:25" outlineLevel="2">
      <c r="A64" s="193"/>
      <c r="B64" s="448" t="s">
        <v>326</v>
      </c>
      <c r="C64" s="448" t="s">
        <v>155</v>
      </c>
      <c r="D64" s="454">
        <v>2014</v>
      </c>
      <c r="E64" s="454">
        <v>2015</v>
      </c>
      <c r="F64" s="454">
        <v>2016</v>
      </c>
      <c r="G64" s="454">
        <v>2017</v>
      </c>
      <c r="H64" s="454">
        <v>2018</v>
      </c>
      <c r="I64" s="454">
        <v>2019</v>
      </c>
      <c r="J64" s="454">
        <v>2020</v>
      </c>
      <c r="K64" s="454">
        <v>2021</v>
      </c>
      <c r="L64" s="454">
        <v>2022</v>
      </c>
      <c r="M64" s="454">
        <v>2023</v>
      </c>
      <c r="N64" s="454">
        <v>2024</v>
      </c>
      <c r="O64" s="454">
        <v>2025</v>
      </c>
      <c r="P64" s="454">
        <v>2026</v>
      </c>
      <c r="Q64" s="454">
        <v>2027</v>
      </c>
      <c r="R64" s="454">
        <v>2028</v>
      </c>
      <c r="S64" s="454">
        <v>2029</v>
      </c>
      <c r="T64" s="454">
        <v>2030</v>
      </c>
      <c r="U64" s="454">
        <v>2031</v>
      </c>
      <c r="V64" s="454">
        <v>2032</v>
      </c>
      <c r="W64" s="454">
        <v>2033</v>
      </c>
      <c r="X64" s="454">
        <v>2034</v>
      </c>
      <c r="Y64" s="454">
        <v>2035</v>
      </c>
    </row>
    <row r="65" spans="1:25" outlineLevel="2">
      <c r="A65" s="193"/>
      <c r="B65" s="455" t="s">
        <v>741</v>
      </c>
      <c r="C65" s="457">
        <f>SUM(D65:Y65)</f>
        <v>2944306.7376679685</v>
      </c>
      <c r="D65" s="457">
        <f>$C$60*D52</f>
        <v>0</v>
      </c>
      <c r="E65" s="457">
        <f t="shared" ref="E65:Y65" si="4">$C$60*E52</f>
        <v>0</v>
      </c>
      <c r="F65" s="457">
        <f t="shared" si="4"/>
        <v>678472.51465697936</v>
      </c>
      <c r="G65" s="457">
        <f t="shared" si="4"/>
        <v>2265834.2230109889</v>
      </c>
      <c r="H65" s="457">
        <f t="shared" si="4"/>
        <v>0</v>
      </c>
      <c r="I65" s="457">
        <f t="shared" si="4"/>
        <v>0</v>
      </c>
      <c r="J65" s="457">
        <f t="shared" si="4"/>
        <v>0</v>
      </c>
      <c r="K65" s="457">
        <f t="shared" si="4"/>
        <v>0</v>
      </c>
      <c r="L65" s="457">
        <f t="shared" si="4"/>
        <v>0</v>
      </c>
      <c r="M65" s="457">
        <f t="shared" si="4"/>
        <v>0</v>
      </c>
      <c r="N65" s="457">
        <f t="shared" si="4"/>
        <v>0</v>
      </c>
      <c r="O65" s="457">
        <f t="shared" si="4"/>
        <v>0</v>
      </c>
      <c r="P65" s="457">
        <f t="shared" si="4"/>
        <v>0</v>
      </c>
      <c r="Q65" s="457">
        <f t="shared" si="4"/>
        <v>0</v>
      </c>
      <c r="R65" s="457">
        <f t="shared" si="4"/>
        <v>0</v>
      </c>
      <c r="S65" s="457">
        <f t="shared" si="4"/>
        <v>0</v>
      </c>
      <c r="T65" s="457">
        <f t="shared" si="4"/>
        <v>0</v>
      </c>
      <c r="U65" s="457">
        <f t="shared" si="4"/>
        <v>0</v>
      </c>
      <c r="V65" s="457">
        <f t="shared" si="4"/>
        <v>0</v>
      </c>
      <c r="W65" s="457">
        <f t="shared" si="4"/>
        <v>0</v>
      </c>
      <c r="X65" s="457">
        <f t="shared" si="4"/>
        <v>0</v>
      </c>
      <c r="Y65" s="457">
        <f t="shared" si="4"/>
        <v>0</v>
      </c>
    </row>
    <row r="66" spans="1:25" outlineLevel="2">
      <c r="A66" s="193"/>
      <c r="B66" s="460"/>
      <c r="C66" s="460"/>
      <c r="D66" s="460"/>
      <c r="E66" s="460"/>
      <c r="F66" s="460"/>
      <c r="G66" s="460"/>
      <c r="H66" s="460"/>
      <c r="I66" s="460"/>
      <c r="J66" s="460"/>
      <c r="K66" s="460"/>
      <c r="L66" s="460"/>
      <c r="M66" s="460"/>
      <c r="N66" s="460"/>
      <c r="O66" s="460"/>
      <c r="P66" s="460"/>
      <c r="Q66" s="460"/>
      <c r="R66" s="460"/>
      <c r="S66" s="460"/>
      <c r="T66" s="460"/>
      <c r="U66" s="460"/>
      <c r="V66" s="460"/>
      <c r="W66" s="460"/>
      <c r="X66" s="460"/>
      <c r="Y66" s="460"/>
    </row>
    <row r="67" spans="1:25">
      <c r="A67" s="193" t="s">
        <v>321</v>
      </c>
      <c r="G67" s="304"/>
      <c r="H67" s="304"/>
    </row>
    <row r="68" spans="1:25" outlineLevel="1">
      <c r="A68" s="295" t="s">
        <v>497</v>
      </c>
    </row>
    <row r="69" spans="1:25" outlineLevel="1">
      <c r="A69" s="295"/>
    </row>
    <row r="70" spans="1:25" outlineLevel="1">
      <c r="A70" s="295"/>
    </row>
    <row r="71" spans="1:25" outlineLevel="1">
      <c r="A71" s="295"/>
    </row>
    <row r="72" spans="1:25" outlineLevel="1">
      <c r="A72" s="295"/>
    </row>
    <row r="73" spans="1:25" outlineLevel="1">
      <c r="A73" s="295"/>
    </row>
    <row r="74" spans="1:25" outlineLevel="1">
      <c r="A74" s="295"/>
    </row>
    <row r="75" spans="1:25" outlineLevel="1">
      <c r="A75" s="295"/>
    </row>
    <row r="76" spans="1:25" outlineLevel="1">
      <c r="A76" s="295"/>
    </row>
    <row r="77" spans="1:25" outlineLevel="1"/>
    <row r="78" spans="1:25" outlineLevel="1"/>
    <row r="79" spans="1:25" outlineLevel="1"/>
    <row r="80" spans="1:25" outlineLevel="1"/>
    <row r="81" spans="6:6" outlineLevel="1"/>
    <row r="82" spans="6:6" outlineLevel="1"/>
    <row r="89" spans="6:6">
      <c r="F89" s="194" t="s">
        <v>750</v>
      </c>
    </row>
  </sheetData>
  <mergeCells count="1">
    <mergeCell ref="A15:G15"/>
  </mergeCells>
  <conditionalFormatting sqref="D66:Y66 D49:Y63">
    <cfRule type="cellIs" dxfId="7" priority="1" operator="equal">
      <formula>0</formula>
    </cfRule>
  </conditionalFormatting>
  <dataValidations disablePrompts="1"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tint="-0.14999847407452621"/>
    <outlinePr summaryBelow="0" summaryRight="0"/>
  </sheetPr>
  <dimension ref="A1:EA75"/>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8.3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Summary'!Z9&amp;" "&amp;TRIM('WBS Summary'!AA9)</f>
        <v>1.1.2 Software</v>
      </c>
      <c r="C5" s="447">
        <f>SUM(D5:AZ5)</f>
        <v>31499999.999999996</v>
      </c>
      <c r="D5" s="447">
        <f>D51</f>
        <v>5247123.2876712326</v>
      </c>
      <c r="E5" s="447">
        <f t="shared" ref="E5:AZ5" si="0">E51</f>
        <v>6300000</v>
      </c>
      <c r="F5" s="447">
        <f t="shared" si="0"/>
        <v>6300000</v>
      </c>
      <c r="G5" s="447">
        <f t="shared" si="0"/>
        <v>6300000</v>
      </c>
      <c r="H5" s="447">
        <f t="shared" si="0"/>
        <v>6300000</v>
      </c>
      <c r="I5" s="447">
        <f t="shared" si="0"/>
        <v>1052876.7123287672</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1.1.2 Software</v>
      </c>
      <c r="C9" s="447">
        <f>SUM(D9:AZ9)</f>
        <v>33207884.916498959</v>
      </c>
      <c r="D9" s="447">
        <f>D5*C23</f>
        <v>5321304.8768033264</v>
      </c>
      <c r="E9" s="447">
        <f t="shared" ref="E9:AZ9" si="2">E5*D23</f>
        <v>6503157.9310752898</v>
      </c>
      <c r="F9" s="447">
        <f t="shared" si="2"/>
        <v>6619322.1567414356</v>
      </c>
      <c r="G9" s="447">
        <f t="shared" si="2"/>
        <v>6738089.3637659019</v>
      </c>
      <c r="H9" s="447">
        <f t="shared" si="2"/>
        <v>6859106.2294829609</v>
      </c>
      <c r="I9" s="447">
        <f t="shared" si="2"/>
        <v>1166904.3586300411</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806</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807</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808</v>
      </c>
    </row>
    <row r="31" spans="1:131" outlineLevel="2">
      <c r="A31" s="295"/>
    </row>
    <row r="32" spans="1:131">
      <c r="A32" s="193" t="s">
        <v>507</v>
      </c>
    </row>
    <row r="33" spans="1:25" outlineLevel="1">
      <c r="A33" s="193"/>
      <c r="H33" s="305"/>
    </row>
    <row r="34" spans="1:25" outlineLevel="1">
      <c r="A34" s="193"/>
      <c r="B34" s="194" t="s">
        <v>720</v>
      </c>
      <c r="H34" s="305"/>
    </row>
    <row r="35" spans="1:25" outlineLevel="2">
      <c r="A35" s="193"/>
      <c r="B35" s="295" t="s">
        <v>809</v>
      </c>
      <c r="C35" s="504">
        <v>2100</v>
      </c>
      <c r="H35" s="305"/>
    </row>
    <row r="36" spans="1:25" outlineLevel="2">
      <c r="A36" s="193"/>
      <c r="C36" s="289"/>
      <c r="H36" s="305"/>
    </row>
    <row r="37" spans="1:25" outlineLevel="1">
      <c r="A37" s="193"/>
      <c r="B37" s="194" t="s">
        <v>721</v>
      </c>
      <c r="H37" s="305"/>
    </row>
    <row r="38" spans="1:25" outlineLevel="2">
      <c r="A38" s="193"/>
      <c r="B38" s="295" t="s">
        <v>810</v>
      </c>
      <c r="C38" s="453">
        <v>15000</v>
      </c>
      <c r="H38" s="305"/>
    </row>
    <row r="39" spans="1:25" outlineLevel="2">
      <c r="A39" s="193"/>
      <c r="B39" s="295"/>
      <c r="C39" s="451"/>
      <c r="H39" s="305"/>
    </row>
    <row r="40" spans="1:25" outlineLevel="1">
      <c r="A40" s="193"/>
      <c r="B40" s="194" t="s">
        <v>769</v>
      </c>
      <c r="H40" s="305"/>
    </row>
    <row r="41" spans="1:25" outlineLevel="2">
      <c r="A41" s="193"/>
      <c r="B41" s="295" t="s">
        <v>811</v>
      </c>
      <c r="C41" s="453">
        <f>C35*C38</f>
        <v>31500000</v>
      </c>
      <c r="H41" s="305"/>
    </row>
    <row r="42" spans="1:25" outlineLevel="2">
      <c r="A42" s="193"/>
      <c r="B42" s="295"/>
      <c r="C42" s="451"/>
      <c r="H42" s="305"/>
    </row>
    <row r="43" spans="1:25" outlineLevel="1">
      <c r="A43" s="193"/>
      <c r="B43" s="194" t="s">
        <v>707</v>
      </c>
      <c r="C43" s="451"/>
      <c r="H43" s="305"/>
    </row>
    <row r="44" spans="1:25" outlineLevel="2">
      <c r="A44" s="193"/>
      <c r="B44" s="295" t="s">
        <v>792</v>
      </c>
      <c r="C44" s="451"/>
      <c r="H44" s="305"/>
    </row>
    <row r="45" spans="1:25" outlineLevel="2">
      <c r="A45" s="193"/>
      <c r="B45" s="494" t="s">
        <v>760</v>
      </c>
      <c r="C45" s="493" t="s">
        <v>155</v>
      </c>
      <c r="D45" s="439">
        <v>2014</v>
      </c>
      <c r="E45" s="439">
        <v>2015</v>
      </c>
      <c r="F45" s="439">
        <v>2016</v>
      </c>
      <c r="G45" s="439">
        <v>2017</v>
      </c>
      <c r="H45" s="439">
        <v>2018</v>
      </c>
      <c r="I45" s="439">
        <v>2019</v>
      </c>
      <c r="J45" s="439">
        <v>2020</v>
      </c>
      <c r="K45" s="439">
        <v>2021</v>
      </c>
      <c r="L45" s="439">
        <v>2022</v>
      </c>
      <c r="M45" s="439">
        <v>2023</v>
      </c>
      <c r="N45" s="439">
        <v>2024</v>
      </c>
      <c r="O45" s="439">
        <v>2025</v>
      </c>
      <c r="P45" s="439">
        <v>2026</v>
      </c>
      <c r="Q45" s="439">
        <v>2027</v>
      </c>
      <c r="R45" s="439">
        <v>2028</v>
      </c>
      <c r="S45" s="439">
        <v>2029</v>
      </c>
      <c r="T45" s="439">
        <v>2030</v>
      </c>
      <c r="U45" s="439">
        <v>2031</v>
      </c>
      <c r="V45" s="439">
        <v>2032</v>
      </c>
      <c r="W45" s="439">
        <v>2033</v>
      </c>
      <c r="X45" s="439">
        <v>2034</v>
      </c>
      <c r="Y45" s="439">
        <v>2035</v>
      </c>
    </row>
    <row r="46" spans="1:25" outlineLevel="2">
      <c r="A46" s="193"/>
      <c r="B46" s="494" t="s">
        <v>761</v>
      </c>
      <c r="C46" s="500">
        <f>SUM(D46:Y46)</f>
        <v>5</v>
      </c>
      <c r="D46" s="495">
        <v>0.83287671232876714</v>
      </c>
      <c r="E46" s="495">
        <v>1</v>
      </c>
      <c r="F46" s="495">
        <v>1</v>
      </c>
      <c r="G46" s="495">
        <v>1</v>
      </c>
      <c r="H46" s="495">
        <v>1</v>
      </c>
      <c r="I46" s="495">
        <v>0.16712328767123288</v>
      </c>
      <c r="J46" s="496">
        <v>0</v>
      </c>
      <c r="K46" s="496">
        <v>0</v>
      </c>
      <c r="L46" s="496">
        <v>0</v>
      </c>
      <c r="M46" s="496">
        <v>0</v>
      </c>
      <c r="N46" s="496">
        <v>0</v>
      </c>
      <c r="O46" s="496">
        <v>0</v>
      </c>
      <c r="P46" s="496">
        <v>0</v>
      </c>
      <c r="Q46" s="496">
        <v>0</v>
      </c>
      <c r="R46" s="496">
        <v>0</v>
      </c>
      <c r="S46" s="496">
        <v>0</v>
      </c>
      <c r="T46" s="496">
        <v>0</v>
      </c>
      <c r="U46" s="496">
        <v>0</v>
      </c>
      <c r="V46" s="496">
        <v>0</v>
      </c>
      <c r="W46" s="496">
        <v>0</v>
      </c>
      <c r="X46" s="496">
        <v>0</v>
      </c>
      <c r="Y46" s="496">
        <v>0</v>
      </c>
    </row>
    <row r="47" spans="1:25" outlineLevel="2">
      <c r="A47" s="193"/>
    </row>
    <row r="48" spans="1:25" outlineLevel="1">
      <c r="A48" s="193"/>
      <c r="B48" s="461" t="s">
        <v>733</v>
      </c>
      <c r="C48" s="460"/>
      <c r="D48" s="460"/>
      <c r="E48" s="460"/>
      <c r="F48" s="460"/>
      <c r="G48" s="460"/>
      <c r="H48" s="460"/>
      <c r="I48" s="460"/>
      <c r="J48" s="460"/>
      <c r="K48" s="460"/>
      <c r="L48" s="460"/>
      <c r="M48" s="460"/>
      <c r="N48" s="460"/>
      <c r="O48" s="460"/>
      <c r="P48" s="460"/>
      <c r="Q48" s="460"/>
      <c r="R48" s="460"/>
      <c r="S48" s="460"/>
      <c r="T48" s="460"/>
      <c r="U48" s="460"/>
      <c r="V48" s="460"/>
      <c r="W48" s="460"/>
      <c r="X48" s="460"/>
      <c r="Y48" s="460"/>
    </row>
    <row r="49" spans="1:25" outlineLevel="2">
      <c r="A49" s="193"/>
      <c r="B49" s="461" t="s">
        <v>778</v>
      </c>
      <c r="C49" s="460"/>
      <c r="D49" s="460"/>
      <c r="E49" s="460"/>
      <c r="F49" s="460"/>
      <c r="G49" s="460"/>
      <c r="H49" s="460"/>
      <c r="I49" s="460"/>
      <c r="J49" s="460"/>
      <c r="K49" s="460"/>
      <c r="L49" s="460"/>
      <c r="M49" s="460"/>
      <c r="N49" s="460"/>
      <c r="O49" s="460"/>
      <c r="P49" s="460"/>
      <c r="Q49" s="460"/>
      <c r="R49" s="460"/>
      <c r="S49" s="460"/>
      <c r="T49" s="460"/>
      <c r="U49" s="460"/>
      <c r="V49" s="460"/>
      <c r="W49" s="460"/>
      <c r="X49" s="460"/>
      <c r="Y49" s="460"/>
    </row>
    <row r="50" spans="1:25" outlineLevel="2">
      <c r="A50" s="193"/>
      <c r="B50" s="494" t="s">
        <v>760</v>
      </c>
      <c r="C50" s="493" t="s">
        <v>155</v>
      </c>
      <c r="D50" s="439">
        <v>2014</v>
      </c>
      <c r="E50" s="439">
        <v>2015</v>
      </c>
      <c r="F50" s="439">
        <v>2016</v>
      </c>
      <c r="G50" s="439">
        <v>2017</v>
      </c>
      <c r="H50" s="439">
        <v>2018</v>
      </c>
      <c r="I50" s="439">
        <v>2019</v>
      </c>
      <c r="J50" s="439">
        <v>2020</v>
      </c>
      <c r="K50" s="439">
        <v>2021</v>
      </c>
      <c r="L50" s="439">
        <v>2022</v>
      </c>
      <c r="M50" s="439">
        <v>2023</v>
      </c>
      <c r="N50" s="439">
        <v>2024</v>
      </c>
      <c r="O50" s="439">
        <v>2025</v>
      </c>
      <c r="P50" s="439">
        <v>2026</v>
      </c>
      <c r="Q50" s="439">
        <v>2027</v>
      </c>
      <c r="R50" s="439">
        <v>2028</v>
      </c>
      <c r="S50" s="439">
        <v>2029</v>
      </c>
      <c r="T50" s="439">
        <v>2030</v>
      </c>
      <c r="U50" s="439">
        <v>2031</v>
      </c>
      <c r="V50" s="439">
        <v>2032</v>
      </c>
      <c r="W50" s="439">
        <v>2033</v>
      </c>
      <c r="X50" s="439">
        <v>2034</v>
      </c>
      <c r="Y50" s="439">
        <v>2035</v>
      </c>
    </row>
    <row r="51" spans="1:25" outlineLevel="2">
      <c r="A51" s="193"/>
      <c r="B51" s="494" t="s">
        <v>812</v>
      </c>
      <c r="C51" s="497">
        <f>SUM(D51:Y51)</f>
        <v>31499999.999999996</v>
      </c>
      <c r="D51" s="498">
        <f>IFERROR(($C$41/($C$46*12))*12*D46,0)</f>
        <v>5247123.2876712326</v>
      </c>
      <c r="E51" s="498">
        <f t="shared" ref="E51:Y51" si="3">IFERROR(($C$41/($C$46*12))*12*E46,0)</f>
        <v>6300000</v>
      </c>
      <c r="F51" s="498">
        <f t="shared" si="3"/>
        <v>6300000</v>
      </c>
      <c r="G51" s="498">
        <f t="shared" si="3"/>
        <v>6300000</v>
      </c>
      <c r="H51" s="498">
        <f t="shared" si="3"/>
        <v>6300000</v>
      </c>
      <c r="I51" s="498">
        <f t="shared" si="3"/>
        <v>1052876.7123287672</v>
      </c>
      <c r="J51" s="498">
        <f t="shared" si="3"/>
        <v>0</v>
      </c>
      <c r="K51" s="498">
        <f t="shared" si="3"/>
        <v>0</v>
      </c>
      <c r="L51" s="498">
        <f t="shared" si="3"/>
        <v>0</v>
      </c>
      <c r="M51" s="498">
        <f t="shared" si="3"/>
        <v>0</v>
      </c>
      <c r="N51" s="498">
        <f t="shared" si="3"/>
        <v>0</v>
      </c>
      <c r="O51" s="498">
        <f t="shared" si="3"/>
        <v>0</v>
      </c>
      <c r="P51" s="498">
        <f t="shared" si="3"/>
        <v>0</v>
      </c>
      <c r="Q51" s="498">
        <f t="shared" si="3"/>
        <v>0</v>
      </c>
      <c r="R51" s="498">
        <f t="shared" si="3"/>
        <v>0</v>
      </c>
      <c r="S51" s="498">
        <f t="shared" si="3"/>
        <v>0</v>
      </c>
      <c r="T51" s="498">
        <f t="shared" si="3"/>
        <v>0</v>
      </c>
      <c r="U51" s="498">
        <f t="shared" si="3"/>
        <v>0</v>
      </c>
      <c r="V51" s="498">
        <f t="shared" si="3"/>
        <v>0</v>
      </c>
      <c r="W51" s="498">
        <f t="shared" si="3"/>
        <v>0</v>
      </c>
      <c r="X51" s="498">
        <f t="shared" si="3"/>
        <v>0</v>
      </c>
      <c r="Y51" s="498">
        <f t="shared" si="3"/>
        <v>0</v>
      </c>
    </row>
    <row r="52" spans="1:25" outlineLevel="2">
      <c r="A52" s="193"/>
      <c r="B52" s="460"/>
      <c r="C52" s="460"/>
      <c r="D52" s="460"/>
      <c r="E52" s="460"/>
      <c r="F52" s="460"/>
      <c r="G52" s="460"/>
      <c r="H52" s="460"/>
      <c r="I52" s="460"/>
      <c r="J52" s="460"/>
      <c r="K52" s="460"/>
      <c r="L52" s="460"/>
      <c r="M52" s="460"/>
      <c r="N52" s="460"/>
      <c r="O52" s="460"/>
      <c r="P52" s="460"/>
      <c r="Q52" s="460"/>
      <c r="R52" s="460"/>
      <c r="S52" s="460"/>
      <c r="T52" s="460"/>
      <c r="U52" s="460"/>
      <c r="V52" s="460"/>
      <c r="W52" s="460"/>
      <c r="X52" s="460"/>
      <c r="Y52" s="460"/>
    </row>
    <row r="53" spans="1:25">
      <c r="A53" s="193" t="s">
        <v>321</v>
      </c>
      <c r="G53" s="304"/>
      <c r="H53" s="304"/>
    </row>
    <row r="54" spans="1:25" outlineLevel="1">
      <c r="A54" s="295" t="s">
        <v>497</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750</v>
      </c>
    </row>
  </sheetData>
  <mergeCells count="1">
    <mergeCell ref="A15:G15"/>
  </mergeCells>
  <conditionalFormatting sqref="D46:I46 D52:Y52 D48:Y49">
    <cfRule type="cellIs" dxfId="6"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outlinePr summaryBelow="0" summaryRight="0"/>
  </sheetPr>
  <dimension ref="A1:EA68"/>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7.8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Summary'!Z10&amp;" "&amp;TRIM('WBS Summary'!AA10)</f>
        <v>1.1.3 System Engineering</v>
      </c>
      <c r="C5" s="447">
        <f>SUM(D5:AZ5)</f>
        <v>17500000</v>
      </c>
      <c r="D5" s="447">
        <f>D44</f>
        <v>2915068.493150685</v>
      </c>
      <c r="E5" s="447">
        <f t="shared" ref="E5:AZ5" si="0">E44</f>
        <v>3500000</v>
      </c>
      <c r="F5" s="447">
        <f t="shared" si="0"/>
        <v>3500000</v>
      </c>
      <c r="G5" s="447">
        <f t="shared" si="0"/>
        <v>3500000</v>
      </c>
      <c r="H5" s="447">
        <f t="shared" si="0"/>
        <v>3500000</v>
      </c>
      <c r="I5" s="447">
        <f t="shared" si="0"/>
        <v>584931.50684931513</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1.1.3 System Engineering</v>
      </c>
      <c r="C9" s="447">
        <f>SUM(D9:AZ9)</f>
        <v>18448824.953610528</v>
      </c>
      <c r="D9" s="447">
        <f>D5*C23</f>
        <v>2956280.4871129594</v>
      </c>
      <c r="E9" s="447">
        <f t="shared" ref="E9:AZ9" si="2">E5*D23</f>
        <v>3612865.51726405</v>
      </c>
      <c r="F9" s="447">
        <f t="shared" si="2"/>
        <v>3677401.1981896861</v>
      </c>
      <c r="G9" s="447">
        <f t="shared" si="2"/>
        <v>3743382.9798699454</v>
      </c>
      <c r="H9" s="447">
        <f t="shared" si="2"/>
        <v>3810614.571934978</v>
      </c>
      <c r="I9" s="447">
        <f t="shared" si="2"/>
        <v>648280.19923891174</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755</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765</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758</v>
      </c>
    </row>
    <row r="31" spans="1:131" outlineLevel="2">
      <c r="A31" s="295"/>
    </row>
    <row r="32" spans="1:131">
      <c r="A32" s="193" t="s">
        <v>507</v>
      </c>
      <c r="H32" s="305"/>
    </row>
    <row r="33" spans="1:25" outlineLevel="1">
      <c r="A33" s="193"/>
      <c r="H33" s="305"/>
    </row>
    <row r="34" spans="1:25" outlineLevel="1">
      <c r="A34" s="193"/>
      <c r="B34" s="194" t="s">
        <v>720</v>
      </c>
      <c r="H34" s="305"/>
    </row>
    <row r="35" spans="1:25" outlineLevel="2">
      <c r="A35" s="193"/>
      <c r="B35" s="295" t="s">
        <v>759</v>
      </c>
      <c r="C35" s="453">
        <v>3500000</v>
      </c>
      <c r="H35" s="305"/>
    </row>
    <row r="36" spans="1:25" outlineLevel="2">
      <c r="A36" s="193"/>
      <c r="C36" s="289"/>
      <c r="H36" s="305"/>
    </row>
    <row r="37" spans="1:25" outlineLevel="1">
      <c r="A37" s="193"/>
      <c r="B37" s="194" t="s">
        <v>721</v>
      </c>
      <c r="H37" s="305"/>
    </row>
    <row r="38" spans="1:25" outlineLevel="2">
      <c r="A38" s="193"/>
      <c r="B38" s="295" t="s">
        <v>792</v>
      </c>
      <c r="H38" s="305"/>
    </row>
    <row r="39" spans="1:25" outlineLevel="2">
      <c r="A39" s="193"/>
      <c r="B39" s="494" t="s">
        <v>760</v>
      </c>
      <c r="C39" s="493" t="s">
        <v>155</v>
      </c>
      <c r="D39" s="439">
        <v>2014</v>
      </c>
      <c r="E39" s="439">
        <v>2015</v>
      </c>
      <c r="F39" s="439">
        <v>2016</v>
      </c>
      <c r="G39" s="439">
        <v>2017</v>
      </c>
      <c r="H39" s="439">
        <v>2018</v>
      </c>
      <c r="I39" s="439">
        <v>2019</v>
      </c>
      <c r="J39" s="439">
        <v>2020</v>
      </c>
      <c r="K39" s="439">
        <v>2021</v>
      </c>
      <c r="L39" s="439">
        <v>2022</v>
      </c>
      <c r="M39" s="439">
        <v>2023</v>
      </c>
      <c r="N39" s="439">
        <v>2024</v>
      </c>
      <c r="O39" s="439">
        <v>2025</v>
      </c>
      <c r="P39" s="439">
        <v>2026</v>
      </c>
      <c r="Q39" s="439">
        <v>2027</v>
      </c>
      <c r="R39" s="439">
        <v>2028</v>
      </c>
      <c r="S39" s="439">
        <v>2029</v>
      </c>
      <c r="T39" s="439">
        <v>2030</v>
      </c>
      <c r="U39" s="439">
        <v>2031</v>
      </c>
      <c r="V39" s="439">
        <v>2032</v>
      </c>
      <c r="W39" s="439">
        <v>2033</v>
      </c>
      <c r="X39" s="439">
        <v>2034</v>
      </c>
      <c r="Y39" s="439">
        <v>2035</v>
      </c>
    </row>
    <row r="40" spans="1:25" outlineLevel="2">
      <c r="A40" s="193"/>
      <c r="B40" s="494" t="s">
        <v>761</v>
      </c>
      <c r="C40" s="439">
        <f>SUM(D40:Y40)</f>
        <v>5</v>
      </c>
      <c r="D40" s="495">
        <v>0.83287671232876714</v>
      </c>
      <c r="E40" s="495">
        <v>1</v>
      </c>
      <c r="F40" s="495">
        <v>1</v>
      </c>
      <c r="G40" s="495">
        <v>1</v>
      </c>
      <c r="H40" s="495">
        <v>1</v>
      </c>
      <c r="I40" s="495">
        <v>0.16712328767123288</v>
      </c>
      <c r="J40" s="496">
        <v>0</v>
      </c>
      <c r="K40" s="496">
        <v>0</v>
      </c>
      <c r="L40" s="496">
        <v>0</v>
      </c>
      <c r="M40" s="496">
        <v>0</v>
      </c>
      <c r="N40" s="496">
        <v>0</v>
      </c>
      <c r="O40" s="496">
        <v>0</v>
      </c>
      <c r="P40" s="496">
        <v>0</v>
      </c>
      <c r="Q40" s="496">
        <v>0</v>
      </c>
      <c r="R40" s="496">
        <v>0</v>
      </c>
      <c r="S40" s="496">
        <v>0</v>
      </c>
      <c r="T40" s="496">
        <v>0</v>
      </c>
      <c r="U40" s="496">
        <v>0</v>
      </c>
      <c r="V40" s="496">
        <v>0</v>
      </c>
      <c r="W40" s="496">
        <v>0</v>
      </c>
      <c r="X40" s="496">
        <v>0</v>
      </c>
      <c r="Y40" s="496">
        <v>0</v>
      </c>
    </row>
    <row r="41" spans="1:25" outlineLevel="2">
      <c r="A41" s="193"/>
      <c r="B41" s="460"/>
      <c r="C41" s="460"/>
      <c r="D41" s="460"/>
      <c r="E41" s="460"/>
      <c r="F41" s="460"/>
      <c r="G41" s="460"/>
      <c r="H41" s="460"/>
      <c r="I41" s="460"/>
      <c r="J41" s="460"/>
      <c r="K41" s="460"/>
      <c r="L41" s="460"/>
      <c r="M41" s="460"/>
      <c r="N41" s="460"/>
      <c r="O41" s="460"/>
      <c r="P41" s="460"/>
      <c r="Q41" s="460"/>
      <c r="R41" s="460"/>
      <c r="S41" s="460"/>
      <c r="T41" s="460"/>
      <c r="U41" s="460"/>
      <c r="V41" s="460"/>
      <c r="W41" s="460"/>
      <c r="X41" s="460"/>
      <c r="Y41" s="460"/>
    </row>
    <row r="42" spans="1:25" outlineLevel="1">
      <c r="A42" s="193"/>
      <c r="B42" s="461" t="s">
        <v>769</v>
      </c>
      <c r="C42" s="460"/>
      <c r="D42" s="460"/>
      <c r="E42" s="460"/>
      <c r="F42" s="460"/>
      <c r="G42" s="460"/>
      <c r="H42" s="460"/>
      <c r="I42" s="460"/>
      <c r="J42" s="460"/>
      <c r="K42" s="460"/>
      <c r="L42" s="460"/>
      <c r="M42" s="460"/>
      <c r="N42" s="460"/>
      <c r="O42" s="460"/>
      <c r="P42" s="460"/>
      <c r="Q42" s="460"/>
      <c r="R42" s="460"/>
      <c r="S42" s="460"/>
      <c r="T42" s="460"/>
      <c r="U42" s="460"/>
      <c r="V42" s="460"/>
      <c r="W42" s="460"/>
      <c r="X42" s="460"/>
      <c r="Y42" s="460"/>
    </row>
    <row r="43" spans="1:25" outlineLevel="2">
      <c r="A43" s="193"/>
      <c r="B43" s="494" t="s">
        <v>760</v>
      </c>
      <c r="C43" s="493" t="s">
        <v>155</v>
      </c>
      <c r="D43" s="439">
        <v>2014</v>
      </c>
      <c r="E43" s="439">
        <v>2015</v>
      </c>
      <c r="F43" s="439">
        <v>2016</v>
      </c>
      <c r="G43" s="439">
        <v>2017</v>
      </c>
      <c r="H43" s="439">
        <v>2018</v>
      </c>
      <c r="I43" s="439">
        <v>2019</v>
      </c>
      <c r="J43" s="439">
        <v>2020</v>
      </c>
      <c r="K43" s="439">
        <v>2021</v>
      </c>
      <c r="L43" s="439">
        <v>2022</v>
      </c>
      <c r="M43" s="439">
        <v>2023</v>
      </c>
      <c r="N43" s="439">
        <v>2024</v>
      </c>
      <c r="O43" s="439">
        <v>2025</v>
      </c>
      <c r="P43" s="439">
        <v>2026</v>
      </c>
      <c r="Q43" s="439">
        <v>2027</v>
      </c>
      <c r="R43" s="439">
        <v>2028</v>
      </c>
      <c r="S43" s="439">
        <v>2029</v>
      </c>
      <c r="T43" s="439">
        <v>2030</v>
      </c>
      <c r="U43" s="439">
        <v>2031</v>
      </c>
      <c r="V43" s="439">
        <v>2032</v>
      </c>
      <c r="W43" s="439">
        <v>2033</v>
      </c>
      <c r="X43" s="439">
        <v>2034</v>
      </c>
      <c r="Y43" s="439">
        <v>2035</v>
      </c>
    </row>
    <row r="44" spans="1:25" outlineLevel="2">
      <c r="A44" s="193"/>
      <c r="B44" s="494" t="s">
        <v>762</v>
      </c>
      <c r="C44" s="497">
        <f>SUM(D44:Y44)</f>
        <v>17500000</v>
      </c>
      <c r="D44" s="498">
        <f>D40*$C$35</f>
        <v>2915068.493150685</v>
      </c>
      <c r="E44" s="498">
        <f t="shared" ref="E44:Y44" si="3">E40*$C$35</f>
        <v>3500000</v>
      </c>
      <c r="F44" s="498">
        <f t="shared" si="3"/>
        <v>3500000</v>
      </c>
      <c r="G44" s="498">
        <f t="shared" si="3"/>
        <v>3500000</v>
      </c>
      <c r="H44" s="498">
        <f t="shared" si="3"/>
        <v>3500000</v>
      </c>
      <c r="I44" s="498">
        <f t="shared" si="3"/>
        <v>584931.50684931513</v>
      </c>
      <c r="J44" s="498">
        <f t="shared" si="3"/>
        <v>0</v>
      </c>
      <c r="K44" s="498">
        <f t="shared" si="3"/>
        <v>0</v>
      </c>
      <c r="L44" s="498">
        <f t="shared" si="3"/>
        <v>0</v>
      </c>
      <c r="M44" s="498">
        <f t="shared" si="3"/>
        <v>0</v>
      </c>
      <c r="N44" s="498">
        <f t="shared" si="3"/>
        <v>0</v>
      </c>
      <c r="O44" s="498">
        <f t="shared" si="3"/>
        <v>0</v>
      </c>
      <c r="P44" s="498">
        <f t="shared" si="3"/>
        <v>0</v>
      </c>
      <c r="Q44" s="498">
        <f t="shared" si="3"/>
        <v>0</v>
      </c>
      <c r="R44" s="498">
        <f t="shared" si="3"/>
        <v>0</v>
      </c>
      <c r="S44" s="498">
        <f t="shared" si="3"/>
        <v>0</v>
      </c>
      <c r="T44" s="498">
        <f t="shared" si="3"/>
        <v>0</v>
      </c>
      <c r="U44" s="498">
        <f t="shared" si="3"/>
        <v>0</v>
      </c>
      <c r="V44" s="498">
        <f t="shared" si="3"/>
        <v>0</v>
      </c>
      <c r="W44" s="498">
        <f t="shared" si="3"/>
        <v>0</v>
      </c>
      <c r="X44" s="498">
        <f t="shared" si="3"/>
        <v>0</v>
      </c>
      <c r="Y44" s="498">
        <f t="shared" si="3"/>
        <v>0</v>
      </c>
    </row>
    <row r="45" spans="1:25" outlineLevel="2">
      <c r="A45" s="193"/>
      <c r="B45" s="460"/>
      <c r="C45" s="460"/>
      <c r="D45" s="460"/>
      <c r="E45" s="460"/>
      <c r="F45" s="460"/>
      <c r="G45" s="460"/>
      <c r="H45" s="460"/>
      <c r="I45" s="460"/>
      <c r="J45" s="460"/>
      <c r="K45" s="460"/>
      <c r="L45" s="460"/>
      <c r="M45" s="460"/>
      <c r="N45" s="460"/>
      <c r="O45" s="460"/>
      <c r="P45" s="460"/>
      <c r="Q45" s="460"/>
      <c r="R45" s="460"/>
      <c r="S45" s="460"/>
      <c r="T45" s="460"/>
      <c r="U45" s="460"/>
      <c r="V45" s="460"/>
      <c r="W45" s="460"/>
      <c r="X45" s="460"/>
      <c r="Y45" s="460"/>
    </row>
    <row r="46" spans="1:25">
      <c r="A46" s="193" t="s">
        <v>321</v>
      </c>
      <c r="G46" s="304"/>
      <c r="H46" s="304"/>
    </row>
    <row r="47" spans="1:25" outlineLevel="1">
      <c r="A47" s="295" t="s">
        <v>497</v>
      </c>
    </row>
    <row r="48" spans="1:25" outlineLevel="1">
      <c r="A48" s="295"/>
    </row>
    <row r="49" spans="1:1" outlineLevel="1">
      <c r="A49" s="295"/>
    </row>
    <row r="50" spans="1:1" outlineLevel="1">
      <c r="A50" s="295"/>
    </row>
    <row r="51" spans="1:1" outlineLevel="1">
      <c r="A51" s="295"/>
    </row>
    <row r="52" spans="1:1" outlineLevel="1">
      <c r="A52" s="295"/>
    </row>
    <row r="53" spans="1:1" outlineLevel="1">
      <c r="A53" s="295"/>
    </row>
    <row r="54" spans="1:1" outlineLevel="1">
      <c r="A54" s="295"/>
    </row>
    <row r="55" spans="1:1" outlineLevel="1">
      <c r="A55" s="295"/>
    </row>
    <row r="56" spans="1:1" outlineLevel="1"/>
    <row r="57" spans="1:1" outlineLevel="1"/>
    <row r="58" spans="1:1" outlineLevel="1"/>
    <row r="59" spans="1:1" outlineLevel="1"/>
    <row r="60" spans="1:1" outlineLevel="1"/>
    <row r="61" spans="1:1" outlineLevel="1"/>
    <row r="68" spans="6:6">
      <c r="F68" s="194" t="s">
        <v>750</v>
      </c>
    </row>
  </sheetData>
  <mergeCells count="1">
    <mergeCell ref="A15:G15"/>
  </mergeCells>
  <conditionalFormatting sqref="D41:Y42 D40:I40 D45:Y45">
    <cfRule type="cellIs" dxfId="5" priority="2"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outlinePr summaryBelow="0" summaryRight="0"/>
  </sheetPr>
  <dimension ref="A1:EA68"/>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8.3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Summary'!Z11&amp;" "&amp;TRIM('WBS Summary'!AA11)</f>
        <v>1.1.4 Program Management</v>
      </c>
      <c r="C5" s="447">
        <f>SUM(D5:AZ5)</f>
        <v>14999999.999999998</v>
      </c>
      <c r="D5" s="447">
        <f>D44</f>
        <v>2498630.1369863013</v>
      </c>
      <c r="E5" s="447">
        <f t="shared" ref="E5:AZ5" si="0">E44</f>
        <v>3000000</v>
      </c>
      <c r="F5" s="447">
        <f t="shared" si="0"/>
        <v>3000000</v>
      </c>
      <c r="G5" s="447">
        <f t="shared" si="0"/>
        <v>3000000</v>
      </c>
      <c r="H5" s="447">
        <f t="shared" si="0"/>
        <v>3000000</v>
      </c>
      <c r="I5" s="447">
        <f t="shared" si="0"/>
        <v>501369.86301369866</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1.1.4 Program Management</v>
      </c>
      <c r="C9" s="447">
        <f>SUM(D9:AZ9)</f>
        <v>15813278.531666171</v>
      </c>
      <c r="D9" s="447">
        <f>D5*C23</f>
        <v>2533954.7032396793</v>
      </c>
      <c r="E9" s="447">
        <f t="shared" ref="E9:AZ9" si="2">E5*D23</f>
        <v>3096741.8719406142</v>
      </c>
      <c r="F9" s="447">
        <f t="shared" si="2"/>
        <v>3152058.169876874</v>
      </c>
      <c r="G9" s="447">
        <f t="shared" si="2"/>
        <v>3208613.9827456675</v>
      </c>
      <c r="H9" s="447">
        <f t="shared" si="2"/>
        <v>3266241.0616585528</v>
      </c>
      <c r="I9" s="447">
        <f t="shared" si="2"/>
        <v>555668.74220478151</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763</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764</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766</v>
      </c>
    </row>
    <row r="31" spans="1:131" outlineLevel="2">
      <c r="A31" s="295"/>
    </row>
    <row r="32" spans="1:131">
      <c r="A32" s="193" t="s">
        <v>507</v>
      </c>
      <c r="H32" s="305"/>
    </row>
    <row r="33" spans="1:25" outlineLevel="1">
      <c r="A33" s="193"/>
      <c r="H33" s="305"/>
    </row>
    <row r="34" spans="1:25" outlineLevel="1">
      <c r="A34" s="193"/>
      <c r="B34" s="194" t="s">
        <v>720</v>
      </c>
      <c r="H34" s="305"/>
    </row>
    <row r="35" spans="1:25" outlineLevel="2">
      <c r="A35" s="193"/>
      <c r="B35" s="295" t="s">
        <v>767</v>
      </c>
      <c r="C35" s="453">
        <v>3000000</v>
      </c>
      <c r="H35" s="305"/>
    </row>
    <row r="36" spans="1:25" outlineLevel="2">
      <c r="A36" s="193"/>
      <c r="C36" s="289"/>
      <c r="H36" s="305"/>
    </row>
    <row r="37" spans="1:25" outlineLevel="1">
      <c r="A37" s="193"/>
      <c r="B37" s="194" t="s">
        <v>721</v>
      </c>
      <c r="H37" s="305"/>
    </row>
    <row r="38" spans="1:25" outlineLevel="2">
      <c r="A38" s="193"/>
      <c r="B38" s="295" t="s">
        <v>792</v>
      </c>
      <c r="H38" s="305"/>
    </row>
    <row r="39" spans="1:25" outlineLevel="2">
      <c r="A39" s="193"/>
      <c r="B39" s="494" t="s">
        <v>760</v>
      </c>
      <c r="C39" s="493" t="s">
        <v>155</v>
      </c>
      <c r="D39" s="439">
        <v>2014</v>
      </c>
      <c r="E39" s="439">
        <v>2015</v>
      </c>
      <c r="F39" s="439">
        <v>2016</v>
      </c>
      <c r="G39" s="439">
        <v>2017</v>
      </c>
      <c r="H39" s="439">
        <v>2018</v>
      </c>
      <c r="I39" s="439">
        <v>2019</v>
      </c>
      <c r="J39" s="439">
        <v>2020</v>
      </c>
      <c r="K39" s="439">
        <v>2021</v>
      </c>
      <c r="L39" s="439">
        <v>2022</v>
      </c>
      <c r="M39" s="439">
        <v>2023</v>
      </c>
      <c r="N39" s="439">
        <v>2024</v>
      </c>
      <c r="O39" s="439">
        <v>2025</v>
      </c>
      <c r="P39" s="439">
        <v>2026</v>
      </c>
      <c r="Q39" s="439">
        <v>2027</v>
      </c>
      <c r="R39" s="439">
        <v>2028</v>
      </c>
      <c r="S39" s="439">
        <v>2029</v>
      </c>
      <c r="T39" s="439">
        <v>2030</v>
      </c>
      <c r="U39" s="439">
        <v>2031</v>
      </c>
      <c r="V39" s="439">
        <v>2032</v>
      </c>
      <c r="W39" s="439">
        <v>2033</v>
      </c>
      <c r="X39" s="439">
        <v>2034</v>
      </c>
      <c r="Y39" s="439">
        <v>2035</v>
      </c>
    </row>
    <row r="40" spans="1:25" outlineLevel="2">
      <c r="A40" s="193"/>
      <c r="B40" s="494" t="s">
        <v>761</v>
      </c>
      <c r="C40" s="439">
        <f>SUM(D40:Y40)</f>
        <v>5</v>
      </c>
      <c r="D40" s="495">
        <v>0.83287671232876714</v>
      </c>
      <c r="E40" s="495">
        <v>1</v>
      </c>
      <c r="F40" s="495">
        <v>1</v>
      </c>
      <c r="G40" s="495">
        <v>1</v>
      </c>
      <c r="H40" s="495">
        <v>1</v>
      </c>
      <c r="I40" s="495">
        <v>0.16712328767123288</v>
      </c>
      <c r="J40" s="496">
        <v>0</v>
      </c>
      <c r="K40" s="496">
        <v>0</v>
      </c>
      <c r="L40" s="496">
        <v>0</v>
      </c>
      <c r="M40" s="496">
        <v>0</v>
      </c>
      <c r="N40" s="496">
        <v>0</v>
      </c>
      <c r="O40" s="496">
        <v>0</v>
      </c>
      <c r="P40" s="496">
        <v>0</v>
      </c>
      <c r="Q40" s="496">
        <v>0</v>
      </c>
      <c r="R40" s="496">
        <v>0</v>
      </c>
      <c r="S40" s="496">
        <v>0</v>
      </c>
      <c r="T40" s="496">
        <v>0</v>
      </c>
      <c r="U40" s="496">
        <v>0</v>
      </c>
      <c r="V40" s="496">
        <v>0</v>
      </c>
      <c r="W40" s="496">
        <v>0</v>
      </c>
      <c r="X40" s="496">
        <v>0</v>
      </c>
      <c r="Y40" s="496">
        <v>0</v>
      </c>
    </row>
    <row r="41" spans="1:25" outlineLevel="2">
      <c r="A41" s="193"/>
      <c r="B41" s="460"/>
      <c r="C41" s="460"/>
      <c r="D41" s="460"/>
      <c r="E41" s="460"/>
      <c r="F41" s="460"/>
      <c r="G41" s="460"/>
      <c r="H41" s="460"/>
      <c r="I41" s="460"/>
      <c r="J41" s="460"/>
      <c r="K41" s="460"/>
      <c r="L41" s="460"/>
      <c r="M41" s="460"/>
      <c r="N41" s="460"/>
      <c r="O41" s="460"/>
      <c r="P41" s="460"/>
      <c r="Q41" s="460"/>
      <c r="R41" s="460"/>
      <c r="S41" s="460"/>
      <c r="T41" s="460"/>
      <c r="U41" s="460"/>
      <c r="V41" s="460"/>
      <c r="W41" s="460"/>
      <c r="X41" s="460"/>
      <c r="Y41" s="460"/>
    </row>
    <row r="42" spans="1:25" outlineLevel="1">
      <c r="A42" s="193"/>
      <c r="B42" s="461" t="s">
        <v>769</v>
      </c>
      <c r="C42" s="460"/>
      <c r="D42" s="460"/>
      <c r="E42" s="460"/>
      <c r="F42" s="460"/>
      <c r="G42" s="460"/>
      <c r="H42" s="460"/>
      <c r="I42" s="460"/>
      <c r="J42" s="460"/>
      <c r="K42" s="460"/>
      <c r="L42" s="460"/>
      <c r="M42" s="460"/>
      <c r="N42" s="460"/>
      <c r="O42" s="460"/>
      <c r="P42" s="460"/>
      <c r="Q42" s="460"/>
      <c r="R42" s="460"/>
      <c r="S42" s="460"/>
      <c r="T42" s="460"/>
      <c r="U42" s="460"/>
      <c r="V42" s="460"/>
      <c r="W42" s="460"/>
      <c r="X42" s="460"/>
      <c r="Y42" s="460"/>
    </row>
    <row r="43" spans="1:25" outlineLevel="2">
      <c r="A43" s="193"/>
      <c r="B43" s="494" t="s">
        <v>760</v>
      </c>
      <c r="C43" s="493" t="s">
        <v>155</v>
      </c>
      <c r="D43" s="439">
        <v>2014</v>
      </c>
      <c r="E43" s="439">
        <v>2015</v>
      </c>
      <c r="F43" s="439">
        <v>2016</v>
      </c>
      <c r="G43" s="439">
        <v>2017</v>
      </c>
      <c r="H43" s="439">
        <v>2018</v>
      </c>
      <c r="I43" s="439">
        <v>2019</v>
      </c>
      <c r="J43" s="439">
        <v>2020</v>
      </c>
      <c r="K43" s="439">
        <v>2021</v>
      </c>
      <c r="L43" s="439">
        <v>2022</v>
      </c>
      <c r="M43" s="439">
        <v>2023</v>
      </c>
      <c r="N43" s="439">
        <v>2024</v>
      </c>
      <c r="O43" s="439">
        <v>2025</v>
      </c>
      <c r="P43" s="439">
        <v>2026</v>
      </c>
      <c r="Q43" s="439">
        <v>2027</v>
      </c>
      <c r="R43" s="439">
        <v>2028</v>
      </c>
      <c r="S43" s="439">
        <v>2029</v>
      </c>
      <c r="T43" s="439">
        <v>2030</v>
      </c>
      <c r="U43" s="439">
        <v>2031</v>
      </c>
      <c r="V43" s="439">
        <v>2032</v>
      </c>
      <c r="W43" s="439">
        <v>2033</v>
      </c>
      <c r="X43" s="439">
        <v>2034</v>
      </c>
      <c r="Y43" s="439">
        <v>2035</v>
      </c>
    </row>
    <row r="44" spans="1:25" outlineLevel="2">
      <c r="A44" s="193"/>
      <c r="B44" s="494" t="s">
        <v>768</v>
      </c>
      <c r="C44" s="497">
        <f>SUM(D44:Y44)</f>
        <v>14999999.999999998</v>
      </c>
      <c r="D44" s="498">
        <f>D40*$C$35</f>
        <v>2498630.1369863013</v>
      </c>
      <c r="E44" s="498">
        <f t="shared" ref="E44:Y44" si="3">E40*$C$35</f>
        <v>3000000</v>
      </c>
      <c r="F44" s="498">
        <f t="shared" si="3"/>
        <v>3000000</v>
      </c>
      <c r="G44" s="498">
        <f t="shared" si="3"/>
        <v>3000000</v>
      </c>
      <c r="H44" s="498">
        <f t="shared" si="3"/>
        <v>3000000</v>
      </c>
      <c r="I44" s="498">
        <f t="shared" si="3"/>
        <v>501369.86301369866</v>
      </c>
      <c r="J44" s="498">
        <f t="shared" si="3"/>
        <v>0</v>
      </c>
      <c r="K44" s="498">
        <f t="shared" si="3"/>
        <v>0</v>
      </c>
      <c r="L44" s="498">
        <f t="shared" si="3"/>
        <v>0</v>
      </c>
      <c r="M44" s="498">
        <f t="shared" si="3"/>
        <v>0</v>
      </c>
      <c r="N44" s="498">
        <f t="shared" si="3"/>
        <v>0</v>
      </c>
      <c r="O44" s="498">
        <f t="shared" si="3"/>
        <v>0</v>
      </c>
      <c r="P44" s="498">
        <f t="shared" si="3"/>
        <v>0</v>
      </c>
      <c r="Q44" s="498">
        <f t="shared" si="3"/>
        <v>0</v>
      </c>
      <c r="R44" s="498">
        <f t="shared" si="3"/>
        <v>0</v>
      </c>
      <c r="S44" s="498">
        <f t="shared" si="3"/>
        <v>0</v>
      </c>
      <c r="T44" s="498">
        <f t="shared" si="3"/>
        <v>0</v>
      </c>
      <c r="U44" s="498">
        <f t="shared" si="3"/>
        <v>0</v>
      </c>
      <c r="V44" s="498">
        <f t="shared" si="3"/>
        <v>0</v>
      </c>
      <c r="W44" s="498">
        <f t="shared" si="3"/>
        <v>0</v>
      </c>
      <c r="X44" s="498">
        <f t="shared" si="3"/>
        <v>0</v>
      </c>
      <c r="Y44" s="498">
        <f t="shared" si="3"/>
        <v>0</v>
      </c>
    </row>
    <row r="45" spans="1:25" outlineLevel="2">
      <c r="A45" s="193"/>
      <c r="B45" s="460"/>
      <c r="C45" s="460"/>
      <c r="D45" s="460"/>
      <c r="E45" s="460"/>
      <c r="F45" s="460"/>
      <c r="G45" s="460"/>
      <c r="H45" s="460"/>
      <c r="I45" s="460"/>
      <c r="J45" s="460"/>
      <c r="K45" s="460"/>
      <c r="L45" s="460"/>
      <c r="M45" s="460"/>
      <c r="N45" s="460"/>
      <c r="O45" s="460"/>
      <c r="P45" s="460"/>
      <c r="Q45" s="460"/>
      <c r="R45" s="460"/>
      <c r="S45" s="460"/>
      <c r="T45" s="460"/>
      <c r="U45" s="460"/>
      <c r="V45" s="460"/>
      <c r="W45" s="460"/>
      <c r="X45" s="460"/>
      <c r="Y45" s="460"/>
    </row>
    <row r="46" spans="1:25">
      <c r="A46" s="193" t="s">
        <v>321</v>
      </c>
      <c r="G46" s="304"/>
      <c r="H46" s="304"/>
    </row>
    <row r="47" spans="1:25" outlineLevel="1">
      <c r="A47" s="295" t="s">
        <v>497</v>
      </c>
    </row>
    <row r="48" spans="1:25" outlineLevel="1">
      <c r="A48" s="295"/>
    </row>
    <row r="49" spans="1:1" outlineLevel="1">
      <c r="A49" s="295"/>
    </row>
    <row r="50" spans="1:1" outlineLevel="1">
      <c r="A50" s="295"/>
    </row>
    <row r="51" spans="1:1" outlineLevel="1">
      <c r="A51" s="295"/>
    </row>
    <row r="52" spans="1:1" outlineLevel="1">
      <c r="A52" s="295"/>
    </row>
    <row r="53" spans="1:1" outlineLevel="1">
      <c r="A53" s="295"/>
    </row>
    <row r="54" spans="1:1" outlineLevel="1">
      <c r="A54" s="295"/>
    </row>
    <row r="55" spans="1:1" outlineLevel="1">
      <c r="A55" s="295"/>
    </row>
    <row r="56" spans="1:1" outlineLevel="1"/>
    <row r="57" spans="1:1" outlineLevel="1"/>
    <row r="58" spans="1:1" outlineLevel="1"/>
    <row r="59" spans="1:1" outlineLevel="1"/>
    <row r="60" spans="1:1" outlineLevel="1"/>
    <row r="61" spans="1:1" outlineLevel="1"/>
    <row r="68" spans="6:6">
      <c r="F68" s="194" t="s">
        <v>750</v>
      </c>
    </row>
  </sheetData>
  <mergeCells count="1">
    <mergeCell ref="A15:G15"/>
  </mergeCells>
  <conditionalFormatting sqref="D41:Y42 D40:I40 D45:Y45">
    <cfRule type="cellIs" dxfId="4"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0" tint="-0.14999847407452621"/>
    <outlinePr summaryBelow="0" summaryRight="0"/>
  </sheetPr>
  <dimension ref="A1:EA75"/>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8.3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Summary'!Z12&amp;" "&amp;TRIM('WBS Summary'!AA12)</f>
        <v>1.1.5 System Test and Evaluation</v>
      </c>
      <c r="C5" s="447">
        <f>SUM(D5:AZ5)</f>
        <v>1766584.042600781</v>
      </c>
      <c r="D5" s="447">
        <f>D51</f>
        <v>294269.34189076023</v>
      </c>
      <c r="E5" s="447">
        <f t="shared" ref="E5:AZ5" si="0">E51</f>
        <v>353316.80852015619</v>
      </c>
      <c r="F5" s="447">
        <f t="shared" si="0"/>
        <v>353316.80852015619</v>
      </c>
      <c r="G5" s="447">
        <f t="shared" si="0"/>
        <v>353316.80852015619</v>
      </c>
      <c r="H5" s="447">
        <f t="shared" si="0"/>
        <v>353316.80852015619</v>
      </c>
      <c r="I5" s="447">
        <f t="shared" si="0"/>
        <v>59047.466629395967</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1.1.5 System Test and Evaluation</v>
      </c>
      <c r="C9" s="447">
        <f>SUM(D9:AZ9)</f>
        <v>1862365.7010161974</v>
      </c>
      <c r="D9" s="447">
        <f>D5*C23</f>
        <v>298429.59622776101</v>
      </c>
      <c r="E9" s="447">
        <f t="shared" ref="E9:AZ9" si="2">E5*D23</f>
        <v>364710.31833493069</v>
      </c>
      <c r="F9" s="447">
        <f t="shared" si="2"/>
        <v>371225.04428359383</v>
      </c>
      <c r="G9" s="447">
        <f t="shared" si="2"/>
        <v>377885.75071894896</v>
      </c>
      <c r="H9" s="447">
        <f t="shared" si="2"/>
        <v>384672.62258756219</v>
      </c>
      <c r="I9" s="447">
        <f t="shared" si="2"/>
        <v>65442.36886340093</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774</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787</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775</v>
      </c>
    </row>
    <row r="31" spans="1:131" outlineLevel="2">
      <c r="A31" s="295"/>
    </row>
    <row r="32" spans="1:131">
      <c r="A32" s="193" t="s">
        <v>507</v>
      </c>
    </row>
    <row r="33" spans="1:25" outlineLevel="1">
      <c r="A33" s="193"/>
      <c r="H33" s="305"/>
    </row>
    <row r="34" spans="1:25" outlineLevel="1">
      <c r="A34" s="193"/>
      <c r="B34" s="194" t="s">
        <v>720</v>
      </c>
      <c r="H34" s="305"/>
    </row>
    <row r="35" spans="1:25" outlineLevel="2">
      <c r="A35" s="193"/>
      <c r="B35" s="295" t="s">
        <v>776</v>
      </c>
      <c r="C35" s="499">
        <v>0.6</v>
      </c>
      <c r="H35" s="305"/>
    </row>
    <row r="36" spans="1:25" outlineLevel="2">
      <c r="A36" s="193"/>
      <c r="C36" s="289"/>
      <c r="H36" s="305"/>
    </row>
    <row r="37" spans="1:25" outlineLevel="1">
      <c r="A37" s="193"/>
      <c r="B37" s="194" t="s">
        <v>721</v>
      </c>
      <c r="H37" s="305"/>
    </row>
    <row r="38" spans="1:25" outlineLevel="2">
      <c r="A38" s="193"/>
      <c r="B38" s="295" t="s">
        <v>784</v>
      </c>
      <c r="C38" s="453">
        <f>'1.1.1.2'!C5</f>
        <v>2944306.7376679685</v>
      </c>
      <c r="H38" s="305"/>
    </row>
    <row r="39" spans="1:25" outlineLevel="2">
      <c r="A39" s="193"/>
      <c r="B39" s="295"/>
      <c r="C39" s="451"/>
      <c r="H39" s="305"/>
    </row>
    <row r="40" spans="1:25" outlineLevel="1">
      <c r="A40" s="193"/>
      <c r="B40" s="194" t="s">
        <v>769</v>
      </c>
      <c r="H40" s="305"/>
    </row>
    <row r="41" spans="1:25" outlineLevel="2">
      <c r="A41" s="193"/>
      <c r="B41" s="295" t="s">
        <v>785</v>
      </c>
      <c r="C41" s="453">
        <f>C35*C38</f>
        <v>1766584.042600781</v>
      </c>
      <c r="H41" s="305"/>
    </row>
    <row r="42" spans="1:25" outlineLevel="2">
      <c r="A42" s="193"/>
      <c r="B42" s="295"/>
      <c r="C42" s="451"/>
      <c r="H42" s="305"/>
    </row>
    <row r="43" spans="1:25" outlineLevel="1">
      <c r="A43" s="193"/>
      <c r="B43" s="194" t="s">
        <v>707</v>
      </c>
      <c r="C43" s="451"/>
      <c r="H43" s="305"/>
    </row>
    <row r="44" spans="1:25" outlineLevel="2">
      <c r="A44" s="193"/>
      <c r="B44" s="295" t="s">
        <v>792</v>
      </c>
      <c r="C44" s="451"/>
      <c r="H44" s="305"/>
    </row>
    <row r="45" spans="1:25" outlineLevel="2">
      <c r="A45" s="193"/>
      <c r="B45" s="494" t="s">
        <v>760</v>
      </c>
      <c r="C45" s="493" t="s">
        <v>155</v>
      </c>
      <c r="D45" s="439">
        <v>2014</v>
      </c>
      <c r="E45" s="439">
        <v>2015</v>
      </c>
      <c r="F45" s="439">
        <v>2016</v>
      </c>
      <c r="G45" s="439">
        <v>2017</v>
      </c>
      <c r="H45" s="439">
        <v>2018</v>
      </c>
      <c r="I45" s="439">
        <v>2019</v>
      </c>
      <c r="J45" s="439">
        <v>2020</v>
      </c>
      <c r="K45" s="439">
        <v>2021</v>
      </c>
      <c r="L45" s="439">
        <v>2022</v>
      </c>
      <c r="M45" s="439">
        <v>2023</v>
      </c>
      <c r="N45" s="439">
        <v>2024</v>
      </c>
      <c r="O45" s="439">
        <v>2025</v>
      </c>
      <c r="P45" s="439">
        <v>2026</v>
      </c>
      <c r="Q45" s="439">
        <v>2027</v>
      </c>
      <c r="R45" s="439">
        <v>2028</v>
      </c>
      <c r="S45" s="439">
        <v>2029</v>
      </c>
      <c r="T45" s="439">
        <v>2030</v>
      </c>
      <c r="U45" s="439">
        <v>2031</v>
      </c>
      <c r="V45" s="439">
        <v>2032</v>
      </c>
      <c r="W45" s="439">
        <v>2033</v>
      </c>
      <c r="X45" s="439">
        <v>2034</v>
      </c>
      <c r="Y45" s="439">
        <v>2035</v>
      </c>
    </row>
    <row r="46" spans="1:25" outlineLevel="2">
      <c r="A46" s="193"/>
      <c r="B46" s="494" t="s">
        <v>761</v>
      </c>
      <c r="C46" s="500">
        <f>SUM(D46:Y46)</f>
        <v>5</v>
      </c>
      <c r="D46" s="495">
        <v>0.83287671232876714</v>
      </c>
      <c r="E46" s="495">
        <v>1</v>
      </c>
      <c r="F46" s="495">
        <v>1</v>
      </c>
      <c r="G46" s="495">
        <v>1</v>
      </c>
      <c r="H46" s="495">
        <v>1</v>
      </c>
      <c r="I46" s="495">
        <v>0.16712328767123288</v>
      </c>
      <c r="J46" s="496">
        <v>0</v>
      </c>
      <c r="K46" s="496">
        <v>0</v>
      </c>
      <c r="L46" s="496">
        <v>0</v>
      </c>
      <c r="M46" s="496">
        <v>0</v>
      </c>
      <c r="N46" s="496">
        <v>0</v>
      </c>
      <c r="O46" s="496">
        <v>0</v>
      </c>
      <c r="P46" s="496">
        <v>0</v>
      </c>
      <c r="Q46" s="496">
        <v>0</v>
      </c>
      <c r="R46" s="496">
        <v>0</v>
      </c>
      <c r="S46" s="496">
        <v>0</v>
      </c>
      <c r="T46" s="496">
        <v>0</v>
      </c>
      <c r="U46" s="496">
        <v>0</v>
      </c>
      <c r="V46" s="496">
        <v>0</v>
      </c>
      <c r="W46" s="496">
        <v>0</v>
      </c>
      <c r="X46" s="496">
        <v>0</v>
      </c>
      <c r="Y46" s="496">
        <v>0</v>
      </c>
    </row>
    <row r="47" spans="1:25" outlineLevel="2">
      <c r="A47" s="193"/>
    </row>
    <row r="48" spans="1:25" outlineLevel="1">
      <c r="A48" s="193"/>
      <c r="B48" s="461" t="s">
        <v>733</v>
      </c>
      <c r="C48" s="460"/>
      <c r="D48" s="460"/>
      <c r="E48" s="460"/>
      <c r="F48" s="460"/>
      <c r="G48" s="460"/>
      <c r="H48" s="460"/>
      <c r="I48" s="460"/>
      <c r="J48" s="460"/>
      <c r="K48" s="460"/>
      <c r="L48" s="460"/>
      <c r="M48" s="460"/>
      <c r="N48" s="460"/>
      <c r="O48" s="460"/>
      <c r="P48" s="460"/>
      <c r="Q48" s="460"/>
      <c r="R48" s="460"/>
      <c r="S48" s="460"/>
      <c r="T48" s="460"/>
      <c r="U48" s="460"/>
      <c r="V48" s="460"/>
      <c r="W48" s="460"/>
      <c r="X48" s="460"/>
      <c r="Y48" s="460"/>
    </row>
    <row r="49" spans="1:25" outlineLevel="2">
      <c r="A49" s="193"/>
      <c r="B49" s="461" t="s">
        <v>778</v>
      </c>
      <c r="C49" s="460"/>
      <c r="D49" s="460"/>
      <c r="E49" s="460"/>
      <c r="F49" s="460"/>
      <c r="G49" s="460"/>
      <c r="H49" s="460"/>
      <c r="I49" s="460"/>
      <c r="J49" s="460"/>
      <c r="K49" s="460"/>
      <c r="L49" s="460"/>
      <c r="M49" s="460"/>
      <c r="N49" s="460"/>
      <c r="O49" s="460"/>
      <c r="P49" s="460"/>
      <c r="Q49" s="460"/>
      <c r="R49" s="460"/>
      <c r="S49" s="460"/>
      <c r="T49" s="460"/>
      <c r="U49" s="460"/>
      <c r="V49" s="460"/>
      <c r="W49" s="460"/>
      <c r="X49" s="460"/>
      <c r="Y49" s="460"/>
    </row>
    <row r="50" spans="1:25" outlineLevel="2">
      <c r="A50" s="193"/>
      <c r="B50" s="494" t="s">
        <v>760</v>
      </c>
      <c r="C50" s="493" t="s">
        <v>155</v>
      </c>
      <c r="D50" s="439">
        <v>2014</v>
      </c>
      <c r="E50" s="439">
        <v>2015</v>
      </c>
      <c r="F50" s="439">
        <v>2016</v>
      </c>
      <c r="G50" s="439">
        <v>2017</v>
      </c>
      <c r="H50" s="439">
        <v>2018</v>
      </c>
      <c r="I50" s="439">
        <v>2019</v>
      </c>
      <c r="J50" s="439">
        <v>2020</v>
      </c>
      <c r="K50" s="439">
        <v>2021</v>
      </c>
      <c r="L50" s="439">
        <v>2022</v>
      </c>
      <c r="M50" s="439">
        <v>2023</v>
      </c>
      <c r="N50" s="439">
        <v>2024</v>
      </c>
      <c r="O50" s="439">
        <v>2025</v>
      </c>
      <c r="P50" s="439">
        <v>2026</v>
      </c>
      <c r="Q50" s="439">
        <v>2027</v>
      </c>
      <c r="R50" s="439">
        <v>2028</v>
      </c>
      <c r="S50" s="439">
        <v>2029</v>
      </c>
      <c r="T50" s="439">
        <v>2030</v>
      </c>
      <c r="U50" s="439">
        <v>2031</v>
      </c>
      <c r="V50" s="439">
        <v>2032</v>
      </c>
      <c r="W50" s="439">
        <v>2033</v>
      </c>
      <c r="X50" s="439">
        <v>2034</v>
      </c>
      <c r="Y50" s="439">
        <v>2035</v>
      </c>
    </row>
    <row r="51" spans="1:25" outlineLevel="2">
      <c r="A51" s="193"/>
      <c r="B51" s="494" t="s">
        <v>777</v>
      </c>
      <c r="C51" s="497">
        <f>SUM(D51:Y51)</f>
        <v>1766584.042600781</v>
      </c>
      <c r="D51" s="498">
        <f>IFERROR(($C$41/($C$46*12))*12*D46,0)</f>
        <v>294269.34189076023</v>
      </c>
      <c r="E51" s="498">
        <f t="shared" ref="E51:Y51" si="3">IFERROR(($C$41/($C$46*12))*12*E46,0)</f>
        <v>353316.80852015619</v>
      </c>
      <c r="F51" s="498">
        <f t="shared" si="3"/>
        <v>353316.80852015619</v>
      </c>
      <c r="G51" s="498">
        <f t="shared" si="3"/>
        <v>353316.80852015619</v>
      </c>
      <c r="H51" s="498">
        <f t="shared" si="3"/>
        <v>353316.80852015619</v>
      </c>
      <c r="I51" s="498">
        <f t="shared" si="3"/>
        <v>59047.466629395967</v>
      </c>
      <c r="J51" s="498">
        <f t="shared" si="3"/>
        <v>0</v>
      </c>
      <c r="K51" s="498">
        <f t="shared" si="3"/>
        <v>0</v>
      </c>
      <c r="L51" s="498">
        <f t="shared" si="3"/>
        <v>0</v>
      </c>
      <c r="M51" s="498">
        <f t="shared" si="3"/>
        <v>0</v>
      </c>
      <c r="N51" s="498">
        <f t="shared" si="3"/>
        <v>0</v>
      </c>
      <c r="O51" s="498">
        <f t="shared" si="3"/>
        <v>0</v>
      </c>
      <c r="P51" s="498">
        <f t="shared" si="3"/>
        <v>0</v>
      </c>
      <c r="Q51" s="498">
        <f t="shared" si="3"/>
        <v>0</v>
      </c>
      <c r="R51" s="498">
        <f t="shared" si="3"/>
        <v>0</v>
      </c>
      <c r="S51" s="498">
        <f t="shared" si="3"/>
        <v>0</v>
      </c>
      <c r="T51" s="498">
        <f t="shared" si="3"/>
        <v>0</v>
      </c>
      <c r="U51" s="498">
        <f t="shared" si="3"/>
        <v>0</v>
      </c>
      <c r="V51" s="498">
        <f t="shared" si="3"/>
        <v>0</v>
      </c>
      <c r="W51" s="498">
        <f t="shared" si="3"/>
        <v>0</v>
      </c>
      <c r="X51" s="498">
        <f t="shared" si="3"/>
        <v>0</v>
      </c>
      <c r="Y51" s="498">
        <f t="shared" si="3"/>
        <v>0</v>
      </c>
    </row>
    <row r="52" spans="1:25" outlineLevel="2">
      <c r="A52" s="193"/>
      <c r="B52" s="460"/>
      <c r="C52" s="460"/>
      <c r="D52" s="460"/>
      <c r="E52" s="460"/>
      <c r="F52" s="460"/>
      <c r="G52" s="460"/>
      <c r="H52" s="460"/>
      <c r="I52" s="460"/>
      <c r="J52" s="460"/>
      <c r="K52" s="460"/>
      <c r="L52" s="460"/>
      <c r="M52" s="460"/>
      <c r="N52" s="460"/>
      <c r="O52" s="460"/>
      <c r="P52" s="460"/>
      <c r="Q52" s="460"/>
      <c r="R52" s="460"/>
      <c r="S52" s="460"/>
      <c r="T52" s="460"/>
      <c r="U52" s="460"/>
      <c r="V52" s="460"/>
      <c r="W52" s="460"/>
      <c r="X52" s="460"/>
      <c r="Y52" s="460"/>
    </row>
    <row r="53" spans="1:25">
      <c r="A53" s="193" t="s">
        <v>321</v>
      </c>
      <c r="G53" s="304"/>
      <c r="H53" s="304"/>
    </row>
    <row r="54" spans="1:25" outlineLevel="1">
      <c r="A54" s="295" t="s">
        <v>497</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750</v>
      </c>
    </row>
  </sheetData>
  <mergeCells count="1">
    <mergeCell ref="A15:G15"/>
  </mergeCells>
  <conditionalFormatting sqref="D46:I46 D52:Y52 D48:Y49">
    <cfRule type="cellIs" dxfId="3"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14999847407452621"/>
  </sheetPr>
  <dimension ref="A1:EA75"/>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8.3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Summary'!Z13&amp;" "&amp;TRIM('WBS Summary'!AA13)</f>
        <v>1.1.6 Training</v>
      </c>
      <c r="C5" s="447">
        <f>SUM(D5:AZ5)</f>
        <v>896658.4042600781</v>
      </c>
      <c r="D5" s="447">
        <f>D51</f>
        <v>149361.1807644185</v>
      </c>
      <c r="E5" s="447">
        <f t="shared" ref="E5:AZ5" si="0">E51</f>
        <v>179331.68085201562</v>
      </c>
      <c r="F5" s="447">
        <f t="shared" si="0"/>
        <v>179331.68085201562</v>
      </c>
      <c r="G5" s="447">
        <f t="shared" si="0"/>
        <v>179331.68085201562</v>
      </c>
      <c r="H5" s="447">
        <f t="shared" si="0"/>
        <v>179331.68085201562</v>
      </c>
      <c r="I5" s="447">
        <f t="shared" si="0"/>
        <v>29970.500087597131</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1.1.6 Training</v>
      </c>
      <c r="C9" s="447">
        <f>SUM(D9:AZ9)</f>
        <v>945273.93962159578</v>
      </c>
      <c r="D9" s="447">
        <f>D5*C23</f>
        <v>151472.78537828074</v>
      </c>
      <c r="E9" s="447">
        <f t="shared" ref="E9:AZ9" si="2">E5*D23</f>
        <v>185114.64168664254</v>
      </c>
      <c r="F9" s="447">
        <f t="shared" si="2"/>
        <v>188421.29658244931</v>
      </c>
      <c r="G9" s="447">
        <f t="shared" si="2"/>
        <v>191802.04624368693</v>
      </c>
      <c r="H9" s="447">
        <f t="shared" si="2"/>
        <v>195246.83321836675</v>
      </c>
      <c r="I9" s="447">
        <f t="shared" si="2"/>
        <v>33216.336512169604</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800</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801</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802</v>
      </c>
    </row>
    <row r="31" spans="1:131" outlineLevel="2">
      <c r="A31" s="295"/>
    </row>
    <row r="32" spans="1:131">
      <c r="A32" s="193" t="s">
        <v>507</v>
      </c>
    </row>
    <row r="33" spans="1:25" outlineLevel="1">
      <c r="A33" s="193"/>
      <c r="H33" s="305"/>
    </row>
    <row r="34" spans="1:25" outlineLevel="1">
      <c r="A34" s="193"/>
      <c r="B34" s="194" t="s">
        <v>720</v>
      </c>
      <c r="H34" s="305"/>
    </row>
    <row r="35" spans="1:25" outlineLevel="2">
      <c r="A35" s="193"/>
      <c r="B35" s="295" t="s">
        <v>803</v>
      </c>
      <c r="C35" s="499">
        <v>0.06</v>
      </c>
      <c r="H35" s="305"/>
    </row>
    <row r="36" spans="1:25" outlineLevel="2">
      <c r="A36" s="193"/>
      <c r="C36" s="289"/>
      <c r="H36" s="305"/>
    </row>
    <row r="37" spans="1:25" outlineLevel="1">
      <c r="A37" s="193"/>
      <c r="B37" s="194" t="s">
        <v>721</v>
      </c>
      <c r="H37" s="305"/>
    </row>
    <row r="38" spans="1:25" outlineLevel="2">
      <c r="A38" s="193"/>
      <c r="B38" s="295" t="s">
        <v>783</v>
      </c>
      <c r="C38" s="453">
        <f>SUM('1.1.1.1'!C5,'1.1.1.2'!C5)</f>
        <v>14944306.737667968</v>
      </c>
      <c r="H38" s="305"/>
    </row>
    <row r="39" spans="1:25" outlineLevel="2">
      <c r="A39" s="193"/>
      <c r="B39" s="295"/>
      <c r="C39" s="451"/>
      <c r="H39" s="305"/>
    </row>
    <row r="40" spans="1:25" outlineLevel="1">
      <c r="A40" s="193"/>
      <c r="B40" s="194" t="s">
        <v>769</v>
      </c>
      <c r="H40" s="305"/>
    </row>
    <row r="41" spans="1:25" outlineLevel="2">
      <c r="A41" s="193"/>
      <c r="B41" s="295" t="s">
        <v>804</v>
      </c>
      <c r="C41" s="453">
        <f>C35*C38</f>
        <v>896658.4042600781</v>
      </c>
      <c r="H41" s="305"/>
    </row>
    <row r="42" spans="1:25" outlineLevel="2">
      <c r="A42" s="193"/>
      <c r="B42" s="295"/>
      <c r="C42" s="451"/>
      <c r="H42" s="305"/>
    </row>
    <row r="43" spans="1:25" outlineLevel="1">
      <c r="A43" s="193"/>
      <c r="B43" s="194" t="s">
        <v>707</v>
      </c>
      <c r="C43" s="451"/>
      <c r="H43" s="305"/>
    </row>
    <row r="44" spans="1:25" outlineLevel="2">
      <c r="A44" s="193"/>
      <c r="B44" s="295" t="s">
        <v>792</v>
      </c>
      <c r="C44" s="451"/>
      <c r="H44" s="305"/>
    </row>
    <row r="45" spans="1:25" outlineLevel="2">
      <c r="A45" s="193"/>
      <c r="B45" s="494" t="s">
        <v>760</v>
      </c>
      <c r="C45" s="493" t="s">
        <v>155</v>
      </c>
      <c r="D45" s="439">
        <v>2014</v>
      </c>
      <c r="E45" s="439">
        <v>2015</v>
      </c>
      <c r="F45" s="439">
        <v>2016</v>
      </c>
      <c r="G45" s="439">
        <v>2017</v>
      </c>
      <c r="H45" s="439">
        <v>2018</v>
      </c>
      <c r="I45" s="439">
        <v>2019</v>
      </c>
      <c r="J45" s="439">
        <v>2020</v>
      </c>
      <c r="K45" s="439">
        <v>2021</v>
      </c>
      <c r="L45" s="439">
        <v>2022</v>
      </c>
      <c r="M45" s="439">
        <v>2023</v>
      </c>
      <c r="N45" s="439">
        <v>2024</v>
      </c>
      <c r="O45" s="439">
        <v>2025</v>
      </c>
      <c r="P45" s="439">
        <v>2026</v>
      </c>
      <c r="Q45" s="439">
        <v>2027</v>
      </c>
      <c r="R45" s="439">
        <v>2028</v>
      </c>
      <c r="S45" s="439">
        <v>2029</v>
      </c>
      <c r="T45" s="439">
        <v>2030</v>
      </c>
      <c r="U45" s="439">
        <v>2031</v>
      </c>
      <c r="V45" s="439">
        <v>2032</v>
      </c>
      <c r="W45" s="439">
        <v>2033</v>
      </c>
      <c r="X45" s="439">
        <v>2034</v>
      </c>
      <c r="Y45" s="439">
        <v>2035</v>
      </c>
    </row>
    <row r="46" spans="1:25" outlineLevel="2">
      <c r="A46" s="193"/>
      <c r="B46" s="494" t="s">
        <v>761</v>
      </c>
      <c r="C46" s="500">
        <f>SUM(D46:Y46)</f>
        <v>5</v>
      </c>
      <c r="D46" s="495">
        <v>0.83287671232876714</v>
      </c>
      <c r="E46" s="495">
        <v>1</v>
      </c>
      <c r="F46" s="495">
        <v>1</v>
      </c>
      <c r="G46" s="495">
        <v>1</v>
      </c>
      <c r="H46" s="495">
        <v>1</v>
      </c>
      <c r="I46" s="495">
        <v>0.16712328767123288</v>
      </c>
      <c r="J46" s="496">
        <v>0</v>
      </c>
      <c r="K46" s="496">
        <v>0</v>
      </c>
      <c r="L46" s="496">
        <v>0</v>
      </c>
      <c r="M46" s="496">
        <v>0</v>
      </c>
      <c r="N46" s="496">
        <v>0</v>
      </c>
      <c r="O46" s="496">
        <v>0</v>
      </c>
      <c r="P46" s="496">
        <v>0</v>
      </c>
      <c r="Q46" s="496">
        <v>0</v>
      </c>
      <c r="R46" s="496">
        <v>0</v>
      </c>
      <c r="S46" s="496">
        <v>0</v>
      </c>
      <c r="T46" s="496">
        <v>0</v>
      </c>
      <c r="U46" s="496">
        <v>0</v>
      </c>
      <c r="V46" s="496">
        <v>0</v>
      </c>
      <c r="W46" s="496">
        <v>0</v>
      </c>
      <c r="X46" s="496">
        <v>0</v>
      </c>
      <c r="Y46" s="496">
        <v>0</v>
      </c>
    </row>
    <row r="47" spans="1:25" outlineLevel="2">
      <c r="A47" s="193"/>
    </row>
    <row r="48" spans="1:25" outlineLevel="1">
      <c r="A48" s="193"/>
      <c r="B48" s="461" t="s">
        <v>733</v>
      </c>
      <c r="C48" s="460"/>
      <c r="D48" s="460"/>
      <c r="E48" s="460"/>
      <c r="F48" s="460"/>
      <c r="G48" s="460"/>
      <c r="H48" s="460"/>
      <c r="I48" s="460"/>
      <c r="J48" s="460"/>
      <c r="K48" s="460"/>
      <c r="L48" s="460"/>
      <c r="M48" s="460"/>
      <c r="N48" s="460"/>
      <c r="O48" s="460"/>
      <c r="P48" s="460"/>
      <c r="Q48" s="460"/>
      <c r="R48" s="460"/>
      <c r="S48" s="460"/>
      <c r="T48" s="460"/>
      <c r="U48" s="460"/>
      <c r="V48" s="460"/>
      <c r="W48" s="460"/>
      <c r="X48" s="460"/>
      <c r="Y48" s="460"/>
    </row>
    <row r="49" spans="1:25" outlineLevel="2">
      <c r="A49" s="193"/>
      <c r="B49" s="461" t="s">
        <v>778</v>
      </c>
      <c r="C49" s="460"/>
      <c r="D49" s="460"/>
      <c r="E49" s="460"/>
      <c r="F49" s="460"/>
      <c r="G49" s="460"/>
      <c r="H49" s="460"/>
      <c r="I49" s="460"/>
      <c r="J49" s="460"/>
      <c r="K49" s="460"/>
      <c r="L49" s="460"/>
      <c r="M49" s="460"/>
      <c r="N49" s="460"/>
      <c r="O49" s="460"/>
      <c r="P49" s="460"/>
      <c r="Q49" s="460"/>
      <c r="R49" s="460"/>
      <c r="S49" s="460"/>
      <c r="T49" s="460"/>
      <c r="U49" s="460"/>
      <c r="V49" s="460"/>
      <c r="W49" s="460"/>
      <c r="X49" s="460"/>
      <c r="Y49" s="460"/>
    </row>
    <row r="50" spans="1:25" outlineLevel="2">
      <c r="A50" s="193"/>
      <c r="B50" s="494" t="s">
        <v>760</v>
      </c>
      <c r="C50" s="493" t="s">
        <v>155</v>
      </c>
      <c r="D50" s="439">
        <v>2014</v>
      </c>
      <c r="E50" s="439">
        <v>2015</v>
      </c>
      <c r="F50" s="439">
        <v>2016</v>
      </c>
      <c r="G50" s="439">
        <v>2017</v>
      </c>
      <c r="H50" s="439">
        <v>2018</v>
      </c>
      <c r="I50" s="439">
        <v>2019</v>
      </c>
      <c r="J50" s="439">
        <v>2020</v>
      </c>
      <c r="K50" s="439">
        <v>2021</v>
      </c>
      <c r="L50" s="439">
        <v>2022</v>
      </c>
      <c r="M50" s="439">
        <v>2023</v>
      </c>
      <c r="N50" s="439">
        <v>2024</v>
      </c>
      <c r="O50" s="439">
        <v>2025</v>
      </c>
      <c r="P50" s="439">
        <v>2026</v>
      </c>
      <c r="Q50" s="439">
        <v>2027</v>
      </c>
      <c r="R50" s="439">
        <v>2028</v>
      </c>
      <c r="S50" s="439">
        <v>2029</v>
      </c>
      <c r="T50" s="439">
        <v>2030</v>
      </c>
      <c r="U50" s="439">
        <v>2031</v>
      </c>
      <c r="V50" s="439">
        <v>2032</v>
      </c>
      <c r="W50" s="439">
        <v>2033</v>
      </c>
      <c r="X50" s="439">
        <v>2034</v>
      </c>
      <c r="Y50" s="439">
        <v>2035</v>
      </c>
    </row>
    <row r="51" spans="1:25" outlineLevel="2">
      <c r="A51" s="193"/>
      <c r="B51" s="494" t="s">
        <v>805</v>
      </c>
      <c r="C51" s="497">
        <f>SUM(D51:Y51)</f>
        <v>896658.4042600781</v>
      </c>
      <c r="D51" s="498">
        <f>IFERROR(($C$41/($C$46*12))*12*D46,0)</f>
        <v>149361.1807644185</v>
      </c>
      <c r="E51" s="498">
        <f t="shared" ref="E51:Y51" si="3">IFERROR(($C$41/($C$46*12))*12*E46,0)</f>
        <v>179331.68085201562</v>
      </c>
      <c r="F51" s="498">
        <f t="shared" si="3"/>
        <v>179331.68085201562</v>
      </c>
      <c r="G51" s="498">
        <f t="shared" si="3"/>
        <v>179331.68085201562</v>
      </c>
      <c r="H51" s="498">
        <f t="shared" si="3"/>
        <v>179331.68085201562</v>
      </c>
      <c r="I51" s="498">
        <f t="shared" si="3"/>
        <v>29970.500087597131</v>
      </c>
      <c r="J51" s="498">
        <f t="shared" si="3"/>
        <v>0</v>
      </c>
      <c r="K51" s="498">
        <f t="shared" si="3"/>
        <v>0</v>
      </c>
      <c r="L51" s="498">
        <f t="shared" si="3"/>
        <v>0</v>
      </c>
      <c r="M51" s="498">
        <f t="shared" si="3"/>
        <v>0</v>
      </c>
      <c r="N51" s="498">
        <f t="shared" si="3"/>
        <v>0</v>
      </c>
      <c r="O51" s="498">
        <f t="shared" si="3"/>
        <v>0</v>
      </c>
      <c r="P51" s="498">
        <f t="shared" si="3"/>
        <v>0</v>
      </c>
      <c r="Q51" s="498">
        <f t="shared" si="3"/>
        <v>0</v>
      </c>
      <c r="R51" s="498">
        <f t="shared" si="3"/>
        <v>0</v>
      </c>
      <c r="S51" s="498">
        <f t="shared" si="3"/>
        <v>0</v>
      </c>
      <c r="T51" s="498">
        <f t="shared" si="3"/>
        <v>0</v>
      </c>
      <c r="U51" s="498">
        <f t="shared" si="3"/>
        <v>0</v>
      </c>
      <c r="V51" s="498">
        <f t="shared" si="3"/>
        <v>0</v>
      </c>
      <c r="W51" s="498">
        <f t="shared" si="3"/>
        <v>0</v>
      </c>
      <c r="X51" s="498">
        <f t="shared" si="3"/>
        <v>0</v>
      </c>
      <c r="Y51" s="498">
        <f t="shared" si="3"/>
        <v>0</v>
      </c>
    </row>
    <row r="52" spans="1:25" outlineLevel="2">
      <c r="A52" s="193"/>
      <c r="B52" s="460"/>
      <c r="C52" s="460"/>
      <c r="D52" s="460"/>
      <c r="E52" s="460"/>
      <c r="F52" s="460"/>
      <c r="G52" s="460"/>
      <c r="H52" s="460"/>
      <c r="I52" s="460"/>
      <c r="J52" s="460"/>
      <c r="K52" s="460"/>
      <c r="L52" s="460"/>
      <c r="M52" s="460"/>
      <c r="N52" s="460"/>
      <c r="O52" s="460"/>
      <c r="P52" s="460"/>
      <c r="Q52" s="460"/>
      <c r="R52" s="460"/>
      <c r="S52" s="460"/>
      <c r="T52" s="460"/>
      <c r="U52" s="460"/>
      <c r="V52" s="460"/>
      <c r="W52" s="460"/>
      <c r="X52" s="460"/>
      <c r="Y52" s="460"/>
    </row>
    <row r="53" spans="1:25">
      <c r="A53" s="193" t="s">
        <v>321</v>
      </c>
      <c r="G53" s="304"/>
      <c r="H53" s="304"/>
    </row>
    <row r="54" spans="1:25" outlineLevel="1">
      <c r="A54" s="295" t="s">
        <v>497</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750</v>
      </c>
    </row>
  </sheetData>
  <mergeCells count="1">
    <mergeCell ref="A15:G15"/>
  </mergeCells>
  <conditionalFormatting sqref="D46:I46 D52:Y52 D48:Y49">
    <cfRule type="cellIs" dxfId="2"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14999847407452621"/>
    <outlinePr summaryBelow="0" summaryRight="0"/>
  </sheetPr>
  <dimension ref="A1:EA75"/>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38.3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Summary'!Z14&amp;" "&amp;TRIM('WBS Summary'!AA14)</f>
        <v>1.1.7 Data</v>
      </c>
      <c r="C5" s="447">
        <f>SUM(D5:AZ5)</f>
        <v>1195544.5390134375</v>
      </c>
      <c r="D5" s="447">
        <f>D51</f>
        <v>199148.24101922466</v>
      </c>
      <c r="E5" s="447">
        <f t="shared" ref="E5:AZ5" si="0">E51</f>
        <v>239108.90780268749</v>
      </c>
      <c r="F5" s="447">
        <f t="shared" si="0"/>
        <v>239108.90780268749</v>
      </c>
      <c r="G5" s="447">
        <f t="shared" si="0"/>
        <v>239108.90780268749</v>
      </c>
      <c r="H5" s="447">
        <f t="shared" si="0"/>
        <v>239108.90780268749</v>
      </c>
      <c r="I5" s="447">
        <f t="shared" si="0"/>
        <v>39960.666783462846</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1.1.7 Data</v>
      </c>
      <c r="C9" s="447">
        <f>SUM(D9:AZ9)</f>
        <v>1260365.2528287945</v>
      </c>
      <c r="D9" s="447">
        <f>D5*C23</f>
        <v>201963.71383770762</v>
      </c>
      <c r="E9" s="447">
        <f t="shared" ref="E9:AZ9" si="2">E5*D23</f>
        <v>246819.52224885672</v>
      </c>
      <c r="F9" s="447">
        <f t="shared" si="2"/>
        <v>251228.39544326576</v>
      </c>
      <c r="G9" s="447">
        <f t="shared" si="2"/>
        <v>255736.06165824927</v>
      </c>
      <c r="H9" s="447">
        <f t="shared" si="2"/>
        <v>260329.11095782233</v>
      </c>
      <c r="I9" s="447">
        <f t="shared" si="2"/>
        <v>44288.448682892806</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779</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780</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781</v>
      </c>
    </row>
    <row r="31" spans="1:131" outlineLevel="2">
      <c r="A31" s="295"/>
    </row>
    <row r="32" spans="1:131">
      <c r="A32" s="193" t="s">
        <v>507</v>
      </c>
    </row>
    <row r="33" spans="1:25" outlineLevel="1">
      <c r="A33" s="193"/>
      <c r="H33" s="305"/>
    </row>
    <row r="34" spans="1:25" outlineLevel="1">
      <c r="A34" s="193"/>
      <c r="B34" s="194" t="s">
        <v>720</v>
      </c>
      <c r="H34" s="305"/>
    </row>
    <row r="35" spans="1:25" outlineLevel="2">
      <c r="A35" s="193"/>
      <c r="B35" s="295" t="s">
        <v>776</v>
      </c>
      <c r="C35" s="499">
        <v>0.08</v>
      </c>
      <c r="H35" s="305"/>
    </row>
    <row r="36" spans="1:25" outlineLevel="2">
      <c r="A36" s="193"/>
      <c r="C36" s="289"/>
      <c r="H36" s="305"/>
    </row>
    <row r="37" spans="1:25" outlineLevel="1">
      <c r="A37" s="193"/>
      <c r="B37" s="194" t="s">
        <v>721</v>
      </c>
      <c r="H37" s="305"/>
    </row>
    <row r="38" spans="1:25" outlineLevel="2">
      <c r="A38" s="193"/>
      <c r="B38" s="295" t="s">
        <v>783</v>
      </c>
      <c r="C38" s="453">
        <f>SUM('1.1.1.1'!C5,'1.1.1.2'!C5)</f>
        <v>14944306.737667968</v>
      </c>
      <c r="H38" s="305"/>
    </row>
    <row r="39" spans="1:25" outlineLevel="2">
      <c r="A39" s="193"/>
      <c r="B39" s="295"/>
      <c r="C39" s="451"/>
      <c r="H39" s="305"/>
    </row>
    <row r="40" spans="1:25" outlineLevel="1">
      <c r="A40" s="193"/>
      <c r="B40" s="194" t="s">
        <v>769</v>
      </c>
      <c r="H40" s="305"/>
    </row>
    <row r="41" spans="1:25" outlineLevel="2">
      <c r="A41" s="193"/>
      <c r="B41" s="295" t="s">
        <v>782</v>
      </c>
      <c r="C41" s="453">
        <f>C35*C38</f>
        <v>1195544.5390134375</v>
      </c>
      <c r="H41" s="305"/>
    </row>
    <row r="42" spans="1:25" outlineLevel="2">
      <c r="A42" s="193"/>
      <c r="B42" s="295"/>
      <c r="C42" s="451"/>
      <c r="H42" s="305"/>
    </row>
    <row r="43" spans="1:25" outlineLevel="1">
      <c r="A43" s="193"/>
      <c r="B43" s="194" t="s">
        <v>707</v>
      </c>
      <c r="C43" s="451"/>
      <c r="H43" s="305"/>
    </row>
    <row r="44" spans="1:25" outlineLevel="2">
      <c r="A44" s="193"/>
      <c r="B44" s="295" t="s">
        <v>792</v>
      </c>
      <c r="C44" s="451"/>
      <c r="H44" s="305"/>
    </row>
    <row r="45" spans="1:25" outlineLevel="2">
      <c r="A45" s="193"/>
      <c r="B45" s="494" t="s">
        <v>760</v>
      </c>
      <c r="C45" s="493" t="s">
        <v>155</v>
      </c>
      <c r="D45" s="439">
        <v>2014</v>
      </c>
      <c r="E45" s="439">
        <v>2015</v>
      </c>
      <c r="F45" s="439">
        <v>2016</v>
      </c>
      <c r="G45" s="439">
        <v>2017</v>
      </c>
      <c r="H45" s="439">
        <v>2018</v>
      </c>
      <c r="I45" s="439">
        <v>2019</v>
      </c>
      <c r="J45" s="439">
        <v>2020</v>
      </c>
      <c r="K45" s="439">
        <v>2021</v>
      </c>
      <c r="L45" s="439">
        <v>2022</v>
      </c>
      <c r="M45" s="439">
        <v>2023</v>
      </c>
      <c r="N45" s="439">
        <v>2024</v>
      </c>
      <c r="O45" s="439">
        <v>2025</v>
      </c>
      <c r="P45" s="439">
        <v>2026</v>
      </c>
      <c r="Q45" s="439">
        <v>2027</v>
      </c>
      <c r="R45" s="439">
        <v>2028</v>
      </c>
      <c r="S45" s="439">
        <v>2029</v>
      </c>
      <c r="T45" s="439">
        <v>2030</v>
      </c>
      <c r="U45" s="439">
        <v>2031</v>
      </c>
      <c r="V45" s="439">
        <v>2032</v>
      </c>
      <c r="W45" s="439">
        <v>2033</v>
      </c>
      <c r="X45" s="439">
        <v>2034</v>
      </c>
      <c r="Y45" s="439">
        <v>2035</v>
      </c>
    </row>
    <row r="46" spans="1:25" outlineLevel="2">
      <c r="A46" s="193"/>
      <c r="B46" s="494" t="s">
        <v>761</v>
      </c>
      <c r="C46" s="500">
        <f>SUM(D46:Y46)</f>
        <v>5</v>
      </c>
      <c r="D46" s="495">
        <v>0.83287671232876714</v>
      </c>
      <c r="E46" s="495">
        <v>1</v>
      </c>
      <c r="F46" s="495">
        <v>1</v>
      </c>
      <c r="G46" s="495">
        <v>1</v>
      </c>
      <c r="H46" s="495">
        <v>1</v>
      </c>
      <c r="I46" s="495">
        <v>0.16712328767123288</v>
      </c>
      <c r="J46" s="496">
        <v>0</v>
      </c>
      <c r="K46" s="496">
        <v>0</v>
      </c>
      <c r="L46" s="496">
        <v>0</v>
      </c>
      <c r="M46" s="496">
        <v>0</v>
      </c>
      <c r="N46" s="496">
        <v>0</v>
      </c>
      <c r="O46" s="496">
        <v>0</v>
      </c>
      <c r="P46" s="496">
        <v>0</v>
      </c>
      <c r="Q46" s="496">
        <v>0</v>
      </c>
      <c r="R46" s="496">
        <v>0</v>
      </c>
      <c r="S46" s="496">
        <v>0</v>
      </c>
      <c r="T46" s="496">
        <v>0</v>
      </c>
      <c r="U46" s="496">
        <v>0</v>
      </c>
      <c r="V46" s="496">
        <v>0</v>
      </c>
      <c r="W46" s="496">
        <v>0</v>
      </c>
      <c r="X46" s="496">
        <v>0</v>
      </c>
      <c r="Y46" s="496">
        <v>0</v>
      </c>
    </row>
    <row r="47" spans="1:25" outlineLevel="2">
      <c r="A47" s="193"/>
    </row>
    <row r="48" spans="1:25" outlineLevel="1">
      <c r="A48" s="193"/>
      <c r="B48" s="461" t="s">
        <v>733</v>
      </c>
      <c r="C48" s="460"/>
      <c r="D48" s="460"/>
      <c r="E48" s="460"/>
      <c r="F48" s="460"/>
      <c r="G48" s="460"/>
      <c r="H48" s="460"/>
      <c r="I48" s="460"/>
      <c r="J48" s="460"/>
      <c r="K48" s="460"/>
      <c r="L48" s="460"/>
      <c r="M48" s="460"/>
      <c r="N48" s="460"/>
      <c r="O48" s="460"/>
      <c r="P48" s="460"/>
      <c r="Q48" s="460"/>
      <c r="R48" s="460"/>
      <c r="S48" s="460"/>
      <c r="T48" s="460"/>
      <c r="U48" s="460"/>
      <c r="V48" s="460"/>
      <c r="W48" s="460"/>
      <c r="X48" s="460"/>
      <c r="Y48" s="460"/>
    </row>
    <row r="49" spans="1:25" outlineLevel="2">
      <c r="A49" s="193"/>
      <c r="B49" s="461" t="s">
        <v>778</v>
      </c>
      <c r="C49" s="460"/>
      <c r="D49" s="460"/>
      <c r="E49" s="460"/>
      <c r="F49" s="460"/>
      <c r="G49" s="460"/>
      <c r="H49" s="460"/>
      <c r="I49" s="460"/>
      <c r="J49" s="460"/>
      <c r="K49" s="460"/>
      <c r="L49" s="460"/>
      <c r="M49" s="460"/>
      <c r="N49" s="460"/>
      <c r="O49" s="460"/>
      <c r="P49" s="460"/>
      <c r="Q49" s="460"/>
      <c r="R49" s="460"/>
      <c r="S49" s="460"/>
      <c r="T49" s="460"/>
      <c r="U49" s="460"/>
      <c r="V49" s="460"/>
      <c r="W49" s="460"/>
      <c r="X49" s="460"/>
      <c r="Y49" s="460"/>
    </row>
    <row r="50" spans="1:25" outlineLevel="2">
      <c r="A50" s="193"/>
      <c r="B50" s="494" t="s">
        <v>760</v>
      </c>
      <c r="C50" s="493" t="s">
        <v>155</v>
      </c>
      <c r="D50" s="439">
        <v>2014</v>
      </c>
      <c r="E50" s="439">
        <v>2015</v>
      </c>
      <c r="F50" s="439">
        <v>2016</v>
      </c>
      <c r="G50" s="439">
        <v>2017</v>
      </c>
      <c r="H50" s="439">
        <v>2018</v>
      </c>
      <c r="I50" s="439">
        <v>2019</v>
      </c>
      <c r="J50" s="439">
        <v>2020</v>
      </c>
      <c r="K50" s="439">
        <v>2021</v>
      </c>
      <c r="L50" s="439">
        <v>2022</v>
      </c>
      <c r="M50" s="439">
        <v>2023</v>
      </c>
      <c r="N50" s="439">
        <v>2024</v>
      </c>
      <c r="O50" s="439">
        <v>2025</v>
      </c>
      <c r="P50" s="439">
        <v>2026</v>
      </c>
      <c r="Q50" s="439">
        <v>2027</v>
      </c>
      <c r="R50" s="439">
        <v>2028</v>
      </c>
      <c r="S50" s="439">
        <v>2029</v>
      </c>
      <c r="T50" s="439">
        <v>2030</v>
      </c>
      <c r="U50" s="439">
        <v>2031</v>
      </c>
      <c r="V50" s="439">
        <v>2032</v>
      </c>
      <c r="W50" s="439">
        <v>2033</v>
      </c>
      <c r="X50" s="439">
        <v>2034</v>
      </c>
      <c r="Y50" s="439">
        <v>2035</v>
      </c>
    </row>
    <row r="51" spans="1:25" outlineLevel="2">
      <c r="A51" s="193"/>
      <c r="B51" s="494" t="s">
        <v>786</v>
      </c>
      <c r="C51" s="497">
        <f>SUM(D51:Y51)</f>
        <v>1195544.5390134375</v>
      </c>
      <c r="D51" s="498">
        <f>IFERROR(($C$41/($C$46*12))*12*D46,0)</f>
        <v>199148.24101922466</v>
      </c>
      <c r="E51" s="498">
        <f t="shared" ref="E51:Y51" si="3">IFERROR(($C$41/($C$46*12))*12*E46,0)</f>
        <v>239108.90780268749</v>
      </c>
      <c r="F51" s="498">
        <f t="shared" si="3"/>
        <v>239108.90780268749</v>
      </c>
      <c r="G51" s="498">
        <f t="shared" si="3"/>
        <v>239108.90780268749</v>
      </c>
      <c r="H51" s="498">
        <f t="shared" si="3"/>
        <v>239108.90780268749</v>
      </c>
      <c r="I51" s="498">
        <f t="shared" si="3"/>
        <v>39960.666783462846</v>
      </c>
      <c r="J51" s="498">
        <f t="shared" si="3"/>
        <v>0</v>
      </c>
      <c r="K51" s="498">
        <f t="shared" si="3"/>
        <v>0</v>
      </c>
      <c r="L51" s="498">
        <f t="shared" si="3"/>
        <v>0</v>
      </c>
      <c r="M51" s="498">
        <f t="shared" si="3"/>
        <v>0</v>
      </c>
      <c r="N51" s="498">
        <f t="shared" si="3"/>
        <v>0</v>
      </c>
      <c r="O51" s="498">
        <f t="shared" si="3"/>
        <v>0</v>
      </c>
      <c r="P51" s="498">
        <f t="shared" si="3"/>
        <v>0</v>
      </c>
      <c r="Q51" s="498">
        <f t="shared" si="3"/>
        <v>0</v>
      </c>
      <c r="R51" s="498">
        <f t="shared" si="3"/>
        <v>0</v>
      </c>
      <c r="S51" s="498">
        <f t="shared" si="3"/>
        <v>0</v>
      </c>
      <c r="T51" s="498">
        <f t="shared" si="3"/>
        <v>0</v>
      </c>
      <c r="U51" s="498">
        <f t="shared" si="3"/>
        <v>0</v>
      </c>
      <c r="V51" s="498">
        <f t="shared" si="3"/>
        <v>0</v>
      </c>
      <c r="W51" s="498">
        <f t="shared" si="3"/>
        <v>0</v>
      </c>
      <c r="X51" s="498">
        <f t="shared" si="3"/>
        <v>0</v>
      </c>
      <c r="Y51" s="498">
        <f t="shared" si="3"/>
        <v>0</v>
      </c>
    </row>
    <row r="52" spans="1:25" outlineLevel="2">
      <c r="A52" s="193"/>
      <c r="B52" s="460"/>
      <c r="C52" s="460"/>
      <c r="D52" s="460"/>
      <c r="E52" s="460"/>
      <c r="F52" s="460"/>
      <c r="G52" s="460"/>
      <c r="H52" s="460"/>
      <c r="I52" s="460"/>
      <c r="J52" s="460"/>
      <c r="K52" s="460"/>
      <c r="L52" s="460"/>
      <c r="M52" s="460"/>
      <c r="N52" s="460"/>
      <c r="O52" s="460"/>
      <c r="P52" s="460"/>
      <c r="Q52" s="460"/>
      <c r="R52" s="460"/>
      <c r="S52" s="460"/>
      <c r="T52" s="460"/>
      <c r="U52" s="460"/>
      <c r="V52" s="460"/>
      <c r="W52" s="460"/>
      <c r="X52" s="460"/>
      <c r="Y52" s="460"/>
    </row>
    <row r="53" spans="1:25">
      <c r="A53" s="193" t="s">
        <v>321</v>
      </c>
      <c r="G53" s="304"/>
      <c r="H53" s="304"/>
    </row>
    <row r="54" spans="1:25" outlineLevel="1">
      <c r="A54" s="295" t="s">
        <v>497</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750</v>
      </c>
    </row>
  </sheetData>
  <mergeCells count="1">
    <mergeCell ref="A15:G15"/>
  </mergeCells>
  <conditionalFormatting sqref="D46:I46 D52:Y52 D48:Y49">
    <cfRule type="cellIs" dxfId="1"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0" tint="-0.14999847407452621"/>
    <outlinePr summaryBelow="0" summaryRight="0"/>
  </sheetPr>
  <dimension ref="A1:EA75"/>
  <sheetViews>
    <sheetView showGridLines="0" zoomScale="90" zoomScaleNormal="90" workbookViewId="0">
      <selection activeCell="A2" sqref="A2:XFD2"/>
    </sheetView>
  </sheetViews>
  <sheetFormatPr defaultColWidth="7.58203125" defaultRowHeight="15.5" outlineLevelRow="2"/>
  <cols>
    <col min="1" max="1" width="3.58203125" style="194" customWidth="1"/>
    <col min="2" max="2" width="41.8320312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58203125" style="194" customWidth="1"/>
    <col min="132" max="134" width="13.58203125" style="194" bestFit="1" customWidth="1"/>
    <col min="135" max="16384" width="7.58203125" style="194"/>
  </cols>
  <sheetData>
    <row r="1" spans="1:52">
      <c r="A1" s="292"/>
    </row>
    <row r="2" spans="1:52">
      <c r="A2" s="193" t="s">
        <v>311</v>
      </c>
    </row>
    <row r="3" spans="1:52" outlineLevel="1">
      <c r="B3" s="193" t="s">
        <v>770</v>
      </c>
    </row>
    <row r="4" spans="1:52" outlineLevel="1">
      <c r="B4" s="445" t="s">
        <v>337</v>
      </c>
      <c r="C4" s="408" t="str">
        <f>'1.1.1.1'!C4</f>
        <v>Total</v>
      </c>
      <c r="D4" s="408">
        <f>'1.1.1.1'!D4</f>
        <v>2014</v>
      </c>
      <c r="E4" s="408">
        <f>'1.1.1.1'!E4</f>
        <v>2015</v>
      </c>
      <c r="F4" s="408">
        <f>'1.1.1.1'!F4</f>
        <v>2016</v>
      </c>
      <c r="G4" s="408">
        <f>'1.1.1.1'!G4</f>
        <v>2017</v>
      </c>
      <c r="H4" s="408">
        <f>'1.1.1.1'!H4</f>
        <v>2018</v>
      </c>
      <c r="I4" s="408">
        <f>'1.1.1.1'!I4</f>
        <v>2019</v>
      </c>
      <c r="J4" s="408">
        <f>'1.1.1.1'!J4</f>
        <v>2020</v>
      </c>
      <c r="K4" s="408">
        <f>'1.1.1.1'!K4</f>
        <v>2021</v>
      </c>
      <c r="L4" s="408">
        <f>'1.1.1.1'!L4</f>
        <v>2022</v>
      </c>
      <c r="M4" s="408">
        <f>'1.1.1.1'!M4</f>
        <v>2023</v>
      </c>
      <c r="N4" s="408">
        <f>'1.1.1.1'!N4</f>
        <v>2024</v>
      </c>
      <c r="O4" s="408">
        <f>'1.1.1.1'!O4</f>
        <v>2025</v>
      </c>
      <c r="P4" s="408">
        <f>'1.1.1.1'!P4</f>
        <v>2026</v>
      </c>
      <c r="Q4" s="408">
        <f>'1.1.1.1'!Q4</f>
        <v>2027</v>
      </c>
      <c r="R4" s="408">
        <f>'1.1.1.1'!R4</f>
        <v>2028</v>
      </c>
      <c r="S4" s="408">
        <f>'1.1.1.1'!S4</f>
        <v>2029</v>
      </c>
      <c r="T4" s="408">
        <f>'1.1.1.1'!T4</f>
        <v>2030</v>
      </c>
      <c r="U4" s="408">
        <f>'1.1.1.1'!U4</f>
        <v>2031</v>
      </c>
      <c r="V4" s="408">
        <f>'1.1.1.1'!V4</f>
        <v>2032</v>
      </c>
      <c r="W4" s="408">
        <f>'1.1.1.1'!W4</f>
        <v>2033</v>
      </c>
      <c r="X4" s="408">
        <f>'1.1.1.1'!X4</f>
        <v>2034</v>
      </c>
      <c r="Y4" s="408">
        <f>'1.1.1.1'!Y4</f>
        <v>2035</v>
      </c>
      <c r="Z4" s="408">
        <f>'1.1.1.1'!Z4</f>
        <v>2036</v>
      </c>
      <c r="AA4" s="408">
        <f>'1.1.1.1'!AA4</f>
        <v>2037</v>
      </c>
      <c r="AB4" s="408">
        <f>'1.1.1.1'!AB4</f>
        <v>2038</v>
      </c>
      <c r="AC4" s="408">
        <f>'1.1.1.1'!AC4</f>
        <v>2039</v>
      </c>
      <c r="AD4" s="408">
        <f>'1.1.1.1'!AD4</f>
        <v>2040</v>
      </c>
      <c r="AE4" s="408">
        <f>'1.1.1.1'!AE4</f>
        <v>2041</v>
      </c>
      <c r="AF4" s="408">
        <f>'1.1.1.1'!AF4</f>
        <v>2042</v>
      </c>
      <c r="AG4" s="408">
        <f>'1.1.1.1'!AG4</f>
        <v>2043</v>
      </c>
      <c r="AH4" s="408">
        <f>'1.1.1.1'!AH4</f>
        <v>2044</v>
      </c>
      <c r="AI4" s="408">
        <f>'1.1.1.1'!AI4</f>
        <v>2045</v>
      </c>
      <c r="AJ4" s="408">
        <f>'1.1.1.1'!AJ4</f>
        <v>2046</v>
      </c>
      <c r="AK4" s="408">
        <f>'1.1.1.1'!AK4</f>
        <v>2047</v>
      </c>
      <c r="AL4" s="408">
        <f>'1.1.1.1'!AL4</f>
        <v>2048</v>
      </c>
      <c r="AM4" s="408">
        <f>'1.1.1.1'!AM4</f>
        <v>2049</v>
      </c>
      <c r="AN4" s="408">
        <f>'1.1.1.1'!AN4</f>
        <v>2050</v>
      </c>
      <c r="AO4" s="408">
        <f>'1.1.1.1'!AO4</f>
        <v>2051</v>
      </c>
      <c r="AP4" s="408">
        <f>'1.1.1.1'!AP4</f>
        <v>2052</v>
      </c>
      <c r="AQ4" s="408">
        <f>'1.1.1.1'!AQ4</f>
        <v>2053</v>
      </c>
      <c r="AR4" s="408">
        <f>'1.1.1.1'!AR4</f>
        <v>2054</v>
      </c>
      <c r="AS4" s="408">
        <f>'1.1.1.1'!AS4</f>
        <v>2055</v>
      </c>
      <c r="AT4" s="408">
        <f>'1.1.1.1'!AT4</f>
        <v>2056</v>
      </c>
      <c r="AU4" s="408">
        <f>'1.1.1.1'!AU4</f>
        <v>2057</v>
      </c>
      <c r="AV4" s="408">
        <f>'1.1.1.1'!AV4</f>
        <v>2058</v>
      </c>
      <c r="AW4" s="408">
        <f>'1.1.1.1'!AW4</f>
        <v>2059</v>
      </c>
      <c r="AX4" s="408">
        <f>'1.1.1.1'!AX4</f>
        <v>2060</v>
      </c>
      <c r="AY4" s="408">
        <f>'1.1.1.1'!AY4</f>
        <v>2061</v>
      </c>
      <c r="AZ4" s="408">
        <f>'1.1.1.1'!AZ4</f>
        <v>2062</v>
      </c>
    </row>
    <row r="5" spans="1:52" outlineLevel="1">
      <c r="B5" s="321" t="str">
        <f>'WBS Summary'!Z15&amp;" "&amp;TRIM('WBS Summary'!AA15)</f>
        <v>1.1.8 Peculiar Support Equipment</v>
      </c>
      <c r="C5" s="447">
        <f>SUM(D5:AZ5)</f>
        <v>736076.68441699224</v>
      </c>
      <c r="D5" s="447">
        <f>D51</f>
        <v>122612.22578781679</v>
      </c>
      <c r="E5" s="447">
        <f t="shared" ref="E5:AZ5" si="0">E51</f>
        <v>147215.33688339844</v>
      </c>
      <c r="F5" s="447">
        <f t="shared" si="0"/>
        <v>147215.33688339844</v>
      </c>
      <c r="G5" s="447">
        <f t="shared" si="0"/>
        <v>147215.33688339844</v>
      </c>
      <c r="H5" s="447">
        <f t="shared" si="0"/>
        <v>147215.33688339844</v>
      </c>
      <c r="I5" s="447">
        <f t="shared" si="0"/>
        <v>24603.111095581658</v>
      </c>
      <c r="J5" s="447">
        <f t="shared" si="0"/>
        <v>0</v>
      </c>
      <c r="K5" s="447">
        <f t="shared" si="0"/>
        <v>0</v>
      </c>
      <c r="L5" s="447">
        <f t="shared" si="0"/>
        <v>0</v>
      </c>
      <c r="M5" s="447">
        <f t="shared" si="0"/>
        <v>0</v>
      </c>
      <c r="N5" s="447">
        <f t="shared" si="0"/>
        <v>0</v>
      </c>
      <c r="O5" s="447">
        <f t="shared" si="0"/>
        <v>0</v>
      </c>
      <c r="P5" s="447">
        <f t="shared" si="0"/>
        <v>0</v>
      </c>
      <c r="Q5" s="447">
        <f t="shared" si="0"/>
        <v>0</v>
      </c>
      <c r="R5" s="447">
        <f t="shared" si="0"/>
        <v>0</v>
      </c>
      <c r="S5" s="447">
        <f t="shared" si="0"/>
        <v>0</v>
      </c>
      <c r="T5" s="447">
        <f t="shared" si="0"/>
        <v>0</v>
      </c>
      <c r="U5" s="447">
        <f t="shared" si="0"/>
        <v>0</v>
      </c>
      <c r="V5" s="447">
        <f t="shared" si="0"/>
        <v>0</v>
      </c>
      <c r="W5" s="447">
        <f t="shared" si="0"/>
        <v>0</v>
      </c>
      <c r="X5" s="447">
        <f t="shared" si="0"/>
        <v>0</v>
      </c>
      <c r="Y5" s="447">
        <f t="shared" si="0"/>
        <v>0</v>
      </c>
      <c r="Z5" s="447">
        <f t="shared" si="0"/>
        <v>0</v>
      </c>
      <c r="AA5" s="447">
        <f t="shared" si="0"/>
        <v>0</v>
      </c>
      <c r="AB5" s="447">
        <f t="shared" si="0"/>
        <v>0</v>
      </c>
      <c r="AC5" s="447">
        <f t="shared" si="0"/>
        <v>0</v>
      </c>
      <c r="AD5" s="447">
        <f t="shared" si="0"/>
        <v>0</v>
      </c>
      <c r="AE5" s="447">
        <f t="shared" si="0"/>
        <v>0</v>
      </c>
      <c r="AF5" s="447">
        <f t="shared" si="0"/>
        <v>0</v>
      </c>
      <c r="AG5" s="447">
        <f t="shared" si="0"/>
        <v>0</v>
      </c>
      <c r="AH5" s="447">
        <f t="shared" si="0"/>
        <v>0</v>
      </c>
      <c r="AI5" s="447">
        <f t="shared" si="0"/>
        <v>0</v>
      </c>
      <c r="AJ5" s="447">
        <f t="shared" si="0"/>
        <v>0</v>
      </c>
      <c r="AK5" s="447">
        <f t="shared" si="0"/>
        <v>0</v>
      </c>
      <c r="AL5" s="447">
        <f t="shared" si="0"/>
        <v>0</v>
      </c>
      <c r="AM5" s="447">
        <f t="shared" si="0"/>
        <v>0</v>
      </c>
      <c r="AN5" s="447">
        <f t="shared" si="0"/>
        <v>0</v>
      </c>
      <c r="AO5" s="447">
        <f t="shared" si="0"/>
        <v>0</v>
      </c>
      <c r="AP5" s="447">
        <f t="shared" si="0"/>
        <v>0</v>
      </c>
      <c r="AQ5" s="447">
        <f t="shared" si="0"/>
        <v>0</v>
      </c>
      <c r="AR5" s="447">
        <f t="shared" si="0"/>
        <v>0</v>
      </c>
      <c r="AS5" s="447">
        <f t="shared" si="0"/>
        <v>0</v>
      </c>
      <c r="AT5" s="447">
        <f t="shared" si="0"/>
        <v>0</v>
      </c>
      <c r="AU5" s="447">
        <f t="shared" si="0"/>
        <v>0</v>
      </c>
      <c r="AV5" s="447">
        <f t="shared" si="0"/>
        <v>0</v>
      </c>
      <c r="AW5" s="447">
        <f t="shared" si="0"/>
        <v>0</v>
      </c>
      <c r="AX5" s="447">
        <f t="shared" si="0"/>
        <v>0</v>
      </c>
      <c r="AY5" s="447">
        <f t="shared" si="0"/>
        <v>0</v>
      </c>
      <c r="AZ5" s="44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771</v>
      </c>
    </row>
    <row r="8" spans="1:52" outlineLevel="1">
      <c r="B8" s="445" t="s">
        <v>337</v>
      </c>
      <c r="C8" s="408" t="s">
        <v>155</v>
      </c>
      <c r="D8" s="446">
        <f t="shared" ref="D8:AY8" si="1">D4</f>
        <v>2014</v>
      </c>
      <c r="E8" s="446">
        <f t="shared" si="1"/>
        <v>2015</v>
      </c>
      <c r="F8" s="446">
        <f t="shared" si="1"/>
        <v>2016</v>
      </c>
      <c r="G8" s="446">
        <f t="shared" si="1"/>
        <v>2017</v>
      </c>
      <c r="H8" s="446">
        <f t="shared" si="1"/>
        <v>2018</v>
      </c>
      <c r="I8" s="446">
        <f t="shared" si="1"/>
        <v>2019</v>
      </c>
      <c r="J8" s="446">
        <f t="shared" si="1"/>
        <v>2020</v>
      </c>
      <c r="K8" s="446">
        <f t="shared" si="1"/>
        <v>2021</v>
      </c>
      <c r="L8" s="446">
        <f t="shared" si="1"/>
        <v>2022</v>
      </c>
      <c r="M8" s="446">
        <f t="shared" si="1"/>
        <v>2023</v>
      </c>
      <c r="N8" s="446">
        <f t="shared" si="1"/>
        <v>2024</v>
      </c>
      <c r="O8" s="446">
        <f t="shared" si="1"/>
        <v>2025</v>
      </c>
      <c r="P8" s="446">
        <f t="shared" si="1"/>
        <v>2026</v>
      </c>
      <c r="Q8" s="446">
        <f t="shared" si="1"/>
        <v>2027</v>
      </c>
      <c r="R8" s="446">
        <f t="shared" si="1"/>
        <v>2028</v>
      </c>
      <c r="S8" s="446">
        <f t="shared" si="1"/>
        <v>2029</v>
      </c>
      <c r="T8" s="446">
        <f t="shared" si="1"/>
        <v>2030</v>
      </c>
      <c r="U8" s="446">
        <f t="shared" si="1"/>
        <v>2031</v>
      </c>
      <c r="V8" s="446">
        <f t="shared" si="1"/>
        <v>2032</v>
      </c>
      <c r="W8" s="446">
        <f t="shared" si="1"/>
        <v>2033</v>
      </c>
      <c r="X8" s="446">
        <f t="shared" si="1"/>
        <v>2034</v>
      </c>
      <c r="Y8" s="446">
        <f t="shared" si="1"/>
        <v>2035</v>
      </c>
      <c r="Z8" s="446">
        <f t="shared" si="1"/>
        <v>2036</v>
      </c>
      <c r="AA8" s="446">
        <f t="shared" si="1"/>
        <v>2037</v>
      </c>
      <c r="AB8" s="446">
        <f t="shared" si="1"/>
        <v>2038</v>
      </c>
      <c r="AC8" s="446">
        <f t="shared" si="1"/>
        <v>2039</v>
      </c>
      <c r="AD8" s="446">
        <f t="shared" si="1"/>
        <v>2040</v>
      </c>
      <c r="AE8" s="446">
        <f t="shared" si="1"/>
        <v>2041</v>
      </c>
      <c r="AF8" s="446">
        <f t="shared" si="1"/>
        <v>2042</v>
      </c>
      <c r="AG8" s="446">
        <f t="shared" si="1"/>
        <v>2043</v>
      </c>
      <c r="AH8" s="446">
        <f t="shared" si="1"/>
        <v>2044</v>
      </c>
      <c r="AI8" s="446">
        <f t="shared" si="1"/>
        <v>2045</v>
      </c>
      <c r="AJ8" s="446">
        <f t="shared" si="1"/>
        <v>2046</v>
      </c>
      <c r="AK8" s="446">
        <f t="shared" si="1"/>
        <v>2047</v>
      </c>
      <c r="AL8" s="446">
        <f t="shared" si="1"/>
        <v>2048</v>
      </c>
      <c r="AM8" s="446">
        <f t="shared" si="1"/>
        <v>2049</v>
      </c>
      <c r="AN8" s="446">
        <f t="shared" si="1"/>
        <v>2050</v>
      </c>
      <c r="AO8" s="446">
        <f t="shared" si="1"/>
        <v>2051</v>
      </c>
      <c r="AP8" s="446">
        <f t="shared" si="1"/>
        <v>2052</v>
      </c>
      <c r="AQ8" s="446">
        <f t="shared" si="1"/>
        <v>2053</v>
      </c>
      <c r="AR8" s="446">
        <f t="shared" si="1"/>
        <v>2054</v>
      </c>
      <c r="AS8" s="446">
        <f t="shared" si="1"/>
        <v>2055</v>
      </c>
      <c r="AT8" s="446">
        <f t="shared" si="1"/>
        <v>2056</v>
      </c>
      <c r="AU8" s="446">
        <f t="shared" si="1"/>
        <v>2057</v>
      </c>
      <c r="AV8" s="446">
        <f t="shared" si="1"/>
        <v>2058</v>
      </c>
      <c r="AW8" s="446">
        <f t="shared" si="1"/>
        <v>2059</v>
      </c>
      <c r="AX8" s="446">
        <f t="shared" si="1"/>
        <v>2060</v>
      </c>
      <c r="AY8" s="446">
        <f t="shared" si="1"/>
        <v>2061</v>
      </c>
      <c r="AZ8" s="446">
        <f>AZ4</f>
        <v>2062</v>
      </c>
    </row>
    <row r="9" spans="1:52" outlineLevel="1">
      <c r="B9" s="321" t="str">
        <f>B5</f>
        <v>1.1.8 Peculiar Support Equipment</v>
      </c>
      <c r="C9" s="447">
        <f>SUM(D9:AZ9)</f>
        <v>775985.70875674905</v>
      </c>
      <c r="D9" s="447">
        <f>D5*C23</f>
        <v>124345.66509490045</v>
      </c>
      <c r="E9" s="447">
        <f t="shared" ref="E9:AZ9" si="2">E5*D23</f>
        <v>151962.63263955447</v>
      </c>
      <c r="F9" s="447">
        <f t="shared" si="2"/>
        <v>154677.1017848308</v>
      </c>
      <c r="G9" s="447">
        <f t="shared" si="2"/>
        <v>157452.39613289543</v>
      </c>
      <c r="H9" s="447">
        <f t="shared" si="2"/>
        <v>160280.25941148427</v>
      </c>
      <c r="I9" s="447">
        <f t="shared" si="2"/>
        <v>27267.653693083728</v>
      </c>
      <c r="J9" s="447">
        <f t="shared" si="2"/>
        <v>0</v>
      </c>
      <c r="K9" s="447">
        <f t="shared" si="2"/>
        <v>0</v>
      </c>
      <c r="L9" s="447">
        <f t="shared" si="2"/>
        <v>0</v>
      </c>
      <c r="M9" s="447">
        <f t="shared" si="2"/>
        <v>0</v>
      </c>
      <c r="N9" s="447">
        <f t="shared" si="2"/>
        <v>0</v>
      </c>
      <c r="O9" s="447">
        <f t="shared" si="2"/>
        <v>0</v>
      </c>
      <c r="P9" s="447">
        <f t="shared" si="2"/>
        <v>0</v>
      </c>
      <c r="Q9" s="447">
        <f t="shared" si="2"/>
        <v>0</v>
      </c>
      <c r="R9" s="447">
        <f t="shared" si="2"/>
        <v>0</v>
      </c>
      <c r="S9" s="447">
        <f t="shared" si="2"/>
        <v>0</v>
      </c>
      <c r="T9" s="447">
        <f t="shared" si="2"/>
        <v>0</v>
      </c>
      <c r="U9" s="447">
        <f t="shared" si="2"/>
        <v>0</v>
      </c>
      <c r="V9" s="447">
        <f t="shared" si="2"/>
        <v>0</v>
      </c>
      <c r="W9" s="447">
        <f t="shared" si="2"/>
        <v>0</v>
      </c>
      <c r="X9" s="447">
        <f t="shared" si="2"/>
        <v>0</v>
      </c>
      <c r="Y9" s="447">
        <f t="shared" si="2"/>
        <v>0</v>
      </c>
      <c r="Z9" s="447">
        <f t="shared" si="2"/>
        <v>0</v>
      </c>
      <c r="AA9" s="447">
        <f t="shared" si="2"/>
        <v>0</v>
      </c>
      <c r="AB9" s="447">
        <f t="shared" si="2"/>
        <v>0</v>
      </c>
      <c r="AC9" s="447">
        <f t="shared" si="2"/>
        <v>0</v>
      </c>
      <c r="AD9" s="447">
        <f t="shared" si="2"/>
        <v>0</v>
      </c>
      <c r="AE9" s="447">
        <f t="shared" si="2"/>
        <v>0</v>
      </c>
      <c r="AF9" s="447">
        <f t="shared" si="2"/>
        <v>0</v>
      </c>
      <c r="AG9" s="447">
        <f t="shared" si="2"/>
        <v>0</v>
      </c>
      <c r="AH9" s="447">
        <f t="shared" si="2"/>
        <v>0</v>
      </c>
      <c r="AI9" s="447">
        <f t="shared" si="2"/>
        <v>0</v>
      </c>
      <c r="AJ9" s="447">
        <f t="shared" si="2"/>
        <v>0</v>
      </c>
      <c r="AK9" s="447">
        <f t="shared" si="2"/>
        <v>0</v>
      </c>
      <c r="AL9" s="447">
        <f t="shared" si="2"/>
        <v>0</v>
      </c>
      <c r="AM9" s="447">
        <f t="shared" si="2"/>
        <v>0</v>
      </c>
      <c r="AN9" s="447">
        <f t="shared" si="2"/>
        <v>0</v>
      </c>
      <c r="AO9" s="447">
        <f t="shared" si="2"/>
        <v>0</v>
      </c>
      <c r="AP9" s="447">
        <f t="shared" si="2"/>
        <v>0</v>
      </c>
      <c r="AQ9" s="447">
        <f t="shared" si="2"/>
        <v>0</v>
      </c>
      <c r="AR9" s="447">
        <f t="shared" si="2"/>
        <v>0</v>
      </c>
      <c r="AS9" s="447">
        <f t="shared" si="2"/>
        <v>0</v>
      </c>
      <c r="AT9" s="447">
        <f t="shared" si="2"/>
        <v>0</v>
      </c>
      <c r="AU9" s="447">
        <f t="shared" si="2"/>
        <v>0</v>
      </c>
      <c r="AV9" s="447">
        <f t="shared" si="2"/>
        <v>0</v>
      </c>
      <c r="AW9" s="447">
        <f t="shared" si="2"/>
        <v>0</v>
      </c>
      <c r="AX9" s="447">
        <f t="shared" si="2"/>
        <v>0</v>
      </c>
      <c r="AY9" s="447">
        <f t="shared" si="2"/>
        <v>0</v>
      </c>
      <c r="AZ9" s="447">
        <f t="shared" si="2"/>
        <v>0</v>
      </c>
    </row>
    <row r="10" spans="1:52" customFormat="1" outlineLevel="1"/>
    <row r="11" spans="1:52">
      <c r="A11" s="238" t="s">
        <v>313</v>
      </c>
      <c r="B11" s="273"/>
      <c r="C11" s="293"/>
      <c r="D11" s="293"/>
      <c r="E11" s="293"/>
      <c r="F11" s="293"/>
      <c r="G11" s="293"/>
      <c r="H11" s="293"/>
      <c r="I11" s="293"/>
      <c r="J11" s="293"/>
      <c r="K11" s="293"/>
    </row>
    <row r="12" spans="1:52" outlineLevel="1">
      <c r="A12" s="294"/>
      <c r="B12" s="273" t="s">
        <v>791</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314</v>
      </c>
    </row>
    <row r="15" spans="1:52" outlineLevel="1">
      <c r="A15" s="542" t="s">
        <v>709</v>
      </c>
      <c r="B15" s="542"/>
      <c r="C15" s="542"/>
      <c r="D15" s="542"/>
      <c r="E15" s="542"/>
      <c r="F15" s="542"/>
      <c r="G15" s="542"/>
    </row>
    <row r="16" spans="1:52" outlineLevel="1">
      <c r="A16" s="295"/>
    </row>
    <row r="17" spans="1:131">
      <c r="A17" s="193" t="s">
        <v>315</v>
      </c>
      <c r="D17" s="289"/>
      <c r="E17" s="289"/>
      <c r="F17" s="289"/>
      <c r="G17" s="289"/>
      <c r="H17" s="289"/>
      <c r="I17" s="289"/>
      <c r="J17" s="289"/>
      <c r="K17" s="289"/>
    </row>
    <row r="18" spans="1:131" outlineLevel="1">
      <c r="A18" s="295"/>
      <c r="B18" s="194" t="s">
        <v>793</v>
      </c>
    </row>
    <row r="19" spans="1:131" outlineLevel="1">
      <c r="A19" s="295"/>
    </row>
    <row r="20" spans="1:131">
      <c r="A20" s="193" t="s">
        <v>316</v>
      </c>
    </row>
    <row r="21" spans="1:131" outlineLevel="2">
      <c r="A21" s="193"/>
    </row>
    <row r="22" spans="1:131" outlineLevel="2">
      <c r="B22" s="440" t="s">
        <v>718</v>
      </c>
      <c r="C22" s="440">
        <v>2014</v>
      </c>
      <c r="D22" s="440">
        <v>2015</v>
      </c>
      <c r="E22" s="440">
        <v>2016</v>
      </c>
      <c r="F22" s="440">
        <v>2017</v>
      </c>
      <c r="G22" s="440">
        <v>2018</v>
      </c>
      <c r="H22" s="440">
        <v>2019</v>
      </c>
      <c r="I22" s="440">
        <v>2020</v>
      </c>
      <c r="J22" s="440">
        <v>2021</v>
      </c>
      <c r="K22" s="440">
        <v>2022</v>
      </c>
      <c r="L22" s="440">
        <v>2023</v>
      </c>
      <c r="M22" s="440">
        <v>2024</v>
      </c>
      <c r="N22" s="440">
        <v>2025</v>
      </c>
      <c r="O22" s="440">
        <v>2026</v>
      </c>
      <c r="P22" s="440">
        <v>2027</v>
      </c>
      <c r="Q22" s="440">
        <v>2028</v>
      </c>
      <c r="R22" s="440">
        <v>2029</v>
      </c>
      <c r="S22" s="440">
        <v>2030</v>
      </c>
      <c r="T22" s="440">
        <v>2031</v>
      </c>
      <c r="U22" s="440">
        <v>2032</v>
      </c>
      <c r="V22" s="440">
        <v>2033</v>
      </c>
      <c r="W22" s="440">
        <v>2034</v>
      </c>
      <c r="X22" s="440">
        <v>2035</v>
      </c>
      <c r="Y22" s="440">
        <v>2036</v>
      </c>
      <c r="Z22" s="440">
        <v>2037</v>
      </c>
      <c r="AA22" s="440">
        <v>2038</v>
      </c>
      <c r="AB22" s="440">
        <v>2039</v>
      </c>
      <c r="AC22" s="440">
        <v>2040</v>
      </c>
      <c r="AD22" s="440">
        <v>2041</v>
      </c>
      <c r="AE22" s="440">
        <v>2042</v>
      </c>
      <c r="AF22" s="440">
        <v>2043</v>
      </c>
      <c r="AG22" s="440">
        <v>2044</v>
      </c>
      <c r="AH22" s="440">
        <v>2045</v>
      </c>
      <c r="AI22" s="440">
        <v>2046</v>
      </c>
      <c r="AJ22" s="440">
        <v>2047</v>
      </c>
      <c r="AK22" s="440">
        <v>2048</v>
      </c>
      <c r="AL22" s="440">
        <v>2049</v>
      </c>
      <c r="AM22" s="440">
        <v>2050</v>
      </c>
      <c r="AN22" s="440">
        <v>2051</v>
      </c>
      <c r="AO22" s="440">
        <v>2052</v>
      </c>
      <c r="AP22" s="440">
        <v>2053</v>
      </c>
      <c r="AQ22" s="440">
        <v>2054</v>
      </c>
      <c r="AR22" s="440">
        <v>2055</v>
      </c>
      <c r="AS22" s="440">
        <v>2056</v>
      </c>
      <c r="AT22" s="440">
        <v>2057</v>
      </c>
      <c r="AU22" s="440">
        <v>2058</v>
      </c>
      <c r="AV22" s="440">
        <v>2059</v>
      </c>
      <c r="AW22" s="440">
        <v>2060</v>
      </c>
      <c r="AX22" s="440">
        <v>2061</v>
      </c>
      <c r="AY22" s="440">
        <v>2062</v>
      </c>
      <c r="AZ22" s="440">
        <v>2063</v>
      </c>
      <c r="BA22" s="440">
        <v>2064</v>
      </c>
      <c r="BB22" s="440">
        <v>2065</v>
      </c>
      <c r="BC22" s="440">
        <v>2066</v>
      </c>
      <c r="BD22" s="440">
        <v>2067</v>
      </c>
    </row>
    <row r="23" spans="1:131" outlineLevel="2">
      <c r="B23" s="448" t="s">
        <v>712</v>
      </c>
      <c r="C23" s="449">
        <v>1.0141375731167577</v>
      </c>
      <c r="D23" s="449">
        <v>1.0322472906468714</v>
      </c>
      <c r="E23" s="449">
        <v>1.0506860566256246</v>
      </c>
      <c r="F23" s="449">
        <v>1.0695379942485559</v>
      </c>
      <c r="G23" s="449">
        <v>1.0887470205528509</v>
      </c>
      <c r="H23" s="449">
        <v>1.1083010431953291</v>
      </c>
      <c r="I23" s="449">
        <v>1.1282062583501846</v>
      </c>
      <c r="J23" s="449">
        <v>1.1484689734756457</v>
      </c>
      <c r="K23" s="449">
        <v>1.1690956093126152</v>
      </c>
      <c r="L23" s="449">
        <v>1.1900927019192138</v>
      </c>
      <c r="M23" s="449">
        <v>1.2114669047419762</v>
      </c>
      <c r="N23" s="449">
        <v>1.2332249907240662</v>
      </c>
      <c r="O23" s="449">
        <v>1.2553738544514983</v>
      </c>
      <c r="P23" s="449">
        <v>1.2779205143378769</v>
      </c>
      <c r="Q23" s="449">
        <v>1.3008721148482989</v>
      </c>
      <c r="R23" s="449">
        <v>1.3242359287632992</v>
      </c>
      <c r="S23" s="449">
        <v>1.3480193594833814</v>
      </c>
      <c r="T23" s="449">
        <v>1.3722299433749892</v>
      </c>
      <c r="U23" s="449">
        <v>1.3968753521585719</v>
      </c>
      <c r="V23" s="449">
        <v>1.4219633953395792</v>
      </c>
      <c r="W23" s="449">
        <v>1.4475020226830706</v>
      </c>
      <c r="X23" s="449">
        <v>1.4734993267328127</v>
      </c>
      <c r="Y23" s="449"/>
      <c r="Z23" s="449"/>
      <c r="AA23" s="449"/>
      <c r="AB23" s="449"/>
      <c r="AC23" s="449"/>
      <c r="AD23" s="449"/>
      <c r="AE23" s="449"/>
      <c r="AF23" s="449"/>
      <c r="AG23" s="449"/>
      <c r="AH23" s="449"/>
      <c r="AI23" s="449"/>
      <c r="AJ23" s="449"/>
      <c r="AK23" s="449"/>
      <c r="AL23" s="449"/>
      <c r="AM23" s="449"/>
      <c r="AN23" s="449"/>
      <c r="AO23" s="449"/>
      <c r="AP23" s="449"/>
      <c r="AQ23" s="449"/>
      <c r="AR23" s="449"/>
      <c r="AS23" s="449"/>
      <c r="AT23" s="449"/>
      <c r="AU23" s="449"/>
      <c r="AV23" s="449"/>
      <c r="AW23" s="449"/>
      <c r="AX23" s="449"/>
      <c r="AY23" s="449"/>
      <c r="AZ23" s="449"/>
      <c r="BA23" s="449"/>
      <c r="BB23" s="449"/>
      <c r="BC23" s="449"/>
      <c r="BD23" s="44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319</v>
      </c>
    </row>
    <row r="26" spans="1:131" outlineLevel="1">
      <c r="A26" s="295" t="s">
        <v>499</v>
      </c>
    </row>
    <row r="27" spans="1:131" outlineLevel="2">
      <c r="A27" s="295"/>
      <c r="B27" s="194" t="s">
        <v>757</v>
      </c>
    </row>
    <row r="28" spans="1:131" outlineLevel="2">
      <c r="A28" s="295"/>
    </row>
    <row r="29" spans="1:131" outlineLevel="1">
      <c r="A29" s="295" t="s">
        <v>500</v>
      </c>
    </row>
    <row r="30" spans="1:131" outlineLevel="2">
      <c r="A30" s="295"/>
      <c r="B30" s="194" t="s">
        <v>788</v>
      </c>
    </row>
    <row r="31" spans="1:131" outlineLevel="2">
      <c r="A31" s="295"/>
    </row>
    <row r="32" spans="1:131">
      <c r="A32" s="193" t="s">
        <v>507</v>
      </c>
    </row>
    <row r="33" spans="1:25" outlineLevel="1">
      <c r="A33" s="193"/>
      <c r="H33" s="305"/>
    </row>
    <row r="34" spans="1:25" outlineLevel="1">
      <c r="A34" s="193"/>
      <c r="B34" s="194" t="s">
        <v>720</v>
      </c>
      <c r="H34" s="305"/>
    </row>
    <row r="35" spans="1:25" outlineLevel="2">
      <c r="A35" s="193"/>
      <c r="B35" s="295" t="s">
        <v>794</v>
      </c>
      <c r="C35" s="499">
        <v>0.25</v>
      </c>
      <c r="H35" s="305"/>
    </row>
    <row r="36" spans="1:25" outlineLevel="2">
      <c r="A36" s="193"/>
      <c r="C36" s="289"/>
      <c r="H36" s="305"/>
    </row>
    <row r="37" spans="1:25" outlineLevel="1">
      <c r="A37" s="193"/>
      <c r="B37" s="194" t="s">
        <v>721</v>
      </c>
      <c r="H37" s="305"/>
    </row>
    <row r="38" spans="1:25" outlineLevel="2">
      <c r="A38" s="193"/>
      <c r="B38" s="295" t="s">
        <v>784</v>
      </c>
      <c r="C38" s="453">
        <f>SUM('1.1.1.2'!C5)</f>
        <v>2944306.7376679685</v>
      </c>
      <c r="H38" s="305"/>
    </row>
    <row r="39" spans="1:25" outlineLevel="2">
      <c r="A39" s="193"/>
      <c r="B39" s="295"/>
      <c r="C39" s="451"/>
      <c r="H39" s="305"/>
    </row>
    <row r="40" spans="1:25" outlineLevel="1">
      <c r="A40" s="193"/>
      <c r="B40" s="194" t="s">
        <v>769</v>
      </c>
      <c r="H40" s="305"/>
    </row>
    <row r="41" spans="1:25" outlineLevel="2">
      <c r="A41" s="193"/>
      <c r="B41" s="295" t="s">
        <v>789</v>
      </c>
      <c r="C41" s="453">
        <f>C35*C38</f>
        <v>736076.68441699212</v>
      </c>
      <c r="H41" s="305"/>
    </row>
    <row r="42" spans="1:25" outlineLevel="2">
      <c r="A42" s="193"/>
      <c r="B42" s="295"/>
      <c r="C42" s="451"/>
      <c r="H42" s="305"/>
    </row>
    <row r="43" spans="1:25" outlineLevel="1">
      <c r="A43" s="193"/>
      <c r="B43" s="194" t="s">
        <v>707</v>
      </c>
      <c r="C43" s="451"/>
      <c r="H43" s="305"/>
    </row>
    <row r="44" spans="1:25" outlineLevel="2">
      <c r="A44" s="193"/>
      <c r="B44" s="295" t="s">
        <v>792</v>
      </c>
      <c r="C44" s="451"/>
      <c r="H44" s="305"/>
    </row>
    <row r="45" spans="1:25" outlineLevel="2">
      <c r="A45" s="193"/>
      <c r="B45" s="494" t="s">
        <v>760</v>
      </c>
      <c r="C45" s="493" t="s">
        <v>155</v>
      </c>
      <c r="D45" s="439">
        <v>2014</v>
      </c>
      <c r="E45" s="439">
        <v>2015</v>
      </c>
      <c r="F45" s="439">
        <v>2016</v>
      </c>
      <c r="G45" s="439">
        <v>2017</v>
      </c>
      <c r="H45" s="439">
        <v>2018</v>
      </c>
      <c r="I45" s="439">
        <v>2019</v>
      </c>
      <c r="J45" s="439">
        <v>2020</v>
      </c>
      <c r="K45" s="439">
        <v>2021</v>
      </c>
      <c r="L45" s="439">
        <v>2022</v>
      </c>
      <c r="M45" s="439">
        <v>2023</v>
      </c>
      <c r="N45" s="439">
        <v>2024</v>
      </c>
      <c r="O45" s="439">
        <v>2025</v>
      </c>
      <c r="P45" s="439">
        <v>2026</v>
      </c>
      <c r="Q45" s="439">
        <v>2027</v>
      </c>
      <c r="R45" s="439">
        <v>2028</v>
      </c>
      <c r="S45" s="439">
        <v>2029</v>
      </c>
      <c r="T45" s="439">
        <v>2030</v>
      </c>
      <c r="U45" s="439">
        <v>2031</v>
      </c>
      <c r="V45" s="439">
        <v>2032</v>
      </c>
      <c r="W45" s="439">
        <v>2033</v>
      </c>
      <c r="X45" s="439">
        <v>2034</v>
      </c>
      <c r="Y45" s="439">
        <v>2035</v>
      </c>
    </row>
    <row r="46" spans="1:25" outlineLevel="2">
      <c r="A46" s="193"/>
      <c r="B46" s="494" t="s">
        <v>761</v>
      </c>
      <c r="C46" s="500">
        <f>SUM(D46:Y46)</f>
        <v>5</v>
      </c>
      <c r="D46" s="495">
        <v>0.83287671232876714</v>
      </c>
      <c r="E46" s="495">
        <v>1</v>
      </c>
      <c r="F46" s="495">
        <v>1</v>
      </c>
      <c r="G46" s="495">
        <v>1</v>
      </c>
      <c r="H46" s="495">
        <v>1</v>
      </c>
      <c r="I46" s="495">
        <v>0.16712328767123288</v>
      </c>
      <c r="J46" s="496">
        <v>0</v>
      </c>
      <c r="K46" s="496">
        <v>0</v>
      </c>
      <c r="L46" s="496">
        <v>0</v>
      </c>
      <c r="M46" s="496">
        <v>0</v>
      </c>
      <c r="N46" s="496">
        <v>0</v>
      </c>
      <c r="O46" s="496">
        <v>0</v>
      </c>
      <c r="P46" s="496">
        <v>0</v>
      </c>
      <c r="Q46" s="496">
        <v>0</v>
      </c>
      <c r="R46" s="496">
        <v>0</v>
      </c>
      <c r="S46" s="496">
        <v>0</v>
      </c>
      <c r="T46" s="496">
        <v>0</v>
      </c>
      <c r="U46" s="496">
        <v>0</v>
      </c>
      <c r="V46" s="496">
        <v>0</v>
      </c>
      <c r="W46" s="496">
        <v>0</v>
      </c>
      <c r="X46" s="496">
        <v>0</v>
      </c>
      <c r="Y46" s="496">
        <v>0</v>
      </c>
    </row>
    <row r="47" spans="1:25" outlineLevel="2">
      <c r="A47" s="193"/>
    </row>
    <row r="48" spans="1:25" outlineLevel="1">
      <c r="A48" s="193"/>
      <c r="B48" s="461" t="s">
        <v>733</v>
      </c>
      <c r="C48" s="460"/>
      <c r="D48" s="460"/>
      <c r="E48" s="460"/>
      <c r="F48" s="460"/>
      <c r="G48" s="460"/>
      <c r="H48" s="460"/>
      <c r="I48" s="460"/>
      <c r="J48" s="460"/>
      <c r="K48" s="460"/>
      <c r="L48" s="460"/>
      <c r="M48" s="460"/>
      <c r="N48" s="460"/>
      <c r="O48" s="460"/>
      <c r="P48" s="460"/>
      <c r="Q48" s="460"/>
      <c r="R48" s="460"/>
      <c r="S48" s="460"/>
      <c r="T48" s="460"/>
      <c r="U48" s="460"/>
      <c r="V48" s="460"/>
      <c r="W48" s="460"/>
      <c r="X48" s="460"/>
      <c r="Y48" s="460"/>
    </row>
    <row r="49" spans="1:25" outlineLevel="2">
      <c r="A49" s="193"/>
      <c r="B49" s="461" t="s">
        <v>778</v>
      </c>
      <c r="C49" s="460"/>
      <c r="D49" s="460"/>
      <c r="E49" s="460"/>
      <c r="F49" s="460"/>
      <c r="G49" s="460"/>
      <c r="H49" s="460"/>
      <c r="I49" s="460"/>
      <c r="J49" s="460"/>
      <c r="K49" s="460"/>
      <c r="L49" s="460"/>
      <c r="M49" s="460"/>
      <c r="N49" s="460"/>
      <c r="O49" s="460"/>
      <c r="P49" s="460"/>
      <c r="Q49" s="460"/>
      <c r="R49" s="460"/>
      <c r="S49" s="460"/>
      <c r="T49" s="460"/>
      <c r="U49" s="460"/>
      <c r="V49" s="460"/>
      <c r="W49" s="460"/>
      <c r="X49" s="460"/>
      <c r="Y49" s="460"/>
    </row>
    <row r="50" spans="1:25" outlineLevel="2">
      <c r="A50" s="193"/>
      <c r="B50" s="494" t="s">
        <v>760</v>
      </c>
      <c r="C50" s="493" t="s">
        <v>155</v>
      </c>
      <c r="D50" s="439">
        <v>2014</v>
      </c>
      <c r="E50" s="439">
        <v>2015</v>
      </c>
      <c r="F50" s="439">
        <v>2016</v>
      </c>
      <c r="G50" s="439">
        <v>2017</v>
      </c>
      <c r="H50" s="439">
        <v>2018</v>
      </c>
      <c r="I50" s="439">
        <v>2019</v>
      </c>
      <c r="J50" s="439">
        <v>2020</v>
      </c>
      <c r="K50" s="439">
        <v>2021</v>
      </c>
      <c r="L50" s="439">
        <v>2022</v>
      </c>
      <c r="M50" s="439">
        <v>2023</v>
      </c>
      <c r="N50" s="439">
        <v>2024</v>
      </c>
      <c r="O50" s="439">
        <v>2025</v>
      </c>
      <c r="P50" s="439">
        <v>2026</v>
      </c>
      <c r="Q50" s="439">
        <v>2027</v>
      </c>
      <c r="R50" s="439">
        <v>2028</v>
      </c>
      <c r="S50" s="439">
        <v>2029</v>
      </c>
      <c r="T50" s="439">
        <v>2030</v>
      </c>
      <c r="U50" s="439">
        <v>2031</v>
      </c>
      <c r="V50" s="439">
        <v>2032</v>
      </c>
      <c r="W50" s="439">
        <v>2033</v>
      </c>
      <c r="X50" s="439">
        <v>2034</v>
      </c>
      <c r="Y50" s="439">
        <v>2035</v>
      </c>
    </row>
    <row r="51" spans="1:25" outlineLevel="2">
      <c r="A51" s="193"/>
      <c r="B51" s="494" t="s">
        <v>790</v>
      </c>
      <c r="C51" s="497">
        <f>SUM(D51:Y51)</f>
        <v>736076.68441699224</v>
      </c>
      <c r="D51" s="498">
        <f>IFERROR(($C$41/($C$46*12))*12*D46,0)</f>
        <v>122612.22578781679</v>
      </c>
      <c r="E51" s="498">
        <f t="shared" ref="E51:Y51" si="3">IFERROR(($C$41/($C$46*12))*12*E46,0)</f>
        <v>147215.33688339844</v>
      </c>
      <c r="F51" s="498">
        <f t="shared" si="3"/>
        <v>147215.33688339844</v>
      </c>
      <c r="G51" s="498">
        <f t="shared" si="3"/>
        <v>147215.33688339844</v>
      </c>
      <c r="H51" s="498">
        <f t="shared" si="3"/>
        <v>147215.33688339844</v>
      </c>
      <c r="I51" s="498">
        <f t="shared" si="3"/>
        <v>24603.111095581658</v>
      </c>
      <c r="J51" s="498">
        <f t="shared" si="3"/>
        <v>0</v>
      </c>
      <c r="K51" s="498">
        <f t="shared" si="3"/>
        <v>0</v>
      </c>
      <c r="L51" s="498">
        <f t="shared" si="3"/>
        <v>0</v>
      </c>
      <c r="M51" s="498">
        <f t="shared" si="3"/>
        <v>0</v>
      </c>
      <c r="N51" s="498">
        <f t="shared" si="3"/>
        <v>0</v>
      </c>
      <c r="O51" s="498">
        <f t="shared" si="3"/>
        <v>0</v>
      </c>
      <c r="P51" s="498">
        <f t="shared" si="3"/>
        <v>0</v>
      </c>
      <c r="Q51" s="498">
        <f t="shared" si="3"/>
        <v>0</v>
      </c>
      <c r="R51" s="498">
        <f t="shared" si="3"/>
        <v>0</v>
      </c>
      <c r="S51" s="498">
        <f t="shared" si="3"/>
        <v>0</v>
      </c>
      <c r="T51" s="498">
        <f t="shared" si="3"/>
        <v>0</v>
      </c>
      <c r="U51" s="498">
        <f t="shared" si="3"/>
        <v>0</v>
      </c>
      <c r="V51" s="498">
        <f t="shared" si="3"/>
        <v>0</v>
      </c>
      <c r="W51" s="498">
        <f t="shared" si="3"/>
        <v>0</v>
      </c>
      <c r="X51" s="498">
        <f t="shared" si="3"/>
        <v>0</v>
      </c>
      <c r="Y51" s="498">
        <f t="shared" si="3"/>
        <v>0</v>
      </c>
    </row>
    <row r="52" spans="1:25" outlineLevel="2">
      <c r="A52" s="193"/>
      <c r="B52" s="460"/>
      <c r="C52" s="460"/>
      <c r="D52" s="460"/>
      <c r="E52" s="460"/>
      <c r="F52" s="460"/>
      <c r="G52" s="460"/>
      <c r="H52" s="460"/>
      <c r="I52" s="460"/>
      <c r="J52" s="460"/>
      <c r="K52" s="460"/>
      <c r="L52" s="460"/>
      <c r="M52" s="460"/>
      <c r="N52" s="460"/>
      <c r="O52" s="460"/>
      <c r="P52" s="460"/>
      <c r="Q52" s="460"/>
      <c r="R52" s="460"/>
      <c r="S52" s="460"/>
      <c r="T52" s="460"/>
      <c r="U52" s="460"/>
      <c r="V52" s="460"/>
      <c r="W52" s="460"/>
      <c r="X52" s="460"/>
      <c r="Y52" s="460"/>
    </row>
    <row r="53" spans="1:25">
      <c r="A53" s="193" t="s">
        <v>321</v>
      </c>
      <c r="G53" s="304"/>
      <c r="H53" s="304"/>
    </row>
    <row r="54" spans="1:25" outlineLevel="1">
      <c r="A54" s="295" t="s">
        <v>497</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750</v>
      </c>
    </row>
  </sheetData>
  <mergeCells count="1">
    <mergeCell ref="A15:G15"/>
  </mergeCells>
  <conditionalFormatting sqref="D46:I46 D52:Y52 D48:Y49">
    <cfRule type="cellIs" dxfId="0"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VBA Functions</vt:lpstr>
      <vt:lpstr>Title</vt:lpstr>
      <vt:lpstr>Program Overview</vt:lpstr>
      <vt:lpstr>Overview</vt:lpstr>
      <vt:lpstr>Revision Tracker</vt:lpstr>
      <vt:lpstr>WBS Summary</vt:lpstr>
      <vt:lpstr>APPN Summary</vt:lpstr>
      <vt:lpstr>Simulation Data</vt:lpstr>
      <vt:lpstr>PMO Budget Charts</vt:lpstr>
      <vt:lpstr>Non PMO Budget Chart</vt:lpstr>
      <vt:lpstr>CCP and APB</vt:lpstr>
      <vt:lpstr>Uncertainty Reports</vt:lpstr>
      <vt:lpstr>Inputs --&gt;</vt:lpstr>
      <vt:lpstr>Global Inputs</vt:lpstr>
      <vt:lpstr>Global Tables</vt:lpstr>
      <vt:lpstr>Profiles</vt:lpstr>
      <vt:lpstr>Sunk Cost</vt:lpstr>
      <vt:lpstr>Budgets</vt:lpstr>
      <vt:lpstr>Labor Rates</vt:lpstr>
      <vt:lpstr>Risk &amp; Uncertainty Inputs</vt:lpstr>
      <vt:lpstr>Correlation</vt:lpstr>
      <vt:lpstr>Analysis --&gt;</vt:lpstr>
      <vt:lpstr>1.1.1.1</vt:lpstr>
      <vt:lpstr>1.1.1.2</vt:lpstr>
      <vt:lpstr>1.1.2</vt:lpstr>
      <vt:lpstr>1.1.3</vt:lpstr>
      <vt:lpstr>1.1.4</vt:lpstr>
      <vt:lpstr>1.1.5</vt:lpstr>
      <vt:lpstr>1.1.6</vt:lpstr>
      <vt:lpstr>1.1.7</vt:lpstr>
      <vt:lpstr>1.1.8</vt:lpstr>
      <vt:lpstr>Airframe_UC1Uncert</vt:lpstr>
      <vt:lpstr>Base_Year</vt:lpstr>
      <vt:lpstr>EMD_ProtoQtyCum</vt:lpstr>
      <vt:lpstr>EMD_ProtoQtyPrior</vt:lpstr>
      <vt:lpstr>EMD_ProtoQtyTot</vt:lpstr>
      <vt:lpstr>EMD_SlopeExp</vt:lpstr>
      <vt:lpstr>Estimate_Type</vt:lpstr>
      <vt:lpstr>First_Year_Sunk</vt:lpstr>
      <vt:lpstr>Guid_UC1Uncert</vt:lpstr>
      <vt:lpstr>'1.1.1.2'!IATC_UC1Hrs3rdPartyToolUncert</vt:lpstr>
      <vt:lpstr>Last_Year_Sunk</vt:lpstr>
      <vt:lpstr>MaxXAxis</vt:lpstr>
      <vt:lpstr>MfgLaborRateUncert</vt:lpstr>
      <vt:lpstr>Milestone</vt:lpstr>
      <vt:lpstr>MinXAxis</vt:lpstr>
      <vt:lpstr>Model_First_Year</vt:lpstr>
      <vt:lpstr>Payload_UC1Uncert</vt:lpstr>
      <vt:lpstr>Program_CY</vt:lpstr>
      <vt:lpstr>Program_Name</vt:lpstr>
      <vt:lpstr>Program_Office</vt:lpstr>
      <vt:lpstr>Program_Short_Name</vt:lpstr>
      <vt:lpstr>Prop_UC1Uncert</vt:lpstr>
      <vt:lpstr>RateSlpExpAirframe</vt:lpstr>
      <vt:lpstr>TY_Years</vt:lpstr>
      <vt:lpstr>Units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 Nicholas A CIV OASN (FM&amp;C), NCCA</dc:creator>
  <cp:lastModifiedBy>Joy, Kevin CIV OASN(FM&amp;C), NCCA</cp:lastModifiedBy>
  <dcterms:created xsi:type="dcterms:W3CDTF">2016-11-17T19:56:36Z</dcterms:created>
  <dcterms:modified xsi:type="dcterms:W3CDTF">2017-07-14T20:01:21Z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UC1Uncert" linkTarget="Prop_UC1Uncert">
    <vt:lpwstr/>
  </property>
</Properties>
</file>